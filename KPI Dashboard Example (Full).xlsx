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Review" sheetId="1" r:id="rId5"/>
    <sheet state="visible" name="Daily ZZEM" sheetId="2" r:id="rId6"/>
    <sheet state="visible" name="Weekly ZZEM" sheetId="3" r:id="rId7"/>
    <sheet state="visible" name="Monthly ZZEM" sheetId="4" r:id="rId8"/>
    <sheet state="visible" name="Daily 쨈 BQ" sheetId="5" r:id="rId9"/>
    <sheet state="hidden" name="Monthly 스피킹" sheetId="6" r:id="rId10"/>
    <sheet state="hidden" name="Daily 스피킹" sheetId="7" r:id="rId11"/>
    <sheet state="hidden" name="Daily 쨈 raw" sheetId="8" r:id="rId12"/>
    <sheet state="hidden" name="Weekly 쨈 BQ" sheetId="9" r:id="rId13"/>
    <sheet state="hidden" name="Weekly 쨈 raw" sheetId="10" r:id="rId14"/>
    <sheet state="hidden" name="Monthly 쨈 BQ" sheetId="11" r:id="rId15"/>
    <sheet state="hidden" name="Monthly 쨈 raw" sheetId="12" r:id="rId16"/>
    <sheet state="hidden" name="Daily 사주 BQ" sheetId="13" r:id="rId17"/>
    <sheet state="hidden" name="Weekly 사주 BQ" sheetId="14" r:id="rId18"/>
    <sheet state="hidden" name="Monthly 사주 BQ" sheetId="15" r:id="rId19"/>
    <sheet state="hidden" name="Daily 사주 raw" sheetId="16" r:id="rId20"/>
    <sheet state="hidden" name="Weekly 사주 raw" sheetId="17" r:id="rId21"/>
    <sheet state="hidden" name="Monthly 사주 raw" sheetId="18" r:id="rId22"/>
    <sheet state="hidden" name="Weekly 스피킹" sheetId="19" r:id="rId23"/>
    <sheet state="visible" name="Daily 사주" sheetId="20" r:id="rId24"/>
    <sheet state="visible" name="Weekly 사주" sheetId="21" r:id="rId25"/>
    <sheet state="visible" name="Monthly 사주" sheetId="22" r:id="rId26"/>
    <sheet state="visible" name="Daily 크랙" sheetId="23" r:id="rId27"/>
    <sheet state="visible" name="Weekly 크랙" sheetId="24" r:id="rId28"/>
    <sheet state="visible" name="Monthly 크랙" sheetId="25" r:id="rId29"/>
    <sheet state="hidden" name="Daily 스피킹 BQ" sheetId="26" r:id="rId30"/>
    <sheet state="hidden" name="Daily 스피킹 raw" sheetId="27" r:id="rId31"/>
    <sheet state="hidden" name="Weekly 스피킹 BQ" sheetId="28" r:id="rId32"/>
    <sheet state="hidden" name="Weekly 스피킹 raw" sheetId="29" r:id="rId33"/>
    <sheet state="hidden" name="Monthly 스피킹 BQ" sheetId="30" r:id="rId34"/>
    <sheet state="hidden" name="Monthly 스피킹 raw" sheetId="31" r:id="rId35"/>
    <sheet state="hidden" name="Daily 크랙 BQ" sheetId="32" r:id="rId36"/>
    <sheet state="hidden" name="Daily 크랙 raw" sheetId="33" r:id="rId37"/>
    <sheet state="hidden" name="Monthly 쨈 M" sheetId="34" r:id="rId38"/>
    <sheet state="hidden" name="Monthly 쨈 M raw" sheetId="35" r:id="rId39"/>
    <sheet state="hidden" name="Monthly 스피킹 M" sheetId="36" r:id="rId40"/>
    <sheet state="hidden" name="Monthly 스피킹 M raw" sheetId="37" r:id="rId41"/>
    <sheet state="hidden" name="Monthly 사주 M" sheetId="38" r:id="rId42"/>
    <sheet state="hidden" name="Monthly 사주 M raw" sheetId="39" r:id="rId43"/>
    <sheet state="hidden" name="Weekly 크랙 BQ" sheetId="40" r:id="rId44"/>
    <sheet state="hidden" name="Weekly 크랙 raw" sheetId="41" r:id="rId45"/>
    <sheet state="hidden" name="Monthly 크랙 BQ" sheetId="42" r:id="rId46"/>
    <sheet state="hidden" name="Monthly 크랙 raw" sheetId="43" r:id="rId47"/>
    <sheet state="hidden" name="Monthly ZZEM 코호트 매출 BQ" sheetId="44" r:id="rId48"/>
    <sheet state="hidden" name="Weekly ZZEM 코호트 매출 BQ" sheetId="45" r:id="rId49"/>
    <sheet state="hidden" name="Weekly ZZEM 코호트 리텐션 BQ" sheetId="46" r:id="rId50"/>
    <sheet state="hidden" name="Monthly ZZEM 코호트 리텐션 BQ" sheetId="47" r:id="rId51"/>
    <sheet state="visible" name="Weekly ZZEM 코호트 리텐션" sheetId="48" r:id="rId52"/>
    <sheet state="visible" name="Monthly ZZEM 코호트 리텐션" sheetId="49" r:id="rId53"/>
    <sheet state="visible" name="Weekly ZZEM 코호트 매출" sheetId="50" r:id="rId54"/>
    <sheet state="visible" name="Monthly ZZEM 코호트 매출" sheetId="51" r:id="rId5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전월 전체 데이터가 아닌 전월의 현재 날짜까지의 데이터
예를 들어, 오늘이 12월 29일이라면?
M0이 12월 1일부터 12월 28일까지의 데이터이고, M-1은 11월 1일부터 11월 28일까지의 데이터</t>
      </text>
    </comment>
    <comment authorId="0" ref="M2">
      <text>
        <t xml:space="preserve">전월 전체 데이터가 아닌 전월의 현재 날짜까지의 데이터
예를 들어, 오늘이 12월 29일이라면?
M0이 12월 1일부터 12월 28일까지의 데이터이고, M-1은 11월 1일부터 11월 28일까지의 데이터</t>
      </text>
    </comment>
    <comment authorId="0" ref="S2">
      <text>
        <t xml:space="preserve">전월 전체 데이터가 아닌 전월의 현재 날짜까지의 데이터
예를 들어, 오늘이 12월 29일이라면?
M0이 12월 1일부터 12월 28일까지의 데이터이고, M-1은 11월 1일부터 11월 28일까지의 데이터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11월 24일 ~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12월 24일 ~</t>
      </text>
    </comment>
  </commentList>
</comments>
</file>

<file path=xl/sharedStrings.xml><?xml version="1.0" encoding="utf-8"?>
<sst xmlns="http://schemas.openxmlformats.org/spreadsheetml/2006/main" count="2037" uniqueCount="181">
  <si>
    <t>ZZEM</t>
  </si>
  <si>
    <t>사주</t>
  </si>
  <si>
    <t>Speaking</t>
  </si>
  <si>
    <t>sql과 맞는 Metric</t>
  </si>
  <si>
    <t>지표</t>
  </si>
  <si>
    <t>W-2</t>
  </si>
  <si>
    <t>W-1</t>
  </si>
  <si>
    <t>변화</t>
  </si>
  <si>
    <t>M-1</t>
  </si>
  <si>
    <t>M0</t>
  </si>
  <si>
    <t>Paid_Cohort_Retention</t>
  </si>
  <si>
    <t>Paid Cohort Retention</t>
  </si>
  <si>
    <t>W1_Any_Event_User</t>
  </si>
  <si>
    <t>M1_Any_Event_User</t>
  </si>
  <si>
    <t>ㄴ x0 Any Event User</t>
  </si>
  <si>
    <t>W0_Purchase_Done_User</t>
  </si>
  <si>
    <t>M0_Purchase_Done_User</t>
  </si>
  <si>
    <t>ㄴ x-1 Purchase Done User</t>
  </si>
  <si>
    <t>CVR</t>
  </si>
  <si>
    <t>Purchase_Done_User_CVR</t>
  </si>
  <si>
    <t>ㄴ Purchase Done User</t>
  </si>
  <si>
    <t>Gen_Done_User</t>
  </si>
  <si>
    <t>ㄴ Gen Done User</t>
  </si>
  <si>
    <t>Gen_Done_Count</t>
  </si>
  <si>
    <t>ㄴ Gen Done Count</t>
  </si>
  <si>
    <t>ARPPU</t>
  </si>
  <si>
    <t>Revenue</t>
  </si>
  <si>
    <t>ㄴ Revenue</t>
  </si>
  <si>
    <t>Purchase_Done_User_ARPPU</t>
  </si>
  <si>
    <t>Purchase_Done_Count</t>
  </si>
  <si>
    <t>ㄴ Purchase Done Count</t>
  </si>
  <si>
    <t>Margin_Rate</t>
  </si>
  <si>
    <t>마진율</t>
  </si>
  <si>
    <t>Cost</t>
  </si>
  <si>
    <t>ㄴ Cost</t>
  </si>
  <si>
    <t>Revenue_</t>
  </si>
  <si>
    <t>퍼널 (신규)</t>
  </si>
  <si>
    <t>Install_User_New</t>
  </si>
  <si>
    <t>ㄴ Install User</t>
  </si>
  <si>
    <t>Sign_Up_User_New</t>
  </si>
  <si>
    <t>ㄴ Sign Up User</t>
  </si>
  <si>
    <t>Main_View_User_New</t>
  </si>
  <si>
    <t>ㄴ Main View User</t>
  </si>
  <si>
    <t>Product_View_User_New</t>
  </si>
  <si>
    <t>ㄴ Product View User</t>
  </si>
  <si>
    <t>Gen_Done_User_New</t>
  </si>
  <si>
    <t>Paywall_View_User_New</t>
  </si>
  <si>
    <t>ㄴ Paywall View User</t>
  </si>
  <si>
    <t>Purchase_Done_User_New</t>
  </si>
  <si>
    <t>퍼널 (기존)</t>
  </si>
  <si>
    <t>Main_View_User_Normal</t>
  </si>
  <si>
    <t>Product_View_User_Normal</t>
  </si>
  <si>
    <t>Gen_Done_User_Normal</t>
  </si>
  <si>
    <t>Paywall_View_User_Normal</t>
  </si>
  <si>
    <t>Purchase_Done_User_Normal</t>
  </si>
  <si>
    <t>밈 플친 발송</t>
  </si>
  <si>
    <t>ZZEM 출시</t>
  </si>
  <si>
    <t>가격 개편(밈)</t>
  </si>
  <si>
    <t>커스텀 프롬프트 출시
퍼널 수치 쨈으로 교체</t>
  </si>
  <si>
    <t>마케팅 ON</t>
  </si>
  <si>
    <t>뤼튼 밈 종료</t>
  </si>
  <si>
    <t>Metric</t>
  </si>
  <si>
    <t>D1_Any_Event_User</t>
  </si>
  <si>
    <t>D1 Any Event User</t>
  </si>
  <si>
    <t>D0_Purchase_Done_User</t>
  </si>
  <si>
    <t>D0 Purchase Done User</t>
  </si>
  <si>
    <t>Purchase Done User</t>
  </si>
  <si>
    <t>Gen Done User</t>
  </si>
  <si>
    <t>Filter_Gen_Done_User</t>
  </si>
  <si>
    <t xml:space="preserve">  ㄴ 필터 생성 유저</t>
  </si>
  <si>
    <t>Custom_Prompt_Gen_Done_User</t>
  </si>
  <si>
    <t xml:space="preserve">  ㄴ 커스텀 프롬프트 생성 유저</t>
  </si>
  <si>
    <t xml:space="preserve">  ㄴ 커스텀 프롬프트 생성 유저 비율</t>
  </si>
  <si>
    <t>Gen Done Count</t>
  </si>
  <si>
    <t>Filter_Gen_Done_Count</t>
  </si>
  <si>
    <t xml:space="preserve">  ㄴ 필터 생성 건수</t>
  </si>
  <si>
    <t>Custom_Prompt_Gen_Done_Count</t>
  </si>
  <si>
    <t xml:space="preserve">  ㄴ 커스텀 프롬프트 생성 건수</t>
  </si>
  <si>
    <t xml:space="preserve">  ㄴ 커스텀 프롬프트 생성 건수 비율</t>
  </si>
  <si>
    <t>Gen_Done_Count_Per_User</t>
  </si>
  <si>
    <t>생성 유저 당 생성 건수</t>
  </si>
  <si>
    <t>Filter_Gen_Done_Count_Per_User</t>
  </si>
  <si>
    <t xml:space="preserve">  ㄴ 생성 유저 당 필터 생성 건수</t>
  </si>
  <si>
    <t>Custom_Prompt_Gen_Done_Count_Per_User</t>
  </si>
  <si>
    <t xml:space="preserve">  ㄴ 생성 유저 당 커스텀 프롬프트 생성 건수</t>
  </si>
  <si>
    <t>Purchase Done Count</t>
  </si>
  <si>
    <t>ㄴ Install User (ZZEM)</t>
  </si>
  <si>
    <t>ㄴ Sign Up User (ZZEM)</t>
  </si>
  <si>
    <t>ㄴ Main View User (ZZEM)</t>
  </si>
  <si>
    <t>ㄴ Product View User (ZZEM)</t>
  </si>
  <si>
    <t>밈 플친톡 발송</t>
  </si>
  <si>
    <t>ZZEM 출시: 1/26 (월)
가격 개편(밈): 1/30 (금)</t>
  </si>
  <si>
    <t>커스텀 프롬프트: 2/4 (수)
퍼널 값 쨈으로 교체: 2/4 (수)
마케팅 ON: 2/4 (수)</t>
  </si>
  <si>
    <t>뤼튼 밈 종료: 2/8 (일)</t>
  </si>
  <si>
    <t>커스텀 프롬프트: 2/19 (목)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</si>
  <si>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</si>
  <si>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</si>
  <si>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</si>
  <si>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</si>
  <si>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</si>
  <si>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</si>
  <si>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</si>
  <si>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</si>
  <si>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</si>
  <si>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</si>
  <si>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</si>
  <si>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</si>
  <si>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</si>
  <si>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</si>
  <si>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</si>
  <si>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</si>
  <si>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</si>
  <si>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</si>
  <si>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 Any Event User</t>
  </si>
  <si>
    <t>W0 Purchase Done User</t>
  </si>
  <si>
    <t xml:space="preserve">PMF 서베이 중, '이 서비스가 없으면 매우 실망할 것 같아요' 비중 </t>
  </si>
  <si>
    <t>ㄴ VD User</t>
  </si>
  <si>
    <t>ㄴ SD User</t>
  </si>
  <si>
    <t>ㄴ ND User</t>
  </si>
  <si>
    <t>목표 KPI</t>
  </si>
  <si>
    <t>Crack (12월)</t>
  </si>
  <si>
    <t>M1 Any Event User</t>
  </si>
  <si>
    <t>M0 Purchase Done User</t>
  </si>
  <si>
    <t>PMF</t>
  </si>
  <si>
    <t>PMF 서베이</t>
  </si>
  <si>
    <t>VD_User</t>
  </si>
  <si>
    <t>SD_User</t>
  </si>
  <si>
    <t>ND_User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</si>
  <si>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 xml:space="preserve">: declare PARAM_START_DATE date default '2026-02-04';
WITH any_event_users AS (
  SELECT kst_date, user_id
  FROM `wrtn-data-dev.wrtn_product_analytics.f__mp_meme` f
  WHERE TRUE
    AND kst_date BETWEEN '2025-11-24' AND CURRENT_DATE('Asia/Seoul')
  GROUP BY 1, 2
  UNION DISTINCT 
  SELECT kst_date, user_id
  FROM `wrtn-data-dev.wrtn_product_analytics.bi_f__mp_zzem` f
  WHERE TRUE
  GROUP BY 1, 2
),
first_payment_data AS (
  SELECT kst_date, user_id
  FROM `wrtn-data-dev.wrtn_product_analytics.f__first_pay_meme`
  WHERE kst_date &gt;= '2025-11-24'
),
payment_data AS (
  SELECT kst_date, user_id, COUNT(*) AS purchase_count, (SUM(pay_amt) - SUM(refund_amt)) AS net_payment_amount
  FROM `wrtn-data-dev.wrtn_product_analytics.f__pay_meme`
  WHERE kst_date &gt;= '2025-11-24'
  GROUP BY 1, 2
),
filter_gen_data AS (
  SELECT 
    DATE(created_at, 'Asia/Seoul') as kst_date, 
    user_id, 
    'filter' as source,
    COUNT(*) AS gen_count
  FROM `wrtn-data-dev.mongo_cdc_meme.contents`
  WHERE DATE(created_at, 'Asia/Seoul') &gt;= '2025-11-24'
  GROUP BY 1, 2, 3
),
custom_filter_gen_data AS (
  SELECT 
    DATE(created_at, 'Asia/Seoul') as kst_date, 
    user_id, 
    'custom_prompt' as source,
    COUNT(*) AS gen_count
  FROM `wrtn-data-dev.mongo_cdc_meme.custom_prompt_contents`
  WHERE DATE(created_at, 'Asia/Seoul') &gt;= '2026-02-04'
  GROUP BY 1, 2, 3
),
gen_data AS (
  SELECT 
    kst_date, user_id, SUM(gen_count) AS gen_count
  FROM (
    SELECT * FROM filter_gen_data
    UNION ALL
    SELECT * FROM custom_filter_gen_data
  ) a
  GROUP BY 1, 2
),
-- [중요] 모든 날짜와 유저의 유니온 풀을 생성하여 누락 방지
user_date_pool AS (
  SELECT kst_date, user_id FROM first_payment_data
  UNION DISTINCT
  SELECT kst_date, user_id FROM payment_data
  UNION DISTINCT
  SELECT kst_date, user_id FROM gen_data
),
daily_metrics AS (
  SELECT
    u.kst_date,
    -- 1. 결제 관련 (u 테이블 기준으로 집계하여 누락 방지)
    COUNT(DISTINCT f.user_id) AS D0_Purchase_Done_User,
    COUNT(DISTINCT CASE WHEN a_next.user_id IS NOT NULL THEN f.user_id END) AS D1_Any_Event_User,
    COUNT(DISTINCT p.user_id) AS Purchase_Done_User,    
    SUM(p.net_payment_amount) AS Revenue,
    SUM(p.purchase_count) AS Purchase_Done_Count,
    -- 2. 생성 관련 (p 유무와 상관없이 g에 있으면 모두 집계)
    COUNT(DISTINCT fg.user_id) AS Filter_Gen_Done_User,
    SUM(fg.gen_count) AS Filter_Gen_Done_Count,
    COUNT(DISTINCT cfg.user_id) AS Custom_Prompt_Gen_Done_User,
    SUM(cfg.gen_count) AS Custom_Prompt_Gen_Done_Count,
    COUNT(DISTINCT g.user_id) AS Gen_Done_User,
    SUM(g.gen_count) AS Gen_Done_Count
  FROM user_date_pool u
  LEFT JOIN first_payment_data f ON u.kst_date = f.kst_date AND u.user_id = f.user_id
  LEFT JOIN payment_data p ON u.kst_date = p.kst_date AND u.user_id = p.user_id
  LEFT JOIN filter_gen_data fg ON u.kst_date = fg.kst_date AND u.user_id = fg.user_id
  LEFT JOIN custom_filter_gen_data cfg ON u.kst_date = cfg.kst_date AND u.user_id = cfg.user_id
  LEFT JOIN gen_data g ON u.kst_date = g.kst_date AND u.user_id = g.user_id
  LEFT JOIN any_event_users a_next 
    ON f.user_id = a_next.user_id 
    AND DATE_ADD(f.kst_date, INTERVAL 1 DAY) = a_next.kst_date
  GROUP BY 1
),
daily_charge AS (
  SELECT 
    kst_date, 
    -- Web 결제 건에 대해서만 순매출의 2.28% 계산
    SUM(pay_amt - refund_amt) * 0.3 AS app_charge
  FROM `wrtn-data-dev.wrtn_product_analytics.f__pay_meme`
  WHERE kst_date &gt;= '2025-11-24'
  GROUP BY kst_date
),
daily_cost AS (
  SELECT 
    DATE(created_at, 'Asia/Seoul') as kst_date,
    SUM(cost) * 1400 as total_llm_cost
  FROM `wrtn-data-dev.mongo_meme.generation_costs`
  WHERE DATE(created_at, 'Asia/Seoul') &gt;= '2025-11-24'
    AND _mongo_deleted = FALSE
    AND created_at IS NOT NULL
  GROUP BY 1
),
new_user AS (
SELECT ir_user_id as user_id, kst_date as first_date
FROM `wrtn-data-dev.wrtn_product_analytics.f__first_act_wrtn`
WHERE kst_date &gt;= '2025-11-24' AND kst_date &lt; PARAM_START_DATE
UNION ALL
SELECT user_id, kst_date as first_date
FROM `wrtn-data-dev.wrtn_product_analytics.bi_f__first_act_zzem`
WHERE kst_date &gt;= PARAM_START_DATE
),
main_view AS (
  SELECT f.kst_date
  , count(distinct new_user.user_id) as Main_View_User_New
  , count(distinct f.user_id) - count(distinct new_user.user_id) as Main_View_User_Normal
  FROM `wrtn-data-dev.wrtn_product_analytics.f__mp_meme` as f
  left join new_user on f.user_id = new_user.user_id and f.kst_date = new_user.first_date
  WHERE true
    AND kst_date &gt;= '2025-11-24' AND kst_date &lt; PARAM_START_DATE
  group by 1
  UNION ALL
  SELECT kst_date
    , count(distinct new_user.user_id) as Main_View_User_New
    , count(distinct f.user_id) - count(distinct new_user.user_id) as Main_View_User_Normal
  FROM `wrtn-data-dev.wrtn_product_analytics.bi_f__mp_zzem` f
  left join new_user on f.user_id = new_user.user_id and f.kst_date = new_user.first_date
  WHERE TRUE
    AND kst_date &gt;= PARAM_START_DATE
  GROUP BY 1
),
product_view AS (
  SELECT f.kst_date
  , count(distinct new_user.user_id) as Product_View_User_New
  , count(distinct f.user_id) - count(distinct new_user.user_id) as Product_View_User_Normal
  FROM `wrtn-data-dev.wrtn_product_analytics.f__mp_meme` as f
  left join new_user on f.user_id = new_user.user_id and f.kst_date = new_user.first_date
  WHERE true
    AND kst_date &gt;= '2025-11-24' AND kst_date &lt; PARAM_START_DATE
    AND event_nm in (
      'view_meme_filter_page', 'view_my_meme_detail_page', 'generate_done'
    )
  group by 1
  UNION ALL
  SELECT kst_date
    , count(distinct new_user.user_id) as Product_View_User_New
    , count(distinct f.user_id) - count(distinct new_user.user_id) as Product_View_User_Normal
  FROM `wrtn-data-dev.wrtn_product_analytics.bi_f__mp_zzem` f
  left join new_user on f.user_id = new_user.user_id and f.kst_date = new_user.first_date
  WHERE TRUE
    AND event_nm in ('view_meme_filter_detail_page', 'view_meme_custom', 'view_my_meme_detail_page', 'generate_done')
    AND kst_date &gt;= PARAM_START_DATE
  GROUP BY 1
),
gen_view AS (
  SELECT kst_date
  , count(distinct new_user.user_id) as Gen_Done_User_New
  , count(distinct f.user_id) - count(distinct new_user.user_id) as Gen_Done_User_Normal
  FROM gen_data as f
  left join new_user on f.user_id = new_user.user_id and f.kst_date = new_user.first_date
  WHERE true
    AND kst_date &gt;= '2025-11-24'
  group by 1
),
paywall_view AS (
  SELECT f.kst_date
  , count(distinct new_user.user_id) as Paywall_View_User_New
  , count(distinct f.user_id) - count(distinct new_user.user_id) as Paywall_View_User_Normal
  FROM `wrtn-data-dev.wrtn_product_analytics.f__mp_meme` as f
  left join new_user on f.user_id = new_user.user_id and f.kst_date = new_user.first_date
  WHERE true
    AND kst_date &gt;= '2025-11-24' AND kst_date &lt; PARAM_START_DATE
    AND event_nm in ('view_meme_paywall_page')
  group by 1
  UNION ALL
  SELECT kst_date
    , count(distinct new_user.user_id) as Paywall_View_User_New
    , count(distinct f.user_id) - count(distinct new_user.user_id) as Paywall_View_User_New
  FROM `wrtn-data-dev.wrtn_product_analytics.bi_f__mp_zzem` f
  left join new_user on f.user_id = new_user.user_id and f.kst_date = new_user.first_date
  WHERE TRUE
    AND event_nm in ('view_paywall_page')
    AND kst_date &gt;= PARAM_START_DATE
  GROUP BY 1
),
purchase_done AS (
  SELECT kst_date, count(distinct new_user.user_id) as Purchase_Done_User_New
  , count(distinct f.user_id) - count(distinct new_user.user_id) as Purchase_Done_User_Normal
  FROM `wrtn-data-dev.wrtn_product_analytics.f__pay_meme` as f
  left join new_user on f.user_id = new_user.user_id and f.kst_date = new_user.first_date
  WHERE kst_date &gt;= '2025-11-24'
  GROUP BY 1
)
SELECT
  dm.kst_date,
  -- 1. Paid Cohort Retention
  SAFE_DIVIDE(D1_Any_Event_User, D0_Purchase_Done_User) AS Paid_Cohort_Retention,
  D1_Any_Event_User,
  D0_Purchase_Done_User,
  -- 2. CVR (이제 정상적인 전체 생성 유저 대비 결제 유저 비율이 나옵니다)
  SAFE_DIVIDE(Purchase_Done_User, Gen_Done_User) AS CVR,
  Purchase_Done_User AS Purchase_Done_User_CVR,
  Gen_Done_User,
  Filter_Gen_Done_User,
  Custom_Prompt_Gen_Done_User,
  Gen_Done_Count,  
  Filter_Gen_Done_Count,
  Custom_Prompt_Gen_Done_Count,
  Gen_Done_Count / Gen_Done_User AS Gen_Done_Count_Per_User,
  Filter_Gen_Done_Count / Gen_Done_User AS Filter_Gen_Done_Count_Per_User,
  Custom_Prompt_Gen_Done_Count / Gen_Done_User AS Custom_Prompt_Gen_Done_Count_Per_User,
  -- 3. ARPPU
  SAFE_DIVIDE(Revenue, Purchase_Done_User) AS ARPPU,
  Revenue,
  Purchase_Done_User AS Purchase_Done_User_ARPPU,
  Purchase_Done_Count,
  -- 4. Margin
  1 - SAFE_DIVIDE(dc.total_llm_cost + app_charge, Revenue) AS Margin_Rate,
  dc.total_llm_cost + app_charge as Cost,
  Revenue as Revenue_,
  -- 5. PMF 서베이
  null as PMF,
  null as VD_User,
  null as SD_User,
  null as ND_User,
  -- 6. 퍼널_New
  null as funnel,
  0 as Install_User_New,
  0 as Sign_Up_User_New,
  Main_View_User_New,
  Product_View_User_New,
  Gen_Done_User_New,
  Paywall_View_User_New,
  Purchase_Done_User_New,
  -- 7. 퍼널_Normal
  null as funnel_Normal,
  Main_View_User_Normal,
  Product_View_User_Normal,
  Gen_Done_User_Normal,
  Paywall_View_User_Normal,
  Purchase_Done_User_Normal
FROM daily_metrics as dm
left join daily_cost as dc on dm.kst_date = dc.kst_date
left join daily_charge as dcg on dm.kst_date = dcg.kst_date
left join main_view as mv on dm.kst_date = mv.kst_date
left join product_view as pv on dm.kst_date = pv.kst_date
left join gen_view as gv on dm.kst_date = gv.kst_date
left join paywall_view as payv on dm.kst_date = payv.kst_date
left join purchase_done as pd on dm.kst_date = pd.kst_date
ORDER BY kst_date;
  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</si>
  <si>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t>kst_date</t>
  </si>
  <si>
    <t>funnel</t>
  </si>
  <si>
    <t>funnel_Normal</t>
  </si>
  <si>
    <t>Crack</t>
  </si>
  <si>
    <t>Paid Cohort M1 Retention (Purchase Done to Any Event)</t>
  </si>
  <si>
    <t>ㄴ M1 Any Event User</t>
  </si>
  <si>
    <t>ㄴ M0 Purchase Done User</t>
  </si>
  <si>
    <r>
      <rPr>
        <rFont val="Arial"/>
        <color rgb="FF999999"/>
      </rPr>
      <t>ㄴ Cost</t>
    </r>
    <r>
      <rPr>
        <rFont val="Arial"/>
        <color rgb="FFFF0000"/>
      </rPr>
      <t xml:space="preserve"> (※여긴 만지지 마세요)</t>
    </r>
  </si>
  <si>
    <t>수</t>
  </si>
  <si>
    <t>목</t>
  </si>
  <si>
    <t>Paid Cohort Retention (Purchase Done to Any Event)</t>
  </si>
  <si>
    <t>ㄴ D1 Any Event User</t>
  </si>
  <si>
    <t>ㄴ D0 Purchase Done User</t>
  </si>
  <si>
    <r>
      <rPr>
        <rFont val="Arial"/>
        <color rgb="FF999999"/>
      </rPr>
      <t xml:space="preserve">ㄴ Cost </t>
    </r>
    <r>
      <rPr>
        <rFont val="Arial"/>
        <color rgb="FFFF0000"/>
      </rPr>
      <t>(※여긴 만지지 마세요)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</si>
  <si>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declare PARAM_START_DATE date default '2026-02-04';
WITH any_event_users AS (
  SELECT DATE_TRUNC(kst_date, WEEK(MONDAY)) as kst_week, user_id
  FROM `wrtn-data-dev.wrtn_product_analytics.f__mp_meme` f
  WHERE TRUE
    AND kst_date BETWEEN '2025-11-24' AND CURRENT_DATE('Asia/Seoul')
  GROUP BY 1, 2
  UNION DISTINCT 
  SELECT DATE_TRUNC(kst_date, WEEK(MONDAY)) as kst_week, user_id
  FROM `wrtn-data-dev.wrtn_product_analytics.bi_f__mp_zzem` f
  WHERE TRUE
  GROUP BY 1, 2
),
first_payment_data AS (
  SELECT DATE_TRUNC(kst_date, WEEK(MONDAY)) as kst_week, user_id
  FROM `wrtn-data-dev.wrtn_product_analytics.f__first_pay_meme`
  WHERE kst_date &gt;= '2025-11-24'
),
payment_data AS (
  SELECT DATE_TRUNC(kst_date, WEEK(MONDAY)) as kst_week, user_id, method,
         COUNT(*) AS purchase_count, (SUM(pay_amt) - SUM(refund_amt)) AS net_payment_amount
  FROM `wrtn-data-dev.wrtn_product_analytics.f__pay_meme`
  WHERE kst_date &gt;= '2025-11-24'
  GROUP BY 1, 2, 3
),
filter_gen_data AS (
  SELECT 
    DATE_TRUNC(DATE(created_at, 'Asia/Seoul'), WEEK(MONDAY)) as kst_week, 
    user_id, 
    'filter' as source,
    COUNT(*) AS gen_count
  FROM `wrtn-data-dev.mongo_cdc_meme.contents`
  WHERE DATE(created_at, 'Asia/Seoul') &gt;= '2025-11-24'
  GROUP BY 1, 2, 3
),
custom_filter_gen_data AS (
  SELECT 
    DATE_TRUNC(DATE(created_at, 'Asia/Seoul'), WEEK(MONDAY)) as kst_week, 
    user_id, 
    'custom_prompt' as source,
    COUNT(*) AS gen_count
  FROM `wrtn-data-dev.mongo_cdc_meme.custom_prompt_contents`
  WHERE DATE(created_at, 'Asia/Seoul') &gt;= '2026-02-04'
  GROUP BY 1, 2, 3
),
gen_data AS (
  SELECT 
    kst_week, user_id, SUM(gen_count) AS gen_count
  FROM (
    SELECT * FROM filter_gen_data
    UNION ALL
    SELECT * FROM custom_filter_gen_data
  ) a
  GROUP BY 1, 2
),
user_date_pool AS (
  SELECT kst_week, user_id FROM first_payment_data
  UNION DISTINCT
  SELECT kst_week, user_id FROM payment_data
  UNION DISTINCT
  SELECT kst_week, user_id FROM gen_data
),
weekly_metrics AS (
  SELECT
    u.kst_week,
    -- 1. 결제 관련 (u 테이블 기준으로 집계하여 누락 방지)
    COUNT(DISTINCT f.user_id) AS W0_Purchase_Done_User,
    COUNT(DISTINCT CASE WHEN a_next.user_id IS NOT NULL THEN f.user_id END) AS W1_Any_Event_User,
    COUNT(DISTINCT p.user_id) AS Purchase_Done_User,        
    SUM(p.net_payment_amount) AS Revenue,
    SUM(p.purchase_count) AS Purchase_Done_Count,
    -- 2. 생성 관련 (p 유무와 상관없이 g에 있으면 모두 집계)
    COUNT(DISTINCT fg.user_id) AS Filter_Gen_Done_User,
    SUM(fg.gen_count) AS Filter_Gen_Done_Count,
    COUNT(DISTINCT cfg.user_id) AS Custom_Prompt_Gen_Done_User,
    SUM(cfg.gen_count) AS Custom_Prompt_Gen_Done_Count,
    COUNT(DISTINCT g.user_id) AS Gen_Done_User,
    SUM(g.gen_count) AS Gen_Done_Count
  FROM user_date_pool u
  LEFT JOIN first_payment_data f ON u.kst_week = f.kst_week AND u.user_id = f.user_id
  LEFT JOIN payment_data p ON u.kst_week = p.kst_week AND u.user_id = p.user_id
  LEFT JOIN filter_gen_data fg ON u.kst_week = fg.kst_week AND u.user_id = fg.user_id
  LEFT JOIN custom_filter_gen_data cfg ON u.kst_week = cfg.kst_week AND u.user_id = cfg.user_id
  LEFT JOIN gen_data g ON u.kst_week = g.kst_week AND u.user_id = g.user_id
  LEFT JOIN any_event_users a_next 
    ON f.user_id = a_next.user_id 
    AND DATE_ADD(f.kst_week, INTERVAL 1 WEEK) = a_next.kst_week
  GROUP BY 1
),
weekly_charge AS (
  SELECT DATE_TRUNC(kst_date, WEEK(MONDAY)) as kst_week,
    SUM(IF(method = 'Web', pay_amt - refund_amt, 0)) * 0.0228 AS web_charge,
    SUM(IF(method != 'Web', pay_amt - refund_amt, 0)) * 0.3 AS app_charge
  FROM `wrtn-data-dev.wrtn_product_analytics.f__pay_meme`
  WHERE kst_date &gt;= '2025-11-24'
  GROUP BY 1
),
weekly_cost AS (
  SELECT DATE_TRUNC(DATE(created_at, 'Asia/Seoul'), WEEK(MONDAY)) as kst_week,
    SUM(cost) * 1400 as total_llm_cost
  FROM `wrtn-data-dev.mongo_meme.generation_costs`
  WHERE DATE(created_at, 'Asia/Seoul') &gt;= '2025-11-24' AND _mongo_deleted = FALSE
  GROUP BY 1
),
new_user AS (
  SELECT ir_user_id as user_id, DATE_TRUNC(kst_date, WEEK(MONDAY)) as first_week
  FROM `wrtn-data-dev.wrtn_product_analytics.f__first_act_wrtn`
  WHERE kst_date &gt;= '2025-11-24' AND kst_date &lt; PARAM_START_DATE
  UNION ALL
  SELECT user_id as user_id, DATE_TRUNC(kst_date, WEEK(MONDAY)) as first_week
  FROM `wrtn-data-dev.wrtn_product_analytics.bi_f__first_act_zzem`
  WHERE kst_date &gt;= PARAM_START_DATE
),
main_view AS (
  SELECT 
    a.kst_week,
    SUM(Main_View_User_New) AS Main_View_User_New,
    SUM(Main_View_User_Normal) AS Main_View_User_Normal  
  FROM 
  (
  SELECT DATE_TRUNC(f.kst_date, WEEK(MONDAY)) as kst_week
  , count(distinct new_user.user_id) as Main_View_User_New
  , count(distinct f.user_id) - count(distinct new_user.user_id) as Main_View_User_Normal
  FROM `wrtn-data-dev.wrtn_product_analytics.f__mp_meme` as f
  left join new_user on f.user_id = new_user.user_id and DATE_TRUNC(f.kst_date, WEEK(MONDAY)) = new_user.first_week
  WHERE true
    AND kst_date &gt;= '2025-11-24' AND kst_date &lt; PARAM_START_DATE
  group by 1
  UNION ALL
  SELECT DATE_TRUNC(f.kst_date, WEEK(MONDAY)) as kst_week
    , count(distinct new_user.user_id) as Main_View_User_New
    , count(distinct f.user_id) - count(distinct new_user.user_id) as Main_View_User_Normal
  FROM `wrtn-data-dev.wrtn_product_analytics.bi_f__mp_zzem` f
  left join new_user on f.user_id = new_user.user_id and DATE_TRUNC(f.kst_date, WEEK(MONDAY)) = new_user.first_week
  WHERE TRUE
    AND kst_date &gt;= PARAM_START_DATE
  GROUP BY 1
  ) a
  GROUP BY 1
),
product_view AS (
  SELECT 
    a.kst_week,
    SUM(Product_View_User_New) AS Product_View_User_New,
    SUM(Product_View_User_Normal) AS Product_View_User_Normal 
  FROM 
  (
  SELECT DATE_TRUNC(f.kst_date, WEEK(MONDAY)) as kst_week
  , count(distinct new_user.user_id) as Product_View_User_New
  , count(distinct f.user_id) - count(distinct new_user.user_id) as Product_View_User_Normal
  FROM `wrtn-data-dev.wrtn_product_analytics.f__mp_meme` as f
  left join new_user on f.user_id = new_user.user_id and DATE_TRUNC(f.kst_date, WEEK(MONDAY)) = new_user.first_week
  WHERE true
    AND kst_date &gt;= '2025-11-24' AND kst_date &lt; PARAM_START_DATE
    AND event_nm in ('view_meme_filter_page', 'view_my_meme_detail_page', 'generate_done')
  group by 1
  UNION ALL
  SELECT DATE_TRUNC(f.kst_date, WEEK(MONDAY)) as kst_week
    , count(distinct new_user.user_id) as Product_View_User_New
    , count(distinct f.user_id) - count(distinct new_user.user_id) as Product_View_User_Normal
  FROM `wrtn-data-dev.wrtn_product_analytics.bi_f__mp_zzem` f
  left join new_user on f.user_id = new_user.user_id and DATE_TRUNC(f.kst_date, WEEK(MONDAY)) = new_user.first_week
  WHERE TRUE
    AND event_nm in ('view_meme_filter_detail_page', 'view_meme_custom', 'view_my_meme_detail_page', 'generate_done')
    AND kst_date &gt;= PARAM_START_DATE
  GROUP BY 1
  ) a
  GROUP BY 1
), 
gen_view AS (
  SELECT kst_week
  , count(distinct new_user.user_id) as Gen_Done_User_New
  , count(distinct f.user_id) - count(distinct new_user.user_id) as Gen_Done_User_Normal
  FROM gen_data as f
  left join new_user on f.user_id = new_user.user_id and kst_week = new_user.first_week
  WHERE true
    AND kst_week &gt;= '2025-11-23' -- 월요일부터
  group by 1
),
paywall_view AS (
  SELECT 
    a.kst_week,
    SUM(Paywall_View_User_New) AS Paywall_View_User_New,
    SUM(Paywall_View_User_Normal) AS Paywall_View_User_Normal  
  FROM 
  (
  SELECT DATE_TRUNC(f.kst_date, WEEK(MONDAY)) as kst_week
  , count(distinct new_user.user_id) as Paywall_View_User_New
  , count(distinct f.user_id) - count(distinct new_user.user_id) as Paywall_View_User_Normal
  FROM `wrtn-data-dev.wrtn_product_analytics.f__mp_meme` as f
  left join new_user on f.user_id = new_user.user_id and DATE_TRUNC(f.kst_date, WEEK(MONDAY)) = new_user.first_week
  WHERE true
    AND kst_date &gt;= '2025-11-24' AND kst_date &lt; PARAM_START_DATE
    AND event_nm in ('view_meme_paywall_page')
  group by 1
  UNION ALL
  SELECT DATE_TRUNC(f.kst_date, WEEK(MONDAY)) as kst_week
    , count(distinct new_user.user_id) as Paywall_View_User_New
    , count(distinct f.user_id) - count(distinct new_user.user_id) as Paywall_View_User_Normal
  FROM `wrtn-data-dev.wrtn_product_analytics.bi_f__mp_zzem` f
  left join new_user on f.user_id = new_user.user_id and DATE_TRUNC(f.kst_date, WEEK(MONDAY)) = new_user.first_week
  WHERE TRUE
    AND event_nm in ('view_paywall_page')
    AND kst_date &gt;= PARAM_START_DATE
  GROUP BY 1
  ) a
  GROUP BY 1
),
purchase_done AS (
  SELECT DATE_TRUNC(f.kst_date, WEEK(MONDAY)) as kst_week,
    COUNT(DISTINCT CASE WHEN new_user.user_id IS NOT NULL THEN f.user_id END) as Purchase_Done_User_New,
    COUNT(DISTINCT f.user_id) - COUNT(DISTINCT CASE WHEN new_user.user_id IS NOT NULL THEN f.user_id END) as Purchase_Done_User_Normal
  FROM `wrtn-data-dev.wrtn_product_analytics.f__pay_meme` as f
  LEFT JOIN new_user ON f.user_id = new_user.user_id AND DATE_TRUNC(f.kst_date, WEEK(MONDAY)) = new_user.first_week
  WHERE kst_date &gt;= '2025-11-24'
  GROUP BY 1
)
SELECT
  dm.kst_week as kst_date,
  SAFE_DIVIDE(W1_Any_Event_User, W0_Purchase_Done_User) AS Paid_Cohort_Retention,
  W1_Any_Event_User, 
  W0_Purchase_Done_User,
  SAFE_DIVIDE(Purchase_Done_User, Gen_Done_User) AS CVR,
  Purchase_Done_User AS Purchase_Done_User_CVR,
  Gen_Done_User,
  Filter_Gen_Done_User,
  Custom_Prompt_Gen_Done_User,
  Gen_Done_Count,  
  Filter_Gen_Done_Count,
  Custom_Prompt_Gen_Done_Count,
  Gen_Done_Count / Gen_Done_User AS Gen_Done_Count_Per_User,
  Filter_Gen_Done_Count / Gen_Done_User AS Filter_Gen_Done_Count_Per_User,
  Custom_Prompt_Gen_Done_Count / Gen_Done_User AS Custom_Prompt_Gen_Done_Count_Per_User,
  SAFE_DIVIDE(Revenue, Purchase_Done_User) AS ARPPU,
  Revenue, 
  Purchase_Done_User AS Purchase_Done_User_ARPPU,
  Purchase_Done_Count,
  1 - SAFE_DIVIDE(dc.total_llm_cost + web_charge + app_charge, Revenue) AS Margin_Rate,
  dc.total_llm_cost + web_charge + app_charge as Cost,
  Revenue as Revenue_,
  null as PMF, 
  null as VD_User, 
  null as SD_User, 
  null as ND_User,
  null as funnel, 
  0 as Install_User_New, 
  0 as Sign_Up_User_New,
  mv.Main_View_User_New, 
  pv.Product_View_User_New, 
  gv.Gen_Done_User_New, payv.
  Paywall_View_User_New, 
  pd.Purchase_Done_User_New,
  null as funnel_Normal,
  mv.Main_View_User_Normal, 
  pv.Product_View_User_Normal, 
  gv.Gen_Done_User_Normal, 
  payv.Paywall_View_User_Normal, 
  pd.Purchase_Done_User_Normal
FROM weekly_metrics as dm
LEFT JOIN weekly_cost as dc ON dm.kst_week = dc.kst_week
LEFT JOIN weekly_charge as dcg ON dm.kst_week = dcg.kst_week
LEFT JOIN main_view as mv ON dm.kst_week = mv.kst_week
LEFT JOIN product_view as pv ON dm.kst_week = pv.kst_week
LEFT JOIN gen_view as gv ON dm.kst_week = gv.kst_week
LEFT JOIN paywall_view as payv ON dm.kst_week = payv.kst_week
LEFT JOIN purchase_done as pd ON dm.kst_week = pd.kst_week
ORDER BY 1;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</si>
  <si>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declare PARAM_START_DATE date default '2026-02-04';
WITH any_event_users AS (
  SELECT DATE_TRUNC(kst_date, MONTH) as kst_month, user_id
  FROM `wrtn-data-dev.wrtn_product_analytics.f__mp_meme` f
  WHERE TRUE
    AND kst_date BETWEEN '2025-11-24' AND CURRENT_DATE('Asia/Seoul')
  GROUP BY 1, 2
  UNION DISTINCT 
  SELECT DATE_TRUNC(kst_date, MONTH) as kst_month, user_id
  FROM `wrtn-data-dev.wrtn_product_analytics.bi_f__mp_zzem` f
  WHERE TRUE
  GROUP BY 1, 2
),
first_payment_data AS (
  SELECT 
    DATE_TRUNC(kst_date, MONTH) AS kst_month, 
    user_id
  FROM `wrtn-data-dev.wrtn_product_analytics.f__first_pay_meme`
  WHERE kst_date &gt;= '2025-11-24'
),
payment_data AS (
  SELECT DATE_TRUNC(kst_date, MONTH) as kst_month, user_id, method,
         COUNT(*) AS purchase_count, (SUM(pay_amt) - SUM(refund_amt)) AS net_payment_amount
  FROM `wrtn-data-dev.wrtn_product_analytics.f__pay_meme`
  WHERE kst_date &gt;= '2025-11-24'
  GROUP BY 1, 2, 3
),
filter_gen_data AS (
  SELECT 
    DATE_TRUNC(DATE(created_at, 'Asia/Seoul'), MONTH) as kst_month, 
    user_id, 
    'filter' as source,
    COUNT(*) AS gen_count
  FROM `wrtn-data-dev.mongo_cdc_meme.contents`
  WHERE DATE(created_at, 'Asia/Seoul') &gt;= '2025-11-24'
  GROUP BY 1, 2, 3
),
custom_filter_gen_data AS (
  SELECT 
    DATE_TRUNC(DATE(created_at, 'Asia/Seoul'), MONTH) as kst_month, 
    user_id, 
    'custom_prompt' as source,
    COUNT(*) AS gen_count
  FROM `wrtn-data-dev.mongo_cdc_meme.custom_prompt_contents`
  WHERE DATE(created_at, 'Asia/Seoul') &gt;= '2026-02-04'
  GROUP BY 1, 2, 3
),
gen_data AS (
  SELECT 
    kst_month, user_id, SUM(gen_count) AS gen_count
  FROM (
    SELECT * FROM filter_gen_data
    UNION ALL
    SELECT * FROM custom_filter_gen_data
  ) a
  GROUP BY 1, 2
),
user_date_pool AS (
  SELECT kst_month, user_id FROM first_payment_data
  UNION DISTINCT
  SELECT kst_month, user_id FROM payment_data
  UNION DISTINCT
  SELECT kst_month, user_id FROM gen_data
),
monthly_metrics AS (
  SELECT
    u.kst_month,
    COUNT(DISTINCT f.user_id) AS M0_Purchase_Done_User,
    COUNT(DISTINCT CASE WHEN a_next.user_id IS NOT NULL THEN f.user_id END) AS M1_Any_Event_User,
    COUNT(DISTINCT p.user_id) AS Purchase_Done_User,        
    SUM(p.net_payment_amount) AS Revenue,
    SUM(p.purchase_count) AS Purchase_Done_Count,
    -- 2. 생성 관련 (p 유무와 상관없이 g에 있으면 모두 집계)
    COUNT(DISTINCT fg.user_id) AS Filter_Gen_Done_User,
    SUM(fg.gen_count) AS Filter_Gen_Done_Count,
    COUNT(DISTINCT cfg.user_id) AS Custom_Prompt_Gen_Done_User,
    SUM(cfg.gen_count) AS Custom_Prompt_Gen_Done_Count,
    COUNT(DISTINCT g.user_id) AS Gen_Done_User,
    SUM(g.gen_count) AS Gen_Done_Count    
  FROM user_date_pool u
  LEFT JOIN first_payment_data f ON u.kst_month = f.kst_month AND u.user_id = f.user_id
  LEFT JOIN payment_data p ON u.kst_month = p.kst_month AND u.user_id = p.user_id
  LEFT JOIN filter_gen_data fg ON u.kst_month = fg.kst_month AND u.user_id = fg.user_id
  LEFT JOIN custom_filter_gen_data cfg ON u.kst_month = cfg.kst_month AND u.user_id = cfg.user_id
  LEFT JOIN gen_data g ON u.kst_month = g.kst_month AND u.user_id = g.user_id
  LEFT JOIN any_event_users a_next 
    ON f.user_id = a_next.user_id 
    AND DATE_ADD(f.kst_month, INTERVAL 1 MONTH) = a_next.kst_month
  GROUP BY 1
),
monthly_charge AS (
  SELECT DATE_TRUNC(kst_date, MONTH) as kst_month,
    SUM(IF(method = 'Web', pay_amt - refund_amt, 0)) * 0.0228 AS web_charge,
    SUM(IF(method != 'Web', pay_amt - refund_amt, 0)) * 0.3 AS app_charge
  FROM `wrtn-data-dev.wrtn_product_analytics.f__pay_meme`
  WHERE kst_date &gt;= '2025-11-24'
  GROUP BY 1
),
monthly_cost AS (
  SELECT DATE_TRUNC(DATE(created_at, 'Asia/Seoul'), MONTH) as kst_month,
    SUM(cost) * 1400 as total_llm_cost
  FROM `wrtn-data-dev.mongo_meme.generation_costs`
  WHERE DATE(created_at, 'Asia/Seoul') &gt;= '2025-11-24' AND _mongo_deleted = FALSE
  GROUP BY 1
),
survey AS (
SELECT
    kst_month,
    MAX(CASE WHEN answer = 'very_disappointed' THEN user_cnt END) AS VD_User,
    MAX(CASE WHEN answer = 'very_disappointed' THEN percentage END) AS PMF,
    MAX(CASE WHEN answer = 'somewhat_disappointed' THEN user_cnt END) AS SD_User,
    MAX(CASE WHEN answer = 'not_disappointed' THEN user_cnt END) AS ND_User
  FROM (
    -- 2단계: 이미 집계된 user_cnt를 기반으로 월별 비중 계산
    SELECT 
      kst_month,
      answer,
      user_cnt,
      ROUND(user_cnt / SUM(user_cnt) OVER (PARTITION BY kst_month), 2) as percentage
    FROM (
      -- 1단계: 월별, 답변별 순수 집계
      SELECT
        DATE_TRUNC(DATE(created_at, 'Asia/Seoul'), MONTH) as kst_month,
        answer,
        COUNT(DISTINCT user_id) AS user_cnt
      FROM `wrtn-data-dev.mongo_cdc_meme.surveys`
      WHERE DATE(created_at, 'Asia/Seoul') &gt;= '2025-11-24'
      GROUP BY 1, 2
    )
  )
  GROUP BY 1
),
new_user AS (
  SELECT ir_user_id as user_id, DATE_TRUNC(kst_date, MONTH) as first_month
  FROM `wrtn-data-dev.wrtn_product_analytics.f__first_act_wrtn`
  WHERE kst_date &gt;= '2025-11-24' AND kst_date &lt; PARAM_START_DATE
  UNION ALL
  SELECT user_id as user_id, DATE_TRUNC(kst_date, MONTH) as first_month
  FROM `wrtn-data-dev.wrtn_product_analytics.bi_f__first_act_zzem`
  WHERE kst_date &gt;= PARAM_START_DATE
),
main_view AS (
  SELECT 
    a.kst_month,
    SUM(Main_View_User_New) AS Main_View_User_New,
    SUM(Main_View_User_Normal) AS Main_View_User_Normal
  FROM (
  SELECT DATE_TRUNC(f.kst_date, MONTH) as kst_month
  , count(distinct new_user.user_id) as Main_View_User_New
  , count(distinct f.user_id) - count(distinct new_user.user_id) as Main_View_User_Normal
  FROM `wrtn-data-dev.wrtn_product_analytics.f__mp_meme` as f
  left join new_user on f.user_id = new_user.user_id and DATE_TRUNC(f.kst_date, MONTH) = new_user.first_month
  WHERE true
    AND kst_date &gt;= '2025-11-24' AND kst_date &lt; PARAM_START_DATE
  group by 1
  UNION ALL
  SELECT DATE_TRUNC(f.kst_date, MONTH) as kst_month
    , count(distinct new_user.user_id) as Main_View_User_New
    , count(distinct f.user_id) - count(distinct new_user.user_id) as Main_View_User_Normal
  FROM `wrtn-data-dev.wrtn_product_analytics.bi_f__mp_zzem` f
  left join new_user on f.user_id = new_user.user_id and DATE_TRUNC(f.kst_date, MONTH) = new_user.first_month
  WHERE TRUE
    AND kst_date &gt;= PARAM_START_DATE
  GROUP BY 1
  ) a
  GROUP BY 1
),
product_view AS (
  SELECT 
    a.kst_month,
    SUM(Product_View_User_New) AS Product_View_User_New,
    SUM(Product_View_User_Normal) AS Product_View_User_Normal
  FROM (
  SELECT DATE_TRUNC(f.kst_date, MONTH) as kst_month
  , count(distinct new_user.user_id) as Product_View_User_New
  , count(distinct f.user_id) - count(distinct new_user.user_id) as Product_View_User_Normal
  FROM `wrtn-data-dev.wrtn_product_analytics.f__mp_meme` as f
  left join new_user on f.user_id = new_user.user_id and DATE_TRUNC(f.kst_date, MONTH) = new_user.first_month
  WHERE true
    AND kst_date &gt;= '2025-11-24' AND kst_date &lt; PARAM_START_DATE
    AND event_nm in ('view_meme_filter_page', 'view_my_meme_detail_page', 'generate_done')
  group by 1
  UNION ALL
  SELECT DATE_TRUNC(f.kst_date, MONTH) as kst_month
    , count(distinct new_user.user_id) as Product_View_User_New
    , count(distinct f.user_id) - count(distinct new_user.user_id) as Product_View_User_Normal
  FROM `wrtn-data-dev.wrtn_product_analytics.bi_f__mp_zzem` f
  left join new_user on f.user_id = new_user.user_id and DATE_TRUNC(f.kst_date, MONTH) = new_user.first_month
  WHERE TRUE
    AND event_nm in ('view_meme_filter_detail_page', 'view_meme_custom', 'view_my_meme_detail_page', 'generate_done')
    AND kst_date &gt;= PARAM_START_DATE
  GROUP BY 1 
  ) a
  GROUP BY 1
),
gen_view AS (
  SELECT kst_month
  , count(distinct new_user.user_id) as Gen_Done_User_New
  , count(distinct f.user_id) - count(distinct new_user.user_id) as Gen_Done_User_Normal
  FROM gen_data as f
  left join new_user on f.user_id = new_user.user_id and kst_month = new_user.first_month
  WHERE true
    AND kst_month &gt;= '2025-11-01'
  group by 1
),
paywall_view AS (
  SELECT 
    a.kst_month,
    SUM(Paywall_View_User_New) AS Paywall_View_User_New,
    SUM(Paywall_View_User_Normal) AS Paywall_View_User_Normal 
  FROM (
  SELECT DATE_TRUNC(f.kst_date, MONTH) as kst_month
  , count(distinct new_user.user_id) as Paywall_View_User_New
  , count(distinct f.user_id) - count(distinct new_user.user_id) as Paywall_View_User_Normal
  FROM `wrtn-data-dev.wrtn_product_analytics.f__mp_meme` as f
  left join new_user on f.user_id = new_user.user_id and DATE_TRUNC(f.kst_date, MONTH) = new_user.first_month
  WHERE true
    AND kst_date &gt;= '2025-11-24' AND kst_date &lt; PARAM_START_DATE
    AND event_nm in ('view_meme_paywall_page')
  group by 1
  UNION ALL
  SELECT DATE_TRUNC(f.kst_date, MONTH) as kst_month
    , count(distinct new_user.user_id) as Paywall_View_User_New
    , count(distinct f.user_id) - count(distinct new_user.user_id) as Paywall_View_User_Normal
  FROM `wrtn-data-dev.wrtn_product_analytics.bi_f__mp_zzem` f
  left join new_user on f.user_id = new_user.user_id and DATE_TRUNC(f.kst_date, MONTH) = new_user.first_month
  WHERE TRUE
    AND event_nm in ('view_paywall_page')
    AND kst_date &gt;= PARAM_START_DATE
  GROUP BY 1
  ) a
  GROUP BY 1
),
purchase_done AS (
  SELECT DATE_TRUNC(f.kst_date, MONTH) as kst_month,
    COUNT(DISTINCT CASE WHEN new_user.user_id IS NOT NULL THEN f.user_id END) as Purchase_Done_User_New,
    COUNT(DISTINCT f.user_id) - COUNT(DISTINCT CASE WHEN new_user.user_id IS NOT NULL THEN f.user_id END) as Purchase_Done_User_Normal
  FROM `wrtn-data-dev.wrtn_product_analytics.f__pay_meme` as f
  LEFT JOIN new_user ON f.user_id = new_user.user_id AND DATE_TRUNC(f.kst_date, MONTH) = new_user.first_month
  WHERE kst_date &gt;= '2025-11-24'
  GROUP BY 1
)
SELECT
  dm.kst_month as kst_date,
  SAFE_DIVIDE(M1_Any_Event_User, M0_Purchase_Done_User) AS Paid_Cohort_Retention,
  M1_Any_Event_User, 
  M0_Purchase_Done_User,
  SAFE_DIVIDE(Purchase_Done_User, Gen_Done_User) AS CVR,
  Purchase_Done_User AS Purchase_Done_User_CVR,
  Gen_Done_User,
  Filter_Gen_Done_User,
  Custom_Prompt_Gen_Done_User,
  Gen_Done_Count,  
  Filter_Gen_Done_Count,
  Custom_Prompt_Gen_Done_Count,
  Gen_Done_Count / Gen_Done_User AS Gen_Done_Count_Per_User,
  Filter_Gen_Done_Count / Gen_Done_User AS Filter_Gen_Done_Count_Per_User,
  Custom_Prompt_Gen_Done_Count / Gen_Done_User AS Custom_Prompt_Gen_Done_Count_Per_User,
  SAFE_DIVIDE(Revenue, Purchase_Done_User) AS ARPPU,
  Revenue, 
  Purchase_Done_User AS Purchase_Done_User_ARPPU, 
  Purchase_Done_Count,
  1 - SAFE_DIVIDE(dc.total_llm_cost + web_charge + app_charge, Revenue) AS Margin_Rate,
  dc.total_llm_cost + web_charge + app_charge as Cost,
  Revenue as Revenue_,
  -- survey 데이터 연결
  s.PMF, 
  s.VD_User, 
  s.SD_User, 
  s.ND_User,
  null as funnel, 
  0 as Install_User_New, 
  0 as Sign_Up_User_New,
  mv.Main_View_User_New, 
  pv.Product_View_User_New, 
  gv.Gen_Done_User_New, 
  payv.Paywall_View_User_New, 
  pd.Purchase_Done_User_New,
  null as funnel_Normal,
  mv.Main_View_User_Normal, 
  pv.Product_View_User_Normal, 
  gv.Gen_Done_User_Normal, 
  payv.Paywall_View_User_Normal, 
  pd.Purchase_Done_User_Normal
FROM monthly_metrics as dm
LEFT JOIN monthly_cost as dc ON dm.kst_month = dc.kst_month
LEFT JOIN monthly_charge as dcg ON dm.kst_month = dcg.kst_month
LEFT JOIN survey as s ON dm.kst_month = s.kst_month
LEFT JOIN main_view as mv ON dm.kst_month = mv.kst_month
LEFT JOIN product_view as pv ON dm.kst_month = pv.kst_month
LEFT JOIN gen_view as gv ON dm.kst_month = gv.kst_month
LEFT JOIN paywall_view as payv ON dm.kst_month = payv.kst_month
LEFT JOIN purchase_done as pd ON dm.kst_month = pd.kst_month
ORDER BY 1;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</si>
  <si>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any_event_users AS (
  SELECT kst_date, user_id
  FROM `wrtn-data-dev.wrtn_product_analytics.f__mp_fortune`
  WHERE kst_date &gt;= '2025-12-01'
  GROUP BY 1, 2 -- 날짜별 유니크 유저로 압축
),
first_payment_data AS (
  SELECT user_id, MIN(kst_date) AS first_payment_date
  FROM `wrtn-data-dev.wrtn_product_analytics.f__pay_fortune`
  WHERE kst_date IS NOT NULL
  GROUP BY 1
),
-- [수정] 리텐션(D1) 계산을 위한 전용 CTE (중복 방지)
paid_retention_metrics AS (
  SELECT 
    fp.first_payment_date AS kst_date,
    COUNT(DISTINCT fp.user_id) AS D0_Purchase_Done_User,
    COUNT(DISTINCT CASE WHEN a.user_id IS NOT NULL THEN fp.user_id END) AS D1_Any_Event_User
  FROM first_payment_data fp
  LEFT JOIN any_event_users a 
    ON fp.user_id = a.user_id 
    AND DATE_ADD(fp.first_payment_date, INTERVAL 1 DAY) = a.kst_date
  GROUP BY 1
),
-- [수정] 매출 및 결제 유저 집계 (미리 집계하여 조인 시 뻥튀기 방지)
payment_metrics AS (
  SELECT 
    kst_date, 
    COUNT(DISTINCT user_id) AS Purchase_Done_User, 
    COUNT(*) AS Purchase_Done_Count, 
    SUM(pay_amt - refund_amt) AS Revenue
  FROM `wrtn-data-dev.wrtn_product_analytics.f__pay_fortune`
  WHERE kst_date &gt;= '2025-12-01'
  GROUP BY 1
),
gen_metrics AS (
  SELECT 
    DATE(created_at, 'Asia/Seoul') AS kst_date, 
    COUNT(DISTINCT user_id) AS Gen_Done_User,
    SUM(1) AS Gen_Done_Count -- COUNT(*)와 동일
  FROM `wrtn-data-dev.mongo_cdc_fortune_api.saju_reports`
  WHERE DATE(created_at, 'Asia/Seoul') &gt;= '2025-12-01'
  GROUP BY 1
),
daily_charge AS (
  SELECT 
    kst_date, 
    SUM(IF(method = 'Web', pay_amt - refund_amt, 0)) * 0.0228 AS web_charge,
    SUM(IF(method != 'Web', pay_amt - refund_amt, 0)) * 0.3 AS app_charge
  FROM `wrtn-data-dev.wrtn_product_analytics.f__pay_fortune`
  WHERE kst_date &gt;= '2025-12-01'
  GROUP BY 1
),
daily_cost AS (
  SELECT
    kst_created_date AS kst_date,
    SUM(total_discounted_cost) * 1400 AS total_llm_cost
  FROM `wrtn_product_analytics.f__request_product`
  WHERE kst_created_date &gt;= '2025-12-01' 
    AND product = 'fortune'
  GROUP BY 1
),
new_user_base AS (
  SELECT ir_user_id AS user_id, kst_date AS first_date
  FROM `wrtn-data-dev.wrtn_product_analytics.f__first_act_wrtn`
  WHERE kst_date &gt;= '2025-12-01'
),
-- [퍼널 집계] 각 뷰 단계별로 신규/기존 유저 미리 집계
main_view_metrics AS (
  SELECT f.kst_date,
    COUNT(DISTINCT CASE WHEN n.user_id IS NOT NULL THEN f.user_id END) AS Main_View_User_New,
    COUNT(DISTINCT CASE WHEN n.user_id IS NULL THEN f.user_id END) AS Main_View_User_Normal
  FROM `wrtn-data-dev.wrtn_product_analytics.f__mp_fortune` f
  LEFT JOIN new_user_base n ON f.user_id = n.user_id AND f.kst_date = n.first_date
  WHERE f.kst_date &gt;= '2025-12-01'
  GROUP BY 1
),
product_view_metrics AS (
  SELECT f.kst_date,
    COUNT(DISTINCT CASE WHEN n.user_id IS NOT NULL THEN f.user_id END) AS Product_View_User_New,
    COUNT(DISTINCT CASE WHEN n.user_id IS NULL THEN f.user_id END) AS Product_View_User_Normal
  FROM `wrtn-data-dev.wrtn_product_analytics.f__mp_fortune` f
  LEFT JOIN new_user_base n ON f.user_id = n.user_id AND f.kst_date = n.first_date
  WHERE f.kst_date &gt;= '2025-12-01'
    AND event_nm IN ('view_fortune_free_content_page', 'view_fortune_content_page', 'view_fortune_preview_report_page')
  GROUP BY 1
),
gen_done_funnel_metrics AS (
  SELECT DATE(f.created_at, 'Asia/Seoul') AS kst_date,
    COUNT(DISTINCT CASE WHEN n.user_id IS NOT NULL THEN f.user_id END) AS Gen_Done_User_New,
    COUNT(DISTINCT CASE WHEN n.user_id IS NULL THEN f.user_id END) AS Gen_Done_User_Normal
  FROM `wrtn-data-dev.mongo_cdc_fortune_api.saju_reports` f
  LEFT JOIN new_user_base n ON f.user_id = n.user_id AND DATE(f.created_at, 'Asia/Seoul') = n.first_date
  WHERE DATE(f.created_at, 'Asia/Seoul') &gt;= '2025-12-01'
  GROUP BY 1
),
paywall_view_metrics AS (
  SELECT f.kst_date,
    COUNT(DISTINCT CASE WHEN n.user_id IS NOT NULL THEN f.user_id END) AS Paywall_View_User_New,
    COUNT(DISTINCT CASE WHEN n.user_id IS NULL THEN f.user_id END) AS Paywall_View_User_Normal
  FROM `wrtn-data-dev.wrtn_product_analytics.f__mp_fortune` f
  LEFT JOIN new_user_base n ON f.user_id = n.user_id AND f.kst_date = n.first_date
  WHERE f.kst_date &gt;= '2025-12-01'
    AND event_nm IN ('view_fortune_paywall_page', 'imp_fortune_paywall_purchase_btn', 'click_fortune_paywall_purchase_btn')
  GROUP BY 1
),
purchase_done_funnel_metrics AS (
  SELECT f.kst_date,
    COUNT(DISTINCT CASE WHEN n.user_id IS NOT NULL THEN f.user_id END) AS Purchase_Done_User_New,
    COUNT(DISTINCT CASE WHEN n.user_id IS NULL THEN f.user_id END) AS Purchase_Done_User_Normal
  FROM `wrtn-data-dev.wrtn_product_analytics.f__pay_fortune` f
  LEFT JOIN new_user_base n ON f.user_id = n.user_id AND f.kst_date = n.first_date
  WHERE f.kst_date &gt;= '2025-12-01'
  GROUP BY 1
)
-- [최종 조인] 모든 지표가 날짜별로 1줄씩 요약된 상태에서 조인함 (중복 발생 불가)
SELECT
  pm.kst_date,
  -- 1. Paid Cohort Retention
  SAFE_DIVIDE(pr.D1_Any_Event_User, pr.D0_Purchase_Done_User) AS Paid_Cohort_Retention,
  pr.D1_Any_Event_User,
  pr.D0_Purchase_Done_User,
  -- 2. CVR
  SAFE_DIVIDE(pm.Purchase_Done_User, gm.Gen_Done_User) AS CVR,
  pm.Purchase_Done_User AS Purchase_Done_User_CVR,
  gm.Gen_Done_User,
  gm.Gen_Done_Count,
  -- 3. ARPPU
  SAFE_DIVIDE(pm.Revenue, pm.Purchase_Done_User) AS ARPPU,
  pm.Revenue,
  pm.Purchase_Done_User AS Purchase_Done_User_ARPPU,
  pm.Purchase_Done_Count,
  -- 4. Margin
  1 - SAFE_DIVIDE(COALESCE(dc.total_llm_cost,0) + COALESCE(dcg.web_charge,0) + COALESCE(dcg.app_charge,0), pm.Revenue) AS Margin_Rate,
  COALESCE(dc.total_llm_cost,0) + COALESCE(dcg.web_charge,0) + COALESCE(dcg.app_charge,0) AS Cost,
  pm.Revenue AS Revenue_,
  -- 5. PMF 서베이
  NULL AS PMF, NULL AS VD_User, NULL AS SD_User, NULL AS ND_User,
  -- 6. 퍼널_New
  NULL AS funnel, 0 AS Install_User_New, 0 AS Sign_Up_User_New,
  mv.Main_View_User_New,
  pv.Product_View_User_New,
  gv.Gen_Done_User_New,
  pw.Paywall_View_User_New,
  pd.Purchase_Done_User_New,
  -- 7. 퍼널_Normal
  NULL AS funnel_Normal,
  mv.Main_View_User_Normal,
  pv.Product_View_User_Normal,
  gv.Gen_Done_User_Normal,
  pw.Paywall_View_User_Normal,
  pd.Purchase_Done_User_Normal
FROM payment_metrics pm
LEFT JOIN paid_retention_metrics pr ON pm.kst_date = pr.kst_date
LEFT JOIN gen_metrics gm ON pm.kst_date = gm.kst_date
LEFT JOIN daily_cost dc ON pm.kst_date = dc.kst_date
LEFT JOIN daily_charge dcg ON pm.kst_date = dcg.kst_date
LEFT JOIN main_view_metrics mv ON pm.kst_date = mv.kst_date
LEFT JOIN product_view_metrics pv ON pm.kst_date = pv.kst_date
LEFT JOIN gen_done_funnel_metrics gv ON pm.kst_date = gv.kst_date
LEFT JOIN paywall_view_metrics pw ON pm.kst_date = pw.kst_date
LEFT JOIN purchase_done_funnel_metrics pd ON pm.kst_date = pd.kst_date
ORDER BY pm.kst_date;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</si>
  <si>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any_event_users AS (
  SELECT DATE_TRUNC(kst_date, WEEK(MONDAY)) AS kst_date, user_id
  FROM `wrtn-data-dev.wrtn_product_analytics.f__mp_fortune`
  WHERE kst_date &gt;= '2025-12-01'
  GROUP BY 1, 2
),
first_payment_data AS (
  SELECT user_id, DATE_TRUNC(MIN(kst_date), WEEK(MONDAY)) AS first_payment_week
  FROM `wrtn-data-dev.wrtn_product_analytics.f__pay_fortune`
  WHERE kst_date IS NOT NULL
  GROUP BY 1
),
-- [중요] 결제 리텐션(W0, W1)을 위한 전용 CTE
paid_retention_metrics AS (
  SELECT 
    fp.first_payment_week AS kst_date,
    COUNT(DISTINCT fp.user_id) AS W0_Purchase_Done_User,
    COUNT(DISTINCT CASE WHEN a.user_id IS NOT NULL THEN fp.user_id END) AS W1_Any_Event_User
  FROM first_payment_data fp
  LEFT JOIN any_event_users a 
    ON fp.user_id = a.user_id 
    AND DATE_ADD(fp.first_payment_week, INTERVAL 1 WEEK) = a.kst_date
  GROUP BY 1
),
payment_metrics AS (
  SELECT 
    DATE_TRUNC(kst_date, WEEK(MONDAY)) AS kst_date, 
    COUNT(DISTINCT user_id) AS Purchase_Done_User, 
    COUNT(*) AS Purchase_Done_Count, 
    SUM(pay_amt - refund_amt) AS Revenue
  FROM `wrtn-data-dev.wrtn_product_analytics.f__pay_fortune`
  WHERE kst_date &gt;= '2025-12-01'
  GROUP BY 1
),
gen_metrics AS (
  SELECT 
    DATE_TRUNC(DATE(created_at, 'Asia/Seoul'), WEEK(MONDAY)) AS kst_date, 
    COUNT(DISTINCT user_id) AS Gen_Done_User,
    COUNT(*) AS Gen_Done_Count
  FROM `wrtn-data-dev.mongo_cdc_fortune_api.saju_reports`
  WHERE DATE(created_at, 'Asia/Seoul') &gt;= '2025-12-01'
  GROUP BY 1
),
weekly_charge AS (
  SELECT 
    DATE_TRUNC(kst_date, WEEK(MONDAY)) AS kst_date, 
    SUM(IF(method = 'Web', pay_amt - refund_amt, 0)) * 0.0228 AS web_charge,
    SUM(IF(method != 'Web', pay_amt - refund_amt, 0)) * 0.3 AS app_charge
  FROM `wrtn-data-dev.wrtn_product_analytics.f__pay_fortune`
  WHERE kst_date &gt;= '2025-12-01'
  GROUP BY 1
),
weekly_cost AS (
  SELECT
    DATE_TRUNC(kst_created_date, WEEK(MONDAY)) AS kst_date,
    SUM(total_discounted_cost) * 1400 AS total_llm_cost
  FROM `wrtn_product_analytics.f__request_product`
  WHERE kst_created_date &gt;= '2025-12-01' AND product = 'fortune'
  GROUP BY 1
),
new_user_base AS (
  SELECT ir_user_id AS user_id, DATE_TRUNC(kst_date, WEEK(MONDAY)) AS first_week
  FROM `wrtn-data-dev.wrtn_product_analytics.f__first_act_wrtn`
  WHERE kst_date &gt;= '2025-12-01'
),
funnel_metrics AS (
  SELECT 
    DATE_TRUNC(f.kst_date, WEEK(MONDAY)) AS kst_date,
    COUNT(DISTINCT CASE WHEN n.user_id IS NOT NULL THEN f.user_id END) AS Main_View_User_New,
    COUNT(DISTINCT CASE WHEN n.user_id IS NULL THEN f.user_id END) AS Main_View_User_Normal
  FROM `wrtn-data-dev.wrtn_product_analytics.f__mp_fortune` f
  LEFT JOIN new_user_base n ON f.user_id = n.user_id AND DATE_TRUNC(f.kst_date, WEEK(MONDAY)) = n.first_week
  WHERE f.kst_date &gt;= '2025-12-01'
  GROUP BY 1
),
product_view_metrics AS (
  SELECT 
    DATE_TRUNC(f.kst_date, WEEK(MONDAY)) AS kst_date,
    COUNT(DISTINCT CASE WHEN n.user_id IS NOT NULL THEN f.user_id END) AS Product_View_User_New,
    COUNT(DISTINCT CASE WHEN n.user_id IS NULL THEN f.user_id END) AS Product_View_User_Normal
  FROM `wrtn-data-dev.wrtn_product_analytics.f__mp_fortune` f
  LEFT JOIN new_user_base n ON f.user_id = n.user_id AND DATE_TRUNC(f.kst_date, WEEK(MONDAY)) = n.first_week
  WHERE f.kst_date &gt;= '2025-12-01' AND event_nm IN ('view_fortune_free_content_page', 'view_fortune_content_page', 'view_fortune_preview_report_page')
  GROUP BY 1
),
gen_view_metrics AS (
  SELECT 
    DATE_TRUNC(DATE(f.created_at, 'Asia/Seoul'), WEEK(MONDAY)) AS kst_date,
    COUNT(DISTINCT CASE WHEN n.user_id IS NOT NULL THEN f.user_id END) AS Gen_Done_User_New,
    COUNT(DISTINCT CASE WHEN n.user_id IS NULL THEN f.user_id END) AS Gen_Done_User_Normal
  FROM `wrtn-data-dev.mongo_cdc_fortune_api.saju_reports` f
  LEFT JOIN new_user_base n ON f.user_id = n.user_id AND DATE_TRUNC(DATE(f.created_at, 'Asia/Seoul'), WEEK(MONDAY)) = n.first_week
  WHERE DATE(f.created_at, 'Asia/Seoul') &gt;= '2025-12-01'
  GROUP BY 1
),
paywall_view_metrics AS (
  SELECT 
    DATE_TRUNC(f.kst_date, WEEK(MONDAY)) AS kst_date,
    COUNT(DISTINCT CASE WHEN n.user_id IS NOT NULL THEN f.user_id END) AS Paywall_View_User_New,
    COUNT(DISTINCT CASE WHEN n.user_id IS NULL THEN f.user_id END) AS Paywall_View_User_Normal
  FROM `wrtn-data-dev.wrtn_product_analytics.f__mp_fortune` f
  LEFT JOIN new_user_base n ON f.user_id = n.user_id AND DATE_TRUNC(f.kst_date, WEEK(MONDAY)) = n.first_week
  WHERE f.kst_date &gt;= '2025-12-01' AND event_nm IN ('view_fortune_paywall_page', 'imp_fortune_paywall_purchase_btn', 'click_fortune_paywall_purchase_btn')
  GROUP BY 1
),
purchase_done_metrics AS (
  SELECT 
    DATE_TRUNC(f.kst_date, WEEK(MONDAY)) AS kst_date,
    COUNT(DISTINCT CASE WHEN n.user_id IS NOT NULL THEN f.user_id END) AS Purchase_Done_User_New,
    COUNT(DISTINCT CASE WHEN n.user_id IS NULL THEN f.user_id END) AS Purchase_Done_User_Normal
  FROM `wrtn-data-dev.wrtn_product_analytics.f__pay_fortune` f
  LEFT JOIN new_user_base n ON f.user_id = n.user_id AND DATE_TRUNC(f.kst_date, WEEK(MONDAY)) = n.first_week
  WHERE f.kst_date &gt;= '2025-12-01'
  GROUP BY 1
)
SELECT
  pm.kst_date,
  SAFE_DIVIDE(pr.W1_Any_Event_User, pr.W0_Purchase_Done_User) AS Paid_Cohort_Retention,
  pr.W1_Any_Event_User,
  pr.W0_Purchase_Done_User,
  SAFE_DIVIDE(pm.Purchase_Done_User, gm.Gen_Done_User) AS CVR,
  pm.Purchase_Done_User AS Purchase_Done_User_CVR,
  gm.Gen_Done_User,
  gm.Gen_Done_Count,
  SAFE_DIVIDE(pm.Revenue, pm.Purchase_Done_User) AS ARPPU,
  pm.Revenue,
  pm.Purchase_Done_User AS Purchase_Done_User_ARPPU,
  pm.Purchase_Done_Count,
  1 - SAFE_DIVIDE(COALESCE(wc.total_llm_cost,0) + COALESCE(wch.web_charge,0) + COALESCE(wch.app_charge,0), pm.Revenue) AS Margin_Rate,
  COALESCE(wc.total_llm_cost,0) + COALESCE(wch.web_charge,0) + COALESCE(wch.app_charge,0) AS Cost,
  pm.Revenue AS Revenue_,
  NULL AS PMF, NULL AS VD_User, NULL AS SD_User, NULL AS ND_User,
  NULL AS funnel, 0 AS Install_User_New, 0 AS Sign_Up_User_New,
  fm.Main_View_User_New, pvm.Product_View_User_New, gvm.Gen_Done_User_New, pwm.Paywall_View_User_New, pdm.Purchase_Done_User_New,
  NULL AS funnel_Normal,
  fm.Main_View_User_Normal, pvm.Product_View_User_Normal, gvm.Gen_Done_User_Normal, pwm.Paywall_View_User_Normal, pdm.Purchase_Done_User_Normal
FROM payment_metrics pm
LEFT JOIN paid_retention_metrics pr ON pm.kst_date = pr.kst_date
LEFT JOIN gen_metrics gm ON pm.kst_date = gm.kst_date
LEFT JOIN weekly_cost wc ON pm.kst_date = wc.kst_date
LEFT JOIN weekly_charge wch ON pm.kst_date = wch.kst_date
LEFT JOIN funnel_metrics fm ON pm.kst_date = fm.kst_date
LEFT JOIN product_view_metrics pvm ON pm.kst_date = pvm.kst_date
LEFT JOIN gen_view_metrics gvm ON pm.kst_date = gvm.kst_date
LEFT JOIN paywall_view_metrics pwm ON pm.kst_date = pwm.kst_date
LEFT JOIN purchase_done_metrics pdm ON pm.kst_date = pdm.kst_date
ORDER BY 1;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</si>
  <si>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any_event_users AS (
  SELECT DATE_TRUNC(kst_date, MONTH) AS kst_date, user_id
  FROM `wrtn-data-dev.wrtn_product_analytics.f__mp_fortune`
  WHERE kst_date &gt;= '2025-12-01'
  GROUP BY 1, 2
),
first_payment_data AS (
  SELECT user_id, DATE_TRUNC(MIN(kst_date), MONTH) AS first_payment_month
  FROM `wrtn-data-dev.wrtn_product_analytics.f__pay_fortune`
  WHERE kst_date IS NOT NULL
  GROUP BY 1
),
paid_retention_metrics AS (
  SELECT 
    fp.first_payment_month AS kst_date,
    COUNT(DISTINCT fp.user_id) AS M0_Purchase_Done_User,
    COUNT(DISTINCT CASE WHEN a.user_id IS NOT NULL THEN fp.user_id END) AS M1_Any_Event_User
  FROM first_payment_data fp
  LEFT JOIN any_event_users a 
    ON fp.user_id = a.user_id 
    AND DATE_ADD(fp.first_payment_month, INTERVAL 1 MONTH) = a.kst_date
  GROUP BY 1
),
payment_metrics AS (
  SELECT 
    DATE_TRUNC(kst_date, MONTH) AS kst_date, 
    COUNT(DISTINCT user_id) AS Purchase_Done_User, 
    COUNT(*) AS Purchase_Done_Count, 
    SUM(pay_amt - refund_amt) AS Revenue
  FROM `wrtn-data-dev.wrtn_product_analytics.f__pay_fortune`
  WHERE kst_date &gt;= '2025-12-01'
  GROUP BY 1
),
gen_metrics AS (
  SELECT 
    DATE_TRUNC(DATE(created_at, 'Asia/Seoul'), MONTH) AS kst_date, 
    COUNT(DISTINCT user_id) AS Gen_Done_User,
    COUNT(*) AS Gen_Done_Count
  FROM `wrtn-data-dev.mongo_cdc_fortune_api.saju_reports`
  WHERE DATE(created_at, 'Asia/Seoul') &gt;= '2025-12-01'
  GROUP BY 1
),
monthly_charge AS (
  SELECT 
    DATE_TRUNC(kst_date, MONTH) AS kst_date, 
    SUM(IF(method = 'Web', pay_amt - refund_amt, 0)) * 0.0228 AS web_charge,
    SUM(IF(method != 'Web', pay_amt - refund_amt, 0)) * 0.3 AS app_charge
  FROM `wrtn-data-dev.wrtn_product_analytics.f__pay_fortune`
  WHERE kst_date &gt;= '2025-12-01'
  GROUP BY 1
),
monthly_cost AS (
  SELECT
    DATE_TRUNC(kst_created_date, MONTH) AS kst_date,
    SUM(total_discounted_cost) * 1400 AS total_llm_cost
  FROM `wrtn_product_analytics.f__request_product`
  WHERE kst_created_date &gt;= '2025-12-01' AND product = 'fortune'
  GROUP BY 1
),
new_user_base AS (
  SELECT ir_user_id AS user_id, DATE_TRUNC(kst_date, MONTH) AS first_month
  FROM `wrtn-data-dev.wrtn_product_analytics.f__first_act_wrtn`
  WHERE kst_date &gt;= '2025-12-01'
),
funnel_metrics AS (
  SELECT 
    DATE_TRUNC(f.kst_date, MONTH) AS kst_date,
    COUNT(DISTINCT CASE WHEN n.user_id IS NOT NULL THEN f.user_id END) AS Main_View_User_New,
    COUNT(DISTINCT CASE WHEN n.user_id IS NULL THEN f.user_id END) AS Main_View_User_Normal
  FROM `wrtn-data-dev.wrtn_product_analytics.f__mp_fortune` f
  LEFT JOIN new_user_base n ON f.user_id = n.user_id AND DATE_TRUNC(f.kst_date, MONTH) = n.first_month
  WHERE f.kst_date &gt;= '2025-12-01'
  GROUP BY 1
),
product_view_metrics AS (
  SELECT 
    DATE_TRUNC(f.kst_date, MONTH) AS kst_date,
    COUNT(DISTINCT CASE WHEN n.user_id IS NOT NULL THEN f.user_id END) AS Product_View_User_New,
    COUNT(DISTINCT CASE WHEN n.user_id IS NULL THEN f.user_id END) AS Product_View_User_Normal
  FROM `wrtn-data-dev.wrtn_product_analytics.f__mp_fortune` f
  LEFT JOIN new_user_base n ON f.user_id = n.user_id AND DATE_TRUNC(f.kst_date, MONTH) = n.first_month
  WHERE f.kst_date &gt;= '2025-12-01' AND event_nm IN ('view_fortune_free_content_page', 'view_fortune_content_page', 'view_fortune_preview_report_page')
  GROUP BY 1
),
gen_view_metrics AS (
  SELECT 
    DATE_TRUNC(DATE(f.created_at, 'Asia/Seoul'), MONTH) AS kst_date,
    COUNT(DISTINCT CASE WHEN n.user_id IS NOT NULL THEN f.user_id END) AS Gen_Done_User_New,
    COUNT(DISTINCT CASE WHEN n.user_id IS NULL THEN f.user_id END) AS Gen_Done_User_Normal
  FROM `wrtn-data-dev.mongo_cdc_fortune_api.saju_reports` f
  LEFT JOIN new_user_base n ON f.user_id = n.user_id AND DATE_TRUNC(DATE(f.created_at, 'Asia/Seoul'), MONTH) = n.first_month
  WHERE DATE(f.created_at, 'Asia/Seoul') &gt;= '2025-12-01'
  GROUP BY 1
),
paywall_view_metrics AS (
  SELECT 
    DATE_TRUNC(f.kst_date, MONTH) AS kst_date,
    COUNT(DISTINCT CASE WHEN n.user_id IS NOT NULL THEN f.user_id END) AS Paywall_View_User_New,
    COUNT(DISTINCT CASE WHEN n.user_id IS NULL THEN f.user_id END) AS Paywall_View_User_Normal
  FROM `wrtn-data-dev.wrtn_product_analytics.f__mp_fortune` f
  LEFT JOIN new_user_base n ON f.user_id = n.user_id AND DATE_TRUNC(f.kst_date, MONTH) = n.first_month
  WHERE f.kst_date &gt;= '2025-12-01' AND event_nm IN ('view_fortune_paywall_page', 'imp_fortune_paywall_purchase_btn', 'click_fortune_paywall_purchase_btn')
  GROUP BY 1
),
purchase_done_metrics AS (
  SELECT 
    DATE_TRUNC(f.kst_date, MONTH) AS kst_date,
    COUNT(DISTINCT CASE WHEN n.user_id IS NOT NULL THEN f.user_id END) AS Purchase_Done_User_New,
    COUNT(DISTINCT CASE WHEN n.user_id IS NULL THEN f.user_id END) AS Purchase_Done_User_Normal
  FROM `wrtn-data-dev.wrtn_product_analytics.f__pay_fortune` f
  LEFT JOIN new_user_base n ON f.user_id = n.user_id AND DATE_TRUNC(f.kst_date, MONTH) = n.first_month
  WHERE f.kst_date &gt;= '2025-12-01'
  GROUP BY 1
)
SELECT
  pm.kst_date,
  SAFE_DIVIDE(pr.M1_Any_Event_User, pr.M0_Purchase_Done_User) AS Paid_Cohort_Retention,
  pr.M1_Any_Event_User,
  pr.M0_Purchase_Done_User,
  SAFE_DIVIDE(pm.Purchase_Done_User, gm.Gen_Done_User) AS CVR,
  pm.Purchase_Done_User AS Purchase_Done_User_CVR,
  gm.Gen_Done_User,
  gm.Gen_Done_Count,
  SAFE_DIVIDE(pm.Revenue, pm.Purchase_Done_User) AS ARPPU,
  pm.Revenue,
  pm.Purchase_Done_User AS Purchase_Done_User_ARPPU,
  pm.Purchase_Done_Count,
  1 - SAFE_DIVIDE(COALESCE(mc.total_llm_cost,0) + COALESCE(mch.web_charge,0) + COALESCE(mch.app_charge,0), pm.Revenue) AS Margin_Rate,
  COALESCE(mc.total_llm_cost,0) + COALESCE(mch.web_charge,0) + COALESCE(mch.app_charge,0) AS Cost,
  pm.Revenue AS Revenue_,
  NULL AS PMF, NULL AS VD_User, NULL AS SD_User, NULL AS ND_User,
  NULL AS funnel, 0 AS Install_User_New, 0 AS Sign_Up_User_New,
  fm.Main_View_User_New, pvm.Product_View_User_New, gvm.Gen_Done_User_New, pwm.Paywall_View_User_New, pdm.Purchase_Done_User_New,
  NULL AS funnel_Normal,
  fm.Main_View_User_Normal, pvm.Product_View_User_Normal, gvm.Gen_Done_User_Normal, pwm.Paywall_View_User_Normal, pdm.Purchase_Done_User_Normal
FROM payment_metrics pm
LEFT JOIN paid_retention_metrics pr ON pm.kst_date = pr.kst_date
LEFT JOIN gen_metrics gm ON pm.kst_date = gm.kst_date
LEFT JOIN monthly_cost mc ON pm.kst_date = mc.kst_date
LEFT JOIN monthly_charge mch ON pm.kst_date = mch.kst_date
LEFT JOIN funnel_metrics fm ON pm.kst_date = fm.kst_date
LEFT JOIN product_view_metrics pvm ON pm.kst_date = pvm.kst_date
LEFT JOIN gen_view_metrics gvm ON pm.kst_date = gvm.kst_date
LEFT JOIN paywall_view_metrics pwm ON pm.kst_date = pwm.kst_date
LEFT JOIN purchase_done_metrics pdm ON pm.kst_date = pdm.kst_date
ORDER BY 1;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</si>
  <si>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t>12/24 ~</t>
  </si>
  <si>
    <t>ㄴ W1 Any Event User</t>
  </si>
  <si>
    <t>ㄴ W0 Purchase Done User</t>
  </si>
  <si>
    <r>
      <rPr>
        <rFont val="Arial"/>
        <color rgb="FF999999"/>
      </rPr>
      <t xml:space="preserve">ㄴ Cost </t>
    </r>
    <r>
      <rPr>
        <rFont val="Arial"/>
        <color rgb="FFFF0000"/>
      </rPr>
      <t>(※여긴 만지지 마세요)</t>
    </r>
  </si>
  <si>
    <t>1/8 앱결제 배포</t>
  </si>
  <si>
    <t>1/22 홈개편 + 마케팅 신규 소재</t>
  </si>
  <si>
    <t>2/6 마케팅 off
2/13 뤼튼 바텀시트</t>
  </si>
  <si>
    <r>
      <rPr>
        <rFont val="Arial"/>
        <color rgb="FF999999"/>
      </rPr>
      <t xml:space="preserve">ㄴ Cost  </t>
    </r>
    <r>
      <rPr>
        <rFont val="Arial"/>
        <color rgb="FFFF0000"/>
      </rPr>
      <t>(※최근 기간 비용 집계 이슈 있음)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</si>
  <si>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any_event_users AS (
  SELECT kst_date, ir_user_id AS user_id
  FROM `wrtn-data-dev.wrtn_product_analytics.f__au_speaking`
  WHERE kst_date &gt;= '2025-12-24'
),
first_payment_data AS (
  SELECT kst_date, user_id
  FROM `wrtn-data-dev.wrtn_product_analytics.f__first_pay_speaking`
  WHERE kst_date &gt;= '2025-12-24'
),
payment_data AS (
  SELECT kst_date, user_id, method, COUNT(*) AS purchase_count, (SUM(pay_amt) - SUM(refund_amt)) AS net_payment_amount
  FROM `wrtn-data-dev.wrtn_product_analytics.f__pay_speaking`
  WHERE kst_date &gt;= '2025-12-24'
  GROUP BY 1, 2, 3
),
gen_data AS (
  SELECT DATE(created_at, 'Asia/Seoul') as kst_date, user_id, COUNT(*) AS gen_count
  FROM `mongo_wrtn_api.language_call_messages`
  WHERE DATE(created_at, 'Asia/Seoul') &gt;= '2025-12-24'
    AND role = 'assistant'
  GROUP BY 1, 2
),
-- [중요] 모든 날짜와 유저의 유니온 풀을 생성하여 누락 방지
user_date_pool AS (
  SELECT kst_date, user_id FROM first_payment_data
  UNION DISTINCT
  SELECT kst_date, user_id FROM payment_data
  UNION DISTINCT
  SELECT kst_date, user_id FROM any_event_users
),
daily_metrics AS (
  SELECT
    u.kst_date,
    -- 1. 결제 관련 (u 테이블 기준으로 집계하여 누락 방지)
    COUNT(DISTINCT f.user_id) AS D0_Purchase_Done_User,
    COUNT(DISTINCT CASE WHEN a_next.user_id IS NOT NULL THEN f.user_id END) AS D1_Any_Event_User,
    COUNT(DISTINCT p.user_id) AS Purchase_Done_User,
    SUM(p.net_payment_amount) AS Revenue,
    SUM(p.purchase_count) AS Purchase_Done_Count,
    -- 2. 생성 관련 (p 유무와 상관없이 g에 있으면 모두 집계)
    COUNT(DISTINCT g.user_id) AS Gen_Done_User,
    SUM(g.gen_count) AS Gen_Done_Count
  FROM user_date_pool u
  LEFT JOIN first_payment_data f ON u.kst_date = f.kst_date AND u.user_id = f.user_id
  LEFT JOIN payment_data p ON u.kst_date = p.kst_date AND u.user_id = p.user_id
  LEFT JOIN gen_data g ON u.kst_date = g.kst_date AND u.user_id = g.user_id
  LEFT JOIN any_event_users a_next 
    ON f.user_id = a_next.user_id 
    AND DATE_ADD(f.kst_date, INTERVAL 1 DAY) = a_next.kst_date
  GROUP BY 1
),
daily_charge AS (
  SELECT 
    kst_date, 
    -- App 결제 건에 대해서 순매출의 30% 계산
    SUM(pay_amt - refund_amt) * 0.3 AS app_charge
  FROM `wrtn-data-dev.wrtn_product_analytics.f__pay_speaking`
  WHERE kst_date &gt;= '2025-12-24'
  GROUP BY kst_date
),
daily_cost AS (
  SELECT
  kst_created_date,
  -- product,
  SUM(total_discounted_cost) * 1400 AS total_llm_cost
  FROM wrtn_product_analytics.core_fact__all_model_requests_with_products_cost_ir as c
  WHERE kst_created_date &gt;= '2025-12-24' -- 날짜 입력
  AND product = 'speaking'
  GROUP BY 
    ALL
  ORDER BY
    1
),
new_user AS (select ir_user_id as user_id, kst_date as first_date
FROM `wrtn-data-dev.wrtn_product_analytics.f__first_act_wrtn`
WHERE kst_date &gt;= '2025-12-24'),
main_view AS (
  SELECT f.kst_date
  , count(distinct new_user.user_id) as Main_View_User_New
  , count(distinct f.user_id) - count(distinct new_user.user_id) as Main_View_User_Normal
  FROM `wrtn-data-dev.wrtn_product_analytics.f__mp_speaking` as f
  left join new_user on f.user_id = new_user.user_id and f.kst_date = new_user.first_date
  WHERE true
    AND kst_date &gt;= '2025-12-24'
  group by 1
),
product_view AS (
  SELECT f.kst_date
  , count(distinct new_user.user_id) as Product_View_User_New
  , count(distinct f.user_id) - count(distinct new_user.user_id) as Product_View_User_Normal
  FROM `wrtn-data-dev.wrtn_product_analytics.f__mp_speaking` as f
  left join new_user on f.user_id = new_user.user_id and f.kst_date = new_user.first_date
  WHERE true
    AND kst_date &gt;= '2025-12-24'
    AND event_nm in (
      -- 메인 진입 점
      'click_wrtn_speaking_entrance_supporter_call',
      'click_wrtn_speaking_entrance_speaking_home_call',
      'click_speaking_main_call_btn',
      -- 부가 기능
      'click_wrtn_speaking_topic_chip',
      'click_wrtn_speaking_mode_switch',
      'click_wrtn_speaking_recommended',
      'click_wrtn_speaking_rerecord',
      'click_wrtn_speaking_replay',
      'click_wrtn_speaking_tip',
      'click_wrtn_speaking_translation',
      -- 생성
      'generate_done',
      -- 지난 대화 및 맞춤 레슨
      'click_speaking_main_last_conversation_btn',
      'click_speaking_last_conversation_tab',
      'view_speaking_last_conversation_list_page', 
      'view_speaking_last_conversation_detail_page',
      'view_speaking_fit_lesson_practice_expression_intro_page',
      'view_speaking_fit_lesson_list_page', 
      'view_speaking_fit_lesson_page',
      -- 결제
      'imp_speaking_paywall_purchase_btn',
      'click_speaking_paywall_purchase_btn',
      'imp_speaking_fit_lesson_paywall_cta_btn', 
      'click_speaking_fit_lesson_paywall_cta_btn',
      'imp_speaking_my_page_paywall_cta_banner',
      'click_speaking_my_page_paywall_cta_banner' 
    )
  group by 1
),
gen_view AS (
  SELECT DATE(created_at, 'Asia/Seoul') as kst_date
  , count(distinct new_user.user_id) as Gen_Done_User_New
  , count(distinct f.user_id) - count(distinct new_user.user_id) as Gen_Done_User_Normal
  FROM `mongo_wrtn_api.language_call_messages` f
  left join new_user on f.user_id = new_user.user_id and DATE(f.created_at, 'Asia/Seoul') = new_user.first_date
  WHERE true
    AND DATE(created_at, 'Asia/Seoul') &gt;= '2025-12-24'
    AND role = 'assistant'
  group by 1
),
paywall_view AS (
  SELECT f.kst_date
  , count(distinct new_user.user_id) as Paywall_View_User_New
  , count(distinct f.user_id) - count(distinct new_user.user_id) as Paywall_View_User_Normal
  FROM `wrtn-data-dev.wrtn_product_analytics.f__mp_speaking` as f
  left join new_user on f.user_id = new_user.user_id and f.kst_date = new_user.first_date
  WHERE true
    AND kst_date &gt;= '2025-12-24'
    AND event_nm in (
      'imp_speaking_paywall_purchase_btn',
      'click_speaking_paywall_purchase_btn',
      'imp_speaking_fit_lesson_paywall_cta_btn', 
      'click_speaking_fit_lesson_paywall_cta_btn',
      'imp_speaking_my_page_paywall_cta_banner',
      'click_speaking_my_page_paywall_cta_banner'
    )
  group by 1
),
purchase_done AS (
  SELECT kst_date, count(distinct new_user.user_id) as Purchase_Done_User_New
  , count(distinct f.user_id) - count(distinct new_user.user_id) as Purchase_Done_User_Normal
  FROM `wrtn-data-dev.wrtn_product_analytics.f__pay_speaking` as f
  left join new_user on f.user_id = new_user.user_id and f.kst_date = new_user.first_date
  WHERE kst_date &gt;= '2025-12-24'
  GROUP BY 1
)
SELECT
  dm.kst_date,
  -- 1. Paid Cohort Retention
  SAFE_DIVIDE(D1_Any_Event_User, D0_Purchase_Done_User) AS Paid_Cohort_Retention,
  D1_Any_Event_User,
  D0_Purchase_Done_User,
  -- 2. CVR (이제 정상적인 전체 생성 유저 대비 결제 유저 비율이 나옵니다)
  SAFE_DIVIDE(Purchase_Done_User, Gen_Done_User) AS CVR,
  Purchase_Done_User AS Purchase_Done_User_CVR,
  Gen_Done_User,
  Gen_Done_Count,
  -- 3. ARPPU
  SAFE_DIVIDE(Revenue, Purchase_Done_User) AS ARPPU,
  Revenue,
  Purchase_Done_User AS Purchase_Done_User_ARPPU,
  Purchase_Done_Count,
  -- 4. Margin
  1 - SAFE_DIVIDE(dc.total_llm_cost + app_charge, Revenue) AS Margin_Rate,
  dc.total_llm_cost + app_charge as Cost,
  Revenue as Revenue_,
  -- 5. PMF 서베이
  null as PMF,
  null as VD_User,
  null as SD_User,
  null as ND_User,
  -- 6. 퍼널_New
  null as funnel,
  0 as Install_User_New,
  0 as Sign_Up_User_New,
  Main_View_User_New,
  Product_View_User_New,
  Gen_Done_User_New,
  Paywall_View_User_New,
  Purchase_Done_User_New,
  -- 7. 퍼널_Normal
  null as funnel_Normal,
  Main_View_User_Normal,
  Product_View_User_Normal,
  Gen_Done_User_Normal,
  Paywall_View_User_Normal,
  Purchase_Done_User_Normal
FROM daily_metrics as dm
left join daily_cost as dc on dm.kst_date = dc.kst_created_date
left join daily_charge as dcg on dm.kst_date = dcg.kst_date
left join main_view as mv on dm.kst_date = mv.kst_date
left join product_view as pv on dm.kst_date = pv.kst_date
left join gen_view as gv on dm.kst_date = gv.kst_date
left join paywall_view as payv on dm.kst_date = payv.kst_date
left join purchase_done as pd on dm.kst_date = pd.kst_date
ORDER BY dm.kst_date;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</si>
  <si>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any_event_users AS (
  SELECT DATE_TRUNC(kst_date, WEEK(MONDAY)) as kst_week, ir_user_id AS user_id
  FROM `wrtn-data-dev.wrtn_product_analytics.f__au_speaking`
  WHERE kst_date &gt;= '2025-12-24'
  GROUP BY 1, 2
),
first_payment_data AS (
  SELECT DATE_TRUNC(kst_date, WEEK(MONDAY)) as kst_week, user_id
  FROM `wrtn-data-dev.wrtn_product_analytics.f__first_pay_speaking`
  WHERE kst_date &gt;= '2025-12-24'
),
payment_data AS (
  SELECT DATE_TRUNC(kst_date, WEEK(MONDAY)) as kst_week, user_id, method, 
         COUNT(*) AS purchase_count, (SUM(pay_amt) - SUM(refund_amt)) AS net_payment_amount,
         SUM(pay_amt - refund_amt) as net_rev
  FROM `wrtn-data-dev.wrtn_product_analytics.f__pay_speaking`
  WHERE kst_date &gt;= '2025-12-24'
  GROUP BY 1, 2, 3
),
gen_data AS (
  SELECT DATE_TRUNC(DATE(created_at, 'Asia/Seoul'), WEEK(MONDAY)) as kst_week, user_id, COUNT(*) AS gen_count
  FROM `mongo_wrtn_api.language_call_messages`
  WHERE DATE(created_at, 'Asia/Seoul') &gt;= '2025-12-24'
    AND role = 'assistant'
  GROUP BY 1, 2
),
user_date_pool AS (
  SELECT kst_week, user_id FROM first_payment_data
  UNION DISTINCT
  SELECT kst_week, user_id FROM payment_data
  UNION DISTINCT
  SELECT kst_week, user_id FROM any_event_users
),
weekly_metrics AS (
  SELECT
    u.kst_week,
    COUNT(DISTINCT f.user_id) AS W0_Purchase_Done_User,
    COUNT(DISTINCT CASE WHEN a_next.user_id IS NOT NULL THEN p.user_id END) AS W1_Any_Event_User,
    COUNT(DISTINCT p.user_id) AS Purchase_Done_User,    
    SUM(p.net_payment_amount) AS Revenue,
    SUM(p.purchase_count) AS Purchase_Done_Count,
    COUNT(DISTINCT g.user_id) AS Gen_Done_User,
    SUM(g.gen_count) AS Gen_Done_Count
  FROM user_date_pool u
  LEFT JOIN first_payment_data f ON u.kst_week = f.kst_week AND u.user_id = f.user_id
  LEFT JOIN payment_data p ON u.kst_week = p.kst_week AND u.user_id = p.user_id
  LEFT JOIN gen_data g ON u.kst_week = g.kst_week AND u.user_id = g.user_id
  LEFT JOIN any_event_users a_next 
    ON f.user_id = a_next.user_id 
    AND DATE_ADD(f.kst_week, INTERVAL 1 WEEK) = a_next.kst_week
  GROUP BY 1
),
weekly_charge AS (
  SELECT DATE_TRUNC(kst_date, WEEK(MONDAY)) as kst_week,
    SUM(pay_amt - refund_amt) * 0.3 AS app_charge
  FROM `wrtn-data-dev.wrtn_product_analytics.f__pay_speaking`
  WHERE kst_date &gt;= '2025-12-24'
  GROUP BY 1
),
weekly_cost AS (
  SELECT DATE_TRUNC(kst_created_date, WEEK(MONDAY)) as kst_week,
    SUM(total_discounted_cost) * 1400 AS total_llm_cost
  FROM wrtn_product_analytics.core_fact__all_model_requests_with_products_cost_ir
  WHERE kst_created_date &gt;= '2025-12-24' 
  AND product = 'speaking'
  GROUP BY 1
),
new_user AS (
  SELECT ir_user_id as user_id, DATE_TRUNC(kst_date, WEEK(MONDAY)) as first_week
  FROM `wrtn-data-dev.wrtn_product_analytics.f__first_act_wrtn`
  WHERE kst_date &gt;= '2025-12-24'
),
main_view AS (
  SELECT DATE_TRUNC(f.kst_date, WEEK(MONDAY)) as kst_week,
    COUNT(DISTINCT CASE WHEN new_user.user_id IS NOT NULL THEN f.user_id END) as Main_View_User_New,
    COUNT(DISTINCT f.user_id) - COUNT(DISTINCT CASE WHEN new_user.user_id IS NOT NULL THEN f.user_id END) as Main_View_User_Normal
  FROM `wrtn-data-dev.wrtn_product_analytics.f__mp_speaking` as f
  LEFT JOIN new_user ON f.user_id = new_user.user_id AND DATE_TRUNC(f.kst_date, WEEK(MONDAY)) = new_user.first_week
  WHERE kst_date &gt;= '2025-12-24'
  GROUP BY 1
),
product_view AS (
  SELECT DATE_TRUNC(f.kst_date, WEEK(MONDAY)) as kst_week,
    COUNT(DISTINCT CASE WHEN new_user.user_id IS NOT NULL THEN f.user_id END) as Product_View_User_New,
    COUNT(DISTINCT f.user_id) - COUNT(DISTINCT CASE WHEN new_user.user_id IS NOT NULL THEN f.user_id END) as Product_View_User_Normal
  FROM `wrtn-data-dev.wrtn_product_analytics.f__mp_speaking` as f
  LEFT JOIN new_user ON f.user_id = new_user.user_id AND DATE_TRUNC(f.kst_date, WEEK(MONDAY)) = new_user.first_week
  WHERE kst_date &gt;= '2025-12-24' 
    AND event_nm in (
      -- 메인 진입 점
      'click_wrtn_speaking_entrance_supporter_call',
      'click_wrtn_speaking_entrance_speaking_home_call',
      'click_speaking_main_call_btn',
      -- 부가 기능
      'click_wrtn_speaking_topic_chip',
      'click_wrtn_speaking_mode_switch',
      'click_wrtn_speaking_recommended',
      'click_wrtn_speaking_rerecord',
      'click_wrtn_speaking_replay',
      'click_wrtn_speaking_tip',
      'click_wrtn_speaking_translation',
      -- 생성
      'generate_done',
      -- 지난 대화 및 맞춤 레슨
      'click_speaking_main_last_conversation_btn',
      'click_speaking_last_conversation_tab',
      'view_speaking_last_conversation_list_page', 
      'view_speaking_last_conversation_detail_page',
      'view_speaking_fit_lesson_practice_expression_intro_page',
      'view_speaking_fit_lesson_list_page', 
      'view_speaking_fit_lesson_page',
      -- 결제
      'imp_speaking_paywall_purchase_btn',
      'click_speaking_paywall_purchase_btn',
      'imp_speaking_fit_lesson_paywall_cta_btn', 
      'click_speaking_fit_lesson_paywall_cta_btn',
      'imp_speaking_my_page_paywall_cta_banner',
      'click_speaking_my_page_paywall_cta_banner'      
    )
  GROUP BY 1
),
gen_view AS (
  SELECT DATE_TRUNC(DATE(f.created_at, 'Asia/Seoul'), WEEK(MONDAY)) as kst_week,
    COUNT(DISTINCT CASE WHEN new_user.user_id IS NOT NULL THEN f.user_id END) as Gen_Done_User_New,
    COUNT(DISTINCT f.user_id) - COUNT(DISTINCT CASE WHEN new_user.user_id IS NOT NULL THEN f.user_id END) as Gen_Done_User_Normal
  FROM `mongo_wrtn_api.language_call_messages` as f
  LEFT JOIN new_user ON f.user_id = new_user.user_id AND DATE_TRUNC(DATE(f.created_at, 'Asia/Seoul'), WEEK(MONDAY)) = new_user.first_week
  WHERE TRUE
    AND DATE(created_at, 'Asia/Seoul') &gt;= '2025-12-24'
    AND role = 'assistant'
  GROUP BY 1
),
paywall_view AS (
  SELECT DATE_TRUNC(f.kst_date, WEEK(MONDAY)) as kst_week,
    COUNT(DISTINCT CASE WHEN new_user.user_id IS NOT NULL THEN f.user_id END) as Paywall_View_User_New,
    COUNT(DISTINCT f.user_id) - COUNT(DISTINCT CASE WHEN new_user.user_id IS NOT NULL THEN f.user_id END) as Paywall_View_User_Normal
  FROM `wrtn-data-dev.wrtn_product_analytics.f__mp_speaking` as f
  LEFT JOIN new_user ON f.user_id = new_user.user_id AND DATE_TRUNC(f.kst_date, WEEK(MONDAY)) = new_user.first_week
  WHERE TRUE
    AND kst_date &gt;= '2025-12-24' 
    AND event_nm in (
      'imp_speaking_paywall_purchase_btn',
      'click_speaking_paywall_purchase_btn',
      'imp_speaking_fit_lesson_paywall_cta_btn', 
      'click_speaking_fit_lesson_paywall_cta_btn',
      'imp_speaking_my_page_paywall_cta_banner',
      'click_speaking_my_page_paywall_cta_banner'
    )
  GROUP BY 1
),
purchase_done AS (
  SELECT DATE_TRUNC(f.kst_date, WEEK(MONDAY)) as kst_week,
    COUNT(DISTINCT CASE WHEN new_user.user_id IS NOT NULL THEN f.user_id END) as Purchase_Done_User_New,
    COUNT(DISTINCT f.user_id) - COUNT(DISTINCT CASE WHEN new_user.user_id IS NOT NULL THEN f.user_id END) as Purchase_Done_User_Normal
  FROM `wrtn-data-dev.wrtn_product_analytics.f__pay_speaking` as f
  LEFT JOIN new_user ON f.user_id = new_user.user_id AND DATE_TRUNC(f.kst_date, WEEK(MONDAY)) = new_user.first_week
  WHERE kst_date &gt;= '2025-12-24'
  GROUP BY 1
)
SELECT
  dm.kst_week as kst_date,
  SAFE_DIVIDE(W1_Any_Event_User, W0_Purchase_Done_User) AS Paid_Cohort_Retention,
  W1_Any_Event_User,
  W0_Purchase_Done_User,
  SAFE_DIVIDE(Purchase_Done_User, Gen_Done_User) AS CVR,
  Purchase_Done_User AS Purchase_Done_User_CVR,
  Gen_Done_User,
  Gen_Done_Count,
  SAFE_DIVIDE(Revenue, Purchase_Done_User) AS ARPPU,
  Revenue,
  Purchase_Done_User AS Purchase_Done_User_ARPPU,
  Purchase_Done_Count,
  1 - SAFE_DIVIDE(dc.total_llm_cost + app_charge, Revenue) AS Margin_Rate,
  dc.total_llm_cost + app_charge as Cost,
  Revenue as Revenue_,
  null as PMF, 
  null as VD_User, 
  null as SD_User, 
  null as ND_User,
  null as funnel, 
  0 as Install_User_New, 
  0 as Sign_Up_User_New,
  Main_View_User_New, 
  Product_View_User_New, 
  Gen_Done_User_New, 
  Paywall_View_User_New, 
  Purchase_Done_User_New,
  null as funnel_Normal,
  Main_View_User_Normal, 
  Product_View_User_Normal, 
  Gen_Done_User_Normal, 
  Paywall_View_User_Normal, 
  Purchase_Done_User_Normal
FROM weekly_metrics as dm
LEFT JOIN weekly_cost as dc ON dm.kst_week = dc.kst_week
LEFT JOIN weekly_charge as dcg ON dm.kst_week = dcg.kst_week
LEFT JOIN main_view as mv ON dm.kst_week = mv.kst_week
LEFT JOIN product_view as pv ON dm.kst_week = pv.kst_week
LEFT JOIN gen_view as gv ON dm.kst_week = gv.kst_week
LEFT JOIN paywall_view as payv ON dm.kst_week = payv.kst_week
LEFT JOIN purchase_done as pd ON dm.kst_week = pd.kst_week
ORDER BY 1;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</si>
  <si>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any_event_users AS (
  -- 월간 리텐션(M1) 확인을 위한 전체 월별 활성 유저
  SELECT 
    DATE_TRUNC(kst_date, MONTH) AS kst_month, 
    user_id AS user_id
  FROM `wrtn-data-dev.wrtn_product_analytics.f__mp_speaking`
  WHERE kst_date &gt;= '2025-12-24'
  GROUP BY 1, 2
),
first_payment_data AS (
  SELECT 
    DATE_TRUNC(kst_date, MONTH) AS kst_month, 
    user_id
  FROM `wrtn-data-dev.wrtn_product_analytics.f__first_pay_speaking`
  WHERE kst_date &gt;= '2025-12-24'
),
payment_data AS (
  -- 월 단위 구매 정보 및 매출 집계
  SELECT 
    DATE_TRUNC(kst_date, MONTH) AS kst_month, 
    user_id, 
    method,
    COUNT(*) AS purchase_count, 
    SUM(pay_amt - refund_amt) AS net_payment_amount
  FROM `wrtn-data-dev.wrtn_product_analytics.f__pay_speaking`
  WHERE kst_date &gt;= '2025-12-24'
  GROUP BY 1, 2, 3
),
gen_data AS (
  -- 월 단위 생성 완료 정보 집계
  SELECT 
    DATE_TRUNC(DATE(created_at, 'Asia/Seoul'), MONTH) AS kst_month, 
    user_id, 
    COUNT(*) AS gen_count
  FROM `mongo_wrtn_api.language_call_messages`
  WHERE DATE(created_at, 'Asia/Seoul') &gt;= '2025-12-24'
    AND role = 'assistant'
  GROUP BY 1, 2
),
user_date_pool AS (
  -- 누락 방지를 위한 월별 전체 유저 풀
  SELECT kst_month, user_id FROM first_payment_data
  UNION DISTINCT
  SELECT kst_month, user_id FROM payment_data
  UNION DISTINCT
  SELECT kst_month, user_id FROM any_event_users
),
monthly_metrics AS (
  -- 핵심 지표(Retention, CVR, ARPPU) 집계
  SELECT
    u.kst_month,
    COUNT(DISTINCT f.user_id) AS M0_Purchase_Done_User,
    COUNT(DISTINCT CASE WHEN a_next.user_id IS NOT NULL THEN f.user_id END) AS M1_Any_Event_User,
    COUNT(DISTINCT p.user_id) AS Purchase_Done_User,    
    SUM(p.net_payment_amount) AS Revenue,
    SUM(p.purchase_count) AS Purchase_Done_Count,
    COUNT(DISTINCT g.user_id) AS Gen_Done_User,
    SUM(g.gen_count) AS Gen_Done_Count
  FROM user_date_pool u
  LEFT JOIN first_payment_data f ON u.kst_month = f.kst_month AND u.user_id = f.user_id
  LEFT JOIN payment_data p ON u.kst_month = p.kst_month AND u.user_id = p.user_id
  LEFT JOIN gen_data g ON u.kst_month = g.kst_month AND u.user_id = g.user_id
  -- 이번 달(M0) 구매자가 다음 달(M1)에 접속했는지 체크
  LEFT JOIN any_event_users a_next 
    ON f.user_id = a_next.user_id 
    AND DATE_ADD(f.kst_month, INTERVAL 1 MONTH) = a_next.kst_month
  GROUP BY 1
),
monthly_charge AS (
  -- 월 단위 결제 수수료 계산
  SELECT 
    DATE_TRUNC(kst_date, MONTH) AS kst_month, 
    SUM(pay_amt - refund_amt) * 0.3 AS app_charge
  FROM `wrtn-data-dev.wrtn_product_analytics.f__pay_speaking`
  WHERE kst_date &gt;= '2025-12-24'
  GROUP BY 1
),
monthly_cost AS (
  -- 월 단위 LLM 비용 계산
  SELECT
    DATE_TRUNC(kst_created_date, MONTH) AS kst_month,
    SUM(total_discounted_cost) * 1400 AS total_llm_cost
  FROM `wrtn-data-dev.wrtn_product_analytics.core_fact__all_model_requests_with_products_cost_ir`
  WHERE kst_created_date &gt;= '2025-12-24'
    AND product = 'speaking'
  GROUP BY 1
),
new_user AS (
  -- 유저의 최초 가입 월 식별
  SELECT 
    ir_user_id AS user_id, 
    DATE_TRUNC(kst_date, MONTH) AS first_month
  FROM `wrtn-data-dev.wrtn_product_analytics.f__first_act_wrtn`
  WHERE kst_date is not null
),
main_view AS (
  SELECT 
    DATE_TRUNC(f.kst_date, MONTH) AS kst_month,
    COUNT(DISTINCT CASE WHEN new_user.user_id IS NOT NULL THEN f.user_id END) AS Main_View_User_New,
    COUNT(DISTINCT f.user_id) - COUNT(DISTINCT CASE WHEN new_user.user_id IS NOT NULL THEN f.user_id END) AS Main_View_User_Normal
  FROM `wrtn-data-dev.wrtn_product_analytics.f__mp_speaking` AS f
  LEFT JOIN new_user ON f.user_id = new_user.user_id AND DATE_TRUNC(f.kst_date, MONTH) = new_user.first_month
  WHERE f.kst_date &gt;= '2025-12-24'
  GROUP BY 1
),
product_view AS (
  SELECT 
    DATE_TRUNC(f.kst_date, MONTH) AS kst_month,
    COUNT(DISTINCT CASE WHEN new_user.user_id IS NOT NULL THEN f.user_id END) AS Product_View_User_New,
    COUNT(DISTINCT f.user_id) - COUNT(DISTINCT CASE WHEN new_user.user_id IS NOT NULL THEN f.user_id END) AS Product_View_User_Normal
  FROM `wrtn-data-dev.wrtn_product_analytics.f__mp_speaking` AS f
  LEFT JOIN new_user ON f.user_id = new_user.user_id AND DATE_TRUNC(f.kst_date, MONTH) = new_user.first_month
  WHERE f.kst_date &gt;= '2025-12-24'
    AND event_nm in (
      -- 메인 진입 점
      'click_wrtn_speaking_entrance_supporter_call',
      'click_wrtn_speaking_entrance_speaking_home_call',
      'click_speaking_main_call_btn',
      -- 부가 기능
      'click_wrtn_speaking_topic_chip',
      'click_wrtn_speaking_mode_switch',
      'click_wrtn_speaking_recommended',
      'click_wrtn_speaking_rerecord',
      'click_wrtn_speaking_replay',
      'click_wrtn_speaking_tip',
      'click_wrtn_speaking_translation',
      -- 생성
      'generate_done',
      -- 지난 대화 및 맞춤 레슨
      'click_speaking_main_last_conversation_btn',
      'click_speaking_last_conversation_tab',
      'view_speaking_last_conversation_list_page', 
      'view_speaking_last_conversation_detail_page',
      'view_speaking_fit_lesson_practice_expression_intro_page',
      'view_speaking_fit_lesson_list_page', 
      'view_speaking_fit_lesson_page',
      -- 결제
      'imp_speaking_paywall_purchase_btn',
      'click_speaking_paywall_purchase_btn',
      'imp_speaking_fit_lesson_paywall_cta_btn', 
      'click_speaking_fit_lesson_paywall_cta_btn',
      'imp_speaking_my_page_paywall_cta_banner',
      'click_speaking_my_page_paywall_cta_banner'      
    )
  GROUP BY 1
),
gen_view AS (
  SELECT 
    DATE_TRUNC(DATE(f.created_at, 'Asia/Seoul'), MONTH) AS kst_month,
    COUNT(DISTINCT CASE WHEN new_user.user_id IS NOT NULL THEN f.user_id END) AS Gen_Done_User_New,
    COUNT(DISTINCT f.user_id) - COUNT(DISTINCT CASE WHEN new_user.user_id IS NOT NULL THEN f.user_id END) AS Gen_Done_User_Normal
  FROM `mongo_wrtn_api.language_call_messages` as f
  LEFT JOIN new_user ON f.user_id = new_user.user_id AND DATE_TRUNC(DATE(f.created_at, 'Asia/Seoul'), MONTH) = new_user.first_month
  WHERE TRUE 
  AND DATE(f.created_at, 'Asia/Seoul') &gt;= '2025-12-24'
  AND role = 'assistant'
  GROUP BY 1
),
paywall_view AS (
  SELECT 
    DATE_TRUNC(f.kst_date, MONTH) AS kst_month,
    COUNT(DISTINCT CASE WHEN new_user.user_id IS NOT NULL THEN f.user_id END) AS Paywall_View_User_New,
    COUNT(DISTINCT f.user_id) - COUNT(DISTINCT CASE WHEN new_user.user_id IS NOT NULL THEN f.user_id END) AS Paywall_View_User_Normal
  FROM `wrtn-data-dev.wrtn_product_analytics.f__mp_speaking` AS f
  LEFT JOIN new_user ON f.user_id = new_user.user_id AND DATE_TRUNC(f.kst_date, MONTH) = new_user.first_month
  WHERE TRUE
    AND f.kst_date &gt;= '2025-12-24'
    AND event_nm in (
      'imp_speaking_paywall_purchase_btn',
      'click_speaking_paywall_purchase_btn',
      'imp_speaking_fit_lesson_paywall_cta_btn', 
      'click_speaking_fit_lesson_paywall_cta_btn',
      'imp_speaking_my_page_paywall_cta_banner',
      'click_speaking_my_page_paywall_cta_banner'
    )
  GROUP BY 1
),
purchase_done AS (
  SELECT 
    DATE_TRUNC(f.kst_date, MONTH) AS kst_month, 
    COUNT(DISTINCT CASE WHEN new_user.user_id IS NOT NULL THEN f.user_id END) AS Purchase_Done_User_New,
    COUNT(DISTINCT f.user_id) - COUNT(DISTINCT CASE WHEN new_user.user_id IS NOT NULL THEN f.user_id END) AS Purchase_Done_User_Normal
  FROM `wrtn-data-dev.wrtn_product_analytics.f__pay_speaking` AS f
  LEFT JOIN new_user ON f.user_id = new_user.user_id AND DATE_TRUNC(f.kst_date, MONTH) = new_user.first_month
  WHERE f.kst_date &gt;= '2025-12-24'
  GROUP BY 1
)
SELECT
  dm.kst_month AS kst_date,
  -- 1. Paid Cohort Retention (M0 구매자가 M1에 활동했는가)
  SAFE_DIVIDE(M1_Any_Event_User, M0_Purchase_Done_User) AS Paid_Cohort_Retention,
  M1_Any_Event_User,
  M0_Purchase_Done_User,
  -- 2. CVR
  SAFE_DIVIDE(Purchase_Done_User, Gen_Done_User) AS CVR,
  Purchase_Done_User AS Purchase_Done_User_CVR,
  Gen_Done_User,
  Gen_Done_Count,
  -- 3. ARPPU
  SAFE_DIVIDE(Revenue, Purchase_Done_User) AS ARPPU,
  Revenue,
  Purchase_Done_User AS Purchase_Done_User_ARPPU,
  Purchase_Done_Count,
  -- 4. Margin
  1 - SAFE_DIVIDE(mc.total_llm_cost + app_charge, Revenue) AS Margin_Rate,
  mc.total_llm_cost + app_charge AS Cost,
  Revenue AS Revenue_,
  -- 5. PMF 서베이 (공백 처리)
  NULL AS PMF, NULL AS VD_User, NULL AS SD_User, NULL AS ND_User,
  -- 6. 퍼널_New
  NULL AS funnel,
  0 AS Install_User_New,
  0 AS Sign_Up_User_New,
  mv.Main_View_User_New,
  pv.Product_View_User_New,
  gv.Gen_Done_User_New,
  payv.Paywall_View_User_New,
  pd.Purchase_Done_User_New,
  -- 7. 퍼널_Normal
  NULL AS funnel_Normal,
  mv.Main_View_User_Normal,
  pv.Product_View_User_Normal,
  gv.Gen_Done_User_Normal,
  payv.Paywall_View_User_Normal,
  pd.Purchase_Done_User_Normal
FROM monthly_metrics AS dm
LEFT JOIN monthly_cost AS mc ON dm.kst_month = mc.kst_month
LEFT JOIN monthly_charge AS mch ON dm.kst_month = mch.kst_month
LEFT JOIN main_view AS mv ON dm.kst_month = mv.kst_month
LEFT JOIN product_view AS pv ON dm.kst_month = pv.kst_month
LEFT JOIN gen_view AS gv ON dm.kst_month = gv.kst_month
LEFT JOIN paywall_view AS payv ON dm.kst_month = payv.kst_month
LEFT JOIN purchase_done AS pd ON dm.kst_month = pd.kst_month
ORDER BY dm.kst_month;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</si>
  <si>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 xml:space="preserve">: WITH any_event_users AS (
  SELECT kst_date, user_id
  FROM `wrtn-data-dev.wrtn_product_analytics.f__mp_crack`
  WHERE kst_date &gt;= '2025-12-01'
  GROUP BY 1, 2
),
first_payment_data AS (
  SELECT kst_date, user_id
  FROM `wrtn-data-dev.wrtn_product_analytics.f__first_pay_crack`
  WHERE kst_date &gt;= '2025-12-01'
),
payment_data AS (
  SELECT kst_date, user_id, COUNT(*) AS purchase_count, (SUM(pay_amt) - SUM(refund_amt)) AS net_payment_amount
  FROM `wrtn-data-dev.wrtn_product_analytics.f__pay_crack`
  WHERE kst_date &gt;= '2025-12-01'
  GROUP BY 1, 2
),
gen_data AS (
  SELECT kst_date, user_id, COUNT(DISTINCT message_id) AS gen_count
  FROM (
    SELECT
      message_id AS message_id,
      kst_created_date AS kst_date,
      user_id
    FROM
      `wrtn-data-dev.wrtn_product_analytics.core_fact__messages__crack`
    WHERE
      kst_created_date &gt;= '2025-12-01'
      AND role = 'assistant'
      AND user_id is not null
    UNION ALL
    select _id as message_id, DATE(created_at, 'Asia/Seoul') as kst_date, user_id
      from `mongo_crack.single_character_messages`
      where role = 'assistant'
      AND date(created_at, 'Asia/Seoul') &gt;= '2025-12-01'
    UNION ALL
    select _id as message_id, DATE(created_at, 'Asia/Seoul') as kst_date, user_id
      from `mongo_crack.party_chat_messages`
      where role = 'assistant'
      AND date(created_at, 'Asia/Seoul') &gt;= '2025-12-01'
    UNION ALL
    select _id as message_id, DATE(created_at, 'Asia/Seoul') as kst_date, user_id
      from `mongo_crack.game_histories`
     where role = 'assistant'
      AND date(created_at, 'Asia/Seoul') &gt;= '2025-12-01'
  )
  GROUP BY 1,2
),
-- [중요] 모든 날짜와 유저의 유니온 풀을 생성하여 누락 방지
user_date_pool AS (
  SELECT kst_date, user_id FROM first_payment_data
  UNION DISTINCT
  SELECT kst_date, user_id FROM payment_data
  UNION DISTINCT
  SELECT kst_date, user_id FROM gen_data
),
daily_metrics AS (
  SELECT
    u.kst_date,
    -- 1. 결제 관련 (u 테이블 기준으로 집계하여 누락 방지)
    COUNT(DISTINCT f.user_id) AS D0_Purchase_Done_User,
    COUNT(DISTINCT CASE WHEN a_next.user_id IS NOT NULL THEN f.user_id END) AS D1_Any_Event_User,
    COUNT(DISTINCT p.user_id) AS Purchase_Done_User,    
    SUM(p.net_payment_amount) AS Revenue,
    SUM(p.purchase_count) AS Purchase_Done_Count,
    -- 2. 생성 관련 (p 유무와 상관없이 g에 있으면 모두 집계)
    COUNT(DISTINCT g.user_id) AS Gen_Done_User,
    SUM(g.gen_count) AS Gen_Done_Count
  FROM user_date_pool u
  LEFT JOIN first_payment_data f ON u.kst_date = f.kst_date AND u.user_id = f.user_id
  LEFT JOIN payment_data p ON u.kst_date = p.kst_date AND u.user_id = p.user_id
  LEFT JOIN gen_data g ON u.kst_date = g.kst_date AND u.user_id = g.user_id
  LEFT JOIN any_event_users a_next 
    ON f.user_id = a_next.user_id 
    AND DATE_ADD(f.kst_date, INTERVAL 1 DAY) = a_next.kst_date
  GROUP BY 1
),
daily_charge AS (
  SELECT 
    kst_date, 
    SUM(IF(method = 'Web', pay_amt - refund_amt, 0)) * 0.0228 AS web_charge,
    SUM(IF(method != 'Web', pay_amt - refund_amt, 0)) * 0.3 AS app_charge
  FROM `wrtn-data-dev.wrtn_product_analytics.f__pay_crack`
  WHERE kst_date &gt;= '2025-12-01'
  GROUP BY 1
),
daily_cost AS (
  SELECT
    kst_created_date AS kst_date,
    SUM(total_discounted_cost) * 1400 AS total_llm_cost
  FROM `wrtn_product_analytics.f__request_product`
  WHERE kst_created_date &gt;= '2025-12-01' 
    AND product = 'crack'
  GROUP BY 1
),
new_user AS (select ir_user_id as user_id, kst_date as first_date
FROM `wrtn-data-dev.wrtn_product_analytics.f__first_act_crack`
WHERE kst_date &gt;= '2025-12-01'),
main_view AS (
  SELECT f.kst_date
  , count(distinct new_user.user_id) as Main_View_User_New
  , count(distinct f.user_id) - count(distinct new_user.user_id) as Main_View_User_Normal
  FROM `wrtn-data-dev.wrtn_product_analytics.f__mp_crack` as f
  left join new_user on f.user_id = new_user.user_id and f.kst_date = new_user.first_date
  WHERE true
    AND kst_date &gt;= '2025-12-01'
  group by 1
),
product_view AS (
  SELECT f.kst_date
  , count(distinct new_user.user_id) as Product_View_User_New
  , count(distinct f.user_id) - count(distinct new_user.user_id) as Product_View_User_Normal
  FROM `wrtn-data-dev.wrtn_product_analytics.f__mp_crack` as f
  left join new_user on f.user_id = new_user.user_id and f.kst_date = new_user.first_date
  WHERE true
    AND kst_date &gt;= '2025-12-01'
    AND event_nm in ('view_character_detail', 'click_character_card', 'view_single_character_detail', 'click_single_character_card')
  group by 1
),
gen_view AS (
  SELECT kst_date
  , count(distinct new_user.user_id) as Gen_Done_User_New
  , count(distinct f.user_id) - count(distinct new_user.user_id) as Gen_Done_User_Normal
  FROM gen_data as f
  left join new_user on f.user_id = new_user.user_id and kst_date = new_user.first_date
  WHERE true
    AND kst_date &gt;= '2025-12-01'
  group by 1
),
paywall_view AS (
  SELECT f.kst_date
  , count(distinct new_user.user_id) as Paywall_View_User_New
  , count(distinct f.user_id) - count(distinct new_user.user_id) as Paywall_View_User_Normal
  FROM `wrtn-data-dev.wrtn_product_analytics.f__mp_crack` as f
  left join new_user on f.user_id = new_user.user_id and f.kst_date = new_user.first_date
  WHERE true
    AND kst_date &gt;= '2025-12-01'
    AND event_nm in ('view_character_cracker_page', 'click_cracker_purchase_btn', 'expose_cracker_purchase_bottom_sheet')
  group by 1
),
purchase_done AS (
  SELECT kst_date, count(distinct new_user.user_id) as Purchase_Done_User_New
  , count(distinct f.user_id) - count(distinct new_user.user_id) as Purchase_Done_User_Normal
  FROM `wrtn-data-dev.wrtn_product_analytics.f__pay_crack` as f
  left join new_user on f.user_id = new_user.user_id and f.kst_date = new_user.first_date
  WHERE kst_date &gt;= '2025-12-01'
  GROUP BY 1
)
SELECT
  dm.kst_date,
  -- 1. Paid Cohort Retention
  SAFE_DIVIDE(D1_Any_Event_User, D0_Purchase_Done_User) AS Paid_Cohort_Retention,
  D1_Any_Event_User,
  D0_Purchase_Done_User,
  -- 2. CVR (이제 정상적인 전체 생성 유저 대비 결제 유저 비율이 나옵니다)
  SAFE_DIVIDE(Purchase_Done_User, Gen_Done_User) AS CVR,
  Purchase_Done_User AS Purchase_Done_User_CVR,
  Gen_Done_User,
  Gen_Done_Count,
  -- 3. ARPPU
  SAFE_DIVIDE(Revenue, Purchase_Done_User) AS ARPPU,
  Revenue,
  Purchase_Done_User AS Purchase_Done_User_ARPPU,
  Purchase_Done_Count,
  -- 4. Margin
  1 - SAFE_DIVIDE(dc.total_llm_cost + app_charge, Revenue) AS Margin_Rate,
  dc.total_llm_cost + app_charge as Cost,
  Revenue as Revenue_,
  -- 5. PMF 서베이
  null as PMF,
  null as VD_User,
  null as SD_User,
  null as ND_User,
  -- 6. 퍼널_New
  null as funnel,
  0 as Install_User_New,
  0 as Sign_Up_User_New,
  Main_View_User_New,
  Product_View_User_New,
  Gen_Done_User_New,
  Paywall_View_User_New,
  Purchase_Done_User_New,
  -- 7. 퍼널_Normal
  null as funnel_Normal,
  Main_View_User_Normal,
  Product_View_User_Normal,
  Gen_Done_User_Normal,
  Paywall_View_User_Normal,
  Purchase_Done_User_Normal
FROM daily_metrics as dm
left join daily_cost as dc on dm.kst_date = dc.kst_date
left join daily_charge as dcg on dm.kst_date = dcg.kst_date
left join main_view as mv on dm.kst_date = mv.kst_date
left join product_view as pv on dm.kst_date = pv.kst_date
left join gen_view as gv on dm.kst_date = gv.kst_date
left join paywall_view as payv on dm.kst_date = payv.kst_date
left join purchase_done as pd on dm.kst_date = pd.kst_date
ORDER BY kst_date;
  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</si>
  <si>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declare PARAM_START_DATE date default '2026-02-04';
WITH config AS (
  -- [자동화] 기준 날짜 및 비교 구간 설정
  SELECT 
    CURRENT_DATE('Asia/Seoul') AS today,
    -- 금월: 1일 ~ 오늘
    DATE_TRUNC(CURRENT_DATE('Asia/Seoul'), MONTH) AS tm_start,
    CURRENT_DATE('Asia/Seoul') AS tm_end,
    -- 전월: 1일 ~ 전월 오늘(동기)
    DATE_TRUNC(DATE_SUB(CURRENT_DATE('Asia/Seoul'), INTERVAL 1 MONTH), MONTH) AS lm_start,
    DATE_SUB(CURRENT_DATE('Asia/Seoul'), INTERVAL 1 MONTH) AS lm_end,
    -- 전전월: 1일 ~ 전전월 오늘(동기)
    DATE_TRUNC(DATE_SUB(CURRENT_DATE('Asia/Seoul'), INTERVAL 2 MONTH), MONTH) AS llm_start,
    DATE_SUB(CURRENT_DATE('Asia/Seoul'), INTERVAL 2 MONTH) AS llm_end
), 
any_event_users AS (
  SELECT 
    DATE_TRUNC(kst_date, MONTH) AS kst_month, 
    user_id
  FROM `wrtn-data-dev.wrtn_product_analytics.f__mp_meme` f, config
  WHERE TRUE
    AND (
      -- 금월 MTD: 1일 ~ 오늘 (tm_start ~ tm_end)
      (kst_date BETWEEN tm_start AND tm_end)
      OR 
      -- 전월 MTD: 1일 ~ 전월 동기 (lm_start ~ lm_end)
      (kst_date BETWEEN lm_start AND lm_end)
    )
    AND kst_date &gt;= '2025-11-24'
  GROUP BY 1, 2
  UNION DISTINCT 
  SELECT 
    DATE_TRUNC(kst_date, MONTH) AS kst_month, 
    user_id
  FROM `wrtn-data-dev.wrtn_product_analytics.bi_f__mp_zzem` f, config
  WHERE TRUE
    AND (
      -- 금월 MTD: 1일 ~ 오늘 (tm_start ~ tm_end)
      (kst_date BETWEEN tm_start AND tm_end)
      OR 
      -- 전월 MTD: 1일 ~ 전월 동기 (lm_start ~ lm_end)
      (kst_date BETWEEN lm_start AND lm_end)
    )
    AND kst_date &gt;= '2025-11-24'
  GROUP BY 1, 2    
),
first_payment_data AS (
  SELECT 
    DATE_TRUNC(kst_date, MONTH) AS kst_month,
    user_id
  FROM `wrtn-data-dev.wrtn_product_analytics.f__first_pay_meme`, config
  WHERE TRUE
    AND 
    -- 전전월: 1일 ~ 전월 동기 (llm_start ~ llm_end)
    ((kst_date &gt;= llm_start AND kst_date &lt; lm_start)
    OR -- 전월: 1일 ~ 전월 동기 (lm_start ~ lm_end)
    (kst_date &gt;= lm_start AND kst_date &lt; tm_start))
    AND kst_date &gt;= '2025-11-24'
),
payment_data AS (
  SELECT DATE_TRUNC(kst_date, MONTH) as kst_month, user_id, method, COUNT(*) AS purchase_count, (SUM(pay_amt) - SUM(refund_amt)) AS net_payment_amount
  FROM `wrtn-data-dev.wrtn_product_analytics.f__pay_meme`,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GROUP BY 1, 2, 3
),
gen_data AS (
  SELECT 
    kst_month, user_id, SUM(gen_count) AS gen_count
  FROM
  (  
  SELECT DATE_TRUNC(DATE(created_at, 'Asia/Seoul'), MONTH) as kst_month, user_id, 'filter' as source, COUNT(*) AS gen_count
  FROM `wrtn-data-dev.mongo_cdc_meme.contents`, config
  WHERE TRUE
    AND 
    -- 전전월: 1일 ~ 전월 동기 (llm_start ~ llm_end)
    ((DATE(created_at, 'Asia/Seoul') BETWEEN llm_start AND llm_end)
    OR -- 전월: 1일 ~ 전월 동기 (lm_start ~ lm_end)
    (DATE(created_at, 'Asia/Seoul') BETWEEN lm_start AND lm_end)
    OR 
    -- 금월: 1일 ~ 오늘 (tm_start ~ tm_end)
    (DATE(created_at, 'Asia/Seoul') BETWEEN tm_start AND tm_end))  
  GROUP BY 1, 2, 3
  UNION ALL
  SELECT DATE_TRUNC(DATE(created_at, 'Asia/Seoul'), MONTH) as kst_month, user_id, 'custom_prompt' as source, COUNT(*) AS gen_count
  FROM `wrtn-data-dev.mongo_cdc_meme.custom_prompt_contents`, config
  WHERE DATE(created_at, 'Asia/Seoul') &gt;= '2026-02-04'
    AND 
    -- 전전월: 1일 ~ 전월 동기 (llm_start ~ llm_end)
    ((DATE(created_at, 'Asia/Seoul') BETWEEN llm_start AND llm_end)
    OR -- 전월: 1일 ~ 전월 동기 (lm_start ~ lm_end)
    (DATE(created_at, 'Asia/Seoul') BETWEEN lm_start AND lm_end)
    OR 
    -- 금월: 1일 ~ 오늘 (tm_start ~ tm_end)
    (DATE(created_at, 'Asia/Seoul') BETWEEN tm_start AND tm_end))  
  GROUP BY 1, 2, 3
  ) a
  GROUP BY 1, 2
),
-- [중요] 모든 날짜와 유저의 유니온 풀을 생성하여 누락 방지
user_date_pool AS (
  SELECT kst_month, user_id FROM payment_data
  UNION DISTINCT
  SELECT kst_month, user_id FROM gen_data
),
paid_cohort AS (
  SELECT
    f.kst_month,
    -- 1. 결제 관련 (u 테이블 기준으로 집계하여 누락 방지)
    COUNT(DISTINCT f.user_id) AS M0_Purchase_Done_User,
    COUNT(DISTINCT CASE WHEN a_next.user_id IS NOT NULL THEN f.user_id END) AS M1_Any_Event_User
  FROM first_payment_data f
  LEFT JOIN any_event_users a_next 
    ON f.user_id = a_next.user_id 
    AND DATE_ADD(f.kst_month, INTERVAL 1 MONTH) = a_next.kst_month
  GROUP BY 1
),
monthly_metrics AS (
  SELECT
    u.kst_month,
    COUNT(DISTINCT p.user_id) AS Purchase_Done_User,    
    SUM(p.net_payment_amount) AS Revenue,
    SUM(p.purchase_count) AS Purchase_Done_Count,
    -- 2. 생성 관련 (p 유무와 상관없이 g에 있으면 모두 집계)
    COUNT(DISTINCT g.user_id) AS Gen_Done_User,
    SUM(g.gen_count) AS Gen_Done_Count
  FROM user_date_pool u
  LEFT JOIN payment_data p ON u.kst_month = p.kst_month AND u.user_id = p.user_id
  LEFT JOIN gen_data g ON u.kst_month = g.kst_month AND u.user_id = g.user_id
  GROUP BY 1
),
monthly_charge AS (
  SELECT 
    DATE_TRUNC(kst_date, MONTH) as kst_month,
    -- Web 결제 건에 대해서만 순매출의 2.28% 계산
    SUM(pay_amt - refund_amt) * 0.3 AS app_charge
  FROM `wrtn-data-dev.wrtn_product_analytics.f__pay_meme`,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
    AND kst_date &gt;= '2025-11-24'
   GROUP BY 1
),
monthly_cost AS (
  SELECT DATE_TRUNC(DATE(created_at, 'Asia/Seoul'), MONTH) as kst_month,
    SUM(cost) * 1400 as total_llm_cost
  FROM `wrtn-data-dev.mongo_meme.generation_costs`, config
  WHERE TRUE
    AND
    -- 전전월: 1일 ~ 전월 동기 (llm_start ~ llm_end)
    ((DATE(created_at, 'Asia/Seoul') BETWEEN llm_start AND llm_end)
    OR -- 전월: 1일 ~ 전월 동기 (lm_start ~ lm_end)
    (DATE(created_at, 'Asia/Seoul') BETWEEN lm_start AND lm_end)
    OR 
    -- 금월: 1일 ~ 오늘 (tm_start ~ tm_end)
    (DATE(created_at, 'Asia/Seoul') BETWEEN tm_start AND tm_end))    
     AND DATE(created_at, 'Asia/Seoul') &gt;= '2025-11-24'
     AND _mongo_deleted = FALSE
  GROUP BY 1
),
new_user AS (
  SELECT ir_user_id as user_id, DATE_TRUNC(kst_date, MONTH) as first_month
  FROM `wrtn-data-dev.wrtn_product_analytics.f__first_act_wrtn`,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 
     AND kst_date &gt;= '2025-11-24' AND kst_date &lt; PARAM_START_DATE
  UNION ALL
  SELECT user_id as user_id, DATE_TRUNC(kst_date, MONTH) as first_month
  FROM `wrtn-data-dev.wrtn_product_analytics.bi_f__first_act_zzem`,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
    AND kst_date &gt;= PARAM_START_DATE     
),
main_view AS (
  SELECT 
    a.kst_month,
    SUM(Main_View_User_New) AS Main_View_User_New,
    SUM(Main_View_User_Normal) AS Main_View_User_Normal
  FROM (
  SELECT DATE_TRUNC(f.kst_date, MONTH) as kst_month
  , count(distinct new_user.user_id) as Main_View_User_New
  , count(distinct f.user_id) - count(distinct new_user.user_id) as Main_View_User_Normal
  FROM `wrtn-data-dev.wrtn_product_analytics.f__mp_meme` as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
    AND kst_date &gt;= '2025-11-24' AND kst_date &lt; PARAM_START_DATE
  group by 1
  UNION ALL
  SELECT DATE_TRUNC(f.kst_date, MONTH) as kst_month
    , count(distinct new_user.user_id) as Main_View_User_New
    , count(distinct f.user_id) - count(distinct new_user.user_id) as Main_View_User_Normal
  FROM `wrtn-data-dev.wrtn_product_analytics.bi_f__mp_zzem`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
    AND kst_date &gt;= PARAM_START_DATE
  GROUP BY 1
  ) a 
  GROUP BY 1
),
product_view AS (
  SELECT 
    a.kst_month,
    SUM(Product_View_User_New) AS Product_View_User_New,
    SUM(Product_View_User_Normal) AS Product_View_User_Normal
  FROM (
  SELECT DATE_TRUNC(f.kst_date, MONTH) as kst_month
  , count(distinct new_user.user_id) as Product_View_User_New
  , count(distinct f.user_id) - count(distinct new_user.user_id) as Product_View_User_Normal
  FROM `wrtn-data-dev.wrtn_product_analytics.f__mp_meme` as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  
    AND kst_date &gt;= '2025-11-24' AND kst_date &lt; PARAM_START_DATE
    AND event_nm in ('view_meme_filter_page', 'view_my_meme_detail_page', 'generate_done')
  group by 1
  UNION ALL
  SELECT DATE_TRUNC(f.kst_date, MONTH) as kst_month
    , count(distinct new_user.user_id) as Product_View_User_New
    , count(distinct f.user_id) - count(distinct new_user.user_id) as Product_View_User_Normal
  FROM `wrtn-data-dev.wrtn_product_analytics.bi_f__mp_zzem`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
    AND event_nm in ('view_meme_filter_detail_page', 'view_meme_custom', 'view_my_meme_detail_page', 'generate_done')
    AND kst_date &gt;= PARAM_START_DATE
  GROUP BY 1
  ) a
  GROUP BY 1
),
gen_view AS (
  SELECT kst_month
  , count(distinct new_user.user_id) as Gen_Done_User_New
  , count(distinct f.user_id) - count(distinct new_user.user_id) as Gen_Done_User_Normal
  FROM gen_data as f, config
  left join new_user on f.user_id = new_user.user_id and f.kst_month = new_user.first_month
  WHERE true
  group by 1
),
paywall_view AS (
  SELECT 
    a.kst_month,
    SUM(Paywall_View_User_New) AS Paywall_View_User_New,
    SUM(Paywall_View_User_Normal) AS Paywall_View_User_Normal
  FROM (
  SELECT DATE_TRUNC(f.kst_date, MONTH) as kst_month
  , count(distinct new_user.user_id) as Paywall_View_User_New
  , count(distinct f.user_id) - count(distinct new_user.user_id) as Paywall_View_User_Normal
  FROM `wrtn-data-dev.wrtn_product_analytics.f__mp_meme` as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
    AND kst_date &gt;= '2025-11-24' AND kst_date &lt; PARAM_START_DATE
    AND event_nm in ('view_meme_paywall_page')
  group by 1
  UNION ALL
  SELECT DATE_TRUNC(f.kst_date, MONTH) as kst_month
    , count(distinct new_user.user_id) as Paywall_View_User_New
    , count(distinct f.user_id) - count(distinct new_user.user_id) as Paywall_View_User_Normal
  FROM `wrtn-data-dev.wrtn_product_analytics.bi_f__mp_zzem`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
    AND event_nm in ('view_paywall_page')
    AND kst_date &gt;= PARAM_START_DATE
  GROUP BY 1  
  ) a 
  GROUP BY 1
),
purchase_done AS (
  SELECT DATE_TRUNC(f.kst_date, MONTH) as kst_month, 
    count(distinct new_user.user_id) as Purchase_Done_User_New
    , count(distinct f.user_id) - count(distinct new_user.user_id) as Purchase_Done_User_Normal
  FROM `wrtn-data-dev.wrtn_product_analytics.f__pay_meme` as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   
    AND kst_date &gt;= '2025-11-24'
  GROUP BY 1
)
SELECT
  dm.kst_month,
  -- 1. Paid Cohort Retention
  SAFE_DIVIDE(M1_Any_Event_User, M0_Purchase_Done_User) AS Paid_Cohort_Retention,
  M1_Any_Event_User,
  M0_Purchase_Done_User,
  -- 2. CVR (이제 정상적인 전체 생성 유저 대비 결제 유저 비율이 나옵니다)
  SAFE_DIVIDE(Purchase_Done_User, Gen_Done_User) AS CVR,
  Purchase_Done_User AS Purchase_Done_User_CVR,
  Gen_Done_User,
  Gen_Done_Count,
  -- 3. ARPPU
  SAFE_DIVIDE(Revenue, Purchase_Done_User) AS ARPPU,
  Revenue,
  Purchase_Done_User AS Purchase_Done_User_ARPPU,
  Purchase_Done_Count,
  -- 4. Margin
  1 - SAFE_DIVIDE(dc.total_llm_cost + app_charge, Revenue) AS Margin_Rate,
  dc.total_llm_cost + app_charge as Cost,
  Revenue as Revenue_,
  -- 5. PMF 서베이
  null as PMF,
  null as VD_User,
  null as SD_User,
  null as ND_User,
  -- 6. 퍼널_New
  null as funnel,
  0 as Install_User_New,
  0 as Sign_Up_User_New,
  Main_View_User_New,
  Product_View_User_New,
  Gen_Done_User_New,
  Paywall_View_User_New,
  Purchase_Done_User_New,
  -- 7. 퍼널_Normal
  null as funnel_Normal,
  Main_View_User_Normal,
  Product_View_User_Normal,
  Gen_Done_User_Normal,
  Paywall_View_User_Normal,
  Purchase_Done_User_Normal
FROM monthly_metrics as dm
LEFT JOIN paid_cohort as pc ON DATE_ADD(pc.kst_month, INTERVAL 1 MONTH) = dm.kst_month
LEFT JOIN monthly_cost as dc ON dm.kst_month = dc.kst_month
LEFT JOIN monthly_charge as dcg ON dm.kst_month = dcg.kst_month
LEFT JOIN main_view as mv ON dm.kst_month = mv.kst_month
LEFT JOIN product_view as pv ON dm.kst_month = pv.kst_month
LEFT JOIN gen_view as gv ON dm.kst_month = gv.kst_month
LEFT JOIN paywall_view as payv ON dm.kst_month = payv.kst_month
LEFT JOIN purchase_done as pd ON dm.kst_month = pd.kst_month
ORDER BY 1;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</si>
  <si>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t>kst_month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</si>
  <si>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config AS (
  -- [자동화] 기준 날짜 및 비교 구간 설정
  SELECT 
    CURRENT_DATE('Asia/Seoul') AS today,
    -- 금월: 1일 ~ 오늘
    DATE_TRUNC(CURRENT_DATE('Asia/Seoul'), MONTH) AS tm_start,
    CURRENT_DATE('Asia/Seoul') AS tm_end,
    -- 전월: 1일 ~ 전월 오늘(동기)
    DATE_TRUNC(DATE_SUB(CURRENT_DATE('Asia/Seoul'), INTERVAL 1 MONTH), MONTH) AS lm_start,
    DATE_SUB(CURRENT_DATE('Asia/Seoul'), INTERVAL 1 MONTH) AS lm_end,
    -- 전전월: 1일 ~ 전전월 오늘(동기)
    DATE_TRUNC(DATE_SUB(CURRENT_DATE('Asia/Seoul'), INTERVAL 2 MONTH), MONTH) AS llm_start,
    DATE_SUB(CURRENT_DATE('Asia/Seoul'), INTERVAL 2 MONTH) AS llm_end
), 
any_event_users AS (
  SELECT 
    DATE_TRUNC(kst_date, MONTH) AS kst_month, 
    user_id
  FROM `wrtn-data-dev.wrtn_product_analytics.f__mp_speaking`, config
  WHERE TRUE
    AND (
      -- 금월 MTD: 1일 ~ 오늘 (tm_start ~ tm_end)
      (kst_date BETWEEN tm_start AND tm_end)
      OR 
      -- 전월 MTD: 1일 ~ 전월 동기 (lm_start ~ lm_end)
      (kst_date BETWEEN lm_start AND lm_end)
    )
    AND kst_date &gt;= '2025-11-24'
  GROUP BY 1, 2
),
first_payment_data AS (
  SELECT 
    DATE_TRUNC(kst_date, MONTH) AS kst_month,
    user_id
  FROM `wrtn-data-dev.wrtn_product_analytics.f__first_pay_speaking`, config
  WHERE TRUE
    AND 
    -- 전전월: 1일 ~ 전월 동기 (llm_start ~ llm_end)
    ((kst_date &gt;= llm_start AND kst_date &lt; lm_start)
    OR -- 전월: 1일 ~ 전월 동기 (lm_start ~ lm_end)
    (kst_date &gt;= lm_start AND kst_date &lt; tm_start))
    AND kst_date &gt;= '2025-12-01'
),
payment_data AS (
  SELECT DATE_TRUNC(kst_date, MONTH) as kst_month, user_id, COUNT(*) AS purchase_count, (SUM(pay_amt) - SUM(refund_amt)) AS net_payment_amount
  FROM `wrtn-data-dev.wrtn_product_analytics.f__pay_speaking`,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AND kst_date &gt;= '2025-12-01'
  GROUP BY 1, 2
),
gen_data AS (
  SELECT 
    DATE_TRUNC(DATE(created_at, 'Asia/Seoul'), MONTH) as kst_month, 
    user_id, 
    COUNT(*) AS gen_count
  FROM `mongo_wrtn_api.language_call_messages`, config
  WHERE TRUE
    AND 
    -- 전전월: 1일 ~ 전월 동기 (llm_start ~ llm_end)
    ((DATE(created_at, 'Asia/Seoul') BETWEEN llm_start AND llm_end)
    OR -- 전월: 1일 ~ 전월 동기 (lm_start ~ lm_end)
    (DATE(created_at, 'Asia/Seoul') BETWEEN lm_start AND lm_end)
    OR 
    -- 금월: 1일 ~ 오늘 (tm_start ~ tm_end)
    (DATE(created_at, 'Asia/Seoul') BETWEEN tm_start AND tm_end))  
    AND role = 'assistant'
    AND DATE(created_at, 'Asia/Seoul') &gt;= '2025-12-01'
  GROUP BY 1, 2
),
-- [중요] 모든 날짜와 유저의 유니온 풀을 생성하여 누락 방지
user_date_pool AS (
  SELECT kst_month, user_id FROM payment_data
  UNION DISTINCT
  SELECT kst_month, user_id FROM gen_data
),
paid_cohort AS (
  SELECT
    f.kst_month,
    -- 1. 결제 관련 (u 테이블 기준으로 집계하여 누락 방지)
    COUNT(DISTINCT f.user_id) AS M0_Purchase_Done_User,
    COUNT(DISTINCT CASE WHEN a_next.user_id IS NOT NULL THEN f.user_id END) AS M1_Any_Event_User
  FROM first_payment_data f
  LEFT JOIN any_event_users a_next 
    ON f.user_id = a_next.user_id 
    AND DATE_ADD(f.kst_month, INTERVAL 1 MONTH) = a_next.kst_month
  GROUP BY 1
),
monthly_metrics AS (
  SELECT
    u.kst_month,
    COUNT(DISTINCT p.user_id) AS Purchase_Done_User,    
    SUM(p.net_payment_amount) AS Revenue,
    SUM(p.purchase_count) AS Purchase_Done_Count,
    -- 2. 생성 관련 (p 유무와 상관없이 g에 있으면 모두 집계)
    COUNT(DISTINCT g.user_id) AS Gen_Done_User,
    SUM(g.gen_count) AS Gen_Done_Count
  FROM user_date_pool u
  LEFT JOIN payment_data p ON u.kst_month = p.kst_month AND u.user_id = p.user_id
  LEFT JOIN gen_data g ON u.kst_month = g.kst_month AND u.user_id = g.user_id
  GROUP BY 1
),
monthly_charge AS (
  SELECT 
    DATE_TRUNC(kst_date, MONTH) as kst_month,
    -- Web 결제 건에 대해서만 순매출의 2.28% 계산
    SUM(pay_amt - refund_amt) * 0.3 AS app_charge
  FROM `wrtn-data-dev.wrtn_product_analytics.f__pay_speaking`,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AND kst_date &gt;= '2025-12-01'
   GROUP BY 1
),
monthly_cost AS (
  SELECT DATE_TRUNC(kst_created_date, MONTH) as kst_month,
    SUM(total_discounted_cost) * 1400 AS total_llm_cost
  FROM `wrtn_product_analytics.f__request_product`, config
  WHERE TRUE
    AND 
    -- 전전월: 1일 ~ 전월 동기 (llm_start ~ llm_end)
    ((kst_created_date BETWEEN llm_start AND llm_end)
    OR -- 전월: 1일 ~ 전월 동기 (lm_start ~ lm_end)
    (kst_created_date BETWEEN lm_start AND lm_end)
    OR 
    -- 금월: 1일 ~ 오늘 (tm_start ~ tm_end)
    (kst_created_date BETWEEN tm_start AND tm_end))
    AND kst_created_date &gt;= '2025-12-01'
    AND product = 'speaking'
  GROUP BY 1
),
new_user AS (
  SELECT ir_user_id as user_id, DATE_TRUNC(kst_date, MONTH) as first_month
  FROM `wrtn-data-dev.wrtn_product_analytics.f__first_act_wrtn`,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AND kst_date &gt;= '2025-12-01'
),
main_view AS (
  SELECT DATE_TRUNC(f.kst_date, MONTH) as kst_month
  , count(distinct new_user.user_id) as Main_View_User_New
  , count(distinct f.user_id) - count(distinct new_user.user_id) as Main_View_User_Normal
  FROM `wrtn-data-dev.wrtn_product_analytics.f__mp_speaking` as f
  left join new_user on f.user_id = new_user.user_id and DATE_TRUNC(f.kst_date, MONTH) = new_user.first_month
  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 AND kst_date &gt;= '2025-12-01'
  group by 1
),
product_view AS (
  SELECT DATE_TRUNC(f.kst_date, MONTH) as kst_month
  , count(distinct new_user.user_id) as Product_View_User_New
  , count(distinct f.user_id) - count(distinct new_user.user_id) as Product_View_User_Normal
  FROM `wrtn-data-dev.wrtn_product_analytics.f__mp_speaking` as f
  left join new_user on f.user_id = new_user.user_id and DATE_TRUNC(f.kst_date, MONTH) = new_user.first_month
  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 AND kst_date &gt;= '2025-12-01'
     AND event_nm in (
      -- 메인 진입 점
      'click_wrtn_speaking_entrance_supporter_call',
      'click_wrtn_speaking_entrance_speaking_home_call',
      'click_speaking_main_call_btn',
      -- 부가 기능
      'click_wrtn_speaking_topic_chip',
      'click_wrtn_speaking_mode_switch',
      'click_wrtn_speaking_recommended',
      'click_wrtn_speaking_rerecord',
      'click_wrtn_speaking_replay',
      'click_wrtn_speaking_tip',
      'click_wrtn_speaking_translation',
      -- 생성
      'generate_done',
      -- 지난 대화 및 맞춤 레슨
      'click_speaking_main_last_conversation_btn',
      'click_speaking_last_conversation_tab',
      'view_speaking_last_conversation_list_page', 
      'view_speaking_last_conversation_detail_page',
      'view_speaking_fit_lesson_practice_expression_intro_page',
      'view_speaking_fit_lesson_list_page', 
      'view_speaking_fit_lesson_page',
      -- 결제
      'imp_speaking_paywall_purchase_btn',
      'click_speaking_paywall_purchase_btn',
      'imp_speaking_fit_lesson_paywall_cta_btn', 
      'click_speaking_fit_lesson_paywall_cta_btn',
      'imp_speaking_my_page_paywall_cta_banner',
      'click_speaking_my_page_paywall_cta_banner'      
    )  
    group by 1
),
gen_view AS (
  SELECT DATE_TRUNC(DATE(f.created_at, 'Asia/Seoul'), MONTH) as kst_month
  , count(distinct new_user.user_id) as Gen_Done_User_New
  , count(distinct f.user_id) - count(distinct new_user.user_id) as Gen_Done_User_Normal
  FROM `mongo_wrtn_api.language_call_messages` as f, config
  left join new_user on f.user_id = new_user.user_id and DATE_TRUNC(DATE(f.created_at, 'Asia/Seoul'), MONTH) = new_user.first_month
  WHERE TRUE
    AND 
    -- 전전월: 1일 ~ 전월 동기 (llm_start ~ llm_end)
    ((DATE(created_at, 'Asia/Seoul') BETWEEN llm_start AND llm_end)
    OR -- 전월: 1일 ~ 전월 동기 (lm_start ~ lm_end)
    (DATE(created_at, 'Asia/Seoul') BETWEEN lm_start AND lm_end)
    OR 
    -- 금월: 1일 ~ 오늘 (tm_start ~ tm_end)
    (DATE(created_at, 'Asia/Seoul') BETWEEN tm_start AND tm_end))    
    AND DATE(created_at, 'Asia/Seoul') &gt;= '2025-12-01'
  group by 1
),
paywall_view AS (
  SELECT DATE_TRUNC(f.kst_date, MONTH) as kst_month
    , count(distinct new_user.user_id) as Paywall_View_User_New
    , count(distinct f.user_id) - count(distinct new_user.user_id) as Paywall_View_User_Normal
  FROM `wrtn-data-dev.wrtn_product_analytics.f__mp_speaking` as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AND kst_date &gt;= '2025-12-01'
    AND event_nm in (
      'imp_speaking_paywall_purchase_btn',
      'click_speaking_paywall_purchase_btn',
      'imp_speaking_fit_lesson_paywall_cta_btn', 
      'click_speaking_fit_lesson_paywall_cta_btn',
      'imp_speaking_my_page_paywall_cta_banner',
      'click_speaking_my_page_paywall_cta_banner'
    )  
  group by 1
),
purchase_done AS (
  SELECT DATE_TRUNC(f.kst_date, MONTH) as kst_month, 
    count(distinct new_user.user_id) as Purchase_Done_User_New
    , count(distinct f.user_id) - count(distinct new_user.user_id) as Purchase_Done_User_Normal
  FROM `wrtn-data-dev.wrtn_product_analytics.f__pay_speaking` as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
    AND kst_date &gt;= '2025-12-01'
  GROUP BY 1
)
SELECT
  dm.kst_month,
  -- 1. Paid Cohort Retention
  SAFE_DIVIDE(M1_Any_Event_User, M0_Purchase_Done_User) AS Paid_Cohort_Retention,
  M1_Any_Event_User,
  M0_Purchase_Done_User,
  -- 2. CVR (이제 정상적인 전체 생성 유저 대비 결제 유저 비율이 나옵니다)
  SAFE_DIVIDE(Purchase_Done_User, Gen_Done_User) AS CVR,
  Purchase_Done_User AS Purchase_Done_User_CVR,
  Gen_Done_User,
  Gen_Done_Count,
  -- 3. ARPPU
  SAFE_DIVIDE(Revenue, Purchase_Done_User) AS ARPPU,
  Revenue,
  Purchase_Done_User AS Purchase_Done_User_ARPPU,
  Purchase_Done_Count,
  -- 4. Margin
  1 - SAFE_DIVIDE(dc.total_llm_cost + app_charge, Revenue) AS Margin_Rate,
  dc.total_llm_cost + COALESCE(app_charge, 0) as Cost,
  Revenue as Revenue_,
  -- 5. PMF 서베이
  null as PMF,
  null as VD_User,
  null as SD_User,
  null as ND_User,
  -- 6. 퍼널_New
  null as funnel,
  0 as Install_User_New,
  0 as Sign_Up_User_New,
  Main_View_User_New,
  Product_View_User_New,
  Gen_Done_User_New,
  Paywall_View_User_New,
  Purchase_Done_User_New,
  -- 7. 퍼널_Normal
  null as funnel_Normal,
  Main_View_User_Normal,
  Product_View_User_Normal,
  Gen_Done_User_Normal,
  Paywall_View_User_Normal,
  Purchase_Done_User_Normal
FROM monthly_metrics as dm
LEFT JOIN paid_cohort as pc ON DATE_ADD(pc.kst_month, INTERVAL 1 MONTH) = dm.kst_month
LEFT JOIN monthly_cost as dc ON dm.kst_month = dc.kst_month
LEFT JOIN monthly_charge as dcg ON dm.kst_month = dcg.kst_month
LEFT JOIN main_view as mv ON dm.kst_month = mv.kst_month
LEFT JOIN product_view as pv ON dm.kst_month = pv.kst_month
LEFT JOIN gen_view as gv ON dm.kst_month = gv.kst_month
LEFT JOIN paywall_view as payv ON dm.kst_month = payv.kst_month
LEFT JOIN purchase_done as pd ON dm.kst_month = pd.kst_month
ORDER BY 1;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</si>
  <si>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config AS (
  -- [자동화] 기준 날짜 및 비교 구간 설정
  SELECT 
    CURRENT_DATE('Asia/Seoul') AS today,
    -- 금월: 1일 ~ 오늘
    DATE_TRUNC(CURRENT_DATE('Asia/Seoul'), MONTH) AS tm_start,
    CURRENT_DATE('Asia/Seoul') AS tm_end,
    -- 전월: 1일 ~ 전월 오늘(동기)
    DATE_TRUNC(DATE_SUB(CURRENT_DATE('Asia/Seoul'), INTERVAL 1 MONTH), MONTH) AS lm_start,
    DATE_SUB(CURRENT_DATE('Asia/Seoul'), INTERVAL 1 MONTH) AS lm_end,
    -- 전전월: 1일 ~ 전전월 오늘(동기)
    DATE_TRUNC(DATE_SUB(CURRENT_DATE('Asia/Seoul'), INTERVAL 2 MONTH), MONTH) AS llm_start,
    DATE_SUB(CURRENT_DATE('Asia/Seoul'), INTERVAL 2 MONTH) AS llm_end 
), 
any_event_users AS (
  SELECT 
    DATE_TRUNC(kst_date, MONTH) AS kst_month, 
    user_id
  FROM `wrtn-data-dev.wrtn_product_analytics.f__mp_fortune`, config
  WHERE TRUE
    AND (
      -- 금월 MTD: 1일 ~ 오늘 (tm_start ~ tm_end)
      (kst_date BETWEEN tm_start AND tm_end)
      OR 
      -- 전월 MTD: 1일 ~ 전월 동기 (lm_start ~ lm_end)
      (kst_date BETWEEN lm_start AND lm_end)
    )
    AND kst_date &gt;= '2025-12-01'
  GROUP BY 1,2
),
first_payment_data AS (
  SELECT 
    DATE_TRUNC(kst_date, MONTH) AS kst_month,
    user_id
  FROM (
  SELECT user_id, MIN(kst_date) AS kst_date
  FROM `wrtn-data-dev.wrtn_product_analytics.f__pay_fortune`
  WHERE kst_date IS NOT NULL
  GROUP BY 1    
  ), config
  WHERE TRUE
    AND 
    -- 전전월: 1일 ~ 전월 동기 (llm_start ~ llm_end)
    ((kst_date &gt;= llm_start AND kst_date &lt; lm_start)
    OR -- 전월: 1일 ~ 전월 동기 (lm_start ~ lm_end)
    (kst_date &gt;= lm_start AND kst_date &lt; tm_start))
     AND kst_date &gt;= '2025-12-01'
),
payment_data AS (
  SELECT DATE_TRUNC(kst_date, MONTH) as kst_month, user_id, COUNT(*) AS purchase_count, (SUM(pay_amt) - SUM(refund_amt)) AS net_payment_amount
  FROM `wrtn-data-dev.wrtn_product_analytics.f__pay_fortune`,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GROUP BY 1, 2
),
gen_data AS (
  SELECT DATE_TRUNC(DATE(created_at, 'Asia/Seoul'), MONTH) as kst_month, user_id, COUNT(*) AS gen_count
  FROM `wrtn-data-dev.mongo_cdc_fortune_api.saju_reports`, config
  WHERE TRUE
    AND 
    -- 전전월: 1일 ~ 전월 동기 (llm_start ~ llm_end)
    ((DATE(created_at, 'Asia/Seoul') BETWEEN llm_start AND llm_end)
    OR -- 전월: 1일 ~ 전월 동기 (lm_start ~ lm_end)
    (DATE(created_at, 'Asia/Seoul') BETWEEN lm_start AND lm_end)
    OR 
    -- 금월: 1일 ~ 오늘 (tm_start ~ tm_end)
    (DATE(created_at, 'Asia/Seoul') BETWEEN tm_start AND tm_end))  
  GROUP BY 1, 2
),
-- [중요] 모든 날짜와 유저의 유니온 풀을 생성하여 누락 방지
user_date_pool AS (
  SELECT kst_month, user_id FROM payment_data
  UNION DISTINCT
  SELECT kst_month, user_id FROM gen_data
),
paid_cohort AS (
  SELECT
    f.kst_month,
    -- 1. 결제 관련 (u 테이블 기준으로 집계하여 누락 방지)
    COUNT(DISTINCT f.user_id) AS M0_Purchase_Done_User,
    COUNT(DISTINCT CASE WHEN a_next.user_id IS NOT NULL THEN f.user_id END) AS M1_Any_Event_User
  FROM first_payment_data f
  LEFT JOIN any_event_users a_next 
    ON f.user_id = a_next.user_id 
    AND DATE_ADD(f.kst_month, INTERVAL 1 MONTH) = a_next.kst_month
  GROUP BY 1
),
monthly_metrics AS (
  SELECT
    u.kst_month,
    COUNT(DISTINCT p.user_id) AS Purchase_Done_User,    
    SUM(p.net_payment_amount) AS Revenue,
    SUM(p.purchase_count) AS Purchase_Done_Count,
    -- 2. 생성 관련 (p 유무와 상관없이 g에 있으면 모두 집계)
    COUNT(DISTINCT g.user_id) AS Gen_Done_User,
    SUM(g.gen_count) AS Gen_Done_Count
  FROM user_date_pool u
  LEFT JOIN payment_data p ON u.kst_month = p.kst_month AND u.user_id = p.user_id
  LEFT JOIN gen_data g ON u.kst_month = g.kst_month AND u.user_id = g.user_id
  GROUP BY 1
),
monthly_charge AS (
  SELECT 
    DATE_TRUNC(kst_date, MONTH) AS kst_month, 
    SUM(IF(method = 'Web', pay_amt - refund_amt, 0)) * 0.0228 AS web_charge,
    SUM(IF(method != 'Web', pay_amt - refund_amt, 0)) * 0.3 AS app_charge
  FROM `wrtn-data-dev.wrtn_product_analytics.f__pay_fortune`,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AND kst_date &gt;= '2025-12-01'
   GROUP BY 1
),
monthly_cost AS (
  SELECT
    DATE_TRUNC(kst_created_date, MONTH) AS kst_month,
    SUM(total_discounted_cost) * 1400 AS total_llm_cost
  FROM `wrtn_product_analytics.f__request_product`, config
  WHERE TRUE
    AND 
    -- 전전월: 1일 ~ 전월 동기 (llm_start ~ llm_end)
    ((kst_created_date BETWEEN llm_start AND llm_end)
    OR -- 전월: 1일 ~ 전월 동기 (lm_start ~ lm_end)
    (kst_created_date BETWEEN lm_start AND lm_end)
    OR 
    -- 금월: 1일 ~ 오늘 (tm_start ~ tm_end)
    (kst_created_date BETWEEN tm_start AND tm_end)) 
     AND kst_created_date &gt;= '2025-12-01'
     AND product = 'fortune'
  GROUP BY 1
),
new_user AS (
  SELECT ir_user_id as user_id, DATE_TRUNC(kst_date, MONTH) as first_month
  FROM `wrtn-data-dev.wrtn_product_analytics.f__first_act_wrtn`,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 AND kst_date &gt;= '2025-12-01'
),
main_view AS (
  SELECT DATE_TRUNC(f.kst_date, MONTH) as kst_month
  , count(distinct new_user.user_id) as Main_View_User_New
  , count(distinct f.user_id) - count(distinct new_user.user_id) as Main_View_User_Normal
  FROM `wrtn-data-dev.wrtn_product_analytics.f__mp_fortune` as f
  left join new_user on f.user_id = new_user.user_id and DATE_TRUNC(f.kst_date, MONTH) = new_user.first_month
  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 AND kst_date &gt;= '2025-12-01'
  group by 1
),
product_view AS (
  SELECT DATE_TRUNC(f.kst_date, MONTH) as kst_month
  , count(distinct new_user.user_id) as Product_View_User_New
  , count(distinct f.user_id) - count(distinct new_user.user_id) as Product_View_User_Normal
  FROM `wrtn-data-dev.wrtn_product_analytics.f__mp_fortune` as f
  left join new_user on f.user_id = new_user.user_id and DATE_TRUNC(f.kst_date, MONTH) = new_user.first_month
  , config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 AND kst_date &gt;= '2025-12-01'
    AND event_nm in ('view_fortune_free_content_page', 'view_fortune_content_page', 'view_fortune_preview_report_page')
  group by 1
),
gen_view AS (
  SELECT DATE_TRUNC(DATE(f.created_at, 'Asia/Seoul'), MONTH) as kst_month
  , count(distinct new_user.user_id) as Gen_Done_User_New
  , count(distinct f.user_id) - count(distinct new_user.user_id) as Gen_Done_User_Normal
  FROM `wrtn-data-dev.mongo_cdc_fortune_api.saju_reports` as f, config
  left join new_user on f.user_id = new_user.user_id and DATE_TRUNC(DATE(f.created_at, 'Asia/Seoul'), MONTH) = new_user.first_month
  WHERE TRUE
    AND 
    -- 전전월: 1일 ~ 전월 동기 (llm_start ~ llm_end)
    ((DATE(created_at, 'Asia/Seoul') BETWEEN llm_start AND llm_end)
    OR -- 전월: 1일 ~ 전월 동기 (lm_start ~ lm_end)
    (DATE(created_at, 'Asia/Seoul') BETWEEN lm_start AND lm_end)
    OR 
    -- 금월: 1일 ~ 오늘 (tm_start ~ tm_end)
    (DATE(created_at, 'Asia/Seoul') BETWEEN tm_start AND tm_end))  
    AND DATE(created_at, 'Asia/Seoul') &gt;= '2025-11-24'
  group by 1
),
paywall_view AS (
  SELECT DATE_TRUNC(f.kst_date, MONTH) as kst_month
    , count(distinct new_user.user_id) as Paywall_View_User_New
    , count(distinct f.user_id) - count(distinct new_user.user_id) as Paywall_View_User_Normal
  FROM `wrtn-data-dev.wrtn_product_analytics.f__mp_fortune` as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
    AND kst_date &gt;= '2025-11-24'
    AND event_nm in ('view_fortune_paywall_page', 'imp_fortune_paywall_purchase_btn', 'click_fortune_paywall_purchase_btn')
  group by 1
),
purchase_done AS (
  SELECT DATE_TRUNC(f.kst_date, MONTH) as kst_month, 
    count(distinct new_user.user_id) as Purchase_Done_User_New
    , count(distinct f.user_id) - count(distinct new_user.user_id) as Purchase_Done_User_Normal
  FROM `wrtn-data-dev.wrtn_product_analytics.f__pay_fortune` as f, config
  left join new_user on f.user_id = new_user.user_id and DATE_TRUNC(f.kst_date, MONTH) = new_user.first_month
  WHERE TRUE
    AND 
    -- 전전월: 1일 ~ 전월 동기 (llm_start ~ llm_end)
    ((kst_date BETWEEN llm_start AND llm_end)
    OR -- 전월: 1일 ~ 전월 동기 (lm_start ~ lm_end)
    (kst_date BETWEEN lm_start AND lm_end)
    OR 
    -- 금월: 1일 ~ 오늘 (tm_start ~ tm_end)
    (kst_date BETWEEN tm_start AND tm_end)) 
    AND kst_date &gt;= '2025-12-01'
  GROUP BY 1
)
SELECT
  dm.kst_month,
  -- 1. Paid Cohort Retention
  SAFE_DIVIDE(M1_Any_Event_User, M0_Purchase_Done_User) AS Paid_Cohort_Retention,
  M1_Any_Event_User AS M1_Any_Event_user,
  M0_Purchase_Done_User AS M0_Purchase_Done_User,
  -- 2. CVR (이제 정상적인 전체 생성 유저 대비 결제 유저 비율이 나옵니다)
  SAFE_DIVIDE(Purchase_Done_User, Gen_Done_User) AS CVR,
  Purchase_Done_User AS Purchase_Done_User_CVR,
  Gen_Done_User,
  Gen_Done_Count,
  -- 3. ARPPU
  SAFE_DIVIDE(Revenue, Purchase_Done_User) AS ARPPU,
  Revenue AS Revenue,
  Purchase_Done_User AS Purchase_Done_User_ARPPU,
  Purchase_Done_Count AS Purchase_Done_Count,
  -- 4. Margin
  1 - SAFE_DIVIDE(COALESCE(dc.total_llm_cost,0) + COALESCE(dcg.app_charge, 0) + COALESCE(dcg.web_charge, 0), Revenue) AS Margin_Rate,
  COALESCE(dc.total_llm_cost, 0) + COALESCE(app_charge, 0) + COALESCE(web_charge, 0) as Cost,
  Revenue as Revenue_,
  -- 5. PMF 서베이
  null as PMF,
  null as VD_User,
  null as SD_User,
  null as ND_User,
  -- 6. 퍼널_New
  null as funnel,
  0 as Install_User_New,
  0 as Sign_Up_User_New,
  Main_View_User_New,
  Product_View_User_New,
  Gen_Done_User_New,
  Paywall_View_User_New,
  Purchase_Done_User_New,
  -- 7. 퍼널_Normal
  null as funnel_Normal,
  Main_View_User_Normal,
  Product_View_User_Normal,
  Gen_Done_User_Normal,
  Paywall_View_User_Normal,
  Purchase_Done_User_Normal
FROM monthly_metrics as dm
LEFT JOIN paid_cohort as pc ON DATE_ADD(pc.kst_month, INTERVAL 1 MONTH) = dm.kst_month
LEFT JOIN monthly_cost as dc ON dm.kst_month = dc.kst_month
LEFT JOIN monthly_charge as dcg ON dm.kst_month = dcg.kst_month
LEFT JOIN main_view as mv ON dm.kst_month = mv.kst_month
LEFT JOIN product_view as pv ON dm.kst_month = pv.kst_month
LEFT JOIN gen_view as gv ON dm.kst_month = gv.kst_month
LEFT JOIN paywall_view as payv ON dm.kst_month = payv.kst_month
LEFT JOIN purchase_done as pd ON dm.kst_month = pd.kst_month
ORDER BY 1;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</si>
  <si>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t>M1_Any_Event_user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</si>
  <si>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 xml:space="preserve">: WITH any_event_users AS (
  SELECT DATE_TRUNC(kst_date, WEEK(MONDAY)) AS kst_week, user_id
  FROM `wrtn-data-dev.wrtn_product_analytics.f__mp_crack`
  WHERE kst_date &gt;= '2025-12-01'
  GROUP BY 1, 2
),
first_payment_data AS (
  SELECT DATE_TRUNC(kst_date, WEEK(MONDAY)) AS kst_week, user_id
  FROM `wrtn-data-dev.wrtn_product_analytics.f__first_pay_crack`
  WHERE kst_date &gt;= '2025-12-01'
),
payment_data AS (
  SELECT DATE_TRUNC(kst_date, WEEK(MONDAY)) as kst_week, user_id, method,
  COUNT(*) AS purchase_count, (SUM(pay_amt) - SUM(refund_amt)) AS net_payment_amount
  FROM `wrtn-data-dev.wrtn_product_analytics.f__pay_crack`
  WHERE kst_date &gt;= '2025-12-01'
  GROUP BY 1, 2, 3
),
gen_data AS (
  SELECT DATE_TRUNC(kst_date, WEEK(MONDAY)) as kst_week, user_id, COUNT(DISTINCT message_id) AS gen_count
  FROM (
    SELECT
      message_id AS message_id,
      kst_created_date AS kst_date,
      user_id
    FROM
      `wrtn-data-dev.wrtn_product_analytics.core_fact__messages__crack`
    WHERE
      kst_created_date &gt;= '2025-12-01'
      AND role = 'assistant'
      AND user_id is not null
    UNION ALL
    select _id as message_id, DATE(created_at, 'Asia/Seoul') as kst_date, user_id
      from `mongo_crack.single_character_messages`
      where role = 'assistant'
      AND date(created_at, 'Asia/Seoul') &gt;= '2025-12-01'
    UNION ALL
    select _id as message_id, DATE(created_at, 'Asia/Seoul') as kst_date, user_id
      from `mongo_crack.party_chat_messages`
      where role = 'assistant'
      AND date(created_at, 'Asia/Seoul') &gt;= '2025-12-01'
    UNION ALL
    select _id as message_id, DATE(created_at, 'Asia/Seoul') as kst_date, user_id
      from `mongo_crack.game_histories`
     where role = 'assistant'
      AND date(created_at, 'Asia/Seoul') &gt;= '2025-12-01'
  )
  GROUP BY 1,2
),
-- [중요] 모든 날짜와 유저의 유니온 풀을 생성하여 누락 방지
user_date_pool AS (
  SELECT kst_week, user_id FROM first_payment_data
  UNION DISTINCT
  SELECT kst_week, user_id FROM payment_data
  UNION DISTINCT
  SELECT kst_week, user_id FROM gen_data
),
weekly_metrics AS (
  SELECT
    u.kst_week,
    -- 1. 결제 관련 (u 테이블 기준으로 집계하여 누락 방지)
    COUNT(DISTINCT f.user_id) AS W0_Purchase_Done_User,
    COUNT(DISTINCT CASE WHEN a_next.user_id IS NOT NULL THEN f.user_id END) AS W1_Any_Event_User,
    COUNT(DISTINCT p.user_id) AS Purchase_Done_User,    
    SUM(p.net_payment_amount) AS Revenue,
    SUM(p.purchase_count) AS Purchase_Done_Count,
    -- 2. 생성 관련 (p 유무와 상관없이 g에 있으면 모두 집계)
    COUNT(DISTINCT g.user_id) AS Gen_Done_User,
    SUM(g.gen_count) AS Gen_Done_Count
  FROM user_date_pool u
  LEFT JOIN first_payment_data f ON u.kst_week = f.kst_week AND u.user_id = f.user_id
  LEFT JOIN payment_data p ON u.kst_week = p.kst_week AND u.user_id = p.user_id
  LEFT JOIN gen_data g ON u.kst_week = g.kst_week AND u.user_id = g.user_id
  LEFT JOIN any_event_users a_next 
    ON f.user_id = a_next.user_id 
    AND DATE_ADD(f.kst_week, INTERVAL 1 WEEK) = a_next.kst_week
  GROUP BY 1
),
weekly_charge AS (
  SELECT 
    DATE_TRUNC(kst_date, WEEK(MONDAY)) as kst_week, 
    SUM(IF(method = 'Web', pay_amt - refund_amt, 0)) * 0.0228 AS web_charge,
    SUM(IF(method != 'Web', pay_amt - refund_amt, 0)) * 0.3 AS app_charge
  FROM `wrtn-data-dev.wrtn_product_analytics.f__pay_crack`
  WHERE kst_date &gt;= '2025-12-01'
  GROUP BY 1
),
weekly_cost AS (
  SELECT
    DATE_TRUNC(kst_created_date, WEEK(MONDAY)) AS kst_week,
    SUM(total_discounted_cost) * 1400 AS total_llm_cost
  FROM `wrtn_product_analytics.f__request_product`
  WHERE kst_created_date &gt;= '2025-12-01' 
    AND product = 'crack'
  GROUP BY 1
),
new_user AS (select ir_user_id as user_id, DATE_TRUNC(kst_date, WEEK(MONDAY)) as first_week
FROM `wrtn-data-dev.wrtn_product_analytics.f__first_act_crack`
WHERE kst_date &gt;= '2025-12-01'),
main_view AS (
  SELECT DATE_TRUNC(f.kst_date, WEEK(MONDAY)) as kst_week
  , count(distinct new_user.user_id) as Main_View_User_New
  , count(distinct f.user_id) - count(distinct new_user.user_id) as Main_View_User_Normal
  FROM `wrtn-data-dev.wrtn_product_analytics.f__mp_crack` as f
  left join new_user on f.user_id = new_user.user_id and DATE_TRUNC(f.kst_date, WEEK(MONDAY)) = new_user.first_week
  WHERE true
    AND kst_date &gt;= '2025-12-01'
  group by 1
),
product_view AS (
  SELECT DATE_TRUNC(f.kst_date, WEEK(MONDAY)) as kst_week
  , count(distinct new_user.user_id) as Product_View_User_New
  , count(distinct f.user_id) - count(distinct new_user.user_id) as Product_View_User_Normal
  FROM `wrtn-data-dev.wrtn_product_analytics.f__mp_crack` as f
  left join new_user on f.user_id = new_user.user_id and DATE_TRUNC(f.kst_date, WEEK(MONDAY)) = new_user.first_week
  WHERE true
    AND kst_date &gt;= '2025-12-01'
    AND event_nm in ('view_character_detail', 'click_character_card', 'view_single_character_detail', 'click_single_character_card')
  group by 1
),
gen_view AS (
  SELECT kst_week
  , count(distinct new_user.user_id) as Gen_Done_User_New
  , count(distinct f.user_id) - count(distinct new_user.user_id) as Gen_Done_User_Normal
  FROM gen_data as f
  left join new_user on f.user_id = new_user.user_id and f.kst_week = new_user.first_week
  WHERE true
    AND kst_week &gt;= '2025-12-01'
  group by 1
),
paywall_view AS (
  SELECT DATE_TRUNC(kst_date, WEEK(MONDAY)) as kst_week
  , count(distinct new_user.user_id) as Paywall_View_User_New
  , count(distinct f.user_id) - count(distinct new_user.user_id) as Paywall_View_User_Normal
  FROM `wrtn-data-dev.wrtn_product_analytics.f__mp_crack` as f
  left join new_user on f.user_id = new_user.user_id and DATE_TRUNC(f.kst_date, WEEK(MONDAY)) = new_user.first_week
  WHERE true
    AND kst_date &gt;= '2025-12-01'
    AND event_nm in ('view_character_cracker_page', 'click_cracker_purchase_btn', 'expose_cracker_purchase_bottom_sheet')
  group by 1
),
purchase_done AS (
  SELECT DATE_TRUNC(kst_date, WEEK(MONDAY)) as kst_week, count(distinct new_user.user_id) as Purchase_Done_User_New
  , count(distinct f.user_id) - count(distinct new_user.user_id) as Purchase_Done_User_Normal
  FROM `wrtn-data-dev.wrtn_product_analytics.f__pay_crack` as f
  left join new_user on f.user_id = new_user.user_id and DATE_TRUNC(f.kst_date, WEEK(MONDAY)) = new_user.first_week
  WHERE kst_date &gt;= '2025-12-01'
  GROUP BY 1
)
SELECT
  dm.kst_week,
  -- 1. Paid Cohort Retention
  SAFE_DIVIDE(W1_Any_Event_User, W0_Purchase_Done_User) AS Paid_Cohort_Retention,
  W1_Any_Event_User,
  W0_Purchase_Done_User,
  -- 2. CVR (이제 정상적인 전체 생성 유저 대비 결제 유저 비율이 나옵니다)
  SAFE_DIVIDE(Purchase_Done_User, Gen_Done_User) AS CVR,
  Purchase_Done_User AS Purchase_Done_User_CVR,
  Gen_Done_User,
  Gen_Done_Count,
  -- 3. ARPPU
  SAFE_DIVIDE(Revenue, Purchase_Done_User) AS ARPPU,
  Revenue,
  Purchase_Done_User AS Purchase_Done_User_ARPPU,
  Purchase_Done_Count,
  -- 4. Margin
  1 - SAFE_DIVIDE(dc.total_llm_cost + app_charge, Revenue) AS Margin_Rate,
  dc.total_llm_cost + app_charge as Cost,
  Revenue as Revenue_,
  -- 5. PMF 서베이
  null as PMF,
  null as VD_User,
  null as SD_User,
  null as ND_User,
  -- 6. 퍼널_New
  null as funnel,
  0 as Install_User_New,
  0 as Sign_Up_User_New,
  Main_View_User_New,
  Product_View_User_New,
  Gen_Done_User_New,
  Paywall_View_User_New,
  Purchase_Done_User_New,
  -- 7. 퍼널_Normal
  null as funnel_Normal,
  Main_View_User_Normal,
  Product_View_User_Normal,
  Gen_Done_User_Normal,
  Paywall_View_User_Normal,
  Purchase_Done_User_Normal
FROM weekly_metrics as dm
left join weekly_cost as dc on dm.kst_week = dc.kst_week
left join weekly_charge as dcg on dm.kst_week = dcg.kst_week
left join main_view as mv on dm.kst_week = mv.kst_week
left join product_view as pv on dm.kst_week = pv.kst_week
left join gen_view as gv on dm.kst_week = gv.kst_week
left join paywall_view as payv on dm.kst_week = payv.kst_week
left join purchase_done as pd on dm.kst_week = pd.kst_week
ORDER BY kst_week;
  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</si>
  <si>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t>kst_week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</si>
  <si>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 xml:space="preserve">: WITH any_event_users AS (
  SELECT DATE_TRUNC(kst_date, MONTH) AS kst_month, user_id
  FROM `wrtn-data-dev.wrtn_product_analytics.f__mp_crack`
  WHERE kst_date &gt;= '2025-12-01'
  GROUP BY 1, 2
),
first_payment_data AS (
  SELECT DATE_TRUNC(kst_date, MONTH) AS kst_month, user_id
  FROM `wrtn-data-dev.wrtn_product_analytics.f__first_pay_crack`
  WHERE kst_date &gt;= '2025-12-01'
),
payment_data AS (
  SELECT DATE_TRUNC(kst_date, MONTH) as kst_month, user_id, method,
  COUNT(*) AS purchase_count, (SUM(pay_amt) - SUM(refund_amt)) AS net_payment_amount
  FROM `wrtn-data-dev.wrtn_product_analytics.f__pay_crack`
  WHERE kst_date &gt;= '2025-12-01'
  GROUP BY 1, 2, 3
),
gen_data AS (
  SELECT DATE_TRUNC(kst_date, MONTH) as kst_month, user_id, COUNT(DISTINCT message_id) AS gen_count
  FROM (
    SELECT
      message_id AS message_id,
      kst_created_date AS kst_date,
      user_id
    FROM
      `wrtn-data-dev.wrtn_product_analytics.core_fact__messages__crack`
    WHERE
      kst_created_date &gt;= '2025-12-01'
      AND role = 'assistant'
      AND user_id is not null
    UNION ALL
    select _id as message_id, DATE(created_at, 'Asia/Seoul') as kst_date, user_id
      from `mongo_crack.single_character_messages`
      where role = 'assistant'
      AND date(created_at, 'Asia/Seoul') &gt;= '2025-12-01'
    UNION ALL
    select _id as message_id, DATE(created_at, 'Asia/Seoul') as kst_date, user_id
      from `mongo_crack.party_chat_messages`
      where role = 'assistant'
      AND date(created_at, 'Asia/Seoul') &gt;= '2025-12-01'
    UNION ALL
    select _id as message_id, DATE(created_at, 'Asia/Seoul') as kst_date, user_id
      from `mongo_crack.game_histories`
     where role = 'assistant'
      AND date(created_at, 'Asia/Seoul') &gt;= '2025-12-01'
  )
  GROUP BY 1,2
),
-- [중요] 모든 날짜와 유저의 유니온 풀을 생성하여 누락 방지
user_date_pool AS (
  SELECT kst_month, user_id FROM first_payment_data
  UNION DISTINCT
  SELECT kst_month, user_id FROM payment_data
  UNION DISTINCT
  SELECT kst_month, user_id FROM gen_data
),
monthly_metrics AS (
  SELECT
    u.kst_month,
    -- 1. 결제 관련 (u 테이블 기준으로 집계하여 누락 방지)
    COUNT(DISTINCT f.user_id) AS M0_Purchase_Done_User,
    COUNT(DISTINCT CASE WHEN a_next.user_id IS NOT NULL THEN f.user_id END) AS M1_Any_Event_User,
    COUNT(DISTINCT p.user_id) AS Purchase_Done_User,    
    SUM(p.net_payment_amount) AS Revenue,
    SUM(p.purchase_count) AS Purchase_Done_Count,
    -- 2. 생성 관련 (p 유무와 상관없이 g에 있으면 모두 집계)
    COUNT(DISTINCT g.user_id) AS Gen_Done_User,
    SUM(g.gen_count) AS Gen_Done_Count
  FROM user_date_pool u
  LEFT JOIN first_payment_data f ON u.kst_month = f.kst_month AND u.user_id = f.user_id
  LEFT JOIN payment_data p ON u.kst_month = p.kst_month AND u.user_id = p.user_id
  LEFT JOIN gen_data g ON u.kst_month = g.kst_month AND u.user_id = g.user_id
  LEFT JOIN any_event_users a_next 
    ON f.user_id = a_next.user_id 
    AND DATE_ADD(f.kst_month, INTERVAL 1 MONTH) = a_next.kst_month
  GROUP BY 1
),
monthly_charge AS (
  SELECT 
    DATE_TRUNC(kst_date, MONTH) as kst_month, 
    SUM(IF(method = 'Web', pay_amt - refund_amt, 0)) * 0.0228 AS web_charge,
    SUM(IF(method != 'Web', pay_amt - refund_amt, 0)) * 0.3 AS app_charge
  FROM `wrtn-data-dev.wrtn_product_analytics.f__pay_crack`
  WHERE kst_date &gt;= '2025-12-01'
  GROUP BY 1
),
monthly_cost AS (
  SELECT
    DATE_TRUNC(kst_created_date, MONTH) as kst_month, 
    SUM(total_discounted_cost) * 1400 AS total_llm_cost
  FROM `wrtn_product_analytics.f__request_product`
  WHERE kst_created_date &gt;= '2025-12-01' 
    AND product = 'crack'
  GROUP BY 1
),
new_user AS (select ir_user_id as user_id, DATE_TRUNC(kst_date, MONTH) as first_month
FROM `wrtn-data-dev.wrtn_product_analytics.f__first_act_crack`
WHERE kst_date &gt;= '2025-12-01'),
main_view AS (
  SELECT DATE_TRUNC(f.kst_date, MONTH) as kst_month
  , count(distinct new_user.user_id) as Main_View_User_New
  , count(distinct f.user_id) - count(distinct new_user.user_id) as Main_View_User_Normal
  FROM `wrtn-data-dev.wrtn_product_analytics.f__mp_crack` as f
  left join new_user on f.user_id = new_user.user_id and DATE_TRUNC(f.kst_date, MONTH) = new_user.first_month
  WHERE true
    AND kst_date &gt;= '2025-12-01'
  group by 1
),
product_view AS (
  SELECT DATE_TRUNC(f.kst_date, MONTH) as kst_month
  , count(distinct new_user.user_id) as Product_View_User_New
  , count(distinct f.user_id) - count(distinct new_user.user_id) as Product_View_User_Normal
  FROM `wrtn-data-dev.wrtn_product_analytics.f__mp_crack` as f
  left join new_user on f.user_id = new_user.user_id and DATE_TRUNC(f.kst_date, MONTH) = new_user.first_month
  WHERE true
    AND kst_date &gt;= '2025-12-01'
    AND event_nm in ('view_character_detail', 'click_character_card', 'view_single_character_detail', 'click_single_character_card')
  group by 1
),
gen_view AS (
  SELECT kst_month
  , count(distinct new_user.user_id) as Gen_Done_User_New
  , count(distinct f.user_id) - count(distinct new_user.user_id) as Gen_Done_User_Normal
  FROM gen_data as f
  left join new_user on f.user_id = new_user.user_id and f.kst_month = new_user.first_month
  WHERE true
    AND kst_month &gt;= '2025-12-01'
  group by 1
),
paywall_view AS (
  SELECT DATE_TRUNC(kst_date, MONTH) as kst_month
  , count(distinct new_user.user_id) as Paywall_View_User_New
  , count(distinct f.user_id) - count(distinct new_user.user_id) as Paywall_View_User_Normal
  FROM `wrtn-data-dev.wrtn_product_analytics.f__mp_crack` as f
  left join new_user on f.user_id = new_user.user_id and DATE_TRUNC(f.kst_date, MONTH) = new_user.first_month
  WHERE true
    AND kst_date &gt;= '2025-12-01'
    AND event_nm in ('view_character_cracker_page', 'click_cracker_purchase_btn', 'expose_cracker_purchase_bottom_sheet')
  group by 1
),
purchase_done AS (
  SELECT DATE_TRUNC(kst_date, MONTH) as kst_month, count(distinct new_user.user_id) as Purchase_Done_User_New
  , count(distinct f.user_id) - count(distinct new_user.user_id) as Purchase_Done_User_Normal
  FROM `wrtn-data-dev.wrtn_product_analytics.f__pay_crack` as f
  left join new_user on f.user_id = new_user.user_id and DATE_TRUNC(f.kst_date, MONTH) = new_user.first_month
  WHERE kst_date &gt;= '2025-12-01'
  GROUP BY 1
)
SELECT
  dm.kst_month,
  -- 1. Paid Cohort Retention
  SAFE_DIVIDE(M1_Any_Event_User, M0_Purchase_Done_User) AS Paid_Cohort_Retention,
  M1_Any_Event_User,
  M0_Purchase_Done_User,
  -- 2. CVR (이제 정상적인 전체 생성 유저 대비 결제 유저 비율이 나옵니다)
  SAFE_DIVIDE(Purchase_Done_User, Gen_Done_User) AS CVR,
  Purchase_Done_User AS Purchase_Done_User_CVR,
  Gen_Done_User,
  Gen_Done_Count,
  -- 3. ARPPU
  SAFE_DIVIDE(Revenue, Purchase_Done_User) AS ARPPU,
  Revenue,
  Purchase_Done_User AS Purchase_Done_User_ARPPU,
  Purchase_Done_Count,
  -- 4. Margin
  1 - SAFE_DIVIDE(dc.total_llm_cost + app_charge, Revenue) AS Margin_Rate,
  dc.total_llm_cost + app_charge as Cost,
  Revenue as Revenue_,
  -- 5. PMF 서베이
  null as PMF,
  null as VD_User,
  null as SD_User,
  null as ND_User,
  -- 6. 퍼널_New
  null as funnel,
  0 as Install_User_New,
  0 as Sign_Up_User_New,
  Main_View_User_New,
  Product_View_User_New,
  Gen_Done_User_New,
  Paywall_View_User_New,
  Purchase_Done_User_New,
  -- 7. 퍼널_Normal
  null as funnel_Normal,
  Main_View_User_Normal,
  Product_View_User_Normal,
  Gen_Done_User_Normal,
  Paywall_View_User_Normal,
  Purchase_Done_User_Normal
FROM monthly_metrics as dm
left join monthly_cost as dc on dm.kst_month = dc.kst_month
left join monthly_charge as dcg on dm.kst_month = dcg.kst_month
left join main_view as mv on dm.kst_month = mv.kst_month
left join product_view as pv on dm.kst_month = pv.kst_month
left join gen_view as gv on dm.kst_month = gv.kst_month
left join paywall_view as payv on dm.kst_month = payv.kst_month
left join purchase_done as pd on dm.kst_month = pd.kst_month
ORDER BY 1;
  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</si>
  <si>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declare PARAM_START_DATE date default '2025-11-24';
declare PARAM_END_DATE date default CURRENT_DATE();
declare PARAM_INTERVAL string default 'month';
declare PARAM_BUCKET_MAX int64 default 10;
with
users__cohort as (
    select
        case
            when PARAM_INTERVAL = 'day' then date_trunc(kst_date, DAY)
            when PARAM_INTERVAL = 'week' then date_trunc(kst_date, WEEK)
            when PARAM_INTERVAL = 'month' then date_trunc(kst_date, MONTH)
        end as kst_date,
        user_id
    from
        wrtn_product_analytics.f__first_pay_meme
    where true
        and kst_date between PARAM_START_DATE and PARAM_END_DATE
),
users__retained as (
    select
        case
            when PARAM_INTERVAL = 'day' then date_trunc(kst_date, day)
            when PARAM_INTERVAL = 'week' then date_trunc(kst_date, week)
            when PARAM_INTERVAL = 'month' then date_trunc(kst_date, month)
        end as kst_date,
        user_id,
        sum(pay_amt) - sum(refund_amt) as total_revenue
    from
        wrtn_product_analytics.f__pay_meme
    where true
        and kst_date between PARAM_START_DATE and PARAM_END_DATE
    group by
        all
)
select
    cohort.kst_date,
    case
        when PARAM_INTERVAL = 'day' then date_diff(retained.kst_date, cohort.kst_date, day)
        when PARAM_INTERVAL = 'week' then date_diff(retained.kst_date, cohort.kst_date, week)
        when PARAM_INTERVAL = 'month' then date_diff(retained.kst_date, cohort.kst_date, month)
    end as bucket,                                                                                      -- 버킷 (N0, N1, N2, N3, ...)
    sum(retained.total_revenue) as total_revenue,                                                                   -- 총 매출액
    count(distinct retained.user_id) as paid_users,                                          -- 결제 사용자 수
    safe_divide(
        sum(retained.total_revenue),
        count(distinct retained.user_id)
    ) as arppu                                                                                          -- ARPPU
from
    users__cohort as cohort
    left join users__retained as retained
        using (user_id)
where true
    and case
        when PARAM_INTERVAL = 'day' then date_diff(retained.kst_date, cohort.kst_date, day)
        when PARAM_INTERVAL = 'week' then date_diff(retained.kst_date, cohort.kst_date, week)
        when PARAM_INTERVAL = 'month' then date_diff(retained.kst_date, cohort.kst_date, month)
    end between 0 and PARAM_BUCKET_MAX
group by
    all
order by
    1, 2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</si>
  <si>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t>bucket</t>
  </si>
  <si>
    <t>total_revenue</t>
  </si>
  <si>
    <t>paid_users</t>
  </si>
  <si>
    <t>arppu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</si>
  <si>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declare PARAM_START_DATE date default '2025-11-24';
declare PARAM_END_DATE date default CURRENT_DATE();
declare PARAM_INTERVAL string default 'week';
declare PARAM_BUCKET_MAX int64 default 10;
with
users__cohort as (
    select
        case
            when PARAM_INTERVAL = 'day' then date_trunc(kst_date, DAY)
            when PARAM_INTERVAL = 'week' then date_trunc(kst_date, week(monday))
            when PARAM_INTERVAL = 'month' then date_trunc(kst_date, MONTH)
        end as kst_date,
        user_id
    from
        wrtn_product_analytics.f__first_pay_meme
    where true
        and kst_date between PARAM_START_DATE and PARAM_END_DATE
),
users__retained as (
    select
        case
            when PARAM_INTERVAL = 'day' then date_trunc(kst_date, day)
            when PARAM_INTERVAL = 'week' then date_trunc(kst_date, week(monday))
            when PARAM_INTERVAL = 'month' then date_trunc(kst_date, month)
        end as kst_date,
        user_id,
        sum(pay_amt) - sum(refund_amt) as total_revenue
    from
        wrtn_product_analytics.f__pay_meme
    where true
        and kst_date between PARAM_START_DATE and PARAM_END_DATE
    group by
        all
)
select
    cohort.kst_date,
    case
        when PARAM_INTERVAL = 'day' then date_diff(retained.kst_date, cohort.kst_date, day)
        when PARAM_INTERVAL = 'week' then date_diff(retained.kst_date, cohort.kst_date, week(monday))
        when PARAM_INTERVAL = 'month' then date_diff(retained.kst_date, cohort.kst_date, month)
    end as bucket,                                                                                      -- 버킷 (N0, N1, N2, N3, ...)
    sum(retained.total_revenue) as total_revenue,                                                                   -- 총 매출액
    count(distinct retained.user_id) as paid_users,                                          -- 결제 사용자 수
    safe_divide(
        sum(retained.total_revenue),
        count(distinct retained.user_id)
    ) as arppu                                                                                          -- ARPPU
from
    users__cohort as cohort
    left join users__retained as retained
        using (user_id)
where true
    and case
        when PARAM_INTERVAL = 'day' then date_diff(retained.kst_date, cohort.kst_date, day)
        when PARAM_INTERVAL = 'week' then date_diff(retained.kst_date, cohort.kst_date, week(monday))
        when PARAM_INTERVAL = 'month' then date_diff(retained.kst_date, cohort.kst_date, month)
    end between 0 and PARAM_BUCKET_MAX
group by
    all
order by
    1, 2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</si>
  <si>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declare PARAM_START_DATE date default '2025-11-24';
declare PARAM_END_DATE date default CURRENT_DATE();
declare PARAM_INTERVAL string default 'week';
declare PARAM_BUCKET_MAX int64 default 10;
with
au__cohort as (
    select
        case
            when PARAM_INTERVAL = 'day' then date_trunc(kst_date, DAY)
            when PARAM_INTERVAL = 'week' then date_trunc(kst_date, WEEK(MONDAY))
            when PARAM_INTERVAL = 'month' then date_trunc(kst_date, MONTH)
        end as kst_date,
        user_id
    from
        wrtn_product_analytics.f__first_pay_meme
    where true
        and kst_date between PARAM_START_DATE and PARAM_END_DATE
),
au__retained as (
    select distinct
        case
            when PARAM_INTERVAL = 'day' then date_trunc(kst_date, DAY)
            when PARAM_INTERVAL = 'week' then date_trunc(kst_date, WEEK(MONDAY))
            when PARAM_INTERVAL = 'month' then date_trunc(kst_date, MONTH)
        end as kst_date,
      user_id
    from
        wrtn_product_analytics.f__pay_meme
    where true
        and kst_date between PARAM_START_DATE and PARAM_END_DATE
),
vector__cohort as (
    select
        kst_date,
        count(user_id) as users
    from
        au__cohort
    group by
        all
)
select
    vector.kst_date,
    case
        when PARAM_INTERVAL = 'day' then date_diff(retained.kst_date, vector.kst_date, day)
        when PARAM_INTERVAL = 'week' then date_diff(retained.kst_date, vector.kst_date, WEEK(MONDAY))
        when PARAM_INTERVAL = 'month' then date_diff(retained.kst_date, vector.kst_date, month)
    end as bucket,                                                                                          -- 버킷 (N0, N1, N2, N3, ...)
    vector.users as cohort_users,                                                                           -- 코호트 사용자 수
    count(retained.user_id) as retained_users,                                                   -- 리텐션 사용자 수
    safe_divide(
        count(retained.user_id),
        vector.users
    ) * 100.0 as retention_perc                                                                             -- 리텐션 비율 (%)
from
    vector__cohort as vector
    inner join au__cohort as cohort
        using (kst_date)
    inner join au__retained as retained
        on cohort.user_id = retained.user_id
        and case
            when PARAM_INTERVAL = 'day' then date_diff(retained.kst_date, vector.kst_date, day)
            when PARAM_INTERVAL = 'week' then date_diff(retained.kst_date, vector.kst_date, WEEK(MONDAY))
            when PARAM_INTERVAL = 'month' then date_diff(retained.kst_date, vector.kst_date, month)
        end between 0 and PARAM_BUCKET_MAX
group by
    all
order by
    1, 2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</si>
  <si>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t>cohort_users</t>
  </si>
  <si>
    <t>retained_users</t>
  </si>
  <si>
    <t>retention_perc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</si>
  <si>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declare PARAM_START_DATE date default '2025-11-24';
declare PARAM_END_DATE date default CURRENT_DATE();
declare PARAM_INTERVAL string default 'month';
declare PARAM_BUCKET_MAX int64 default 10;
with
au__cohort as (
    select
        case
            when PARAM_INTERVAL = 'day' then date_trunc(kst_date, DAY)
            when PARAM_INTERVAL = 'week' then date_trunc(kst_date, WEEK)
            when PARAM_INTERVAL = 'month' then date_trunc(kst_date, MONTH)
        end as kst_date,
        user_id
    from
        wrtn_product_analytics.f__first_pay_meme
    where true
        and kst_date between PARAM_START_DATE and PARAM_END_DATE
),
au__retained as (
    select distinct
        case
            when PARAM_INTERVAL = 'day' then date_trunc(kst_date, DAY)
            when PARAM_INTERVAL = 'week' then date_trunc(kst_date, WEEK)
            when PARAM_INTERVAL = 'month' then date_trunc(kst_date, MONTH)
        end as kst_date,
      user_id
    from
        wrtn_product_analytics.f__pay_meme
    where true
        and kst_date between PARAM_START_DATE and PARAM_END_DATE
),
vector__cohort as (
    select
        kst_date,
        count(user_id) as users
    from
        au__cohort
    group by
        all
)
select
    vector.kst_date,
    case
        when PARAM_INTERVAL = 'day' then date_diff(retained.kst_date, vector.kst_date, day)
        when PARAM_INTERVAL = 'week' then date_diff(retained.kst_date, vector.kst_date, week)
        when PARAM_INTERVAL = 'month' then date_diff(retained.kst_date, vector.kst_date, month)
    end as bucket,                                                                                          -- 버킷 (N0, N1, N2, N3, ...)
    vector.users as cohort_users,                                                                           -- 코호트 사용자 수
    count(retained.user_id) as retained_users,                                                   -- 리텐션 사용자 수
    safe_divide(
        count(retained.user_id),
        vector.users
    ) * 100.0 as retention_perc                                                                             -- 리텐션 비율 (%)
from
    vector__cohort as vector
    inner join au__cohort as cohort
        using (kst_date)
    inner join au__retained as retained
        on cohort.user_id = retained.user_id
        and case
            when PARAM_INTERVAL = 'day' then date_diff(retained.kst_date, vector.kst_date, day)
            when PARAM_INTERVAL = 'week' then date_diff(retained.kst_date, vector.kst_date, week)
            when PARAM_INTERVAL = 'month' then date_diff(retained.kst_date, vector.kst_date, month)
        end between 0 and PARAM_BUCKET_MAX
group by
    all
order by
    1, 2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23, 2026 9:23 AM</t>
    </r>
  </si>
  <si>
    <t>retention_perc의 SUM</t>
  </si>
  <si>
    <t>total_revenue의 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</si>
</sst>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₩-412]#,##0"/>
    <numFmt numFmtId="165" formatCode="mmmm&quot; &quot;d&quot;일 &quot;"/>
    <numFmt numFmtId="166" formatCode="0.0%"/>
    <numFmt numFmtId="167" formatCode="m월 d일"/>
  </numFmts>
  <fonts count="2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/>
    <font>
      <sz val="8.0"/>
      <color theme="1"/>
      <name val="Arial"/>
    </font>
    <font>
      <color theme="1"/>
      <name val="Arial"/>
      <scheme val="minor"/>
    </font>
    <font>
      <color rgb="FF999999"/>
      <name val="Arial"/>
    </font>
    <font>
      <sz val="6.0"/>
      <color theme="1"/>
      <name val="Arial"/>
    </font>
    <font>
      <sz val="7.0"/>
      <color theme="1"/>
      <name val="Arial"/>
    </font>
    <font>
      <sz val="8.0"/>
      <color rgb="FF000000"/>
      <name val="Arial"/>
      <scheme val="minor"/>
    </font>
    <font>
      <b/>
      <color rgb="FF999999"/>
      <name val="Arial"/>
    </font>
    <font>
      <sz val="8.0"/>
      <color theme="1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color rgb="FF000000"/>
      <name val="Arial"/>
      <scheme val="minor"/>
    </font>
    <font>
      <b/>
      <sz val="9.0"/>
      <color rgb="FF000000"/>
      <name val="Arial"/>
      <scheme val="minor"/>
    </font>
    <font>
      <color theme="1"/>
      <name val="Arial"/>
    </font>
    <font>
      <sz val="9.0"/>
      <color theme="1"/>
      <name val="Arial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DBDBD"/>
        <bgColor rgb="FFBDBDB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C9DAF8"/>
        <bgColor rgb="FFC9DAF8"/>
      </patternFill>
    </fill>
  </fills>
  <borders count="10">
    <border/>
    <border>
      <left style="dotted">
        <color rgb="FF434343"/>
      </left>
      <top style="dotted">
        <color rgb="FF434343"/>
      </top>
    </border>
    <border>
      <top style="dotted">
        <color rgb="FF434343"/>
      </top>
    </border>
    <border>
      <right style="dotted">
        <color rgb="FF434343"/>
      </right>
      <top style="dotted">
        <color rgb="FF434343"/>
      </top>
    </border>
    <border>
      <left style="dotted">
        <color rgb="FF434343"/>
      </left>
    </border>
    <border>
      <right style="dotted">
        <color rgb="FF434343"/>
      </right>
    </border>
    <border>
      <left style="dotted">
        <color rgb="FF434343"/>
      </left>
      <bottom style="dotted">
        <color rgb="FF434343"/>
      </bottom>
    </border>
    <border>
      <bottom style="dotted">
        <color rgb="FF434343"/>
      </bottom>
    </border>
    <border>
      <right style="dotted">
        <color rgb="FF434343"/>
      </right>
      <bottom style="dotted">
        <color rgb="FF434343"/>
      </bottom>
    </border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0" fillId="6" fontId="5" numFmtId="49" xfId="0" applyFill="1" applyFont="1" applyNumberFormat="1"/>
    <xf borderId="0" fillId="0" fontId="1" numFmtId="164" xfId="0" applyAlignment="1" applyFont="1" applyNumberFormat="1">
      <alignment readingOrder="0" vertical="bottom"/>
    </xf>
    <xf borderId="4" fillId="0" fontId="5" numFmtId="10" xfId="0" applyBorder="1" applyFont="1" applyNumberFormat="1"/>
    <xf borderId="0" fillId="0" fontId="5" numFmtId="10" xfId="0" applyFont="1" applyNumberFormat="1"/>
    <xf borderId="5" fillId="0" fontId="5" numFmtId="10" xfId="0" applyBorder="1" applyFont="1" applyNumberFormat="1"/>
    <xf borderId="0" fillId="6" fontId="5" numFmtId="3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4" fillId="0" fontId="5" numFmtId="3" xfId="0" applyBorder="1" applyFont="1" applyNumberFormat="1"/>
    <xf borderId="0" fillId="0" fontId="5" numFmtId="3" xfId="0" applyFont="1" applyNumberFormat="1"/>
    <xf borderId="4" fillId="0" fontId="5" numFmtId="0" xfId="0" applyBorder="1" applyFont="1"/>
    <xf borderId="0" fillId="0" fontId="5" numFmtId="0" xfId="0" applyFont="1"/>
    <xf borderId="0" fillId="0" fontId="5" numFmtId="49" xfId="0" applyAlignment="1" applyFont="1" applyNumberFormat="1">
      <alignment horizontal="right"/>
    </xf>
    <xf borderId="0" fillId="6" fontId="5" numFmtId="3" xfId="0" applyFont="1" applyNumberFormat="1"/>
    <xf borderId="0" fillId="0" fontId="5" numFmtId="3" xfId="0" applyAlignment="1" applyFont="1" applyNumberFormat="1">
      <alignment horizontal="right"/>
    </xf>
    <xf borderId="4" fillId="0" fontId="5" numFmtId="164" xfId="0" applyBorder="1" applyFont="1" applyNumberFormat="1"/>
    <xf borderId="0" fillId="0" fontId="5" numFmtId="164" xfId="0" applyFont="1" applyNumberFormat="1"/>
    <xf borderId="0" fillId="0" fontId="5" numFmtId="164" xfId="0" applyFont="1" applyNumberFormat="1"/>
    <xf borderId="0" fillId="0" fontId="6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1" numFmtId="0" xfId="0" applyAlignment="1" applyFont="1">
      <alignment readingOrder="0" vertical="bottom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5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 vertical="center"/>
    </xf>
    <xf borderId="0" fillId="7" fontId="1" numFmtId="10" xfId="0" applyFill="1" applyFont="1" applyNumberFormat="1"/>
    <xf borderId="0" fillId="0" fontId="9" numFmtId="9" xfId="0" applyFont="1" applyNumberFormat="1"/>
    <xf borderId="0" fillId="0" fontId="6" numFmtId="0" xfId="0" applyAlignment="1" applyFont="1">
      <alignment readingOrder="0"/>
    </xf>
    <xf borderId="0" fillId="0" fontId="9" numFmtId="3" xfId="0" applyFont="1" applyNumberFormat="1"/>
    <xf borderId="0" fillId="7" fontId="1" numFmtId="0" xfId="0" applyFont="1"/>
    <xf borderId="0" fillId="0" fontId="9" numFmtId="166" xfId="0" applyFont="1" applyNumberFormat="1"/>
    <xf borderId="0" fillId="0" fontId="6" numFmtId="0" xfId="0" applyFont="1"/>
    <xf borderId="0" fillId="0" fontId="6" numFmtId="0" xfId="0" applyAlignment="1" applyFont="1">
      <alignment vertical="bottom"/>
    </xf>
    <xf borderId="0" fillId="0" fontId="9" numFmtId="10" xfId="0" applyFont="1" applyNumberFormat="1"/>
    <xf borderId="0" fillId="0" fontId="9" numFmtId="2" xfId="0" applyFont="1" applyNumberFormat="1"/>
    <xf borderId="0" fillId="6" fontId="5" numFmtId="4" xfId="0" applyAlignment="1" applyFont="1" applyNumberFormat="1">
      <alignment readingOrder="0"/>
    </xf>
    <xf borderId="0" fillId="0" fontId="6" numFmtId="4" xfId="0" applyAlignment="1" applyFont="1" applyNumberFormat="1">
      <alignment vertical="bottom"/>
    </xf>
    <xf borderId="0" fillId="0" fontId="9" numFmtId="4" xfId="0" applyFont="1" applyNumberFormat="1"/>
    <xf borderId="0" fillId="0" fontId="9" numFmtId="164" xfId="0" applyFont="1" applyNumberFormat="1"/>
    <xf borderId="0" fillId="7" fontId="10" numFmtId="0" xfId="0" applyFont="1"/>
    <xf borderId="0" fillId="0" fontId="6" numFmtId="10" xfId="0" applyAlignment="1" applyFont="1" applyNumberFormat="1">
      <alignment vertical="bottom"/>
    </xf>
    <xf borderId="0" fillId="0" fontId="11" numFmtId="0" xfId="0" applyAlignment="1" applyFont="1">
      <alignment horizontal="center"/>
    </xf>
    <xf borderId="0" fillId="0" fontId="12" numFmtId="3" xfId="0" applyFont="1" applyNumberFormat="1"/>
    <xf borderId="0" fillId="0" fontId="13" numFmtId="0" xfId="0" applyAlignment="1" applyFont="1">
      <alignment horizontal="center"/>
    </xf>
    <xf borderId="0" fillId="0" fontId="14" numFmtId="3" xfId="0" applyFont="1" applyNumberFormat="1"/>
    <xf borderId="0" fillId="0" fontId="5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7" fontId="2" numFmtId="10" xfId="0" applyFont="1" applyNumberFormat="1"/>
    <xf borderId="0" fillId="7" fontId="1" numFmtId="10" xfId="0" applyAlignment="1" applyFont="1" applyNumberFormat="1">
      <alignment readingOrder="0" vertical="center"/>
    </xf>
    <xf borderId="0" fillId="7" fontId="15" numFmtId="10" xfId="0" applyAlignment="1" applyFont="1" applyNumberFormat="1">
      <alignment vertical="center"/>
    </xf>
    <xf borderId="0" fillId="0" fontId="6" numFmtId="0" xfId="0" applyAlignment="1" applyFont="1">
      <alignment readingOrder="0" vertical="center"/>
    </xf>
    <xf borderId="0" fillId="0" fontId="12" numFmtId="3" xfId="0" applyAlignment="1" applyFont="1" applyNumberFormat="1">
      <alignment vertical="center"/>
    </xf>
    <xf borderId="0" fillId="7" fontId="1" numFmtId="49" xfId="0" applyAlignment="1" applyFont="1" applyNumberFormat="1">
      <alignment vertical="bottom"/>
    </xf>
    <xf borderId="0" fillId="7" fontId="1" numFmtId="0" xfId="0" applyAlignment="1" applyFont="1">
      <alignment vertical="center"/>
    </xf>
    <xf borderId="0" fillId="7" fontId="15" numFmtId="9" xfId="0" applyAlignment="1" applyFont="1" applyNumberFormat="1">
      <alignment vertical="center"/>
    </xf>
    <xf borderId="0" fillId="6" fontId="16" numFmtId="3" xfId="0" applyAlignment="1" applyFont="1" applyNumberFormat="1">
      <alignment vertical="bottom"/>
    </xf>
    <xf borderId="0" fillId="0" fontId="12" numFmtId="10" xfId="0" applyAlignment="1" applyFont="1" applyNumberFormat="1">
      <alignment vertical="center"/>
    </xf>
    <xf borderId="0" fillId="0" fontId="12" numFmtId="2" xfId="0" applyAlignment="1" applyFont="1" applyNumberFormat="1">
      <alignment vertical="center"/>
    </xf>
    <xf borderId="0" fillId="6" fontId="16" numFmtId="10" xfId="0" applyAlignment="1" applyFont="1" applyNumberFormat="1">
      <alignment vertical="bottom"/>
    </xf>
    <xf borderId="0" fillId="0" fontId="12" numFmtId="4" xfId="0" applyAlignment="1" applyFont="1" applyNumberFormat="1">
      <alignment vertical="center"/>
    </xf>
    <xf borderId="0" fillId="7" fontId="2" numFmtId="3" xfId="0" applyFont="1" applyNumberFormat="1"/>
    <xf borderId="0" fillId="7" fontId="15" numFmtId="164" xfId="0" applyAlignment="1" applyFont="1" applyNumberFormat="1">
      <alignment vertical="center"/>
    </xf>
    <xf borderId="0" fillId="7" fontId="15" numFmtId="164" xfId="0" applyAlignment="1" applyFont="1" applyNumberFormat="1">
      <alignment vertical="center"/>
    </xf>
    <xf borderId="0" fillId="7" fontId="10" numFmtId="0" xfId="0" applyAlignment="1" applyFont="1">
      <alignment readingOrder="0" vertical="center"/>
    </xf>
    <xf borderId="0" fillId="7" fontId="2" numFmtId="49" xfId="0" applyFont="1" applyNumberFormat="1"/>
    <xf borderId="0" fillId="0" fontId="12" numFmtId="164" xfId="0" applyAlignment="1" applyFont="1" applyNumberFormat="1">
      <alignment vertical="center"/>
    </xf>
    <xf borderId="0" fillId="0" fontId="12" numFmtId="164" xfId="0" applyAlignment="1" applyFont="1" applyNumberFormat="1">
      <alignment vertical="center"/>
    </xf>
    <xf borderId="0" fillId="0" fontId="12" numFmtId="9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5" fontId="1" numFmtId="167" xfId="0" applyAlignment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 vertical="center"/>
    </xf>
    <xf borderId="0" fillId="0" fontId="16" numFmtId="9" xfId="0" applyAlignment="1" applyFont="1" applyNumberFormat="1">
      <alignment horizontal="right" vertical="bottom"/>
    </xf>
    <xf borderId="0" fillId="0" fontId="17" numFmtId="9" xfId="0" applyAlignment="1" applyFont="1" applyNumberFormat="1">
      <alignment horizontal="right" vertical="bottom"/>
    </xf>
    <xf borderId="0" fillId="0" fontId="12" numFmtId="9" xfId="0" applyFont="1" applyNumberFormat="1"/>
    <xf borderId="0" fillId="0" fontId="12" numFmtId="166" xfId="0" applyFont="1" applyNumberFormat="1"/>
    <xf borderId="0" fillId="0" fontId="16" numFmtId="9" xfId="0" applyAlignment="1" applyFont="1" applyNumberFormat="1">
      <alignment vertical="bottom"/>
    </xf>
    <xf borderId="0" fillId="0" fontId="17" numFmtId="3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right" vertical="bottom"/>
    </xf>
    <xf borderId="0" fillId="0" fontId="12" numFmtId="10" xfId="0" applyFont="1" applyNumberFormat="1"/>
    <xf borderId="0" fillId="0" fontId="16" numFmtId="3" xfId="0" applyAlignment="1" applyFont="1" applyNumberFormat="1">
      <alignment vertical="bottom"/>
    </xf>
    <xf borderId="0" fillId="0" fontId="12" numFmtId="2" xfId="0" applyFont="1" applyNumberFormat="1"/>
    <xf borderId="0" fillId="0" fontId="16" numFmtId="10" xfId="0" applyAlignment="1" applyFont="1" applyNumberFormat="1">
      <alignment vertical="bottom"/>
    </xf>
    <xf borderId="0" fillId="0" fontId="12" numFmtId="4" xfId="0" applyFont="1" applyNumberFormat="1"/>
    <xf borderId="0" fillId="0" fontId="16" numFmtId="164" xfId="0" applyAlignment="1" applyFont="1" applyNumberFormat="1">
      <alignment horizontal="right" vertical="bottom"/>
    </xf>
    <xf borderId="0" fillId="0" fontId="17" numFmtId="164" xfId="0" applyAlignment="1" applyFont="1" applyNumberFormat="1">
      <alignment horizontal="right" vertical="bottom"/>
    </xf>
    <xf borderId="0" fillId="0" fontId="12" numFmtId="164" xfId="0" applyFont="1" applyNumberFormat="1"/>
    <xf borderId="0" fillId="0" fontId="12" numFmtId="164" xfId="0" applyFont="1" applyNumberFormat="1"/>
    <xf borderId="0" fillId="0" fontId="16" numFmtId="164" xfId="0" applyAlignment="1" applyFont="1" applyNumberFormat="1">
      <alignment vertical="bottom"/>
    </xf>
    <xf borderId="0" fillId="0" fontId="17" numFmtId="164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6" fontId="5" numFmtId="49" xfId="0" applyAlignment="1" applyFont="1" applyNumberFormat="1">
      <alignment readingOrder="0"/>
    </xf>
    <xf borderId="0" fillId="0" fontId="12" numFmtId="49" xfId="0" applyAlignment="1" applyFont="1" applyNumberFormat="1">
      <alignment horizontal="right"/>
    </xf>
    <xf borderId="0" fillId="0" fontId="13" numFmtId="0" xfId="0" applyFont="1"/>
    <xf borderId="0" fillId="8" fontId="18" numFmtId="0" xfId="0" applyAlignment="1" applyFill="1" applyFont="1">
      <alignment horizontal="left" readingOrder="0" shrinkToFit="0" vertical="center" wrapText="0"/>
    </xf>
    <xf borderId="9" fillId="9" fontId="19" numFmtId="0" xfId="0" applyAlignment="1" applyBorder="1" applyFill="1" applyFont="1">
      <alignment horizontal="left" readingOrder="0" shrinkToFit="0" vertical="center" wrapText="0"/>
    </xf>
    <xf borderId="0" fillId="8" fontId="20" numFmtId="14" xfId="0" applyAlignment="1" applyFont="1" applyNumberFormat="1">
      <alignment horizontal="right" readingOrder="0" shrinkToFit="0" vertical="top" wrapText="0"/>
    </xf>
    <xf borderId="0" fillId="8" fontId="20" numFmtId="0" xfId="0" applyAlignment="1" applyFont="1">
      <alignment horizontal="right" readingOrder="0" shrinkToFit="0" vertical="top" wrapText="0"/>
    </xf>
    <xf borderId="0" fillId="10" fontId="20" numFmtId="14" xfId="0" applyAlignment="1" applyFill="1" applyFont="1" applyNumberFormat="1">
      <alignment horizontal="right" readingOrder="0" shrinkToFit="0" vertical="top" wrapText="0"/>
    </xf>
    <xf borderId="0" fillId="10" fontId="20" numFmtId="0" xfId="0" applyAlignment="1" applyFont="1">
      <alignment horizontal="right" readingOrder="0" shrinkToFit="0" vertical="top" wrapText="0"/>
    </xf>
    <xf borderId="0" fillId="0" fontId="1" numFmtId="0" xfId="0" applyAlignment="1" applyFont="1">
      <alignment horizontal="center" readingOrder="0" vertical="center"/>
    </xf>
    <xf borderId="0" fillId="0" fontId="17" numFmtId="9" xfId="0" applyAlignment="1" applyFont="1" applyNumberFormat="1">
      <alignment horizontal="right" readingOrder="0" vertical="bottom"/>
    </xf>
    <xf borderId="0" fillId="0" fontId="17" numFmtId="9" xfId="0" applyAlignment="1" applyFont="1" applyNumberFormat="1">
      <alignment vertical="bottom"/>
    </xf>
    <xf borderId="0" fillId="0" fontId="17" numFmtId="3" xfId="0" applyAlignment="1" applyFont="1" applyNumberFormat="1">
      <alignment vertical="bottom"/>
    </xf>
    <xf borderId="0" fillId="0" fontId="17" numFmtId="164" xfId="0" applyAlignment="1" applyFont="1" applyNumberFormat="1">
      <alignment vertical="bottom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bottom"/>
    </xf>
    <xf borderId="0" fillId="0" fontId="5" numFmtId="49" xfId="0" applyFont="1" applyNumberFormat="1"/>
    <xf borderId="0" fillId="0" fontId="5" numFmtId="14" xfId="0" applyFont="1" applyNumberFormat="1"/>
    <xf borderId="0" fillId="0" fontId="5" numFmtId="0" xfId="0" applyFont="1"/>
    <xf borderId="0" fillId="0" fontId="17" numFmtId="9" xfId="0" applyAlignment="1" applyFont="1" applyNumberFormat="1">
      <alignment horizontal="center" readingOrder="0" vertical="bottom"/>
    </xf>
    <xf borderId="0" fillId="0" fontId="17" numFmtId="3" xfId="0" applyAlignment="1" applyFont="1" applyNumberFormat="1">
      <alignment horizontal="center" vertical="bottom"/>
    </xf>
    <xf borderId="0" fillId="0" fontId="17" numFmtId="10" xfId="0" applyAlignment="1" applyFont="1" applyNumberFormat="1">
      <alignment horizontal="center" vertical="bottom"/>
    </xf>
    <xf borderId="0" fillId="0" fontId="17" numFmtId="164" xfId="0" applyAlignment="1" applyFont="1" applyNumberFormat="1">
      <alignment horizontal="center" vertical="bottom"/>
    </xf>
    <xf borderId="0" fillId="0" fontId="17" numFmtId="164" xfId="0" applyAlignment="1" applyFont="1" applyNumberForma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6" numFmtId="9" xfId="0" applyAlignment="1" applyFont="1" applyNumberFormat="1">
      <alignment horizontal="center" readingOrder="0" vertical="bottom"/>
    </xf>
    <xf borderId="0" fillId="0" fontId="6" numFmtId="3" xfId="0" applyAlignment="1" applyFont="1" applyNumberFormat="1">
      <alignment vertical="bottom"/>
    </xf>
    <xf borderId="0" fillId="0" fontId="6" numFmtId="3" xfId="0" applyAlignment="1" applyFont="1" applyNumberFormat="1">
      <alignment readingOrder="0" vertical="bottom"/>
    </xf>
    <xf borderId="0" fillId="0" fontId="16" numFmtId="3" xfId="0" applyAlignment="1" applyFont="1" applyNumberFormat="1">
      <alignment horizontal="right" vertical="bottom"/>
    </xf>
    <xf borderId="0" fillId="0" fontId="16" numFmtId="3" xfId="0" applyAlignment="1" applyFont="1" applyNumberFormat="1">
      <alignment horizontal="center" vertical="bottom"/>
    </xf>
    <xf borderId="0" fillId="0" fontId="16" numFmtId="10" xfId="0" applyAlignment="1" applyFont="1" applyNumberFormat="1">
      <alignment horizontal="right" vertical="bottom"/>
    </xf>
    <xf borderId="0" fillId="0" fontId="16" numFmtId="10" xfId="0" applyAlignment="1" applyFont="1" applyNumberFormat="1">
      <alignment horizontal="center" vertical="bottom"/>
    </xf>
    <xf borderId="0" fillId="0" fontId="1" numFmtId="3" xfId="0" applyAlignment="1" applyFont="1" applyNumberFormat="1">
      <alignment vertical="bottom"/>
    </xf>
    <xf borderId="0" fillId="0" fontId="16" numFmtId="16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11" fontId="1" numFmtId="164" xfId="0" applyAlignment="1" applyFill="1" applyFont="1" applyNumberFormat="1">
      <alignment readingOrder="0" vertical="bottom"/>
    </xf>
    <xf borderId="0" fillId="0" fontId="1" numFmtId="9" xfId="0" applyAlignment="1" applyFont="1" applyNumberFormat="1">
      <alignment horizontal="right" vertical="bottom"/>
    </xf>
    <xf borderId="0" fillId="0" fontId="14" numFmtId="9" xfId="0" applyFont="1" applyNumberFormat="1"/>
    <xf borderId="0" fillId="11" fontId="1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0" fillId="11" fontId="1" numFmtId="3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6" numFmtId="164" xfId="0" applyAlignment="1" applyFont="1" applyNumberForma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0" fontId="16" numFmtId="9" xfId="0" applyAlignment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0" fillId="0" fontId="4" numFmtId="9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5" numFmtId="2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hidden="1" min="1" max="2" width="32.0"/>
    <col customWidth="1" min="3" max="3" width="21.0"/>
  </cols>
  <sheetData>
    <row r="1">
      <c r="A1" s="1"/>
      <c r="B1" s="1"/>
      <c r="D1" s="2" t="s">
        <v>0</v>
      </c>
      <c r="E1" s="3"/>
      <c r="F1" s="3"/>
      <c r="G1" s="3"/>
      <c r="H1" s="3"/>
      <c r="I1" s="4"/>
      <c r="J1" s="5" t="s">
        <v>1</v>
      </c>
      <c r="K1" s="3"/>
      <c r="L1" s="3"/>
      <c r="M1" s="3"/>
      <c r="N1" s="3"/>
      <c r="O1" s="4"/>
      <c r="P1" s="6" t="s">
        <v>2</v>
      </c>
      <c r="Q1" s="3"/>
      <c r="R1" s="3"/>
      <c r="S1" s="3"/>
      <c r="T1" s="3"/>
      <c r="U1" s="4"/>
    </row>
    <row r="2">
      <c r="A2" s="7" t="s">
        <v>3</v>
      </c>
      <c r="B2" s="7" t="s">
        <v>3</v>
      </c>
      <c r="C2" s="8" t="s">
        <v>4</v>
      </c>
      <c r="D2" s="9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10" t="s">
        <v>7</v>
      </c>
      <c r="J2" s="9" t="s">
        <v>5</v>
      </c>
      <c r="K2" s="8" t="s">
        <v>6</v>
      </c>
      <c r="L2" s="8" t="s">
        <v>7</v>
      </c>
      <c r="M2" s="8" t="s">
        <v>8</v>
      </c>
      <c r="N2" s="8" t="s">
        <v>9</v>
      </c>
      <c r="O2" s="10" t="s">
        <v>7</v>
      </c>
      <c r="P2" s="9" t="s">
        <v>5</v>
      </c>
      <c r="Q2" s="8" t="s">
        <v>6</v>
      </c>
      <c r="R2" s="8" t="s">
        <v>7</v>
      </c>
      <c r="S2" s="8" t="s">
        <v>8</v>
      </c>
      <c r="T2" s="8" t="s">
        <v>9</v>
      </c>
      <c r="U2" s="10" t="s">
        <v>7</v>
      </c>
    </row>
    <row r="3">
      <c r="A3" s="11" t="s">
        <v>10</v>
      </c>
      <c r="B3" s="11" t="s">
        <v>10</v>
      </c>
      <c r="C3" s="12" t="s">
        <v>11</v>
      </c>
      <c r="D3" s="13">
        <f t="array" ref="D3">LET(val, IFERROR(INDEX('Weekly 쨈 raw'!$A:$AAQ, MATCH(TODAY() - WEEKDAY(TODAY(), 2) - 20, 'Weekly 쨈 raw'!$A:$A, 0), MATCH($A3, 'Weekly 쨈 raw'!$1:$1, 0)), ""), IF(val=0, "", val))</f>
        <v>0.4627659574</v>
      </c>
      <c r="E3" s="14">
        <f t="array" ref="E3">LET(val, IFERROR(INDEX('Weekly 쨈 raw'!$A:$AAQ, MATCH(TODAY() - WEEKDAY(TODAY(), 2) - 13, 'Weekly 쨈 raw'!$A:$A, 0), MATCH($A3, 'Weekly 쨈 raw'!$1:$1, 0)), ""), IF(val=0, "", val))</f>
        <v>0.496031746</v>
      </c>
      <c r="F3" s="14">
        <f t="shared" ref="F3:F4" si="1"> LET(val, IF(OR(E3="", D3=""), "", IFERROR((E3 - D3) / D3, "")), IF(val=0, "", val))</f>
        <v>0.07188469257</v>
      </c>
      <c r="G3" s="14">
        <f t="array" ref="G3">LET(val, IFERROR(INDEX('Monthly 쨈 M raw'!$A:$AAQ, MATCH(EOMONTH(TODAY(), -2) + 1, 'Monthly 쨈 M raw'!$A:$A, 0), MATCH($B3, 'Monthly 쨈 M raw'!$1:$1, 0)), 0), IF(val=0, "", val))</f>
        <v>0.6079654511</v>
      </c>
      <c r="H3" s="14">
        <f t="array" ref="H3">LET(val, IFERROR(INDEX('Monthly 쨈 M raw'!$A:$AAQ, MATCH(EOMONTH(TODAY(), -1) + 1, 'Monthly 쨈 M raw'!$A:$A, 0), MATCH($B3, 'Monthly 쨈 M raw'!$1:$1, 0)), 0), IF(val=0, "", val))</f>
        <v>0.486631016</v>
      </c>
      <c r="I3" s="15">
        <f t="shared" ref="I3:I5" si="2">LET(val, IF(OR(G3="", H3=""), "", IFERROR((H3 - G3) / G3, "")), IF(val=0, "", val))</f>
        <v>-0.1995745561</v>
      </c>
      <c r="J3" s="13">
        <f t="array" ref="J3">LET(val, IFERROR(INDEX('Weekly 사주 raw'!$A:$AAQ, MATCH(TODAY() - WEEKDAY(TODAY(), 2) - 20, 'Weekly 사주 raw'!$A:$A, 0), MATCH($A3, 'Weekly 사주 raw'!$1:$1, 0)), ""), IF(val=0, "", val))</f>
        <v>0.3636363636</v>
      </c>
      <c r="K3" s="14">
        <f t="array" ref="K3">LET(val, IFERROR(INDEX('Weekly 사주 raw'!$A:$AAQ, MATCH(TODAY() - WEEKDAY(TODAY(), 2) - 13, 'Weekly 사주 raw'!$A:$A, 0), MATCH($A3, 'Weekly 사주 raw'!$1:$1, 0)), ""), IF(val=0, "", val))</f>
        <v>0.3897058824</v>
      </c>
      <c r="L3" s="14">
        <f t="shared" ref="L3:L4" si="3"> LET(val, IF(OR(K3="", J3=""), "", IFERROR((K3 - J3) / J3, "")), IF(val=0, "", val))</f>
        <v>0.07169117647</v>
      </c>
      <c r="M3" s="14">
        <f t="array" ref="M3">LET(val, IFERROR(INDEX('Monthly 사주 M raw'!$A:$AAQ, MATCH(EOMONTH(TODAY(), -2) + 1, 'Monthly 사주 M raw'!$A:$A, 0), MATCH($B3, 'Monthly 사주 M raw'!$1:$1, 0)), ""), IF(val=0, "", val))</f>
        <v>0.416918429</v>
      </c>
      <c r="N3" s="14">
        <f t="array" ref="N3">LET(val, IFERROR(INDEX('Monthly 사주 M raw'!$A:$AAQ, MATCH(EOMONTH(TODAY(), -1) + 1, 'Monthly 사주 M raw'!$A:$A, 0), MATCH($B3, 'Monthly 사주 M raw'!$1:$1, 0)), ""), IF(val=0, "", val))</f>
        <v>0.4433333333</v>
      </c>
      <c r="O3" s="14">
        <f t="shared" ref="O3:O5" si="4">LET(val, IF(OR(M3="", N3=""), "", IFERROR((N3 - M3) / M3, "")), IF(val=0, "", val))</f>
        <v>0.06335748792</v>
      </c>
      <c r="P3" s="13">
        <f t="array" ref="P3">LET(val, IFERROR(INDEX('Weekly 스피킹 raw'!$A:$AAQ, MATCH(TODAY() - WEEKDAY(TODAY(), 2) - 20, 'Weekly 스피킹 raw'!$A:$A, 0), MATCH($A3, 'Weekly 스피킹 raw'!$1:$1, 0)), ""), IF(val=0, "", val))</f>
        <v>0.8918918919</v>
      </c>
      <c r="Q3" s="14">
        <f t="array" ref="Q3">LET(val, IFERROR(INDEX('Weekly 스피킹 raw'!$A:$AAQ, MATCH(TODAY() - WEEKDAY(TODAY(), 2) - 13, 'Weekly 스피킹 raw'!$A:$A, 0), MATCH($A3, 'Weekly 스피킹 raw'!$1:$1, 0)), ""), IF(val=0, "", val))</f>
        <v>0.9</v>
      </c>
      <c r="R3" s="14">
        <f t="shared" ref="R3:R5" si="5"> LET(val, IFERROR((Q3 - P3) / P3, ""), IF(val=0, "", val))</f>
        <v>0.009090909091</v>
      </c>
      <c r="S3" s="14">
        <f t="array" ref="S3">LET(val, IFERROR(INDEX('Monthly 스피킹 M raw'!$A:$AAQ, MATCH(EOMONTH(TODAY(), -2) + 1, 'Monthly 스피킹 M raw'!$A:$A, 0), MATCH($B3, 'Monthly 스피킹 M raw'!$1:$1, 0)), ""), IF(val=0, "", val))</f>
        <v>0.8536585366</v>
      </c>
      <c r="T3" s="14">
        <f t="array" ref="T3">LET(val, IFERROR(INDEX('Monthly 스피킹 M raw'!$A:$AAQ, MATCH(EOMONTH(TODAY(), -1) + 1, 'Monthly 스피킹 M raw'!$A:$A, 0), MATCH($B3, 'Monthly 스피킹 M raw'!$1:$1, 0)), ""), IF(val=0, "", val))</f>
        <v>0.8291457286</v>
      </c>
      <c r="U3" s="14">
        <f t="shared" ref="U3:U5" si="6">LET(val, IF(OR(S3="", T3=""), "", IFERROR((T3 - S3) / S3, "")), IF(val=0, "", val))</f>
        <v>-0.02871500359</v>
      </c>
    </row>
    <row r="4">
      <c r="A4" s="16" t="s">
        <v>12</v>
      </c>
      <c r="B4" s="16" t="s">
        <v>13</v>
      </c>
      <c r="C4" s="17" t="s">
        <v>14</v>
      </c>
      <c r="D4" s="18">
        <f t="array" ref="D4">LET(val, IFERROR(INDEX('Weekly 쨈 raw'!$A:$AAQ, MATCH(TODAY() - WEEKDAY(TODAY(), 2) - 20, 'Weekly 쨈 raw'!$A:$A, 0), MATCH($A4, 'Weekly 쨈 raw'!$1:$1, 0)), ""), IF(val=0, "", val))</f>
        <v>87</v>
      </c>
      <c r="E4" s="19">
        <f t="array" ref="E4">LET(val, IFERROR(INDEX('Weekly 쨈 raw'!$A:$AAQ, MATCH(TODAY() - WEEKDAY(TODAY(), 2) - 13, 'Weekly 쨈 raw'!$A:$A, 0), MATCH($A4, 'Weekly 쨈 raw'!$1:$1, 0)), ""), IF(val=0, "", val))</f>
        <v>125</v>
      </c>
      <c r="F4" s="14">
        <f t="shared" si="1"/>
        <v>0.4367816092</v>
      </c>
      <c r="G4" s="19">
        <f t="array" ref="G4">LET(val, IFERROR(INDEX('Monthly 쨈 M raw'!$A:$AAQ, MATCH(EOMONTH(TODAY(), -2) + 1, 'Monthly 쨈 M raw'!$A:$A, 0), MATCH($B4, 'Monthly 쨈 M raw'!$1:$1, 0)), 0), IF(val=0, "", val))</f>
        <v>1267</v>
      </c>
      <c r="H4" s="19">
        <f t="array" ref="H4">LET(val, IFERROR(INDEX('Monthly 쨈 M raw'!$A:$AAQ, MATCH(EOMONTH(TODAY(), -1) + 1, 'Monthly 쨈 M raw'!$A:$A, 0), MATCH($B4, 'Monthly 쨈 M raw'!$1:$1, 0)), 0), IF(val=0, "", val))</f>
        <v>637</v>
      </c>
      <c r="I4" s="15">
        <f t="shared" si="2"/>
        <v>-0.4972375691</v>
      </c>
      <c r="J4" s="18">
        <f t="array" ref="J4">LET(val, IFERROR(INDEX('Weekly 사주 raw'!$A:$AAQ, MATCH(TODAY() - WEEKDAY(TODAY(), 2) - 20, 'Weekly 사주 raw'!$A:$A, 0), MATCH($A4, 'Weekly 사주 raw'!$1:$1, 0)), ""), IF(val=0, "", val))</f>
        <v>88</v>
      </c>
      <c r="K4" s="19">
        <f t="array" ref="K4">LET(val, IFERROR(INDEX('Weekly 사주 raw'!$A:$AAQ, MATCH(TODAY() - WEEKDAY(TODAY(), 2) - 13, 'Weekly 사주 raw'!$A:$A, 0), MATCH($A4, 'Weekly 사주 raw'!$1:$1, 0)), ""), IF(val=0, "", val))</f>
        <v>53</v>
      </c>
      <c r="L4" s="14">
        <f t="shared" si="3"/>
        <v>-0.3977272727</v>
      </c>
      <c r="M4" s="19">
        <f t="array" ref="M4">LET(val, IFERROR(INDEX('Monthly 사주 M raw'!$A:$AAQ, MATCH(EOMONTH(TODAY(), -2) + 1, 'Monthly 사주 M raw'!$A:$A, 0), MATCH($B4, 'Monthly 사주 M raw'!$1:$1, 0)), ""), IF(val=0, "", val))</f>
        <v>138</v>
      </c>
      <c r="N4" s="19">
        <f t="array" ref="N4">LET(val, IFERROR(INDEX('Monthly 사주 M raw'!$A:$AAQ, MATCH(EOMONTH(TODAY(), -1) + 1, 'Monthly 사주 M raw'!$A:$A, 0), MATCH($B4, 'Monthly 사주 M raw'!$1:$1, 0)), ""), IF(val=0, "", val))</f>
        <v>532</v>
      </c>
      <c r="O4" s="14">
        <f t="shared" si="4"/>
        <v>2.855072464</v>
      </c>
      <c r="P4" s="20">
        <f t="array" ref="P4">LET(val, IFERROR(INDEX('Weekly 스피킹 raw'!$A:$AAQ, MATCH(TODAY() - WEEKDAY(TODAY(), 2) - 20, 'Weekly 스피킹 raw'!$A:$A, 0), MATCH($A4, 'Weekly 스피킹 raw'!$1:$1, 0)), ""), IF(val=0, "", val))</f>
        <v>33</v>
      </c>
      <c r="Q4" s="21">
        <f t="array" ref="Q4">LET(val, IFERROR(INDEX('Weekly 스피킹 raw'!$A:$AAQ, MATCH(TODAY() - WEEKDAY(TODAY(), 2) - 13, 'Weekly 스피킹 raw'!$A:$A, 0), MATCH($A4, 'Weekly 스피킹 raw'!$1:$1, 0)), ""), IF(val=0, "", val))</f>
        <v>18</v>
      </c>
      <c r="R4" s="14">
        <f t="shared" si="5"/>
        <v>-0.4545454545</v>
      </c>
      <c r="S4" s="22">
        <f t="array" ref="S4">LET(val, IFERROR(INDEX('Monthly 스피킹 M raw'!$A:$AAQ, MATCH(EOMONTH(TODAY(), -2) + 1, 'Monthly 스피킹 M raw'!$A:$A, 0), MATCH($B4, 'Monthly 스피킹 M raw'!$1:$1, 0)), ""), IF(val=0, "", val))</f>
        <v>35</v>
      </c>
      <c r="T4" s="22">
        <f t="array" ref="T4">LET(val, IFERROR(INDEX('Monthly 스피킹 M raw'!$A:$AAQ, MATCH(EOMONTH(TODAY(), -1) + 1, 'Monthly 스피킹 M raw'!$A:$A, 0), MATCH($B4, 'Monthly 스피킹 M raw'!$1:$1, 0)), ""), IF(val=0, "", val))</f>
        <v>165</v>
      </c>
      <c r="U4" s="14">
        <f t="shared" si="6"/>
        <v>3.714285714</v>
      </c>
    </row>
    <row r="5">
      <c r="A5" s="16" t="s">
        <v>15</v>
      </c>
      <c r="B5" s="16" t="s">
        <v>16</v>
      </c>
      <c r="C5" s="17" t="s">
        <v>17</v>
      </c>
      <c r="D5" s="18">
        <f t="array" ref="D5">LET(val, IFERROR(INDEX('Weekly 쨈 raw'!$A:$AAQ, MATCH(TODAY() - WEEKDAY(TODAY(), 2) - 20, 'Weekly 쨈 raw'!$A:$A, 0), MATCH($A5, 'Weekly 쨈 raw'!$1:$1, 0)), ""), IF(val=0, "", val))</f>
        <v>188</v>
      </c>
      <c r="E5" s="19">
        <f t="array" ref="E5">LET(val, IFERROR(INDEX('Weekly 쨈 raw'!$A:$AAQ, MATCH(TODAY() - WEEKDAY(TODAY(), 2) - 13, 'Weekly 쨈 raw'!$A:$A, 0), MATCH($A5, 'Weekly 쨈 raw'!$1:$1, 0)), ""), IF(val=0, "", val))</f>
        <v>252</v>
      </c>
      <c r="F5" s="14">
        <f> LET(val, IFERROR((E5 - D5) / D5, ""), IF(val=0, "", val))</f>
        <v>0.3404255319</v>
      </c>
      <c r="G5" s="19">
        <f t="array" ref="G5">LET(val, IFERROR(INDEX('Monthly 쨈 M raw'!$A:$AAQ, MATCH(EOMONTH(TODAY(), -2) + 1, 'Monthly 쨈 M raw'!$A:$A, 0), MATCH($B5, 'Monthly 쨈 M raw'!$1:$1, 0)), 0), IF(val=0, "", val))</f>
        <v>2084</v>
      </c>
      <c r="H5" s="19">
        <f t="array" ref="H5">LET(val, IFERROR(INDEX('Monthly 쨈 M raw'!$A:$AAQ, MATCH(EOMONTH(TODAY(), -1) + 1, 'Monthly 쨈 M raw'!$A:$A, 0), MATCH($B5, 'Monthly 쨈 M raw'!$1:$1, 0)), 0), IF(val=0, "", val))</f>
        <v>1309</v>
      </c>
      <c r="I5" s="15">
        <f t="shared" si="2"/>
        <v>-0.3718809981</v>
      </c>
      <c r="J5" s="18">
        <f t="array" ref="J5">LET(val, IFERROR(INDEX('Weekly 사주 raw'!$A:$AAQ, MATCH(TODAY() - WEEKDAY(TODAY(), 2) - 20, 'Weekly 사주 raw'!$A:$A, 0), MATCH($A5, 'Weekly 사주 raw'!$1:$1, 0)), ""), IF(val=0, "", val))</f>
        <v>242</v>
      </c>
      <c r="K5" s="19">
        <f t="array" ref="K5">LET(val, IFERROR(INDEX('Weekly 사주 raw'!$A:$AAQ, MATCH(TODAY() - WEEKDAY(TODAY(), 2) - 13, 'Weekly 사주 raw'!$A:$A, 0), MATCH($A5, 'Weekly 사주 raw'!$1:$1, 0)), ""), IF(val=0, "", val))</f>
        <v>136</v>
      </c>
      <c r="L5" s="14">
        <f> LET(val, IFERROR((K5 - J5) / J5, ""), IF(val=0, "", val))</f>
        <v>-0.4380165289</v>
      </c>
      <c r="M5" s="19">
        <f t="array" ref="M5">LET(val, IFERROR(INDEX('Monthly 사주 M raw'!$A:$AAQ, MATCH(EOMONTH(TODAY(), -2) + 1, 'Monthly 사주 M raw'!$A:$A, 0), MATCH($B5, 'Monthly 사주 M raw'!$1:$1, 0)), ""), IF(val=0, "", val))</f>
        <v>331</v>
      </c>
      <c r="N5" s="19">
        <f t="array" ref="N5">LET(val, IFERROR(INDEX('Monthly 사주 M raw'!$A:$AAQ, MATCH(EOMONTH(TODAY(), -1) + 1, 'Monthly 사주 M raw'!$A:$A, 0), MATCH($B5, 'Monthly 사주 M raw'!$1:$1, 0)), ""), IF(val=0, "", val))</f>
        <v>1200</v>
      </c>
      <c r="O5" s="14">
        <f t="shared" si="4"/>
        <v>2.625377644</v>
      </c>
      <c r="P5" s="20">
        <f t="array" ref="P5">LET(val, IFERROR(INDEX('Weekly 스피킹 raw'!$A:$AAQ, MATCH(TODAY() - WEEKDAY(TODAY(), 2) - 20, 'Weekly 스피킹 raw'!$A:$A, 0), MATCH($A5, 'Weekly 스피킹 raw'!$1:$1, 0)), ""), IF(val=0, "", val))</f>
        <v>37</v>
      </c>
      <c r="Q5" s="21">
        <f t="array" ref="Q5">LET(val, IFERROR(INDEX('Weekly 스피킹 raw'!$A:$AAQ, MATCH(TODAY() - WEEKDAY(TODAY(), 2) - 13, 'Weekly 스피킹 raw'!$A:$A, 0), MATCH($A5, 'Weekly 스피킹 raw'!$1:$1, 0)), ""), IF(val=0, "", val))</f>
        <v>20</v>
      </c>
      <c r="R5" s="14">
        <f t="shared" si="5"/>
        <v>-0.4594594595</v>
      </c>
      <c r="S5" s="22">
        <f t="array" ref="S5">LET(val, IFERROR(INDEX('Monthly 스피킹 M raw'!$A:$AAQ, MATCH(EOMONTH(TODAY(), -2) + 1, 'Monthly 스피킹 M raw'!$A:$A, 0), MATCH($B5, 'Monthly 스피킹 M raw'!$1:$1, 0)), ""), IF(val=0, "", val))</f>
        <v>41</v>
      </c>
      <c r="T5" s="22">
        <f t="array" ref="T5">LET(val, IFERROR(INDEX('Monthly 스피킹 M raw'!$A:$AAQ, MATCH(EOMONTH(TODAY(), -1) + 1, 'Monthly 스피킹 M raw'!$A:$A, 0), MATCH($B5, 'Monthly 스피킹 M raw'!$1:$1, 0)), ""), IF(val=0, "", val))</f>
        <v>199</v>
      </c>
      <c r="U5" s="14">
        <f t="shared" si="6"/>
        <v>3.853658537</v>
      </c>
    </row>
    <row r="6">
      <c r="A6" s="11"/>
      <c r="B6" s="11"/>
      <c r="C6" s="1"/>
      <c r="D6" s="13"/>
      <c r="E6" s="14"/>
      <c r="F6" s="14"/>
      <c r="G6" s="14"/>
      <c r="H6" s="14"/>
      <c r="I6" s="15"/>
      <c r="J6" s="13"/>
      <c r="K6" s="14"/>
      <c r="L6" s="14"/>
      <c r="M6" s="14"/>
      <c r="N6" s="14"/>
      <c r="O6" s="14"/>
      <c r="P6" s="13"/>
      <c r="Q6" s="14"/>
      <c r="R6" s="14"/>
      <c r="S6" s="14"/>
      <c r="T6" s="14"/>
      <c r="U6" s="14"/>
    </row>
    <row r="7">
      <c r="A7" s="11" t="s">
        <v>18</v>
      </c>
      <c r="B7" s="11" t="s">
        <v>18</v>
      </c>
      <c r="C7" s="1" t="s">
        <v>18</v>
      </c>
      <c r="D7" s="13">
        <f t="array" ref="D7">LET(val, IFERROR(INDEX('Weekly 쨈 raw'!$A:$AAQ, MATCH(TODAY() - WEEKDAY(TODAY(), 2) - 13, 'Weekly 쨈 raw'!$A:$A, 0), MATCH($A7, 'Weekly 쨈 raw'!$1:$1, 0)), ""), IF(val=0, "", val))</f>
        <v>0.1596474045</v>
      </c>
      <c r="E7" s="14">
        <f t="array" ref="E7">LET(val, IFERROR(INDEX('Weekly 쨈 raw'!$A:$AAQ, MATCH(TODAY() - WEEKDAY(TODAY(), 2) - 6, 'Weekly 쨈 raw'!$A:$A, 0), MATCH($A7, 'Weekly 쨈 raw'!$1:$1, 0)), ""), IF(val=0, "", val))</f>
        <v>0.2049007182</v>
      </c>
      <c r="F7" s="14">
        <f t="shared" ref="F7:F10" si="7"> LET(val, IFERROR((E7 - D7) / D7, ""), IF(val=0, "", val))</f>
        <v>0.283457873</v>
      </c>
      <c r="G7" s="14">
        <f t="array" ref="G7">LET(val, IFERROR(INDEX('Monthly 쨈 M raw'!$A:$AAQ, MATCH(EOMONTH(TODAY(), -2) + 1, 'Monthly 쨈 M raw'!$A:$A, 0), MATCH($B7, 'Monthly 쨈 M raw'!$1:$1, 0)), 0), IF(val=0, "", val))</f>
        <v>0.1713346483</v>
      </c>
      <c r="H7" s="14">
        <f t="array" ref="H7">LET(val, IFERROR(INDEX('Monthly 쨈 M raw'!$A:$AAQ, MATCH(EOMONTH(TODAY(), -1) + 1, 'Monthly 쨈 M raw'!$A:$A, 0), MATCH($B7, 'Monthly 쨈 M raw'!$1:$1, 0)), ""), IF(val=0, "", val))</f>
        <v>0.1682539683</v>
      </c>
      <c r="I7" s="15">
        <f t="shared" ref="I7:I10" si="8">LET(val, IF(OR(G7="", H7=""), "", IFERROR((H7 - G7) / G7, "")), IF(val=0, "", val))</f>
        <v>-0.0179804846</v>
      </c>
      <c r="J7" s="13">
        <f t="array" ref="J7">LET(val, IFERROR(INDEX('Weekly 사주 raw'!$A:$AAQ, MATCH(TODAY() - WEEKDAY(TODAY(), 2) - 13, 'Weekly 사주 raw'!$A:$A, 0), MATCH($A7, 'Weekly 사주 raw'!$1:$1, 0)), ""), IF(val=0, "", val))</f>
        <v>0.1382660688</v>
      </c>
      <c r="K7" s="14">
        <f t="array" ref="K7">LET(val, IFERROR(INDEX('Weekly 사주 raw'!$A:$AAQ, MATCH(TODAY() - WEEKDAY(TODAY(), 2) - 6, 'Weekly 사주 raw'!$A:$A, 0), MATCH($A7, 'Weekly 사주 raw'!$1:$1, 0)), ""), IF(val=0, "", val))</f>
        <v>0.1667965705</v>
      </c>
      <c r="L7" s="14">
        <f t="shared" ref="L7:L10" si="9"> LET(val, IFERROR((K7 - J7) / J7, ""), IF(val=0, "", val))</f>
        <v>0.2063449264</v>
      </c>
      <c r="M7" s="14">
        <f t="array" ref="M7">LET(val, IFERROR(INDEX('Monthly 사주 M raw'!$A:$AAQ, MATCH(EOMONTH(TODAY(), -2) + 1, 'Monthly 사주 M raw'!$A:$A, 0), MATCH($B7, 'Monthly 사주 M raw'!$1:$1, 0)), ""), IF(val=0, "", val))</f>
        <v>0.1125514147</v>
      </c>
      <c r="N7" s="14">
        <f t="array" ref="N7">LET(val, IFERROR(INDEX('Monthly 사주 M raw'!$A:$AAQ, MATCH(EOMONTH(TODAY(), -1) + 1, 'Monthly 사주 M raw'!$A:$A, 0), MATCH($B7, 'Monthly 사주 M raw'!$1:$1, 0)), ""), IF(val=0, "", val))</f>
        <v>0.1589615122</v>
      </c>
      <c r="O7" s="14">
        <f t="shared" ref="O7:O10" si="10">LET(val, IF(OR(M7="", N7=""), "", IFERROR((N7 - M7) / M7, "")), IF(val=0, "", val))</f>
        <v>0.41234575</v>
      </c>
      <c r="P7" s="13">
        <f t="array" ref="P7">LET(val, IFERROR(INDEX('Weekly 스피킹 raw'!$A:$AAQ, MATCH(TODAY() - WEEKDAY(TODAY(), 2) - 13, 'Weekly 스피킹 raw'!$A:$A, 0), MATCH($A7, 'Weekly 스피킹 raw'!$1:$1, 0)), ""), IF(val=0, "", val))</f>
        <v>0.002963114335</v>
      </c>
      <c r="Q7" s="14">
        <f t="array" ref="Q7">LET(val, IFERROR(INDEX('Weekly 스피킹 raw'!$A:$AAQ, MATCH(TODAY() - WEEKDAY(TODAY(), 2) - 6, 'Weekly 스피킹 raw'!$A:$A, 0), MATCH($A7, 'Weekly 스피킹 raw'!$1:$1, 0)), ""), IF(val=0, "", val))</f>
        <v>0.003446636558</v>
      </c>
      <c r="R7" s="14">
        <f t="shared" ref="R7:R10" si="11"> LET(val, IFERROR((Q7 - P7) / P7, ""), IF(val=0, "", val))</f>
        <v>0.1631804136</v>
      </c>
      <c r="S7" s="14">
        <f t="array" ref="S7">LET(val, IFERROR(INDEX('Monthly 스피킹 M raw'!$A:$AAQ, MATCH(EOMONTH(TODAY(), -2) + 1, 'Monthly 스피킹 M raw'!$A:$A, 0), MATCH($B7, 'Monthly 스피킹 M raw'!$1:$1, 0)), ""), IF(val=0, "", val))</f>
        <v>0.005038547927</v>
      </c>
      <c r="T7" s="14">
        <f t="array" ref="T7">LET(val, IFERROR(INDEX('Monthly 스피킹 raw'!$A:$AAQ, MATCH(EOMONTH(TODAY(), -1) + 1, 'Monthly 스피킹 raw'!$A:$A, 0), MATCH($B7, 'Monthly 스피킹 raw'!$1:$1, 0)), ""), IF(val=0, "", val))</f>
        <v>0.005104553799</v>
      </c>
      <c r="U7" s="14">
        <f t="shared" ref="U7:U10" si="12">LET(val, IF(OR(S7="", T7=""), "", IFERROR((T7 - S7) / S7, "")), IF(val=0, "", val))</f>
        <v>0.01310017754</v>
      </c>
    </row>
    <row r="8">
      <c r="A8" s="23" t="s">
        <v>19</v>
      </c>
      <c r="B8" s="23" t="s">
        <v>19</v>
      </c>
      <c r="C8" s="17" t="s">
        <v>20</v>
      </c>
      <c r="D8" s="18">
        <f t="array" ref="D8">LET(val, IFERROR(INDEX('Weekly 쨈 raw'!$A:$AAQ, MATCH(TODAY() - WEEKDAY(TODAY(), 2) - 13, 'Weekly 쨈 raw'!$A:$A, 0), MATCH($A8, 'Weekly 쨈 raw'!$1:$1, 0)), ""), IF(val=0, "", val))</f>
        <v>326</v>
      </c>
      <c r="E8" s="19">
        <f t="array" ref="E8">LET(val, IFERROR(INDEX('Weekly 쨈 raw'!$A:$AAQ, MATCH(TODAY() - WEEKDAY(TODAY(), 2) - 6, 'Weekly 쨈 raw'!$A:$A, 0), MATCH($A8, 'Weekly 쨈 raw'!$1:$1, 0)), ""), IF(val=0, "", val))</f>
        <v>485</v>
      </c>
      <c r="F8" s="14">
        <f t="shared" si="7"/>
        <v>0.4877300613</v>
      </c>
      <c r="G8" s="19">
        <f t="array" ref="G8">LET(val, IFERROR(INDEX('Monthly 쨈 M raw'!$A:$AAQ, MATCH(EOMONTH(TODAY(), -2) + 1, 'Monthly 쨈 M raw'!$A:$A, 0), MATCH($B8, 'Monthly 쨈 M raw'!$1:$1, 0)), ""), IF(val=0, "", val))</f>
        <v>1303</v>
      </c>
      <c r="H8" s="19">
        <f t="array" ref="H8">LET(val, IFERROR(INDEX('Monthly 쨈 M raw'!$A:$AAQ, MATCH(EOMONTH(TODAY(), -1) + 1, 'Monthly 쨈 M raw'!$A:$A, 0), MATCH($B8, 'Monthly 쨈 M raw'!$1:$1, 0)), ""), IF(val=0, "", val))</f>
        <v>1060</v>
      </c>
      <c r="I8" s="15">
        <f t="shared" si="8"/>
        <v>-0.1864927091</v>
      </c>
      <c r="J8" s="18">
        <f t="array" ref="J8">LET(val, IFERROR(INDEX('Weekly 사주 raw'!$A:$AAQ, MATCH(TODAY() - WEEKDAY(TODAY(), 2) - 13, 'Weekly 사주 raw'!$A:$A, 0), MATCH($A8, 'Weekly 사주 raw'!$1:$1, 0)), ""), IF(val=0, "", val))</f>
        <v>185</v>
      </c>
      <c r="K8" s="19">
        <f t="array" ref="K8">LET(val, IFERROR(INDEX('Weekly 사주 raw'!$A:$AAQ, MATCH(TODAY() - WEEKDAY(TODAY(), 2) - 6, 'Weekly 사주 raw'!$A:$A, 0), MATCH($A8, 'Weekly 사주 raw'!$1:$1, 0)), ""), IF(val=0, "", val))</f>
        <v>214</v>
      </c>
      <c r="L8" s="14">
        <f t="shared" si="9"/>
        <v>0.1567567568</v>
      </c>
      <c r="M8" s="19">
        <f t="array" ref="M8">LET(val, IFERROR(INDEX('Monthly 사주 M raw'!$A:$AAQ, MATCH(EOMONTH(TODAY(), -2) + 1, 'Monthly 사주 M raw'!$A:$A, 0), MATCH($B8, 'Monthly 사주 M raw'!$1:$1, 0)), ""), IF(val=0, "", val))</f>
        <v>903</v>
      </c>
      <c r="N8" s="24">
        <f t="array" ref="N8">LET(val, IFERROR(INDEX('Monthly 사주 M raw'!$A:$AAQ, MATCH(EOMONTH(TODAY(), -1) + 1, 'Monthly 사주 M raw'!$A:$A, 0), MATCH($B8, 'Monthly 사주 M raw'!$1:$1, 0)), ""), IF(val=0, "", val))</f>
        <v>698</v>
      </c>
      <c r="O8" s="14">
        <f t="shared" si="10"/>
        <v>-0.227021041</v>
      </c>
      <c r="P8" s="18">
        <f t="array" ref="P8">LET(val, IFERROR(INDEX('Weekly 스피킹 raw'!$A:$AAQ, MATCH(TODAY() - WEEKDAY(TODAY(), 2) - 13, 'Weekly 스피킹 raw'!$A:$A, 0), MATCH($A8, 'Weekly 스피킹 raw'!$1:$1, 0)), ""), IF(val=0, "", val))</f>
        <v>29</v>
      </c>
      <c r="Q8" s="19">
        <f t="array" ref="Q8">LET(val, IFERROR(INDEX('Weekly 스피킹 raw'!$A:$AAQ, MATCH(TODAY() - WEEKDAY(TODAY(), 2) - 6, 'Weekly 스피킹 raw'!$A:$A, 0), MATCH($A8, 'Weekly 스피킹 raw'!$1:$1, 0)), ""), IF(val=0, "", val))</f>
        <v>29</v>
      </c>
      <c r="R8" s="14" t="str">
        <f t="shared" si="11"/>
        <v/>
      </c>
      <c r="S8" s="19">
        <f t="array" ref="S8">LET(val, IFERROR(INDEX('Monthly 스피킹 M raw'!$A:$AAQ, MATCH(EOMONTH(TODAY(), -2) + 1, 'Monthly 스피킹 M raw'!$A:$A, 0), MATCH($B8, 'Monthly 스피킹 M raw'!$1:$1, 0)), ""), IF(val=0, "", val))</f>
        <v>166</v>
      </c>
      <c r="T8" s="19">
        <f t="array" ref="T8">LET(val, IFERROR(INDEX('Monthly 스피킹 raw'!$A:$AAQ, MATCH(EOMONTH(TODAY(), -1) + 1, 'Monthly 스피킹 raw'!$A:$A, 0), MATCH($B8, 'Monthly 스피킹 raw'!$1:$1, 0)), ""), IF(val=0, "", val))</f>
        <v>114</v>
      </c>
      <c r="U8" s="14">
        <f t="shared" si="12"/>
        <v>-0.313253012</v>
      </c>
    </row>
    <row r="9">
      <c r="A9" s="23" t="s">
        <v>21</v>
      </c>
      <c r="B9" s="23" t="s">
        <v>21</v>
      </c>
      <c r="C9" s="17" t="s">
        <v>22</v>
      </c>
      <c r="D9" s="18">
        <f t="array" ref="D9">LET(val, IFERROR(INDEX('Weekly 쨈 raw'!$A:$AAQ, MATCH(TODAY() - WEEKDAY(TODAY(), 2) - 13, 'Weekly 쨈 raw'!$A:$A, 0), MATCH($A9, 'Weekly 쨈 raw'!$1:$1, 0)), ""), IF(val=0, "", val))</f>
        <v>2042</v>
      </c>
      <c r="E9" s="19">
        <f t="array" ref="E9">LET(val, IFERROR(INDEX('Weekly 쨈 raw'!$A:$AAQ, MATCH(TODAY() - WEEKDAY(TODAY(), 2) - 6, 'Weekly 쨈 raw'!$A:$A, 0), MATCH($A9, 'Weekly 쨈 raw'!$1:$1, 0)), ""), IF(val=0, "", val))</f>
        <v>2367</v>
      </c>
      <c r="F9" s="14">
        <f t="shared" si="7"/>
        <v>0.1591576885</v>
      </c>
      <c r="G9" s="19">
        <f t="array" ref="G9">LET(val, IFERROR(INDEX('Monthly 쨈 M raw'!$A:$AAQ, MATCH(EOMONTH(TODAY(), -2) + 1, 'Monthly 쨈 M raw'!$A:$A, 0), MATCH($B9, 'Monthly 쨈 M raw'!$1:$1, 0)), ""), IF(val=0, "", val))</f>
        <v>7605</v>
      </c>
      <c r="H9" s="19">
        <f t="array" ref="H9">LET(val, IFERROR(INDEX('Monthly 쨈 M raw'!$A:$AAQ, MATCH(EOMONTH(TODAY(), -1) + 1, 'Monthly 쨈 M raw'!$A:$A, 0), MATCH($B9, 'Monthly 쨈 M raw'!$1:$1, 0)), ""), IF(val=0, "", val))</f>
        <v>6300</v>
      </c>
      <c r="I9" s="15">
        <f t="shared" si="8"/>
        <v>-0.1715976331</v>
      </c>
      <c r="J9" s="18">
        <f t="array" ref="J9">LET(val, IFERROR(INDEX('Weekly 사주 raw'!$A:$AAQ, MATCH(TODAY() - WEEKDAY(TODAY(), 2) - 13, 'Weekly 사주 raw'!$A:$A, 0), MATCH($A9, 'Weekly 사주 raw'!$1:$1, 0)), ""), IF(val=0, "", val))</f>
        <v>1338</v>
      </c>
      <c r="K9" s="19">
        <f t="array" ref="K9">LET(val, IFERROR(INDEX('Weekly 사주 raw'!$A:$AAQ, MATCH(TODAY() - WEEKDAY(TODAY(), 2) - 6, 'Weekly 사주 raw'!$A:$A, 0), MATCH($A9, 'Weekly 사주 raw'!$1:$1, 0)), ""), IF(val=0, "", val))</f>
        <v>1283</v>
      </c>
      <c r="L9" s="14">
        <f t="shared" si="9"/>
        <v>-0.04110612855</v>
      </c>
      <c r="M9" s="24">
        <f t="array" ref="M9">LET(val, IFERROR(INDEX('Monthly 사주 M raw'!$A:$AAQ, MATCH(EOMONTH(TODAY(), -2) + 1, 'Monthly 사주 M raw'!$A:$A, 0), MATCH($B9, 'Monthly 사주 M raw'!$1:$1, 0)), ""), IF(val=0, "", val))</f>
        <v>8023</v>
      </c>
      <c r="N9" s="24">
        <f t="array" ref="N9">LET(val, IFERROR(INDEX('Monthly 사주 M raw'!$A:$AAQ, MATCH(EOMONTH(TODAY(), -1) + 1, 'Monthly 사주 M raw'!$A:$A, 0), MATCH($B9, 'Monthly 사주 M raw'!$1:$1, 0)), ""), IF(val=0, "", val))</f>
        <v>4391</v>
      </c>
      <c r="O9" s="14">
        <f t="shared" si="10"/>
        <v>-0.4526984918</v>
      </c>
      <c r="P9" s="18">
        <f t="array" ref="P9">LET(val, IFERROR(INDEX('Weekly 스피킹 raw'!$A:$AAQ, MATCH(TODAY() - WEEKDAY(TODAY(), 2) - 13, 'Weekly 스피킹 raw'!$A:$A, 0), MATCH($A9, 'Weekly 스피킹 raw'!$1:$1, 0)), ""), IF(val=0, "", val))</f>
        <v>9787</v>
      </c>
      <c r="Q9" s="19">
        <f t="array" ref="Q9">LET(val, IFERROR(INDEX('Weekly 스피킹 raw'!$A:$AAQ, MATCH(TODAY() - WEEKDAY(TODAY(), 2) - 6, 'Weekly 스피킹 raw'!$A:$A, 0), MATCH($A9, 'Weekly 스피킹 raw'!$1:$1, 0)), ""), IF(val=0, "", val))</f>
        <v>8414</v>
      </c>
      <c r="R9" s="14">
        <f t="shared" si="11"/>
        <v>-0.1402881373</v>
      </c>
      <c r="S9" s="24">
        <f t="array" ref="S9">LET(val, IFERROR(INDEX('Monthly 스피킹 M raw'!$A:$AAQ, MATCH(EOMONTH(TODAY(), -2) + 1, 'Monthly 스피킹 M raw'!$A:$A, 0), MATCH($B9, 'Monthly 스피킹 M raw'!$1:$1, 0)), ""), IF(val=0, "", val))</f>
        <v>32946</v>
      </c>
      <c r="T9" s="19">
        <f t="array" ref="T9">LET(val, IFERROR(INDEX('Monthly 스피킹 raw'!$A:$AAQ, MATCH(EOMONTH(TODAY(), -1) + 1, 'Monthly 스피킹 raw'!$A:$A, 0), MATCH($B9, 'Monthly 스피킹 raw'!$1:$1, 0)), ""), IF(val=0, "", val))</f>
        <v>22333</v>
      </c>
      <c r="U9" s="14">
        <f t="shared" si="12"/>
        <v>-0.3221331876</v>
      </c>
    </row>
    <row r="10">
      <c r="A10" s="23" t="s">
        <v>23</v>
      </c>
      <c r="B10" s="23" t="s">
        <v>23</v>
      </c>
      <c r="C10" s="17" t="s">
        <v>24</v>
      </c>
      <c r="D10" s="18">
        <f t="array" ref="D10">LET(val, IFERROR(INDEX('Weekly 쨈 raw'!$A:$AAQ, MATCH(TODAY() - WEEKDAY(TODAY(), 2) - 13, 'Weekly 쨈 raw'!$A:$A, 0), MATCH($A10, 'Weekly 쨈 raw'!$1:$1, 0)), ""), IF(val=0, "", val))</f>
        <v>7739</v>
      </c>
      <c r="E10" s="19">
        <f t="array" ref="E10">LET(val, IFERROR(INDEX('Weekly 쨈 raw'!$A:$AAQ, MATCH(TODAY() - WEEKDAY(TODAY(), 2) - 6, 'Weekly 쨈 raw'!$A:$A, 0), MATCH($A10, 'Weekly 쨈 raw'!$1:$1, 0)), ""), IF(val=0, "", val))</f>
        <v>8951</v>
      </c>
      <c r="F10" s="14">
        <f t="shared" si="7"/>
        <v>0.1566093811</v>
      </c>
      <c r="G10" s="19">
        <f t="array" ref="G10">LET(val, IFERROR(INDEX('Monthly 쨈 M raw'!$A:$AAQ, MATCH(EOMONTH(TODAY(), -2) + 1, 'Monthly 쨈 M raw'!$A:$A, 0), MATCH($B10, 'Monthly 쨈 M raw'!$1:$1, 0)), ""), IF(val=0, "", val))</f>
        <v>29720</v>
      </c>
      <c r="H10" s="19">
        <f t="array" ref="H10">LET(val, IFERROR(INDEX('Monthly 쨈 M raw'!$A:$AAQ, MATCH(EOMONTH(TODAY(), -1) + 1, 'Monthly 쨈 M raw'!$A:$A, 0), MATCH($B10, 'Monthly 쨈 M raw'!$1:$1, 0)), ""), IF(val=0, "", val))</f>
        <v>26580</v>
      </c>
      <c r="I10" s="15">
        <f t="shared" si="8"/>
        <v>-0.1056527591</v>
      </c>
      <c r="J10" s="18">
        <f t="array" ref="J10">LET(val, IFERROR(INDEX('Weekly 사주 raw'!$A:$AAQ, MATCH(TODAY() - WEEKDAY(TODAY(), 2) - 13, 'Weekly 사주 raw'!$A:$A, 0), MATCH($A10, 'Weekly 사주 raw'!$1:$1, 0)), ""), IF(val=0, "", val))</f>
        <v>3348</v>
      </c>
      <c r="K10" s="19">
        <f t="array" ref="K10">LET(val, IFERROR(INDEX('Weekly 사주 raw'!$A:$AAQ, MATCH(TODAY() - WEEKDAY(TODAY(), 2) - 6, 'Weekly 사주 raw'!$A:$A, 0), MATCH($A10, 'Weekly 사주 raw'!$1:$1, 0)), ""), IF(val=0, "", val))</f>
        <v>3239</v>
      </c>
      <c r="L10" s="14">
        <f t="shared" si="9"/>
        <v>-0.0325567503</v>
      </c>
      <c r="M10" s="24">
        <f t="array" ref="M10">LET(val, IFERROR(INDEX('Monthly 사주 M raw'!$A:$AAQ, MATCH(EOMONTH(TODAY(), -2) + 1, 'Monthly 사주 M raw'!$A:$A, 0), MATCH($B10, 'Monthly 사주 M raw'!$1:$1, 0)), ""), IF(val=0, "", val))</f>
        <v>25804</v>
      </c>
      <c r="N10" s="24">
        <f t="array" ref="N10">LET(val, IFERROR(INDEX('Monthly 사주 M raw'!$A:$AAQ, MATCH(EOMONTH(TODAY(), -1) + 1, 'Monthly 사주 M raw'!$A:$A, 0), MATCH($B10, 'Monthly 사주 M raw'!$1:$1, 0)), ""), IF(val=0, "", val))</f>
        <v>11965</v>
      </c>
      <c r="O10" s="14">
        <f t="shared" si="10"/>
        <v>-0.5363121997</v>
      </c>
      <c r="P10" s="18">
        <f t="array" ref="P10">LET(val, IFERROR(INDEX('Weekly 스피킹 raw'!$A:$AAQ, MATCH(TODAY() - WEEKDAY(TODAY(), 2) - 13, 'Weekly 스피킹 raw'!$A:$A, 0), MATCH($A10, 'Weekly 스피킹 raw'!$1:$1, 0)), ""), IF(val=0, "", val))</f>
        <v>88753</v>
      </c>
      <c r="Q10" s="19">
        <f t="array" ref="Q10">LET(val, IFERROR(INDEX('Weekly 스피킹 raw'!$A:$AAQ, MATCH(TODAY() - WEEKDAY(TODAY(), 2) - 6, 'Weekly 스피킹 raw'!$A:$A, 0), MATCH($A10, 'Weekly 스피킹 raw'!$1:$1, 0)), ""), IF(val=0, "", val))</f>
        <v>67528</v>
      </c>
      <c r="R10" s="14">
        <f t="shared" si="11"/>
        <v>-0.2391468457</v>
      </c>
      <c r="S10" s="24">
        <f t="array" ref="S10">LET(val, IFERROR(INDEX('Monthly 스피킹 M raw'!$A:$AAQ, MATCH(EOMONTH(TODAY(), -2) + 1, 'Monthly 스피킹 M raw'!$A:$A, 0), MATCH($B10, 'Monthly 스피킹 M raw'!$1:$1, 0)), ""), IF(val=0, "", val))</f>
        <v>634217</v>
      </c>
      <c r="T10" s="19">
        <f t="array" ref="T10">LET(val, IFERROR(INDEX('Monthly 스피킹 raw'!$A:$AAQ, MATCH(EOMONTH(TODAY(), -1) + 1, 'Monthly 스피킹 raw'!$A:$A, 0), MATCH($B10, 'Monthly 스피킹 raw'!$1:$1, 0)), ""), IF(val=0, "", val))</f>
        <v>293658</v>
      </c>
      <c r="U10" s="14">
        <f t="shared" si="12"/>
        <v>-0.5369755147</v>
      </c>
    </row>
    <row r="11">
      <c r="A11" s="23"/>
      <c r="B11" s="23"/>
      <c r="C11" s="1"/>
      <c r="D11" s="25"/>
      <c r="E11" s="26"/>
      <c r="F11" s="14"/>
      <c r="G11" s="26"/>
      <c r="H11" s="26"/>
      <c r="I11" s="15"/>
      <c r="J11" s="25"/>
      <c r="K11" s="26"/>
      <c r="L11" s="14"/>
      <c r="M11" s="14"/>
      <c r="N11" s="26"/>
      <c r="O11" s="14"/>
      <c r="P11" s="25"/>
      <c r="Q11" s="26"/>
      <c r="R11" s="14"/>
      <c r="S11" s="14"/>
      <c r="T11" s="26"/>
      <c r="U11" s="14"/>
    </row>
    <row r="12">
      <c r="A12" s="23" t="s">
        <v>25</v>
      </c>
      <c r="B12" s="23" t="s">
        <v>25</v>
      </c>
      <c r="C12" s="1" t="s">
        <v>25</v>
      </c>
      <c r="D12" s="25">
        <f t="array" ref="D12">LET(val, IFERROR(INDEX('Weekly 쨈 raw'!$A:$AAQ, MATCH(TODAY() - WEEKDAY(TODAY(), 2) - 13, 'Weekly 쨈 raw'!$A:$A, 0), MATCH($A12, 'Weekly 쨈 raw'!$1:$1, 0)), ""), IF(val=0, "", val))</f>
        <v>18170.55215</v>
      </c>
      <c r="E12" s="26">
        <f t="array" ref="E12">LET(val, IFERROR(INDEX('Weekly 쨈 raw'!$A:$AAQ, MATCH(TODAY() - WEEKDAY(TODAY(), 2) - 6, 'Weekly 쨈 raw'!$A:$A, 0), MATCH($A12, 'Weekly 쨈 raw'!$1:$1, 0)), ""), IF(val=0, "", val))</f>
        <v>17841.23711</v>
      </c>
      <c r="F12" s="14">
        <f t="shared" ref="F12:F15" si="13"> LET(val, IFERROR((E12 - D12) / D12, ""), IF(val=0, "", val))</f>
        <v>-0.0181235568</v>
      </c>
      <c r="G12" s="26">
        <f t="array" ref="G12">LET(val, IFERROR(INDEX('Monthly 쨈 M raw'!$A:$AAQ, MATCH(EOMONTH(TODAY(), -2) + 1, 'Monthly 쨈 M raw'!$A:$A, 0), MATCH($B12, 'Monthly 쨈 M raw'!$1:$1, 0)), 0), IF(val=0, "", val))</f>
        <v>8511.281658</v>
      </c>
      <c r="H12" s="26">
        <f t="array" ref="H12">LET(val, IFERROR(INDEX('Monthly 쨈 M raw'!$A:$AAQ, MATCH(EOMONTH(TODAY(), -1) + 1, 'Monthly 쨈 M raw'!$A:$A, 0), MATCH($B12, 'Monthly 쨈 M raw'!$1:$1, 0)), ""), IF(val=0, "", val))</f>
        <v>18036.13208</v>
      </c>
      <c r="I12" s="15">
        <f t="shared" ref="I12:I15" si="14">LET(val, IF(OR(G12="", H12=""), "", IFERROR((H12 - G12) / G12, "")), IF(val=0, "", val))</f>
        <v>1.119085327</v>
      </c>
      <c r="J12" s="25">
        <f t="array" ref="J12">LET(val, IFERROR(INDEX('Weekly 사주 raw'!$A:$AAQ, MATCH(TODAY() - WEEKDAY(TODAY(), 2) - 13, 'Weekly 사주 raw'!$A:$A, 0), MATCH($A12, 'Weekly 사주 raw'!$1:$1, 0)), ""), IF(val=0, "", val))</f>
        <v>24025.40541</v>
      </c>
      <c r="K12" s="26">
        <f t="array" ref="K12">LET(val, IFERROR(INDEX('Weekly 사주 raw'!$A:$AAQ, MATCH(TODAY() - WEEKDAY(TODAY(), 2) - 6, 'Weekly 사주 raw'!$A:$A, 0), MATCH($A12, 'Weekly 사주 raw'!$1:$1, 0)), ""), IF(val=0, "", val))</f>
        <v>24415.42056</v>
      </c>
      <c r="L12" s="14">
        <f t="shared" ref="L12:L15" si="15"> LET(val, IFERROR((K12 - J12) / J12, ""), IF(val=0, "", val))</f>
        <v>0.01623344742</v>
      </c>
      <c r="M12" s="27">
        <f t="array" ref="M12">LET(val, IFERROR(INDEX('Monthly 사주 M raw'!$A:$AAQ, MATCH(EOMONTH(TODAY(), -2) + 1, 'Monthly 사주 M raw'!$A:$A, 0), MATCH($B12, 'Monthly 사주 M raw'!$1:$1, 0)), ""), IF(val=0, "", val))</f>
        <v>23157.91805</v>
      </c>
      <c r="N12" s="26">
        <f t="array" ref="N12">LET(val, IFERROR(INDEX('Monthly 사주 M raw'!$A:$AAQ, MATCH(EOMONTH(TODAY(), -1) + 1, 'Monthly 사주 M raw'!$A:$A, 0), MATCH($B12, 'Monthly 사주 M raw'!$1:$1, 0)), ""), IF(val=0, "", val))</f>
        <v>24889.39828</v>
      </c>
      <c r="O12" s="14">
        <f t="shared" ref="O12:O15" si="16">LET(val, IF(OR(M12="", N12=""), "", IFERROR((N12 - M12) / M12, "")), IF(val=0, "", val))</f>
        <v>0.0747683892</v>
      </c>
      <c r="P12" s="25">
        <f t="array" ref="P12">LET(val, IFERROR(INDEX('Weekly 스피킹 raw'!$A:$AAQ, MATCH(TODAY() - WEEKDAY(TODAY(), 2) - 13, 'Weekly 스피킹 raw'!$A:$A, 0), MATCH($A12, 'Weekly 스피킹 raw'!$1:$1, 0)), ""), IF(val=0, "", val))</f>
        <v>59034.48276</v>
      </c>
      <c r="Q12" s="26">
        <f t="array" ref="Q12">LET(val, IFERROR(INDEX('Weekly 스피킹 raw'!$A:$AAQ, MATCH(TODAY() - WEEKDAY(TODAY(), 2) - 6, 'Weekly 스피킹 raw'!$A:$A, 0), MATCH($A12, 'Weekly 스피킹 raw'!$1:$1, 0)), ""), IF(val=0, "", val))</f>
        <v>76275.86207</v>
      </c>
      <c r="R12" s="14">
        <f t="shared" ref="R12:R15" si="17"> LET(val, IFERROR((Q12 - P12) / P12, ""), IF(val=0, "", val))</f>
        <v>0.2920560748</v>
      </c>
      <c r="S12" s="26">
        <f t="array" ref="S12">LET(val, IFERROR(INDEX('Monthly 스피킹 M raw'!$A:$AAQ, MATCH(EOMONTH(TODAY(), -2) + 1, 'Monthly 스피킹 M raw'!$A:$A, 0), MATCH($B12, 'Monthly 스피킹 M raw'!$1:$1, 0)), ""), IF(val=0, "", val))</f>
        <v>83102.40964</v>
      </c>
      <c r="T12" s="26">
        <f t="array" ref="T12">LET(val, IFERROR(INDEX('Monthly 스피킹 raw'!$A:$AAQ, MATCH(EOMONTH(TODAY(), -1) + 1, 'Monthly 스피킹 raw'!$A:$A, 0), MATCH($B12, 'Monthly 스피킹 raw'!$1:$1, 0)), ""), IF(val=0, "", val))</f>
        <v>72833.33333</v>
      </c>
      <c r="U12" s="14">
        <f t="shared" ref="U12:U15" si="18">LET(val, IF(OR(S12="", T12=""), "", IFERROR((T12 - S12) / S12, "")), IF(val=0, "", val))</f>
        <v>-0.1235713423</v>
      </c>
    </row>
    <row r="13">
      <c r="A13" s="23" t="s">
        <v>26</v>
      </c>
      <c r="B13" s="23" t="s">
        <v>26</v>
      </c>
      <c r="C13" s="28" t="s">
        <v>27</v>
      </c>
      <c r="D13" s="25">
        <f t="array" ref="D13">LET(val, IFERROR(INDEX('Weekly 쨈 raw'!$A:$AAQ, MATCH(TODAY() - WEEKDAY(TODAY(), 2) - 13, 'Weekly 쨈 raw'!$A:$A, 0), MATCH($A13, 'Weekly 쨈 raw'!$1:$1, 0)), ""), IF(val=0, "", val))</f>
        <v>5923600</v>
      </c>
      <c r="E13" s="26">
        <f t="array" ref="E13">LET(val, IFERROR(INDEX('Weekly 쨈 raw'!$A:$AAQ, MATCH(TODAY() - WEEKDAY(TODAY(), 2) - 6, 'Weekly 쨈 raw'!$A:$A, 0), MATCH($A13, 'Weekly 쨈 raw'!$1:$1, 0)), ""), IF(val=0, "", val))</f>
        <v>8653000</v>
      </c>
      <c r="F13" s="14">
        <f t="shared" si="13"/>
        <v>0.4607671011</v>
      </c>
      <c r="G13" s="26">
        <f t="array" ref="G13">LET(val, IFERROR(INDEX('Monthly 쨈 M raw'!$A:$AAQ, MATCH(EOMONTH(TODAY(), -2) + 1, 'Monthly 쨈 M raw'!$A:$A, 0), MATCH($B13, 'Monthly 쨈 M raw'!$1:$1, 0)), 0), IF(val=0, "", val))</f>
        <v>11090200</v>
      </c>
      <c r="H13" s="26">
        <f t="array" ref="H13">LET(val, IFERROR(INDEX('Monthly 쨈 M raw'!$A:$AAQ, MATCH(EOMONTH(TODAY(), -1) + 1, 'Monthly 쨈 M raw'!$A:$A, 0), MATCH($B13, 'Monthly 쨈 M raw'!$1:$1, 0)), ""), IF(val=0, "", val))</f>
        <v>19118300</v>
      </c>
      <c r="I13" s="15">
        <f t="shared" si="14"/>
        <v>0.7238913635</v>
      </c>
      <c r="J13" s="25">
        <f t="array" ref="J13">LET(val, IFERROR(INDEX('Weekly 사주 raw'!$A:$AAQ, MATCH(TODAY() - WEEKDAY(TODAY(), 2) - 13, 'Weekly 사주 raw'!$A:$A, 0), MATCH($A13, 'Weekly 사주 raw'!$1:$1, 0)), ""), IF(val=0, "", val))</f>
        <v>4444700</v>
      </c>
      <c r="K13" s="26">
        <f t="array" ref="K13">LET(val, IFERROR(INDEX('Weekly 사주 raw'!$A:$AAQ, MATCH(TODAY() - WEEKDAY(TODAY(), 2) - 6, 'Weekly 사주 raw'!$A:$A, 0), MATCH($A13, 'Weekly 사주 raw'!$1:$1, 0)), ""), IF(val=0, "", val))</f>
        <v>5224900</v>
      </c>
      <c r="L13" s="14">
        <f t="shared" si="15"/>
        <v>0.1755349067</v>
      </c>
      <c r="M13" s="26">
        <f t="array" ref="M13">LET(val, IFERROR(INDEX('Monthly 사주 M raw'!$A:$AAQ, MATCH(EOMONTH(TODAY(), -2) + 1, 'Monthly 사주 M raw'!$A:$A, 0), MATCH($B13, 'Monthly 사주 M raw'!$1:$1, 0)), ""), IF(val=0, "", val))</f>
        <v>20911600</v>
      </c>
      <c r="N13" s="29">
        <f t="array" ref="N13">LET(val, IFERROR(INDEX('Monthly 사주 M raw'!$A:$AAQ, MATCH(EOMONTH(TODAY(), -1) + 1, 'Monthly 사주 M raw'!$A:$A, 0), MATCH($B13, 'Monthly 사주 M raw'!$1:$1, 0)), ""), IF(val=0, "", val))</f>
        <v>17372800</v>
      </c>
      <c r="O13" s="14">
        <f t="shared" si="16"/>
        <v>-0.1692266493</v>
      </c>
      <c r="P13" s="25">
        <f t="array" ref="P13">LET(val, IFERROR(INDEX('Weekly 스피킹 raw'!$A:$AAQ, MATCH(TODAY() - WEEKDAY(TODAY(), 2) - 13, 'Weekly 스피킹 raw'!$A:$A, 0), MATCH($A13, 'Weekly 스피킹 raw'!$1:$1, 0)), ""), IF(val=0, "", val))</f>
        <v>1712000</v>
      </c>
      <c r="Q13" s="26">
        <f t="array" ref="Q13">LET(val, IFERROR(INDEX('Weekly 스피킹 raw'!$A:$AAQ, MATCH(TODAY() - WEEKDAY(TODAY(), 2) - 6, 'Weekly 스피킹 raw'!$A:$A, 0), MATCH($A13, 'Weekly 스피킹 raw'!$1:$1, 0)), ""), IF(val=0, "", val))</f>
        <v>2212000</v>
      </c>
      <c r="R13" s="14">
        <f t="shared" si="17"/>
        <v>0.2920560748</v>
      </c>
      <c r="S13" s="26">
        <f t="array" ref="S13">LET(val, IFERROR(INDEX('Monthly 스피킹 M raw'!$A:$AAQ, MATCH(EOMONTH(TODAY(), -2) + 1, 'Monthly 스피킹 M raw'!$A:$A, 0), MATCH($B13, 'Monthly 스피킹 M raw'!$1:$1, 0)), ""), IF(val=0, "", val))</f>
        <v>13795000</v>
      </c>
      <c r="T13" s="26">
        <f t="array" ref="T13">LET(val, IFERROR(INDEX('Monthly 스피킹 raw'!$A:$AAQ, MATCH(EOMONTH(TODAY(), -1) + 1, 'Monthly 스피킹 raw'!$A:$A, 0), MATCH($B13, 'Monthly 스피킹 raw'!$1:$1, 0)), ""), IF(val=0, "", val))</f>
        <v>8303000</v>
      </c>
      <c r="U13" s="14">
        <f t="shared" si="18"/>
        <v>-0.3981152592</v>
      </c>
    </row>
    <row r="14">
      <c r="A14" s="23" t="s">
        <v>28</v>
      </c>
      <c r="B14" s="23" t="s">
        <v>28</v>
      </c>
      <c r="C14" s="17" t="s">
        <v>20</v>
      </c>
      <c r="D14" s="18">
        <f t="array" ref="D14">LET(val, IFERROR(INDEX('Weekly 쨈 raw'!$A:$AAQ, MATCH(TODAY() - WEEKDAY(TODAY(), 2) - 13, 'Weekly 쨈 raw'!$A:$A, 0), MATCH($A14, 'Weekly 쨈 raw'!$1:$1, 0)), ""), IF(val=0, "", val))</f>
        <v>326</v>
      </c>
      <c r="E14" s="19">
        <f t="array" ref="E14">LET(val, IFERROR(INDEX('Weekly 쨈 raw'!$A:$AAQ, MATCH(TODAY() - WEEKDAY(TODAY(), 2) - 6, 'Weekly 쨈 raw'!$A:$A, 0), MATCH($A14, 'Weekly 쨈 raw'!$1:$1, 0)), ""), IF(val=0, "", val))</f>
        <v>485</v>
      </c>
      <c r="F14" s="14">
        <f t="shared" si="13"/>
        <v>0.4877300613</v>
      </c>
      <c r="G14" s="19">
        <f t="array" ref="G14">LET(val, IFERROR(INDEX('Monthly 쨈 M raw'!$A:$AAQ, MATCH(EOMONTH(TODAY(), -2) + 1, 'Monthly 쨈 M raw'!$A:$A, 0), MATCH($B14, 'Monthly 쨈 M raw'!$1:$1, 0)), 0), IF(val=0, "", val))</f>
        <v>1303</v>
      </c>
      <c r="H14" s="19">
        <f t="array" ref="H14">LET(val, IFERROR(INDEX('Monthly 쨈 M raw'!$A:$AAQ, MATCH(EOMONTH(TODAY(), -1) + 1, 'Monthly 쨈 M raw'!$A:$A, 0), MATCH($B14, 'Monthly 쨈 M raw'!$1:$1, 0)), ""), IF(val=0, "", val))</f>
        <v>1060</v>
      </c>
      <c r="I14" s="15">
        <f t="shared" si="14"/>
        <v>-0.1864927091</v>
      </c>
      <c r="J14" s="18">
        <f t="array" ref="J14">LET(val, IFERROR(INDEX('Weekly 사주 raw'!$A:$AAQ, MATCH(TODAY() - WEEKDAY(TODAY(), 2) - 13, 'Weekly 사주 raw'!$A:$A, 0), MATCH($A14, 'Weekly 사주 raw'!$1:$1, 0)), ""), IF(val=0, "", val))</f>
        <v>185</v>
      </c>
      <c r="K14" s="19">
        <f t="array" ref="K14">LET(val, IFERROR(INDEX('Weekly 사주 raw'!$A:$AAQ, MATCH(TODAY() - WEEKDAY(TODAY(), 2) - 6, 'Weekly 사주 raw'!$A:$A, 0), MATCH($A14, 'Weekly 사주 raw'!$1:$1, 0)), ""), IF(val=0, "", val))</f>
        <v>214</v>
      </c>
      <c r="L14" s="14">
        <f t="shared" si="15"/>
        <v>0.1567567568</v>
      </c>
      <c r="M14" s="24">
        <f t="array" ref="M14">LET(val, IFERROR(INDEX('Monthly 사주 M raw'!$A:$AAQ, MATCH(EOMONTH(TODAY(), -2) + 1, 'Monthly 사주 M raw'!$A:$A, 0), MATCH($B14, 'Monthly 사주 M raw'!$1:$1, 0)), ""), IF(val=0, "", val))</f>
        <v>903</v>
      </c>
      <c r="N14" s="24">
        <f t="array" ref="N14">LET(val, IFERROR(INDEX('Monthly 사주 M raw'!$A:$AAQ, MATCH(EOMONTH(TODAY(), -1) + 1, 'Monthly 사주 M raw'!$A:$A, 0), MATCH($B14, 'Monthly 사주 M raw'!$1:$1, 0)), ""), IF(val=0, "", val))</f>
        <v>698</v>
      </c>
      <c r="O14" s="14">
        <f t="shared" si="16"/>
        <v>-0.227021041</v>
      </c>
      <c r="P14" s="18">
        <f t="array" ref="P14">LET(val, IFERROR(INDEX('Weekly 스피킹 raw'!$A:$AAQ, MATCH(TODAY() - WEEKDAY(TODAY(), 2) - 13, 'Weekly 스피킹 raw'!$A:$A, 0), MATCH($A14, 'Weekly 스피킹 raw'!$1:$1, 0)), ""), IF(val=0, "", val))</f>
        <v>29</v>
      </c>
      <c r="Q14" s="19">
        <f t="array" ref="Q14">LET(val, IFERROR(INDEX('Weekly 스피킹 raw'!$A:$AAQ, MATCH(TODAY() - WEEKDAY(TODAY(), 2) - 6, 'Weekly 스피킹 raw'!$A:$A, 0), MATCH($A14, 'Weekly 스피킹 raw'!$1:$1, 0)), ""), IF(val=0, "", val))</f>
        <v>29</v>
      </c>
      <c r="R14" s="14" t="str">
        <f t="shared" si="17"/>
        <v/>
      </c>
      <c r="S14" s="19">
        <f t="array" ref="S14">LET(val, IFERROR(INDEX('Monthly 스피킹 M raw'!$A:$AAQ, MATCH(EOMONTH(TODAY(), -2) + 1, 'Monthly 스피킹 M raw'!$A:$A, 0), MATCH($B14, 'Monthly 스피킹 M raw'!$1:$1, 0)), ""), IF(val=0, "", val))</f>
        <v>166</v>
      </c>
      <c r="T14" s="19">
        <f t="array" ref="T14">LET(val, IFERROR(INDEX('Monthly 스피킹 raw'!$A:$AAQ, MATCH(EOMONTH(TODAY(), -1) + 1, 'Monthly 스피킹 raw'!$A:$A, 0), MATCH($B14, 'Monthly 스피킹 raw'!$1:$1, 0)), ""), IF(val=0, "", val))</f>
        <v>114</v>
      </c>
      <c r="U14" s="14">
        <f t="shared" si="18"/>
        <v>-0.313253012</v>
      </c>
    </row>
    <row r="15">
      <c r="A15" s="23" t="s">
        <v>29</v>
      </c>
      <c r="B15" s="23" t="s">
        <v>29</v>
      </c>
      <c r="C15" s="17" t="s">
        <v>30</v>
      </c>
      <c r="D15" s="18">
        <f t="array" ref="D15">LET(val, IFERROR(INDEX('Weekly 쨈 raw'!$A:$AAQ, MATCH(TODAY() - WEEKDAY(TODAY(), 2) - 13, 'Weekly 쨈 raw'!$A:$A, 0), MATCH($A15, 'Weekly 쨈 raw'!$1:$1, 0)), ""), IF(val=0, "", val))</f>
        <v>401</v>
      </c>
      <c r="E15" s="19">
        <f t="array" ref="E15">LET(val, IFERROR(INDEX('Weekly 쨈 raw'!$A:$AAQ, MATCH(TODAY() - WEEKDAY(TODAY(), 2) - 6, 'Weekly 쨈 raw'!$A:$A, 0), MATCH($A15, 'Weekly 쨈 raw'!$1:$1, 0)), ""), IF(val=0, "", val))</f>
        <v>621</v>
      </c>
      <c r="F15" s="14">
        <f t="shared" si="13"/>
        <v>0.5486284289</v>
      </c>
      <c r="G15" s="19">
        <f t="array" ref="G15">LET(val, IFERROR(INDEX('Monthly 쨈 M raw'!$A:$AAQ, MATCH(EOMONTH(TODAY(), -2) + 1, 'Monthly 쨈 M raw'!$A:$A, 0), MATCH($B15, 'Monthly 쨈 M raw'!$1:$1, 0)), 0), IF(val=0, "", val))</f>
        <v>1700</v>
      </c>
      <c r="H15" s="19">
        <f t="array" ref="H15">LET(val, IFERROR(INDEX('Monthly 쨈 M raw'!$A:$AAQ, MATCH(EOMONTH(TODAY(), -1) + 1, 'Monthly 쨈 M raw'!$A:$A, 0), MATCH($B15, 'Monthly 쨈 M raw'!$1:$1, 0)), ""), IF(val=0, "", val))</f>
        <v>1460</v>
      </c>
      <c r="I15" s="15">
        <f t="shared" si="14"/>
        <v>-0.1411764706</v>
      </c>
      <c r="J15" s="18">
        <f t="array" ref="J15">LET(val, IFERROR(INDEX('Weekly 사주 raw'!$A:$AAQ, MATCH(TODAY() - WEEKDAY(TODAY(), 2) - 13, 'Weekly 사주 raw'!$A:$A, 0), MATCH($A15, 'Weekly 사주 raw'!$1:$1, 0)), ""), IF(val=0, "", val))</f>
        <v>227</v>
      </c>
      <c r="K15" s="19">
        <f t="array" ref="K15">LET(val, IFERROR(INDEX('Weekly 사주 raw'!$A:$AAQ, MATCH(TODAY() - WEEKDAY(TODAY(), 2) - 6, 'Weekly 사주 raw'!$A:$A, 0), MATCH($A15, 'Weekly 사주 raw'!$1:$1, 0)), ""), IF(val=0, "", val))</f>
        <v>265</v>
      </c>
      <c r="L15" s="14">
        <f t="shared" si="15"/>
        <v>0.1674008811</v>
      </c>
      <c r="M15" s="24">
        <f t="array" ref="M15">LET(val, IFERROR(INDEX('Monthly 사주 M raw'!$A:$AAQ, MATCH(EOMONTH(TODAY(), -2) + 1, 'Monthly 사주 M raw'!$A:$A, 0), MATCH($B15, 'Monthly 사주 M raw'!$1:$1, 0)), ""), IF(val=0, "", val))</f>
        <v>1242</v>
      </c>
      <c r="N15" s="24">
        <f t="array" ref="N15">LET(val, IFERROR(INDEX('Monthly 사주 M raw'!$A:$AAQ, MATCH(EOMONTH(TODAY(), -1) + 1, 'Monthly 사주 M raw'!$A:$A, 0), MATCH($B15, 'Monthly 사주 M raw'!$1:$1, 0)), ""), IF(val=0, "", val))</f>
        <v>1028</v>
      </c>
      <c r="O15" s="14">
        <f t="shared" si="16"/>
        <v>-0.1723027375</v>
      </c>
      <c r="P15" s="18">
        <f t="array" ref="P15">LET(val, IFERROR(INDEX('Weekly 스피킹 raw'!$A:$AAQ, MATCH(TODAY() - WEEKDAY(TODAY(), 2) - 13, 'Weekly 스피킹 raw'!$A:$A, 0), MATCH($A15, 'Weekly 스피킹 raw'!$1:$1, 0)), ""), IF(val=0, "", val))</f>
        <v>29</v>
      </c>
      <c r="Q15" s="19">
        <f t="array" ref="Q15">LET(val, IFERROR(INDEX('Weekly 스피킹 raw'!$A:$AAQ, MATCH(TODAY() - WEEKDAY(TODAY(), 2) - 6, 'Weekly 스피킹 raw'!$A:$A, 0), MATCH($A15, 'Weekly 스피킹 raw'!$1:$1, 0)), ""), IF(val=0, "", val))</f>
        <v>29</v>
      </c>
      <c r="R15" s="14" t="str">
        <f t="shared" si="17"/>
        <v/>
      </c>
      <c r="S15" s="19">
        <f t="array" ref="S15">LET(val, IFERROR(INDEX('Monthly 스피킹 M raw'!$A:$AAQ, MATCH(EOMONTH(TODAY(), -2) + 1, 'Monthly 스피킹 M raw'!$A:$A, 0), MATCH($B15, 'Monthly 스피킹 M raw'!$1:$1, 0)), ""), IF(val=0, "", val))</f>
        <v>167</v>
      </c>
      <c r="T15" s="19">
        <f t="array" ref="T15">LET(val, IFERROR(INDEX('Monthly 스피킹 raw'!$A:$AAQ, MATCH(EOMONTH(TODAY(), -1) + 1, 'Monthly 스피킹 raw'!$A:$A, 0), MATCH($B15, 'Monthly 스피킹 raw'!$1:$1, 0)), ""), IF(val=0, "", val))</f>
        <v>115</v>
      </c>
      <c r="U15" s="14">
        <f t="shared" si="18"/>
        <v>-0.3113772455</v>
      </c>
    </row>
    <row r="16">
      <c r="A16" s="11"/>
      <c r="B16" s="11"/>
      <c r="C16" s="1"/>
      <c r="D16" s="13"/>
      <c r="E16" s="14"/>
      <c r="F16" s="14"/>
      <c r="G16" s="14"/>
      <c r="H16" s="14"/>
      <c r="I16" s="15"/>
      <c r="J16" s="13"/>
      <c r="K16" s="14"/>
      <c r="L16" s="14"/>
      <c r="M16" s="14"/>
      <c r="N16" s="14"/>
      <c r="O16" s="14"/>
      <c r="P16" s="13"/>
      <c r="Q16" s="14"/>
      <c r="R16" s="14"/>
      <c r="S16" s="14"/>
      <c r="T16" s="14"/>
      <c r="U16" s="14"/>
    </row>
    <row r="17">
      <c r="A17" s="11" t="s">
        <v>31</v>
      </c>
      <c r="B17" s="11" t="s">
        <v>31</v>
      </c>
      <c r="C17" s="1" t="s">
        <v>32</v>
      </c>
      <c r="D17" s="13">
        <f t="array" ref="D17">LET(val, IFERROR(INDEX('Weekly 쨈 raw'!$A:$AAQ, MATCH(TODAY() - WEEKDAY(TODAY(), 2) - 13, 'Weekly 쨈 raw'!$A:$A, 0), MATCH($A17, 'Weekly 쨈 raw'!$1:$1, 0)), ""), IF(val=0, "", val))</f>
        <v>0.3134196941</v>
      </c>
      <c r="E17" s="14">
        <f t="array" ref="E17">LET(val, IFERROR(INDEX('Weekly 쨈 raw'!$A:$AAQ, MATCH(TODAY() - WEEKDAY(TODAY(), 2) - 6, 'Weekly 쨈 raw'!$A:$A, 0), MATCH($A17, 'Weekly 쨈 raw'!$1:$1, 0)), ""), IF(val=0, "", val))</f>
        <v>0.3147598983</v>
      </c>
      <c r="F17" s="14">
        <f> LET(val, IFERROR((E17 - D17) / ABS(D17), ""), IF(val=0, "", val))</f>
        <v>0.004276068867</v>
      </c>
      <c r="G17" s="14">
        <f t="array" ref="G17">LET(val, IFERROR(INDEX('Monthly 쨈 M raw'!$A:$AAQ, MATCH(EOMONTH(TODAY(), -2) + 1, 'Monthly 쨈 M raw'!$A:$A, 0), MATCH($B17, 'Monthly 쨈 M raw'!$1:$1, 0)), 0), IF(val=0, "", val))</f>
        <v>0.1181116662</v>
      </c>
      <c r="H17" s="14">
        <f t="array" ref="H17">LET(val, IFERROR(INDEX('Monthly 쨈 M raw'!$A:$AAQ, MATCH(EOMONTH(TODAY(), -1) + 1, 'Monthly 쨈 M raw'!$A:$A, 0), MATCH($B17, 'Monthly 쨈 M raw'!$1:$1, 0)), ""), IF(val=0, "", val))</f>
        <v>0.2965745961</v>
      </c>
      <c r="I17" s="15">
        <f>LET(val, IF(OR(G17="", H17=""), "", IFERROR((H17 - G17) / ABS(G17), "")), IF(val=0, "", val))</f>
        <v>1.510967847</v>
      </c>
      <c r="J17" s="13">
        <f t="array" ref="J17">LET(val, IFERROR(INDEX('Weekly 사주 raw'!$A:$AAQ, MATCH(TODAY() - WEEKDAY(TODAY(), 2) - 13, 'Weekly 사주 raw'!$A:$A, 0), MATCH($A17, 'Weekly 사주 raw'!$1:$1, 0)), ""), IF(val=0, "", val))</f>
        <v>0.7375978901</v>
      </c>
      <c r="K17" s="14">
        <f t="array" ref="K17">LET(val, IFERROR(INDEX('Weekly 사주 raw'!$A:$AAQ, MATCH(TODAY() - WEEKDAY(TODAY(), 2) - 6, 'Weekly 사주 raw'!$A:$A, 0), MATCH($A17, 'Weekly 사주 raw'!$1:$1, 0)), ""), IF(val=0, "", val))</f>
        <v>0.7269194205</v>
      </c>
      <c r="L17" s="14">
        <f> LET(val, IF(OR(K17="", J17=""), "", IFERROR((K17 - J17) / ABS(J17), "")), IF(val=0, "", val))</f>
        <v>-0.01447735928</v>
      </c>
      <c r="M17" s="14">
        <f t="array" ref="M17">LET(val, IFERROR(INDEX('Monthly 사주 M raw'!$A:$AAQ, MATCH(EOMONTH(TODAY(), -2) + 1, 'Monthly 사주 M raw'!$A:$A, 0), MATCH($B17, 'Monthly 사주 M raw'!$1:$1, 0)), ""), IF(val=0, "", val))</f>
        <v>0.751905712</v>
      </c>
      <c r="N17" s="14">
        <f t="array" ref="N17">LET(val, IFERROR(INDEX('Monthly 사주 M raw'!$A:$AAQ, MATCH(EOMONTH(TODAY(), -1) + 1, 'Monthly 사주 M raw'!$A:$A, 0), MATCH($B17, 'Monthly 사주 M raw'!$1:$1, 0)), ""), IF(val=0, "", val))</f>
        <v>0.7234989597</v>
      </c>
      <c r="O17" s="14">
        <f>LET(val, IF(OR(M17="", N17=""), "", IFERROR((N17 - M17) / ABS(M17), "")), IF(val=0, "", val))</f>
        <v>-0.03777967352</v>
      </c>
      <c r="P17" s="13">
        <f t="array" ref="P17">LET(val, IFERROR(INDEX('Weekly 스피킹'!$A:$AAQ, MATCH($A17, 'Weekly 스피킹'!$A:$A, 0), MATCH(TODAY() - WEEKDAY(TODAY(), 2) - 13, 'Weekly 스피킹'!$2:$2, 0)), ""), IF(val=0, "", val))</f>
        <v>0.3168399533</v>
      </c>
      <c r="Q17" s="14" t="str">
        <f t="array" ref="Q17">LET(val, IFERROR(INDEX('Weekly 스피킹'!$A:$AAQ, MATCH($A17, 'Weekly 스피킹'!$A:$A, 0), MATCH(TODAY() - WEEKDAY(TODAY(), 2) - 6, 'Weekly 스피킹'!$2:$2, 0)), ""), IF(val=0, "", val))</f>
        <v/>
      </c>
      <c r="R17" s="14" t="str">
        <f> LET(val, IF(OR(Q17="", P17=""), "", IFERROR((Q17 - P17) / ABS(P17), "")), IF(val=0, "", val))</f>
        <v/>
      </c>
      <c r="S17" s="14">
        <f t="shared" ref="S17:T17" si="19"> (S19 - S18) / S19 </f>
        <v>-0.01298201147</v>
      </c>
      <c r="T17" s="14">
        <f t="shared" si="19"/>
        <v>0.5025388414</v>
      </c>
      <c r="U17" s="14">
        <f> LET(val, IF(OR(T17="", S17=""), "", IFERROR((T17 - S17) / ABS(S17), "")), IF(val=0, "", val))</f>
        <v>39.71039881</v>
      </c>
    </row>
    <row r="18">
      <c r="A18" s="23" t="s">
        <v>33</v>
      </c>
      <c r="B18" s="23" t="s">
        <v>33</v>
      </c>
      <c r="C18" s="17" t="s">
        <v>34</v>
      </c>
      <c r="D18" s="25">
        <f t="array" ref="D18">LET(val, IFERROR(INDEX('Weekly 쨈 raw'!$A:$AAQ, MATCH(TODAY() - WEEKDAY(TODAY(), 2) - 13, 'Weekly 쨈 raw'!$A:$A, 0), MATCH($A18, 'Weekly 쨈 raw'!$1:$1, 0)), ""), IF(val=0, "", val))</f>
        <v>4067027.1</v>
      </c>
      <c r="E18" s="26">
        <f t="array" ref="E18">LET(val, IFERROR(INDEX('Weekly 쨈 raw'!$A:$AAQ, MATCH(TODAY() - WEEKDAY(TODAY(), 2) - 6, 'Weekly 쨈 raw'!$A:$A, 0), MATCH($A18, 'Weekly 쨈 raw'!$1:$1, 0)), ""), IF(val=0, "", val))</f>
        <v>5929382.6</v>
      </c>
      <c r="F18" s="14">
        <f t="shared" ref="F18:F19" si="20"> LET(val, IFERROR((E18 - D18) / D18, ""), IF(val=0, "", val))</f>
        <v>0.4579156849</v>
      </c>
      <c r="G18" s="26">
        <f t="array" ref="G18">LET(val, IFERROR(INDEX('Monthly 쨈 M raw'!$A:$AAQ, MATCH(EOMONTH(TODAY(), -2) + 1, 'Monthly 쨈 M raw'!$A:$A, 0), MATCH($B18, 'Monthly 쨈 M raw'!$1:$1, 0)), ""), IF(val=0, "", val))</f>
        <v>9780318</v>
      </c>
      <c r="H18" s="26">
        <f t="array" ref="H18">LET(val, IFERROR(INDEX('Monthly 쨈 M raw'!$A:$AAQ, MATCH(EOMONTH(TODAY(), -1) + 1, 'Monthly 쨈 M raw'!$A:$A, 0), MATCH($B18, 'Monthly 쨈 M raw'!$1:$1, 0)), ""), IF(val=0, "", val))</f>
        <v>13448297.9</v>
      </c>
      <c r="I18" s="15">
        <f t="shared" ref="I18:I19" si="21">LET(val, IF(OR(G18="", H18=""), "", IFERROR((H18 - G18) / G18, "")), IF(val=0, "", val))</f>
        <v>0.3750368751</v>
      </c>
      <c r="J18" s="25">
        <f t="array" ref="J18">LET(val, IFERROR(INDEX('Weekly 사주 raw'!$A:$AAQ, MATCH(TODAY() - WEEKDAY(TODAY(), 2) - 13, 'Weekly 사주 raw'!$A:$A, 0), MATCH($A18, 'Weekly 사주 raw'!$1:$1, 0)), ""), IF(val=0, "", val))</f>
        <v>1166298.658</v>
      </c>
      <c r="K18" s="26">
        <f t="array" ref="K18">LET(val, IFERROR(INDEX('Weekly 사주 raw'!$A:$AAQ, MATCH(TODAY() - WEEKDAY(TODAY(), 2) - 6, 'Weekly 사주 raw'!$A:$A, 0), MATCH($A18, 'Weekly 사주 raw'!$1:$1, 0)), ""), IF(val=0, "", val))</f>
        <v>1426818.72</v>
      </c>
      <c r="L18" s="14">
        <f t="shared" ref="L18:L19" si="22"> LET(val, IFERROR((K18 - J18) / J18, ""), IF(val=0, "", val))</f>
        <v>0.2233733705</v>
      </c>
      <c r="M18" s="26">
        <f t="array" ref="M18">LET(val, IFERROR(INDEX('Monthly 사주 M raw'!$A:$AAQ, MATCH(EOMONTH(TODAY(), -2) + 1, 'Monthly 사주 M raw'!$A:$A, 0), MATCH($B18, 'Monthly 사주 M raw'!$1:$1, 0)), ""), IF(val=0, "", val))</f>
        <v>5188048.513</v>
      </c>
      <c r="N18" s="26">
        <f t="array" ref="N18">LET(val, IFERROR(INDEX('Monthly 사주 M raw'!$A:$AAQ, MATCH(EOMONTH(TODAY(), -1) + 1, 'Monthly 사주 M raw'!$A:$A, 0), MATCH($B18, 'Monthly 사주 M raw'!$1:$1, 0)), ""), IF(val=0, "", val))</f>
        <v>4803597.273</v>
      </c>
      <c r="O18" s="14">
        <f t="shared" ref="O18:O19" si="23">LET(val, IF(OR(M18="", N18=""), "", IFERROR((N18 - M18) / M18, "")), IF(val=0, "", val))</f>
        <v>-0.07410324687</v>
      </c>
      <c r="P18" s="25">
        <f t="array" ref="P18">LET(val, IFERROR(INDEX('Weekly 스피킹'!$A:$AAQ, MATCH($A18, 'Weekly 스피킹'!$A:$A, 0), MATCH(TODAY() - WEEKDAY(TODAY(), 2) - 13, 'Weekly 스피킹'!$2:$2, 0)), ""), IF(val=0, "", val))</f>
        <v>1169570</v>
      </c>
      <c r="Q18" s="26" t="str">
        <f t="array" ref="Q18">LET(val, IFERROR(INDEX('Weekly 스피킹'!$A:$AAQ, MATCH($A18, 'Weekly 스피킹'!$A:$A, 0), MATCH(TODAY() - WEEKDAY(TODAY(), 2) - 6, 'Weekly 스피킹'!$2:$2, 0)), ""), IF(val=0, "", val))</f>
        <v/>
      </c>
      <c r="R18" s="14">
        <f t="shared" ref="R18:R19" si="24"> LET(val, IFERROR((Q18 - P18) / P18, ""), IF(val=0, "", val))</f>
        <v>-1</v>
      </c>
      <c r="S18" s="26">
        <f t="array" ref="S18">SUM(
  INDEX('Daily 스피킹'!15:15, MATCH(EDATE(DATE(YEAR(TODAY()), MONTH(TODAY()), 1), -1), 'Daily 스피킹'!2:2, 0)) : 
  INDEX('Daily 스피킹'!15:15, MATCH(EDATE(TODAY(), -1), 'Daily 스피킹'!2:2, 0))
)</f>
        <v>13974086.85</v>
      </c>
      <c r="T18" s="26">
        <f t="array" ref="T18">SUM(
  INDEX('Daily 스피킹'!15:15, MATCH(DATE(YEAR(TODAY()), MONTH(TODAY()), 1), 'Daily 스피킹'!2:2, 0)) : 
  INDEX('Daily 스피킹'!15:15, MATCH(TODAY(), 'Daily 스피킹'!2:2, 0))
)</f>
        <v>4130420</v>
      </c>
      <c r="U18" s="14">
        <f t="shared" ref="U18:U19" si="25">LET(val, IF(OR(S18="", T18=""), "", IFERROR((T18 - S18) / S18, "")), IF(val=0, "", val))</f>
        <v>-0.7044229047</v>
      </c>
    </row>
    <row r="19">
      <c r="A19" s="23" t="s">
        <v>35</v>
      </c>
      <c r="B19" s="23" t="s">
        <v>35</v>
      </c>
      <c r="C19" s="17" t="s">
        <v>27</v>
      </c>
      <c r="D19" s="25">
        <f t="array" ref="D19">LET(val, IFERROR(INDEX('Weekly 쨈 raw'!$A:$AAQ, MATCH(TODAY() - WEEKDAY(TODAY(), 2) - 13, 'Weekly 쨈 raw'!$A:$A, 0), MATCH($A19, 'Weekly 쨈 raw'!$1:$1, 0)), ""), IF(val=0, "", val))</f>
        <v>5923600</v>
      </c>
      <c r="E19" s="26">
        <f t="array" ref="E19">LET(val, IFERROR(INDEX('Weekly 쨈 raw'!$A:$AAQ, MATCH(TODAY() - WEEKDAY(TODAY(), 2) - 6, 'Weekly 쨈 raw'!$A:$A, 0), MATCH($A19, 'Weekly 쨈 raw'!$1:$1, 0)), ""), IF(val=0, "", val))</f>
        <v>8653000</v>
      </c>
      <c r="F19" s="14">
        <f t="shared" si="20"/>
        <v>0.4607671011</v>
      </c>
      <c r="G19" s="26">
        <f t="array" ref="G19">LET(val, IFERROR(INDEX('Monthly 쨈 M raw'!$A:$AAQ, MATCH(EOMONTH(TODAY(), -2) + 1, 'Monthly 쨈 M raw'!$A:$A, 0), MATCH($B19, 'Monthly 쨈 M raw'!$1:$1, 0)), 0), IF(val=0, "", val))</f>
        <v>11090200</v>
      </c>
      <c r="H19" s="26">
        <f t="array" ref="H19">LET(val, IFERROR(INDEX('Monthly 쨈 M raw'!$A:$AAQ, MATCH(EOMONTH(TODAY(), -1) + 1, 'Monthly 쨈 M raw'!$A:$A, 0), MATCH($B19, 'Monthly 쨈 M raw'!$1:$1, 0)), ""), IF(val=0, "", val))</f>
        <v>19118300</v>
      </c>
      <c r="I19" s="15">
        <f t="shared" si="21"/>
        <v>0.7238913635</v>
      </c>
      <c r="J19" s="25">
        <f t="array" ref="J19">LET(val, IFERROR(INDEX('Weekly 사주 raw'!$A:$AAQ, MATCH(TODAY() - WEEKDAY(TODAY(), 2) - 13, 'Weekly 사주 raw'!$A:$A, 0), MATCH($A19, 'Weekly 사주 raw'!$1:$1, 0)), ""), IF(val=0, "", val))</f>
        <v>4444700</v>
      </c>
      <c r="K19" s="26">
        <f t="array" ref="K19">LET(val, IFERROR(INDEX('Weekly 사주 raw'!$A:$AAQ, MATCH(TODAY() - WEEKDAY(TODAY(), 2) - 6, 'Weekly 사주 raw'!$A:$A, 0), MATCH($A19, 'Weekly 사주 raw'!$1:$1, 0)), ""), IF(val=0, "", val))</f>
        <v>5224900</v>
      </c>
      <c r="L19" s="14">
        <f t="shared" si="22"/>
        <v>0.1755349067</v>
      </c>
      <c r="M19" s="26">
        <f t="array" ref="M19">LET(val, IFERROR(INDEX('Monthly 사주 M raw'!$A:$AAQ, MATCH(EOMONTH(TODAY(), -2) + 1, 'Monthly 사주 M raw'!$A:$A, 0), MATCH($B19, 'Monthly 사주 M raw'!$1:$1, 0)), ""), IF(val=0, "", val))</f>
        <v>20911600</v>
      </c>
      <c r="N19" s="26">
        <f t="array" ref="N19">LET(val, IFERROR(INDEX('Monthly 사주 M raw'!$A:$AAQ, MATCH(EOMONTH(TODAY(), -1) + 1, 'Monthly 사주 M raw'!$A:$A, 0), MATCH($B19, 'Monthly 사주 M raw'!$1:$1, 0)), ""), IF(val=0, "", val))</f>
        <v>17372800</v>
      </c>
      <c r="O19" s="14">
        <f t="shared" si="23"/>
        <v>-0.1692266493</v>
      </c>
      <c r="P19" s="25">
        <f t="array" ref="P19">LET(val, IFERROR(INDEX('Weekly 스피킹 raw'!$A:$AAQ, MATCH(TODAY() - WEEKDAY(TODAY(), 2) - 13, 'Weekly 스피킹 raw'!$A:$A, 0), MATCH($A19, 'Weekly 스피킹 raw'!$1:$1, 0)), ""), IF(val=0, "", val))</f>
        <v>1712000</v>
      </c>
      <c r="Q19" s="26">
        <f t="array" ref="Q19">LET(val, IFERROR(INDEX('Weekly 스피킹 raw'!$A:$AAQ, MATCH(TODAY() - WEEKDAY(TODAY(), 2) - 6, 'Weekly 스피킹 raw'!$A:$A, 0), MATCH($A19, 'Weekly 스피킹 raw'!$1:$1, 0)), ""), IF(val=0, "", val))</f>
        <v>2212000</v>
      </c>
      <c r="R19" s="14">
        <f t="shared" si="24"/>
        <v>0.2920560748</v>
      </c>
      <c r="S19" s="26">
        <f t="array" ref="S19">LET(val, IFERROR(INDEX('Monthly 스피킹 M raw'!$A:$AAQ, MATCH(EOMONTH(TODAY(), -2) + 1, 'Monthly 스피킹 M raw'!$A:$A, 0), MATCH($B19, 'Monthly 스피킹 M raw'!$1:$1, 0)), ""), IF(val=0, "", val))</f>
        <v>13795000</v>
      </c>
      <c r="T19" s="26">
        <f t="array" ref="T19">LET(val, IFERROR(INDEX('Monthly 스피킹 raw'!$A:$AAQ, MATCH(EOMONTH(TODAY(), -1) + 1, 'Monthly 스피킹 raw'!$A:$A, 0), MATCH($B19, 'Monthly 스피킹 raw'!$1:$1, 0)), ""), IF(val=0, "", val))</f>
        <v>8303000</v>
      </c>
      <c r="U19" s="14">
        <f t="shared" si="25"/>
        <v>-0.3981152592</v>
      </c>
    </row>
    <row r="20">
      <c r="A20" s="16"/>
      <c r="B20" s="16"/>
      <c r="C20" s="30"/>
      <c r="D20" s="20"/>
      <c r="F20" s="14"/>
      <c r="I20" s="15"/>
      <c r="J20" s="20"/>
      <c r="L20" s="14"/>
      <c r="N20" s="14"/>
      <c r="O20" s="14"/>
      <c r="P20" s="20"/>
      <c r="R20" s="14"/>
      <c r="S20" s="14"/>
      <c r="U20" s="14"/>
    </row>
    <row r="21">
      <c r="A21" s="16"/>
      <c r="B21" s="16"/>
      <c r="C21" s="30" t="s">
        <v>36</v>
      </c>
      <c r="D21" s="20" t="str">
        <f t="array" ref="D21">LET(val, IFERROR(INDEX('Weekly 쨈 raw'!$A:$AAQ, MATCH(TODAY() - WEEKDAY(TODAY(), 2) - 13, 'Weekly 쨈 raw'!$A:$A, 0), MATCH($A21, 'Weekly 쨈 raw'!$1:$1, 0)), ""), IF(val=0, "", val))</f>
        <v/>
      </c>
      <c r="E21" s="21" t="str">
        <f t="array" ref="E21">LET(val, IFERROR(INDEX('Weekly 쨈 raw'!$A:$AAQ, MATCH(TODAY() - WEEKDAY(TODAY(), 2) - 6, 'Weekly 쨈 raw'!$A:$A, 0), MATCH($A21, 'Weekly 쨈 raw'!$1:$1, 0)), ""), IF(val=0, "", val))</f>
        <v/>
      </c>
      <c r="F21" s="14" t="str">
        <f t="shared" ref="F21:F28" si="26"> LET(val, IFERROR((E21 - D21) / D21, ""), IF(val=0, "", val))</f>
        <v/>
      </c>
      <c r="G21" s="21" t="str">
        <f t="array" ref="G21">LET(val, IFERROR(INDEX('Monthly 쨈 M raw'!$A:$AAQ, MATCH(EOMONTH(TODAY(), -2) + 1, 'Monthly 쨈 M raw'!$A:$A, 0), MATCH($B21, 'Monthly 쨈 M raw'!$1:$1, 0)), 0), IF(val=0, "", val))</f>
        <v/>
      </c>
      <c r="H21" s="21" t="str">
        <f t="array" ref="H21">LET(val, IFERROR(INDEX('Monthly 쨈 M raw'!$A:$AAQ, MATCH(EOMONTH(TODAY(), -1) + 1, 'Monthly 쨈 M raw'!$A:$A, 0), MATCH($B21, 'Monthly 쨈 M raw'!$1:$1, 0)), ""), IF(val=0, "", val))</f>
        <v/>
      </c>
      <c r="I21" s="15" t="str">
        <f t="shared" ref="I21:I28" si="27">LET(val, IF(OR(G21="", H21=""), "", IFERROR((H21 - G21) / G21, "")), IF(val=0, "", val))</f>
        <v/>
      </c>
      <c r="J21" s="20" t="str">
        <f t="array" ref="J21">LET(val, IFERROR(INDEX('Weekly 사주 raw'!$A:$AAQ, MATCH(TODAY() - WEEKDAY(TODAY(), 2) - 13, 'Weekly 사주 raw'!$A:$A, 0), MATCH($A21, 'Weekly 사주 raw'!$1:$1, 0)), ""), IF(val=0, "", val))</f>
        <v/>
      </c>
      <c r="K21" s="21" t="str">
        <f t="array" ref="K21">LET(val, IFERROR(INDEX('Weekly 사주 raw'!$A:$AAQ, MATCH(TODAY() - WEEKDAY(TODAY(), 2) - 6, 'Weekly 사주 raw'!$A:$A, 0), MATCH($A21, 'Weekly 사주 raw'!$1:$1, 0)), ""), IF(val=0, "", val))</f>
        <v/>
      </c>
      <c r="L21" s="14" t="str">
        <f t="shared" ref="L21:L28" si="28"> LET(val, IFERROR((K21 - J21) / J21, ""), IF(val=0, "", val))</f>
        <v/>
      </c>
      <c r="M21" s="21" t="str">
        <f t="array" ref="M21">LET(val, IFERROR(INDEX('Monthly 사주 raw'!$A:$AAQ, MATCH(EOMONTH(TODAY(), -2) + 1, 'Monthly 사주 raw'!$A:$A, 0), MATCH($B21, 'Monthly 사주 raw'!$1:$1, 0)), ""), IF(val=0, "", val))</f>
        <v/>
      </c>
      <c r="N21" s="14" t="str">
        <f t="array" ref="N21">LET(val, IFERROR(INDEX('Monthly 사주 M raw'!$A:$AAQ, MATCH(EOMONTH(TODAY(), -1) + 1, 'Monthly 사주 M raw'!$A:$A, 0), MATCH($B21, 'Monthly 사주 M raw'!$1:$1, 0)), ""), IF(val=0, "", val))</f>
        <v/>
      </c>
      <c r="O21" s="14" t="str">
        <f t="shared" ref="O21:O28" si="29">LET(val, IF(OR(M21="", N21=""), "", IFERROR((N21 - M21) / M21, "")), IF(val=0, "", val))</f>
        <v/>
      </c>
      <c r="P21" s="20" t="str">
        <f t="array" ref="P21">LET(val, IFERROR(INDEX('Weekly 스피킹 raw'!$A:$AAQ, MATCH(TODAY() - WEEKDAY(TODAY(), 2) - 13, 'Weekly 스피킹 raw'!$A:$A, 0), MATCH($A21, 'Weekly 스피킹 raw'!$1:$1, 0)), ""), IF(val=0, "", val))</f>
        <v/>
      </c>
      <c r="Q21" s="21" t="str">
        <f t="array" ref="Q21">LET(val, IFERROR(INDEX('Weekly 스피킹 raw'!$A:$AAQ, MATCH(TODAY() - WEEKDAY(TODAY(), 2) - 6, 'Weekly 스피킹 raw'!$A:$A, 0), MATCH($A21, 'Weekly 스피킹 raw'!$1:$1, 0)), ""), IF(val=0, "", val))</f>
        <v/>
      </c>
      <c r="R21" s="14" t="str">
        <f t="shared" ref="R21:R28" si="30"> LET(val, IFERROR((Q21 - P21) / P21, ""), IF(val=0, "", val))</f>
        <v/>
      </c>
      <c r="S21" s="14" t="str">
        <f t="array" ref="S21">LET(val, IFERROR(INDEX('Monthly 스피킹 M raw'!$A:$AAQ, MATCH(EOMONTH(TODAY(), -2) + 1, 'Monthly 스피킹 M raw'!$A:$A, 0), MATCH($B21, 'Monthly 스피킹 M raw'!$1:$1, 0)), ""), IF(val=0, "", val))</f>
        <v/>
      </c>
      <c r="T21" s="21" t="str">
        <f t="array" ref="T21">LET(val, IFERROR(INDEX('Monthly 스피킹 raw'!$A:$AAQ, MATCH(EOMONTH(TODAY(), -1) + 1, 'Monthly 스피킹 raw'!$A:$A, 0), MATCH($B21, 'Monthly 스피킹 raw'!$1:$1, 0)), ""), IF(val=0, "", val))</f>
        <v/>
      </c>
      <c r="U21" s="14" t="str">
        <f t="shared" ref="U21:U28" si="31">LET(val, IF(OR(S21="", T21=""), "", IFERROR((T21 - S21) / S21, "")), IF(val=0, "", val))</f>
        <v/>
      </c>
    </row>
    <row r="22" hidden="1">
      <c r="A22" s="16" t="s">
        <v>37</v>
      </c>
      <c r="B22" s="16" t="s">
        <v>37</v>
      </c>
      <c r="C22" s="17" t="s">
        <v>38</v>
      </c>
      <c r="D22" s="20" t="str">
        <f t="array" ref="D22">LET(val, IFERROR(INDEX('Weekly 쨈 raw'!$A:$AAQ, MATCH(TODAY() - WEEKDAY(TODAY(), 2) - 13, 'Weekly 쨈 raw'!$A:$A, 0), MATCH($A22, 'Weekly 쨈 raw'!$1:$1, 0)), ""), IF(val=0, "", val))</f>
        <v/>
      </c>
      <c r="E22" s="21" t="str">
        <f t="array" ref="E22">LET(val, IFERROR(INDEX('Weekly 쨈 raw'!$A:$AAQ, MATCH(TODAY() - WEEKDAY(TODAY(), 2) - 6, 'Weekly 쨈 raw'!$A:$A, 0), MATCH($A22, 'Weekly 쨈 raw'!$1:$1, 0)), ""), IF(val=0, "", val))</f>
        <v/>
      </c>
      <c r="F22" s="14" t="str">
        <f t="shared" si="26"/>
        <v/>
      </c>
      <c r="G22" s="21" t="str">
        <f t="array" ref="G22">LET(val, IFERROR(INDEX('Monthly 쨈 M raw'!$A:$AAQ, MATCH(EOMONTH(TODAY(), -2) + 1, 'Monthly 쨈 M raw'!$A:$A, 0), MATCH($B22, 'Monthly 쨈 M raw'!$1:$1, 0)), 0), IF(val=0, "", val))</f>
        <v/>
      </c>
      <c r="H22" s="21" t="str">
        <f t="array" ref="H22">LET(val, IFERROR(INDEX('Monthly 쨈 M raw'!$A:$AAQ, MATCH(EOMONTH(TODAY(), -1) + 1, 'Monthly 쨈 M raw'!$A:$A, 0), MATCH($B22, 'Monthly 쨈 M raw'!$1:$1, 0)), ""), IF(val=0, "", val))</f>
        <v/>
      </c>
      <c r="I22" s="15" t="str">
        <f t="shared" si="27"/>
        <v/>
      </c>
      <c r="J22" s="20" t="str">
        <f t="array" ref="J22">LET(val, IFERROR(INDEX('Weekly 사주 raw'!$A:$AAQ, MATCH(TODAY() - WEEKDAY(TODAY(), 2) - 13, 'Weekly 사주 raw'!$A:$A, 0), MATCH($A22, 'Weekly 사주 raw'!$1:$1, 0)), ""), IF(val=0, "", val))</f>
        <v/>
      </c>
      <c r="K22" s="21" t="str">
        <f t="array" ref="K22">LET(val, IFERROR(INDEX('Weekly 사주 raw'!$A:$AAQ, MATCH(TODAY() - WEEKDAY(TODAY(), 2) - 6, 'Weekly 사주 raw'!$A:$A, 0), MATCH($A22, 'Weekly 사주 raw'!$1:$1, 0)), ""), IF(val=0, "", val))</f>
        <v/>
      </c>
      <c r="L22" s="14" t="str">
        <f t="shared" si="28"/>
        <v/>
      </c>
      <c r="M22" s="21" t="str">
        <f t="array" ref="M22">LET(val, IFERROR(INDEX('Monthly 사주 raw'!$A:$AAQ, MATCH(EOMONTH(TODAY(), -2) + 1, 'Monthly 사주 raw'!$A:$A, 0), MATCH($B22, 'Monthly 사주 raw'!$1:$1, 0)), ""), IF(val=0, "", val))</f>
        <v/>
      </c>
      <c r="N22" s="14" t="str">
        <f t="array" ref="N22">LET(val, IFERROR(INDEX('Monthly 사주 M raw'!$A:$AAQ, MATCH(EOMONTH(TODAY(), -1) + 1, 'Monthly 사주 M raw'!$A:$A, 0), MATCH($B22, 'Monthly 사주 M raw'!$1:$1, 0)), ""), IF(val=0, "", val))</f>
        <v/>
      </c>
      <c r="O22" s="14" t="str">
        <f t="shared" si="29"/>
        <v/>
      </c>
      <c r="P22" s="20" t="str">
        <f t="array" ref="P22">LET(val, IFERROR(INDEX('Weekly 스피킹 raw'!$A:$AAQ, MATCH(TODAY() - WEEKDAY(TODAY(), 2) - 13, 'Weekly 스피킹 raw'!$A:$A, 0), MATCH($A22, 'Weekly 스피킹 raw'!$1:$1, 0)), ""), IF(val=0, "", val))</f>
        <v/>
      </c>
      <c r="Q22" s="21" t="str">
        <f t="array" ref="Q22">LET(val, IFERROR(INDEX('Weekly 스피킹 raw'!$A:$AAQ, MATCH(TODAY() - WEEKDAY(TODAY(), 2) - 6, 'Weekly 스피킹 raw'!$A:$A, 0), MATCH($A22, 'Weekly 스피킹 raw'!$1:$1, 0)), ""), IF(val=0, "", val))</f>
        <v/>
      </c>
      <c r="R22" s="14" t="str">
        <f t="shared" si="30"/>
        <v/>
      </c>
      <c r="S22" s="14" t="str">
        <f t="array" ref="S22">LET(val, IFERROR(INDEX('Monthly 스피킹 M raw'!$A:$AAQ, MATCH(EOMONTH(TODAY(), -2) + 1, 'Monthly 스피킹 M raw'!$A:$A, 0), MATCH($B22, 'Monthly 스피킹 M raw'!$1:$1, 0)), ""), IF(val=0, "", val))</f>
        <v/>
      </c>
      <c r="T22" s="21" t="str">
        <f t="array" ref="T22">LET(val, IFERROR(INDEX('Monthly 스피킹 raw'!$A:$AAQ, MATCH(EOMONTH(TODAY(), -1) + 1, 'Monthly 스피킹 raw'!$A:$A, 0), MATCH($B22, 'Monthly 스피킹 raw'!$1:$1, 0)), ""), IF(val=0, "", val))</f>
        <v/>
      </c>
      <c r="U22" s="14" t="str">
        <f t="shared" si="31"/>
        <v/>
      </c>
    </row>
    <row r="23" hidden="1">
      <c r="A23" s="16" t="s">
        <v>39</v>
      </c>
      <c r="B23" s="16" t="s">
        <v>39</v>
      </c>
      <c r="C23" s="17" t="s">
        <v>40</v>
      </c>
      <c r="D23" s="20" t="str">
        <f t="array" ref="D23">LET(val, IFERROR(INDEX('Weekly 쨈 raw'!$A:$AAQ, MATCH(TODAY() - WEEKDAY(TODAY(), 2) - 13, 'Weekly 쨈 raw'!$A:$A, 0), MATCH($A23, 'Weekly 쨈 raw'!$1:$1, 0)), ""), IF(val=0, "", val))</f>
        <v/>
      </c>
      <c r="E23" s="21" t="str">
        <f t="array" ref="E23">LET(val, IFERROR(INDEX('Weekly 쨈 raw'!$A:$AAQ, MATCH(TODAY() - WEEKDAY(TODAY(), 2) - 6, 'Weekly 쨈 raw'!$A:$A, 0), MATCH($A23, 'Weekly 쨈 raw'!$1:$1, 0)), ""), IF(val=0, "", val))</f>
        <v/>
      </c>
      <c r="F23" s="14" t="str">
        <f t="shared" si="26"/>
        <v/>
      </c>
      <c r="G23" s="21" t="str">
        <f t="array" ref="G23">LET(val, IFERROR(INDEX('Monthly 쨈 M raw'!$A:$AAQ, MATCH(EOMONTH(TODAY(), -2) + 1, 'Monthly 쨈 M raw'!$A:$A, 0), MATCH($B23, 'Monthly 쨈 M raw'!$1:$1, 0)), 0), IF(val=0, "", val))</f>
        <v/>
      </c>
      <c r="H23" s="21" t="str">
        <f t="array" ref="H23">LET(val, IFERROR(INDEX('Monthly 쨈 M raw'!$A:$AAQ, MATCH(EOMONTH(TODAY(), -1) + 1, 'Monthly 쨈 M raw'!$A:$A, 0), MATCH($B23, 'Monthly 쨈 M raw'!$1:$1, 0)), ""), IF(val=0, "", val))</f>
        <v/>
      </c>
      <c r="I23" s="15" t="str">
        <f t="shared" si="27"/>
        <v/>
      </c>
      <c r="J23" s="20" t="str">
        <f t="array" ref="J23">LET(val, IFERROR(INDEX('Weekly 사주 raw'!$A:$AAQ, MATCH(TODAY() - WEEKDAY(TODAY(), 2) - 13, 'Weekly 사주 raw'!$A:$A, 0), MATCH($A23, 'Weekly 사주 raw'!$1:$1, 0)), ""), IF(val=0, "", val))</f>
        <v/>
      </c>
      <c r="K23" s="21" t="str">
        <f t="array" ref="K23">LET(val, IFERROR(INDEX('Weekly 사주 raw'!$A:$AAQ, MATCH(TODAY() - WEEKDAY(TODAY(), 2) - 6, 'Weekly 사주 raw'!$A:$A, 0), MATCH($A23, 'Weekly 사주 raw'!$1:$1, 0)), ""), IF(val=0, "", val))</f>
        <v/>
      </c>
      <c r="L23" s="14" t="str">
        <f t="shared" si="28"/>
        <v/>
      </c>
      <c r="M23" s="21" t="str">
        <f t="array" ref="M23">LET(val, IFERROR(INDEX('Monthly 사주 raw'!$A:$AAQ, MATCH(EOMONTH(TODAY(), -2) + 1, 'Monthly 사주 raw'!$A:$A, 0), MATCH($B23, 'Monthly 사주 raw'!$1:$1, 0)), ""), IF(val=0, "", val))</f>
        <v/>
      </c>
      <c r="N23" s="14" t="str">
        <f t="array" ref="N23">LET(val, IFERROR(INDEX('Monthly 사주 M raw'!$A:$AAQ, MATCH(EOMONTH(TODAY(), -1) + 1, 'Monthly 사주 M raw'!$A:$A, 0), MATCH($B23, 'Monthly 사주 M raw'!$1:$1, 0)), ""), IF(val=0, "", val))</f>
        <v/>
      </c>
      <c r="O23" s="14" t="str">
        <f t="shared" si="29"/>
        <v/>
      </c>
      <c r="P23" s="20" t="str">
        <f t="array" ref="P23">LET(val, IFERROR(INDEX('Weekly 스피킹 raw'!$A:$AAQ, MATCH(TODAY() - WEEKDAY(TODAY(), 2) - 13, 'Weekly 스피킹 raw'!$A:$A, 0), MATCH($A23, 'Weekly 스피킹 raw'!$1:$1, 0)), ""), IF(val=0, "", val))</f>
        <v/>
      </c>
      <c r="Q23" s="21" t="str">
        <f t="array" ref="Q23">LET(val, IFERROR(INDEX('Weekly 스피킹 raw'!$A:$AAQ, MATCH(TODAY() - WEEKDAY(TODAY(), 2) - 6, 'Weekly 스피킹 raw'!$A:$A, 0), MATCH($A23, 'Weekly 스피킹 raw'!$1:$1, 0)), ""), IF(val=0, "", val))</f>
        <v/>
      </c>
      <c r="R23" s="14" t="str">
        <f t="shared" si="30"/>
        <v/>
      </c>
      <c r="S23" s="14" t="str">
        <f t="array" ref="S23">LET(val, IFERROR(INDEX('Monthly 스피킹 M raw'!$A:$AAQ, MATCH(EOMONTH(TODAY(), -2) + 1, 'Monthly 스피킹 M raw'!$A:$A, 0), MATCH($B23, 'Monthly 스피킹 M raw'!$1:$1, 0)), ""), IF(val=0, "", val))</f>
        <v/>
      </c>
      <c r="T23" s="21" t="str">
        <f t="array" ref="T23">LET(val, IFERROR(INDEX('Monthly 스피킹 raw'!$A:$AAQ, MATCH(EOMONTH(TODAY(), -1) + 1, 'Monthly 스피킹 raw'!$A:$A, 0), MATCH($B23, 'Monthly 스피킹 raw'!$1:$1, 0)), ""), IF(val=0, "", val))</f>
        <v/>
      </c>
      <c r="U23" s="14" t="str">
        <f t="shared" si="31"/>
        <v/>
      </c>
    </row>
    <row r="24">
      <c r="A24" s="16" t="s">
        <v>41</v>
      </c>
      <c r="B24" s="16" t="s">
        <v>41</v>
      </c>
      <c r="C24" s="17" t="s">
        <v>42</v>
      </c>
      <c r="D24" s="18">
        <f t="array" ref="D24">LET(val, IFERROR(INDEX('Weekly 쨈 raw'!$A:$AAQ, MATCH(TODAY() - WEEKDAY(TODAY(), 2) - 13, 'Weekly 쨈 raw'!$A:$A, 0), MATCH($A24, 'Weekly 쨈 raw'!$1:$1, 0)), ""), IF(val=0, "", val))</f>
        <v>4308</v>
      </c>
      <c r="E24" s="19">
        <f t="array" ref="E24">LET(val, IFERROR(INDEX('Weekly 쨈 raw'!$A:$AAQ, MATCH(TODAY() - WEEKDAY(TODAY(), 2) - 6, 'Weekly 쨈 raw'!$A:$A, 0), MATCH($A24, 'Weekly 쨈 raw'!$1:$1, 0)), ""), IF(val=0, "", val))</f>
        <v>4426</v>
      </c>
      <c r="F24" s="14">
        <f t="shared" si="26"/>
        <v>0.02739090065</v>
      </c>
      <c r="G24" s="19">
        <f t="array" ref="G24">LET(val, IFERROR(INDEX('Monthly 쨈 M raw'!$A:$AAQ, MATCH(EOMONTH(TODAY(), -2) + 1, 'Monthly 쨈 M raw'!$A:$A, 0), MATCH($B24, 'Monthly 쨈 M raw'!$1:$1, 0)), 0), IF(val=0, "", val))</f>
        <v>11015</v>
      </c>
      <c r="H24" s="19">
        <f t="array" ref="H24">LET(val, IFERROR(INDEX('Monthly 쨈 M raw'!$A:$AAQ, MATCH(EOMONTH(TODAY(), -1) + 1, 'Monthly 쨈 M raw'!$A:$A, 0), MATCH($B24, 'Monthly 쨈 M raw'!$1:$1, 0)), ""), IF(val=0, "", val))</f>
        <v>13278</v>
      </c>
      <c r="I24" s="15">
        <f t="shared" si="27"/>
        <v>0.2054471176</v>
      </c>
      <c r="J24" s="18">
        <f t="array" ref="J24">LET(val, IFERROR(INDEX('Weekly 사주 raw'!$A:$AAQ, MATCH(TODAY() - WEEKDAY(TODAY(), 2) - 13, 'Weekly 사주 raw'!$A:$A, 0), MATCH($A24, 'Weekly 사주 raw'!$1:$1, 0)), ""), IF(val=0, "", val))</f>
        <v>3912</v>
      </c>
      <c r="K24" s="19">
        <f t="array" ref="K24">LET(val, IFERROR(INDEX('Weekly 사주 raw'!$A:$AAQ, MATCH(TODAY() - WEEKDAY(TODAY(), 2) - 6, 'Weekly 사주 raw'!$A:$A, 0), MATCH($A24, 'Weekly 사주 raw'!$1:$1, 0)), ""), IF(val=0, "", val))</f>
        <v>1845</v>
      </c>
      <c r="L24" s="14">
        <f t="shared" si="28"/>
        <v>-0.5283742331</v>
      </c>
      <c r="M24" s="19">
        <f t="array" ref="M24">LET(val, IFERROR(INDEX('Monthly 사주 M raw'!$A:$AAQ, MATCH(EOMONTH(TODAY(), -2) + 1, 'Monthly 사주 M raw'!$A:$A, 0), MATCH($B24, 'Monthly 사주 M raw'!$1:$1, 0)), ""), IF(val=0, "", val))</f>
        <v>14126</v>
      </c>
      <c r="N24" s="24">
        <f t="array" ref="N24">LET(val, IFERROR(INDEX('Monthly 사주 M raw'!$A:$AAQ, MATCH(EOMONTH(TODAY(), -1) + 1, 'Monthly 사주 M raw'!$A:$A, 0), MATCH($B24, 'Monthly 사주 M raw'!$1:$1, 0)), ""), IF(val=0, "", val))</f>
        <v>13219</v>
      </c>
      <c r="O24" s="14">
        <f t="shared" si="29"/>
        <v>-0.06420784369</v>
      </c>
      <c r="P24" s="18">
        <f t="array" ref="P24">LET(val, IFERROR(INDEX('Weekly 스피킹 raw'!$A:$AAQ, MATCH(TODAY() - WEEKDAY(TODAY(), 2) - 13, 'Weekly 스피킹 raw'!$A:$A, 0), MATCH($A24, 'Weekly 스피킹 raw'!$1:$1, 0)), ""), IF(val=0, "", val))</f>
        <v>3452</v>
      </c>
      <c r="Q24" s="19">
        <f t="array" ref="Q24">LET(val, IFERROR(INDEX('Weekly 스피킹 raw'!$A:$AAQ, MATCH(TODAY() - WEEKDAY(TODAY(), 2) - 6, 'Weekly 스피킹 raw'!$A:$A, 0), MATCH($A24, 'Weekly 스피킹 raw'!$1:$1, 0)), ""), IF(val=0, "", val))</f>
        <v>1453</v>
      </c>
      <c r="R24" s="14">
        <f t="shared" si="30"/>
        <v>-0.5790845886</v>
      </c>
      <c r="S24" s="24">
        <f t="array" ref="S24">LET(val, IFERROR(INDEX('Monthly 스피킹 M raw'!$A:$AAQ, MATCH(EOMONTH(TODAY(), -2) + 1, 'Monthly 스피킹 M raw'!$A:$A, 0), MATCH($B24, 'Monthly 스피킹 M raw'!$1:$1, 0)), ""), IF(val=0, "", val))</f>
        <v>10369</v>
      </c>
      <c r="T24" s="19">
        <f t="array" ref="T24">LET(val, IFERROR(INDEX('Monthly 스피킹 raw'!$A:$AAQ, MATCH(EOMONTH(TODAY(), -1) + 1, 'Monthly 스피킹 raw'!$A:$A, 0), MATCH($B24, 'Monthly 스피킹 raw'!$1:$1, 0)), ""), IF(val=0, "", val))</f>
        <v>10502</v>
      </c>
      <c r="U24" s="14">
        <f t="shared" si="31"/>
        <v>0.01282669496</v>
      </c>
    </row>
    <row r="25">
      <c r="A25" s="16" t="s">
        <v>43</v>
      </c>
      <c r="B25" s="16" t="s">
        <v>43</v>
      </c>
      <c r="C25" s="17" t="s">
        <v>44</v>
      </c>
      <c r="D25" s="18">
        <f t="array" ref="D25">LET(val, IFERROR(INDEX('Weekly 쨈 raw'!$A:$AAQ, MATCH(TODAY() - WEEKDAY(TODAY(), 2) - 13, 'Weekly 쨈 raw'!$A:$A, 0), MATCH($A25, 'Weekly 쨈 raw'!$1:$1, 0)), ""), IF(val=0, "", val))</f>
        <v>2886</v>
      </c>
      <c r="E25" s="19">
        <f t="array" ref="E25">LET(val, IFERROR(INDEX('Weekly 쨈 raw'!$A:$AAQ, MATCH(TODAY() - WEEKDAY(TODAY(), 2) - 6, 'Weekly 쨈 raw'!$A:$A, 0), MATCH($A25, 'Weekly 쨈 raw'!$1:$1, 0)), ""), IF(val=0, "", val))</f>
        <v>3496</v>
      </c>
      <c r="F25" s="14">
        <f t="shared" si="26"/>
        <v>0.2113652114</v>
      </c>
      <c r="G25" s="19">
        <f t="array" ref="G25">LET(val, IFERROR(INDEX('Monthly 쨈 M raw'!$A:$AAQ, MATCH(EOMONTH(TODAY(), -2) + 1, 'Monthly 쨈 M raw'!$A:$A, 0), MATCH($B25, 'Monthly 쨈 M raw'!$1:$1, 0)), 0), IF(val=0, "", val))</f>
        <v>3611</v>
      </c>
      <c r="H25" s="19">
        <f t="array" ref="H25">LET(val, IFERROR(INDEX('Monthly 쨈 M raw'!$A:$AAQ, MATCH(EOMONTH(TODAY(), -1) + 1, 'Monthly 쨈 M raw'!$A:$A, 0), MATCH($B25, 'Monthly 쨈 M raw'!$1:$1, 0)), ""), IF(val=0, "", val))</f>
        <v>8504</v>
      </c>
      <c r="I25" s="15">
        <f t="shared" si="27"/>
        <v>1.355026309</v>
      </c>
      <c r="J25" s="18">
        <f t="array" ref="J25">LET(val, IFERROR(INDEX('Weekly 사주 raw'!$A:$AAQ, MATCH(TODAY() - WEEKDAY(TODAY(), 2) - 13, 'Weekly 사주 raw'!$A:$A, 0), MATCH($A25, 'Weekly 사주 raw'!$1:$1, 0)), ""), IF(val=0, "", val))</f>
        <v>1249</v>
      </c>
      <c r="K25" s="19">
        <f t="array" ref="K25">LET(val, IFERROR(INDEX('Weekly 사주 raw'!$A:$AAQ, MATCH(TODAY() - WEEKDAY(TODAY(), 2) - 6, 'Weekly 사주 raw'!$A:$A, 0), MATCH($A25, 'Weekly 사주 raw'!$1:$1, 0)), ""), IF(val=0, "", val))</f>
        <v>870</v>
      </c>
      <c r="L25" s="14">
        <f t="shared" si="28"/>
        <v>-0.3034427542</v>
      </c>
      <c r="M25" s="19">
        <f t="array" ref="M25">LET(val, IFERROR(INDEX('Monthly 사주 M raw'!$A:$AAQ, MATCH(EOMONTH(TODAY(), -2) + 1, 'Monthly 사주 M raw'!$A:$A, 0), MATCH($B25, 'Monthly 사주 M raw'!$1:$1, 0)), ""), IF(val=0, "", val))</f>
        <v>7312</v>
      </c>
      <c r="N25" s="24">
        <f t="array" ref="N25">LET(val, IFERROR(INDEX('Monthly 사주 M raw'!$A:$AAQ, MATCH(EOMONTH(TODAY(), -1) + 1, 'Monthly 사주 M raw'!$A:$A, 0), MATCH($B25, 'Monthly 사주 M raw'!$1:$1, 0)), ""), IF(val=0, "", val))</f>
        <v>4487</v>
      </c>
      <c r="O25" s="14">
        <f t="shared" si="29"/>
        <v>-0.3863512035</v>
      </c>
      <c r="P25" s="18">
        <f t="array" ref="P25">LET(val, IFERROR(INDEX('Weekly 스피킹 raw'!$A:$AAQ, MATCH(TODAY() - WEEKDAY(TODAY(), 2) - 13, 'Weekly 스피킹 raw'!$A:$A, 0), MATCH($A25, 'Weekly 스피킹 raw'!$1:$1, 0)), ""), IF(val=0, "", val))</f>
        <v>925</v>
      </c>
      <c r="Q25" s="19">
        <f t="array" ref="Q25">LET(val, IFERROR(INDEX('Weekly 스피킹 raw'!$A:$AAQ, MATCH(TODAY() - WEEKDAY(TODAY(), 2) - 6, 'Weekly 스피킹 raw'!$A:$A, 0), MATCH($A25, 'Weekly 스피킹 raw'!$1:$1, 0)), ""), IF(val=0, "", val))</f>
        <v>498</v>
      </c>
      <c r="R25" s="14">
        <f t="shared" si="30"/>
        <v>-0.4616216216</v>
      </c>
      <c r="S25" s="24">
        <f t="array" ref="S25">LET(val, IFERROR(INDEX('Monthly 스피킹 M raw'!$A:$AAQ, MATCH(EOMONTH(TODAY(), -2) + 1, 'Monthly 스피킹 M raw'!$A:$A, 0), MATCH($B25, 'Monthly 스피킹 M raw'!$1:$1, 0)), ""), IF(val=0, "", val))</f>
        <v>3789</v>
      </c>
      <c r="T25" s="19">
        <f t="array" ref="T25">LET(val, IFERROR(INDEX('Monthly 스피킹 raw'!$A:$AAQ, MATCH(EOMONTH(TODAY(), -1) + 1, 'Monthly 스피킹 raw'!$A:$A, 0), MATCH($B25, 'Monthly 스피킹 raw'!$1:$1, 0)), ""), IF(val=0, "", val))</f>
        <v>2975</v>
      </c>
      <c r="U25" s="14">
        <f t="shared" si="31"/>
        <v>-0.2148324096</v>
      </c>
    </row>
    <row r="26">
      <c r="A26" s="16" t="s">
        <v>45</v>
      </c>
      <c r="B26" s="16" t="s">
        <v>45</v>
      </c>
      <c r="C26" s="17" t="s">
        <v>22</v>
      </c>
      <c r="D26" s="18">
        <f t="array" ref="D26">LET(val, IFERROR(INDEX('Weekly 쨈 raw'!$A:$AAQ, MATCH(TODAY() - WEEKDAY(TODAY(), 2) - 13, 'Weekly 쨈 raw'!$A:$A, 0), MATCH($A26, 'Weekly 쨈 raw'!$1:$1, 0)), ""), IF(val=0, "", val))</f>
        <v>1587</v>
      </c>
      <c r="E26" s="19">
        <f t="array" ref="E26">LET(val, IFERROR(INDEX('Weekly 쨈 raw'!$A:$AAQ, MATCH(TODAY() - WEEKDAY(TODAY(), 2) - 6, 'Weekly 쨈 raw'!$A:$A, 0), MATCH($A26, 'Weekly 쨈 raw'!$1:$1, 0)), ""), IF(val=0, "", val))</f>
        <v>1566</v>
      </c>
      <c r="F26" s="14">
        <f t="shared" si="26"/>
        <v>-0.01323251418</v>
      </c>
      <c r="G26" s="19">
        <f t="array" ref="G26">LET(val, IFERROR(INDEX('Monthly 쨈 M raw'!$A:$AAQ, MATCH(EOMONTH(TODAY(), -2) + 1, 'Monthly 쨈 M raw'!$A:$A, 0), MATCH($B26, 'Monthly 쨈 M raw'!$1:$1, 0)), 0), IF(val=0, "", val))</f>
        <v>618</v>
      </c>
      <c r="H26" s="19">
        <f t="array" ref="H26">LET(val, IFERROR(INDEX('Monthly 쨈 M raw'!$A:$AAQ, MATCH(EOMONTH(TODAY(), -1) + 1, 'Monthly 쨈 M raw'!$A:$A, 0), MATCH($B26, 'Monthly 쨈 M raw'!$1:$1, 0)), ""), IF(val=0, "", val))</f>
        <v>4011</v>
      </c>
      <c r="I26" s="15">
        <f t="shared" si="27"/>
        <v>5.490291262</v>
      </c>
      <c r="J26" s="18">
        <f t="array" ref="J26">LET(val, IFERROR(INDEX('Weekly 사주 raw'!$A:$AAQ, MATCH(TODAY() - WEEKDAY(TODAY(), 2) - 13, 'Weekly 사주 raw'!$A:$A, 0), MATCH($A26, 'Weekly 사주 raw'!$1:$1, 0)), ""), IF(val=0, "", val))</f>
        <v>207</v>
      </c>
      <c r="K26" s="19">
        <f t="array" ref="K26">LET(val, IFERROR(INDEX('Weekly 사주 raw'!$A:$AAQ, MATCH(TODAY() - WEEKDAY(TODAY(), 2) - 6, 'Weekly 사주 raw'!$A:$A, 0), MATCH($A26, 'Weekly 사주 raw'!$1:$1, 0)), ""), IF(val=0, "", val))</f>
        <v>150</v>
      </c>
      <c r="L26" s="14">
        <f t="shared" si="28"/>
        <v>-0.2753623188</v>
      </c>
      <c r="M26" s="19">
        <f t="array" ref="M26">LET(val, IFERROR(INDEX('Monthly 사주 M raw'!$A:$AAQ, MATCH(EOMONTH(TODAY(), -2) + 1, 'Monthly 사주 M raw'!$A:$A, 0), MATCH($B26, 'Monthly 사주 M raw'!$1:$1, 0)), ""), IF(val=0, "", val))</f>
        <v>1196</v>
      </c>
      <c r="N26" s="24">
        <f t="array" ref="N26">LET(val, IFERROR(INDEX('Monthly 사주 M raw'!$A:$AAQ, MATCH(EOMONTH(TODAY(), -1) + 1, 'Monthly 사주 M raw'!$A:$A, 0), MATCH($B26, 'Monthly 사주 M raw'!$1:$1, 0)), ""), IF(val=0, "", val))</f>
        <v>825</v>
      </c>
      <c r="O26" s="14">
        <f t="shared" si="29"/>
        <v>-0.3102006689</v>
      </c>
      <c r="P26" s="18">
        <f t="array" ref="P26">LET(val, IFERROR(INDEX('Weekly 스피킹 raw'!$A:$AAQ, MATCH(TODAY() - WEEKDAY(TODAY(), 2) - 13, 'Weekly 스피킹 raw'!$A:$A, 0), MATCH($A26, 'Weekly 스피킹 raw'!$1:$1, 0)), ""), IF(val=0, "", val))</f>
        <v>874</v>
      </c>
      <c r="Q26" s="19">
        <f t="array" ref="Q26">LET(val, IFERROR(INDEX('Weekly 스피킹 raw'!$A:$AAQ, MATCH(TODAY() - WEEKDAY(TODAY(), 2) - 6, 'Weekly 스피킹 raw'!$A:$A, 0), MATCH($A26, 'Weekly 스피킹 raw'!$1:$1, 0)), ""), IF(val=0, "", val))</f>
        <v>467</v>
      </c>
      <c r="R26" s="14">
        <f t="shared" si="30"/>
        <v>-0.4656750572</v>
      </c>
      <c r="S26" s="24">
        <f t="array" ref="S26">LET(val, IFERROR(INDEX('Monthly 스피킹 M raw'!$A:$AAQ, MATCH(EOMONTH(TODAY(), -2) + 1, 'Monthly 스피킹 M raw'!$A:$A, 0), MATCH($B26, 'Monthly 스피킹 M raw'!$1:$1, 0)), ""), IF(val=0, "", val))</f>
        <v>3614</v>
      </c>
      <c r="T26" s="19">
        <f t="array" ref="T26">LET(val, IFERROR(INDEX('Monthly 스피킹 raw'!$A:$AAQ, MATCH(EOMONTH(TODAY(), -1) + 1, 'Monthly 스피킹 raw'!$A:$A, 0), MATCH($B26, 'Monthly 스피킹 raw'!$1:$1, 0)), ""), IF(val=0, "", val))</f>
        <v>2847</v>
      </c>
      <c r="U26" s="14">
        <f t="shared" si="31"/>
        <v>-0.2122302158</v>
      </c>
    </row>
    <row r="27">
      <c r="A27" s="16" t="s">
        <v>46</v>
      </c>
      <c r="B27" s="16" t="s">
        <v>46</v>
      </c>
      <c r="C27" s="17" t="s">
        <v>47</v>
      </c>
      <c r="D27" s="18">
        <f t="array" ref="D27">LET(val, IFERROR(INDEX('Weekly 쨈 raw'!$A:$AAQ, MATCH(TODAY() - WEEKDAY(TODAY(), 2) - 13, 'Weekly 쨈 raw'!$A:$A, 0), MATCH($A27, 'Weekly 쨈 raw'!$1:$1, 0)), ""), IF(val=0, "", val))</f>
        <v>1602</v>
      </c>
      <c r="E27" s="19">
        <f t="array" ref="E27">LET(val, IFERROR(INDEX('Weekly 쨈 raw'!$A:$AAQ, MATCH(TODAY() - WEEKDAY(TODAY(), 2) - 6, 'Weekly 쨈 raw'!$A:$A, 0), MATCH($A27, 'Weekly 쨈 raw'!$1:$1, 0)), ""), IF(val=0, "", val))</f>
        <v>1947</v>
      </c>
      <c r="F27" s="14">
        <f t="shared" si="26"/>
        <v>0.2153558052</v>
      </c>
      <c r="G27" s="19">
        <f t="array" ref="G27">LET(val, IFERROR(INDEX('Monthly 쨈 M raw'!$A:$AAQ, MATCH(EOMONTH(TODAY(), -2) + 1, 'Monthly 쨈 M raw'!$A:$A, 0), MATCH($B27, 'Monthly 쨈 M raw'!$1:$1, 0)), 0), IF(val=0, "", val))</f>
        <v>902</v>
      </c>
      <c r="H27" s="19">
        <f t="array" ref="H27">LET(val, IFERROR(INDEX('Monthly 쨈 M raw'!$A:$AAQ, MATCH(EOMONTH(TODAY(), -1) + 1, 'Monthly 쨈 M raw'!$A:$A, 0), MATCH($B27, 'Monthly 쨈 M raw'!$1:$1, 0)), ""), IF(val=0, "", val))</f>
        <v>4475</v>
      </c>
      <c r="I27" s="15">
        <f t="shared" si="27"/>
        <v>3.961197339</v>
      </c>
      <c r="J27" s="18">
        <f t="array" ref="J27">LET(val, IFERROR(INDEX('Weekly 사주 raw'!$A:$AAQ, MATCH(TODAY() - WEEKDAY(TODAY(), 2) - 13, 'Weekly 사주 raw'!$A:$A, 0), MATCH($A27, 'Weekly 사주 raw'!$1:$1, 0)), ""), IF(val=0, "", val))</f>
        <v>756</v>
      </c>
      <c r="K27" s="19">
        <f t="array" ref="K27">LET(val, IFERROR(INDEX('Weekly 사주 raw'!$A:$AAQ, MATCH(TODAY() - WEEKDAY(TODAY(), 2) - 6, 'Weekly 사주 raw'!$A:$A, 0), MATCH($A27, 'Weekly 사주 raw'!$1:$1, 0)), ""), IF(val=0, "", val))</f>
        <v>385</v>
      </c>
      <c r="L27" s="14">
        <f t="shared" si="28"/>
        <v>-0.4907407407</v>
      </c>
      <c r="M27" s="19">
        <f t="array" ref="M27">LET(val, IFERROR(INDEX('Monthly 사주 M raw'!$A:$AAQ, MATCH(EOMONTH(TODAY(), -2) + 1, 'Monthly 사주 M raw'!$A:$A, 0), MATCH($B27, 'Monthly 사주 M raw'!$1:$1, 0)), ""), IF(val=0, "", val))</f>
        <v>2517</v>
      </c>
      <c r="N27" s="24">
        <f t="array" ref="N27">LET(val, IFERROR(INDEX('Monthly 사주 M raw'!$A:$AAQ, MATCH(EOMONTH(TODAY(), -1) + 1, 'Monthly 사주 M raw'!$A:$A, 0), MATCH($B27, 'Monthly 사주 M raw'!$1:$1, 0)), ""), IF(val=0, "", val))</f>
        <v>2699</v>
      </c>
      <c r="O27" s="14">
        <f t="shared" si="29"/>
        <v>0.07230830354</v>
      </c>
      <c r="P27" s="18">
        <f t="array" ref="P27">LET(val, IFERROR(INDEX('Weekly 스피킹 raw'!$A:$AAQ, MATCH(TODAY() - WEEKDAY(TODAY(), 2) - 13, 'Weekly 스피킹 raw'!$A:$A, 0), MATCH($A27, 'Weekly 스피킹 raw'!$1:$1, 0)), ""), IF(val=0, "", val))</f>
        <v>576</v>
      </c>
      <c r="Q27" s="19">
        <f t="array" ref="Q27">LET(val, IFERROR(INDEX('Weekly 스피킹 raw'!$A:$AAQ, MATCH(TODAY() - WEEKDAY(TODAY(), 2) - 6, 'Weekly 스피킹 raw'!$A:$A, 0), MATCH($A27, 'Weekly 스피킹 raw'!$1:$1, 0)), ""), IF(val=0, "", val))</f>
        <v>347</v>
      </c>
      <c r="R27" s="14">
        <f t="shared" si="30"/>
        <v>-0.3975694444</v>
      </c>
      <c r="S27" s="19">
        <f t="array" ref="S27">LET(val, IFERROR(INDEX('Monthly 스피킹 M raw'!$A:$AAQ, MATCH(EOMONTH(TODAY(), -2) + 1, 'Monthly 스피킹 M raw'!$A:$A, 0), MATCH($B27, 'Monthly 스피킹 M raw'!$1:$1, 0)), ""), IF(val=0, "", val))</f>
        <v>2478</v>
      </c>
      <c r="T27" s="19">
        <f t="array" ref="T27">LET(val, IFERROR(INDEX('Monthly 스피킹 raw'!$A:$AAQ, MATCH(EOMONTH(TODAY(), -1) + 1, 'Monthly 스피킹 raw'!$A:$A, 0), MATCH($B27, 'Monthly 스피킹 raw'!$1:$1, 0)), ""), IF(val=0, "", val))</f>
        <v>1931</v>
      </c>
      <c r="U27" s="14">
        <f t="shared" si="31"/>
        <v>-0.2207425343</v>
      </c>
    </row>
    <row r="28">
      <c r="A28" s="16" t="s">
        <v>48</v>
      </c>
      <c r="B28" s="16" t="s">
        <v>48</v>
      </c>
      <c r="C28" s="17" t="s">
        <v>20</v>
      </c>
      <c r="D28" s="18">
        <f t="array" ref="D28">LET(val, IFERROR(INDEX('Weekly 쨈 raw'!$A:$AAQ, MATCH(TODAY() - WEEKDAY(TODAY(), 2) - 13, 'Weekly 쨈 raw'!$A:$A, 0), MATCH($A28, 'Weekly 쨈 raw'!$1:$1, 0)), ""), IF(val=0, "", val))</f>
        <v>260</v>
      </c>
      <c r="E28" s="19">
        <f t="array" ref="E28">LET(val, IFERROR(INDEX('Weekly 쨈 raw'!$A:$AAQ, MATCH(TODAY() - WEEKDAY(TODAY(), 2) - 6, 'Weekly 쨈 raw'!$A:$A, 0), MATCH($A28, 'Weekly 쨈 raw'!$1:$1, 0)), ""), IF(val=0, "", val))</f>
        <v>371</v>
      </c>
      <c r="F28" s="14">
        <f t="shared" si="26"/>
        <v>0.4269230769</v>
      </c>
      <c r="G28" s="19">
        <f t="array" ref="G28">LET(val, IFERROR(INDEX('Monthly 쨈 M raw'!$A:$AAQ, MATCH(EOMONTH(TODAY(), -2) + 1, 'Monthly 쨈 M raw'!$A:$A, 0), MATCH($B28, 'Monthly 쨈 M raw'!$1:$1, 0)), 0), IF(val=0, "", val))</f>
        <v>141</v>
      </c>
      <c r="H28" s="19">
        <f t="array" ref="H28">LET(val, IFERROR(INDEX('Monthly 쨈 M raw'!$A:$AAQ, MATCH(EOMONTH(TODAY(), -1) + 1, 'Monthly 쨈 M raw'!$A:$A, 0), MATCH($B28, 'Monthly 쨈 M raw'!$1:$1, 0)), ""), IF(val=0, "", val))</f>
        <v>840</v>
      </c>
      <c r="I28" s="15">
        <f t="shared" si="27"/>
        <v>4.957446809</v>
      </c>
      <c r="J28" s="18">
        <f t="array" ref="J28">LET(val, IFERROR(INDEX('Weekly 사주 raw'!$A:$AAQ, MATCH(TODAY() - WEEKDAY(TODAY(), 2) - 13, 'Weekly 사주 raw'!$A:$A, 0), MATCH($A28, 'Weekly 사주 raw'!$1:$1, 0)), ""), IF(val=0, "", val))</f>
        <v>33</v>
      </c>
      <c r="K28" s="19">
        <f t="array" ref="K28">LET(val, IFERROR(INDEX('Weekly 사주 raw'!$A:$AAQ, MATCH(TODAY() - WEEKDAY(TODAY(), 2) - 6, 'Weekly 사주 raw'!$A:$A, 0), MATCH($A28, 'Weekly 사주 raw'!$1:$1, 0)), ""), IF(val=0, "", val))</f>
        <v>16</v>
      </c>
      <c r="L28" s="14">
        <f t="shared" si="28"/>
        <v>-0.5151515152</v>
      </c>
      <c r="M28" s="19">
        <f t="array" ref="M28">LET(val, IFERROR(INDEX('Monthly 사주 M raw'!$A:$AAQ, MATCH(EOMONTH(TODAY(), -2) + 1, 'Monthly 사주 M raw'!$A:$A, 0), MATCH($B28, 'Monthly 사주 M raw'!$1:$1, 0)), ""), IF(val=0, "", val))</f>
        <v>168</v>
      </c>
      <c r="N28" s="24">
        <f t="array" ref="N28">LET(val, IFERROR(INDEX('Monthly 사주 M raw'!$A:$AAQ, MATCH(EOMONTH(TODAY(), -1) + 1, 'Monthly 사주 M raw'!$A:$A, 0), MATCH($B28, 'Monthly 사주 M raw'!$1:$1, 0)), ""), IF(val=0, "", val))</f>
        <v>159</v>
      </c>
      <c r="O28" s="14">
        <f t="shared" si="29"/>
        <v>-0.05357142857</v>
      </c>
      <c r="P28" s="18">
        <f t="array" ref="P28">LET(val, IFERROR(INDEX('Weekly 스피킹 raw'!$A:$AAQ, MATCH(TODAY() - WEEKDAY(TODAY(), 2) - 13, 'Weekly 스피킹 raw'!$A:$A, 0), MATCH($A28, 'Weekly 스피킹 raw'!$1:$1, 0)), ""), IF(val=0, "", val))</f>
        <v>3</v>
      </c>
      <c r="Q28" s="19">
        <f t="array" ref="Q28">LET(val, IFERROR(INDEX('Weekly 스피킹 raw'!$A:$AAQ, MATCH(TODAY() - WEEKDAY(TODAY(), 2) - 6, 'Weekly 스피킹 raw'!$A:$A, 0), MATCH($A28, 'Weekly 스피킹 raw'!$1:$1, 0)), ""), IF(val=0, "", val))</f>
        <v>5</v>
      </c>
      <c r="R28" s="14">
        <f t="shared" si="30"/>
        <v>0.6666666667</v>
      </c>
      <c r="S28" s="19">
        <f t="array" ref="S28">LET(val, IFERROR(INDEX('Monthly 스피킹 M raw'!$A:$AAQ, MATCH(EOMONTH(TODAY(), -2) + 1, 'Monthly 스피킹 M raw'!$A:$A, 0), MATCH($B28, 'Monthly 스피킹 M raw'!$1:$1, 0)), ""), IF(val=0, "", val))</f>
        <v>35</v>
      </c>
      <c r="T28" s="19">
        <f t="array" ref="T28">LET(val, IFERROR(INDEX('Monthly 스피킹 raw'!$A:$AAQ, MATCH(EOMONTH(TODAY(), -1) + 1, 'Monthly 스피킹 raw'!$A:$A, 0), MATCH($B28, 'Monthly 스피킹 raw'!$1:$1, 0)), ""), IF(val=0, "", val))</f>
        <v>20</v>
      </c>
      <c r="U28" s="14">
        <f t="shared" si="31"/>
        <v>-0.4285714286</v>
      </c>
    </row>
    <row r="29">
      <c r="A29" s="16"/>
      <c r="B29" s="16"/>
      <c r="C29" s="30"/>
      <c r="D29" s="18"/>
      <c r="E29" s="19"/>
      <c r="F29" s="14"/>
      <c r="G29" s="19"/>
      <c r="H29" s="19"/>
      <c r="I29" s="15"/>
      <c r="J29" s="18"/>
      <c r="K29" s="19"/>
      <c r="L29" s="14"/>
      <c r="M29" s="19"/>
      <c r="N29" s="24"/>
      <c r="O29" s="14"/>
      <c r="P29" s="18"/>
      <c r="Q29" s="19"/>
      <c r="R29" s="14"/>
      <c r="S29" s="19"/>
      <c r="T29" s="19"/>
      <c r="U29" s="14"/>
    </row>
    <row r="30">
      <c r="A30" s="16"/>
      <c r="B30" s="16"/>
      <c r="C30" s="30" t="s">
        <v>49</v>
      </c>
      <c r="D30" s="18" t="str">
        <f t="array" ref="D30">LET(val, IFERROR(INDEX('Weekly 쨈 raw'!$A:$AAQ, MATCH(TODAY() - WEEKDAY(TODAY(), 2) - 13, 'Weekly 쨈 raw'!$A:$A, 0), MATCH($A30, 'Weekly 쨈 raw'!$1:$1, 0)), ""), IF(val=0, "", val))</f>
        <v/>
      </c>
      <c r="E30" s="19" t="str">
        <f t="array" ref="E30">LET(val, IFERROR(INDEX('Weekly 쨈 raw'!$A:$AAQ, MATCH(TODAY() - WEEKDAY(TODAY(), 2) - 6, 'Weekly 쨈 raw'!$A:$A, 0), MATCH($A30, 'Weekly 쨈 raw'!$1:$1, 0)), ""), IF(val=0, "", val))</f>
        <v/>
      </c>
      <c r="F30" s="14" t="str">
        <f t="shared" ref="F30:F35" si="32"> LET(val, IFERROR((E30 - D30) / D30, ""), IF(val=0, "", val))</f>
        <v/>
      </c>
      <c r="G30" s="19" t="str">
        <f t="array" ref="G30">LET(val, IFERROR(INDEX('Monthly 쨈 M raw'!$A:$AAQ, MATCH(EOMONTH(TODAY(), -2) + 1, 'Monthly 쨈 M raw'!$A:$A, 0), MATCH($B30, 'Monthly 쨈 M raw'!$1:$1, 0)), 0), IF(val=0, "", val))</f>
        <v/>
      </c>
      <c r="H30" s="19" t="str">
        <f t="array" ref="H30">LET(val, IFERROR(INDEX('Monthly 쨈 M raw'!$A:$AAQ, MATCH(EOMONTH(TODAY(), -1) + 1, 'Monthly 쨈 M raw'!$A:$A, 0), MATCH($B30, 'Monthly 쨈 M raw'!$1:$1, 0)), ""), IF(val=0, "", val))</f>
        <v/>
      </c>
      <c r="I30" s="15" t="str">
        <f t="shared" ref="I30:I35" si="33">LET(val, IF(OR(G30="", H30=""), "", IFERROR((H30 - G30) / G30, "")), IF(val=0, "", val))</f>
        <v/>
      </c>
      <c r="J30" s="18" t="str">
        <f t="array" ref="J30">LET(val, IFERROR(INDEX('Weekly 사주 raw'!$A:$AAQ, MATCH(TODAY() - WEEKDAY(TODAY(), 2) - 13, 'Weekly 사주 raw'!$A:$A, 0), MATCH($A30, 'Weekly 사주 raw'!$1:$1, 0)), ""), IF(val=0, "", val))</f>
        <v/>
      </c>
      <c r="K30" s="19" t="str">
        <f t="array" ref="K30">LET(val, IFERROR(INDEX('Weekly 사주 raw'!$A:$AAQ, MATCH(TODAY() - WEEKDAY(TODAY(), 2) - 6, 'Weekly 사주 raw'!$A:$A, 0), MATCH($A30, 'Weekly 사주 raw'!$1:$1, 0)), ""), IF(val=0, "", val))</f>
        <v/>
      </c>
      <c r="L30" s="14" t="str">
        <f t="shared" ref="L30:L35" si="34"> LET(val, IFERROR((K30 - J30) / J30, ""), IF(val=0, "", val))</f>
        <v/>
      </c>
      <c r="M30" s="19" t="str">
        <f t="array" ref="M30">LET(val, IFERROR(INDEX('Monthly 사주 M raw'!$A:$AAQ, MATCH(EOMONTH(TODAY(), -2) + 1, 'Monthly 사주 M raw'!$A:$A, 0), MATCH($B30, 'Monthly 사주 M raw'!$1:$1, 0)), ""), IF(val=0, "", val))</f>
        <v/>
      </c>
      <c r="N30" s="24" t="str">
        <f t="array" ref="N30">LET(val, IFERROR(INDEX('Monthly 사주 M raw'!$A:$AAQ, MATCH(EOMONTH(TODAY(), -1) + 1, 'Monthly 사주 M raw'!$A:$A, 0), MATCH($B30, 'Monthly 사주 M raw'!$1:$1, 0)), ""), IF(val=0, "", val))</f>
        <v/>
      </c>
      <c r="O30" s="14" t="str">
        <f t="shared" ref="O30:O35" si="35">LET(val, IF(OR(M30="", N30=""), "", IFERROR((N30 - M30) / M30, "")), IF(val=0, "", val))</f>
        <v/>
      </c>
      <c r="P30" s="18" t="str">
        <f t="array" ref="P30">LET(val, IFERROR(INDEX('Weekly 스피킹 raw'!$A:$AAQ, MATCH(TODAY() - WEEKDAY(TODAY(), 2) - 13, 'Weekly 스피킹 raw'!$A:$A, 0), MATCH($A30, 'Weekly 스피킹 raw'!$1:$1, 0)), ""), IF(val=0, "", val))</f>
        <v/>
      </c>
      <c r="Q30" s="19" t="str">
        <f t="array" ref="Q30">LET(val, IFERROR(INDEX('Weekly 스피킹 raw'!$A:$AAQ, MATCH(TODAY() - WEEKDAY(TODAY(), 2) - 6, 'Weekly 스피킹 raw'!$A:$A, 0), MATCH($A30, 'Weekly 스피킹 raw'!$1:$1, 0)), ""), IF(val=0, "", val))</f>
        <v/>
      </c>
      <c r="R30" s="14" t="str">
        <f t="shared" ref="R30:R35" si="36"> LET(val, IFERROR((Q30 - P30) / P30, ""), IF(val=0, "", val))</f>
        <v/>
      </c>
      <c r="S30" s="19" t="str">
        <f t="array" ref="S30">LET(val, IFERROR(INDEX('Monthly 스피킹 M raw'!$A:$AAQ, MATCH(EOMONTH(TODAY(), -2) + 1, 'Monthly 스피킹 M raw'!$A:$A, 0), MATCH($B30, 'Monthly 스피킹 M raw'!$1:$1, 0)), ""), IF(val=0, "", val))</f>
        <v/>
      </c>
      <c r="T30" s="19" t="str">
        <f t="array" ref="T30">LET(val, IFERROR(INDEX('Monthly 스피킹 raw'!$A:$AAQ, MATCH(EOMONTH(TODAY(), -1) + 1, 'Monthly 스피킹 raw'!$A:$A, 0), MATCH($B30, 'Monthly 스피킹 raw'!$1:$1, 0)), ""), IF(val=0, "", val))</f>
        <v/>
      </c>
      <c r="U30" s="14" t="str">
        <f t="shared" ref="U30:U35" si="37">LET(val, IF(OR(S30="", T30=""), "", IFERROR((T30 - S30) / S30, "")), IF(val=0, "", val))</f>
        <v/>
      </c>
    </row>
    <row r="31">
      <c r="A31" s="16" t="s">
        <v>50</v>
      </c>
      <c r="B31" s="16" t="s">
        <v>50</v>
      </c>
      <c r="C31" s="17" t="s">
        <v>42</v>
      </c>
      <c r="D31" s="18">
        <f t="array" ref="D31">LET(val, IFERROR(INDEX('Weekly 쨈 raw'!$A:$AAQ, MATCH(TODAY() - WEEKDAY(TODAY(), 2) - 13, 'Weekly 쨈 raw'!$A:$A, 0), MATCH($A31, 'Weekly 쨈 raw'!$1:$1, 0)), ""), IF(val=0, "", val))</f>
        <v>955</v>
      </c>
      <c r="E31" s="19">
        <f t="array" ref="E31">LET(val, IFERROR(INDEX('Weekly 쨈 raw'!$A:$AAQ, MATCH(TODAY() - WEEKDAY(TODAY(), 2) - 6, 'Weekly 쨈 raw'!$A:$A, 0), MATCH($A31, 'Weekly 쨈 raw'!$1:$1, 0)), ""), IF(val=0, "", val))</f>
        <v>1754</v>
      </c>
      <c r="F31" s="14">
        <f t="shared" si="32"/>
        <v>0.8366492147</v>
      </c>
      <c r="G31" s="19">
        <f t="array" ref="G31">LET(val, IFERROR(INDEX('Monthly 쨈 M raw'!$A:$AAQ, MATCH(EOMONTH(TODAY(), -2) + 1, 'Monthly 쨈 M raw'!$A:$A, 0), MATCH($B31, 'Monthly 쨈 M raw'!$1:$1, 0)), 0), IF(val=0, "", val))</f>
        <v>74836</v>
      </c>
      <c r="H31" s="19">
        <f t="array" ref="H31">LET(val, IFERROR(INDEX('Monthly 쨈 M raw'!$A:$AAQ, MATCH(EOMONTH(TODAY(), -1) + 1, 'Monthly 쨈 M raw'!$A:$A, 0), MATCH($B31, 'Monthly 쨈 M raw'!$1:$1, 0)), ""), IF(val=0, "", val))</f>
        <v>12716</v>
      </c>
      <c r="I31" s="15">
        <f t="shared" si="33"/>
        <v>-0.8300817788</v>
      </c>
      <c r="J31" s="18">
        <f t="array" ref="J31">LET(val, IFERROR(INDEX('Weekly 사주 raw'!$A:$AAQ, MATCH(TODAY() - WEEKDAY(TODAY(), 2) - 13, 'Weekly 사주 raw'!$A:$A, 0), MATCH($A31, 'Weekly 사주 raw'!$1:$1, 0)), ""), IF(val=0, "", val))</f>
        <v>27238</v>
      </c>
      <c r="K31" s="19">
        <f t="array" ref="K31">LET(val, IFERROR(INDEX('Weekly 사주 raw'!$A:$AAQ, MATCH(TODAY() - WEEKDAY(TODAY(), 2) - 6, 'Weekly 사주 raw'!$A:$A, 0), MATCH($A31, 'Weekly 사주 raw'!$1:$1, 0)), ""), IF(val=0, "", val))</f>
        <v>29733</v>
      </c>
      <c r="L31" s="14">
        <f t="shared" si="34"/>
        <v>0.09159997063</v>
      </c>
      <c r="M31" s="19">
        <f t="array" ref="M31">LET(val, IFERROR(INDEX('Monthly 사주 M raw'!$A:$AAQ, MATCH(EOMONTH(TODAY(), -2) + 1, 'Monthly 사주 M raw'!$A:$A, 0), MATCH($B31, 'Monthly 사주 M raw'!$1:$1, 0)), ""), IF(val=0, "", val))</f>
        <v>74690</v>
      </c>
      <c r="N31" s="24">
        <f t="array" ref="N31">LET(val, IFERROR(INDEX('Monthly 사주 M raw'!$A:$AAQ, MATCH(EOMONTH(TODAY(), -1) + 1, 'Monthly 사주 M raw'!$A:$A, 0), MATCH($B31, 'Monthly 사주 M raw'!$1:$1, 0)), ""), IF(val=0, "", val))</f>
        <v>65321</v>
      </c>
      <c r="O31" s="14">
        <f t="shared" si="35"/>
        <v>-0.125438479</v>
      </c>
      <c r="P31" s="18">
        <f t="array" ref="P31">LET(val, IFERROR(INDEX('Weekly 스피킹 raw'!$A:$AAQ, MATCH(TODAY() - WEEKDAY(TODAY(), 2) - 13, 'Weekly 스피킹 raw'!$A:$A, 0), MATCH($A31, 'Weekly 스피킹 raw'!$1:$1, 0)), ""), IF(val=0, "", val))</f>
        <v>16554</v>
      </c>
      <c r="Q31" s="19">
        <f t="array" ref="Q31">LET(val, IFERROR(INDEX('Weekly 스피킹 raw'!$A:$AAQ, MATCH(TODAY() - WEEKDAY(TODAY(), 2) - 6, 'Weekly 스피킹 raw'!$A:$A, 0), MATCH($A31, 'Weekly 스피킹 raw'!$1:$1, 0)), ""), IF(val=0, "", val))</f>
        <v>14388</v>
      </c>
      <c r="R31" s="14">
        <f t="shared" si="36"/>
        <v>-0.1308445089</v>
      </c>
      <c r="S31" s="24">
        <f t="array" ref="S31">LET(val, IFERROR(INDEX('Monthly 스피킹 M raw'!$A:$AAQ, MATCH(EOMONTH(TODAY(), -2) + 1, 'Monthly 스피킹 M raw'!$A:$A, 0), MATCH($B31, 'Monthly 스피킹 M raw'!$1:$1, 0)), ""), IF(val=0, "", val))</f>
        <v>58277</v>
      </c>
      <c r="T31" s="19">
        <f t="array" ref="T31">LET(val, IFERROR(INDEX('Monthly 스피킹 raw'!$A:$AAQ, MATCH(EOMONTH(TODAY(), -1) + 1, 'Monthly 스피킹 raw'!$A:$A, 0), MATCH($B31, 'Monthly 스피킹 raw'!$1:$1, 0)), ""), IF(val=0, "", val))</f>
        <v>38069</v>
      </c>
      <c r="U31" s="14">
        <f t="shared" si="37"/>
        <v>-0.346757726</v>
      </c>
    </row>
    <row r="32">
      <c r="A32" s="16" t="s">
        <v>51</v>
      </c>
      <c r="B32" s="16" t="s">
        <v>51</v>
      </c>
      <c r="C32" s="17" t="s">
        <v>44</v>
      </c>
      <c r="D32" s="18">
        <f t="array" ref="D32">LET(val, IFERROR(INDEX('Weekly 쨈 raw'!$A:$AAQ, MATCH(TODAY() - WEEKDAY(TODAY(), 2) - 13, 'Weekly 쨈 raw'!$A:$A, 0), MATCH($A32, 'Weekly 쨈 raw'!$1:$1, 0)), ""), IF(val=0, "", val))</f>
        <v>776</v>
      </c>
      <c r="E32" s="19">
        <f t="array" ref="E32">LET(val, IFERROR(INDEX('Weekly 쨈 raw'!$A:$AAQ, MATCH(TODAY() - WEEKDAY(TODAY(), 2) - 6, 'Weekly 쨈 raw'!$A:$A, 0), MATCH($A32, 'Weekly 쨈 raw'!$1:$1, 0)), ""), IF(val=0, "", val))</f>
        <v>1464</v>
      </c>
      <c r="F32" s="14">
        <f t="shared" si="32"/>
        <v>0.8865979381</v>
      </c>
      <c r="G32" s="19">
        <f t="array" ref="G32">LET(val, IFERROR(INDEX('Monthly 쨈 M raw'!$A:$AAQ, MATCH(EOMONTH(TODAY(), -2) + 1, 'Monthly 쨈 M raw'!$A:$A, 0), MATCH($B32, 'Monthly 쨈 M raw'!$1:$1, 0)), 0), IF(val=0, "", val))</f>
        <v>55609</v>
      </c>
      <c r="H32" s="19">
        <f t="array" ref="H32">LET(val, IFERROR(INDEX('Monthly 쨈 M raw'!$A:$AAQ, MATCH(EOMONTH(TODAY(), -1) + 1, 'Monthly 쨈 M raw'!$A:$A, 0), MATCH($B32, 'Monthly 쨈 M raw'!$1:$1, 0)), ""), IF(val=0, "", val))</f>
        <v>8325</v>
      </c>
      <c r="I32" s="15">
        <f t="shared" si="33"/>
        <v>-0.8502940172</v>
      </c>
      <c r="J32" s="18">
        <f t="array" ref="J32">LET(val, IFERROR(INDEX('Weekly 사주 raw'!$A:$AAQ, MATCH(TODAY() - WEEKDAY(TODAY(), 2) - 13, 'Weekly 사주 raw'!$A:$A, 0), MATCH($A32, 'Weekly 사주 raw'!$1:$1, 0)), ""), IF(val=0, "", val))</f>
        <v>12905</v>
      </c>
      <c r="K32" s="19">
        <f t="array" ref="K32">LET(val, IFERROR(INDEX('Weekly 사주 raw'!$A:$AAQ, MATCH(TODAY() - WEEKDAY(TODAY(), 2) - 6, 'Weekly 사주 raw'!$A:$A, 0), MATCH($A32, 'Weekly 사주 raw'!$1:$1, 0)), ""), IF(val=0, "", val))</f>
        <v>15165</v>
      </c>
      <c r="L32" s="14">
        <f t="shared" si="34"/>
        <v>0.1751259202</v>
      </c>
      <c r="M32" s="19">
        <f t="array" ref="M32">LET(val, IFERROR(INDEX('Monthly 사주 M raw'!$A:$AAQ, MATCH(EOMONTH(TODAY(), -2) + 1, 'Monthly 사주 M raw'!$A:$A, 0), MATCH($B32, 'Monthly 사주 M raw'!$1:$1, 0)), ""), IF(val=0, "", val))</f>
        <v>50079</v>
      </c>
      <c r="N32" s="24">
        <f t="array" ref="N32">LET(val, IFERROR(INDEX('Monthly 사주 M raw'!$A:$AAQ, MATCH(EOMONTH(TODAY(), -1) + 1, 'Monthly 사주 M raw'!$A:$A, 0), MATCH($B32, 'Monthly 사주 M raw'!$1:$1, 0)), ""), IF(val=0, "", val))</f>
        <v>32715</v>
      </c>
      <c r="O32" s="14">
        <f t="shared" si="35"/>
        <v>-0.3467321632</v>
      </c>
      <c r="P32" s="18">
        <f t="array" ref="P32">LET(val, IFERROR(INDEX('Weekly 스피킹 raw'!$A:$AAQ, MATCH(TODAY() - WEEKDAY(TODAY(), 2) - 13, 'Weekly 스피킹 raw'!$A:$A, 0), MATCH($A32, 'Weekly 스피킹 raw'!$1:$1, 0)), ""), IF(val=0, "", val))</f>
        <v>10851</v>
      </c>
      <c r="Q32" s="19">
        <f t="array" ref="Q32">LET(val, IFERROR(INDEX('Weekly 스피킹 raw'!$A:$AAQ, MATCH(TODAY() - WEEKDAY(TODAY(), 2) - 6, 'Weekly 스피킹 raw'!$A:$A, 0), MATCH($A32, 'Weekly 스피킹 raw'!$1:$1, 0)), ""), IF(val=0, "", val))</f>
        <v>9921</v>
      </c>
      <c r="R32" s="14">
        <f t="shared" si="36"/>
        <v>-0.08570638651</v>
      </c>
      <c r="S32" s="24">
        <f t="array" ref="S32">LET(val, IFERROR(INDEX('Monthly 스피킹 M raw'!$A:$AAQ, MATCH(EOMONTH(TODAY(), -2) + 1, 'Monthly 스피킹 M raw'!$A:$A, 0), MATCH($B32, 'Monthly 스피킹 M raw'!$1:$1, 0)), ""), IF(val=0, "", val))</f>
        <v>31706</v>
      </c>
      <c r="T32" s="19">
        <f t="array" ref="T32">LET(val, IFERROR(INDEX('Monthly 스피킹 raw'!$A:$AAQ, MATCH(EOMONTH(TODAY(), -1) + 1, 'Monthly 스피킹 raw'!$A:$A, 0), MATCH($B32, 'Monthly 스피킹 raw'!$1:$1, 0)), ""), IF(val=0, "", val))</f>
        <v>22372</v>
      </c>
      <c r="U32" s="14">
        <f t="shared" si="37"/>
        <v>-0.2943922286</v>
      </c>
    </row>
    <row r="33">
      <c r="A33" s="16" t="s">
        <v>52</v>
      </c>
      <c r="B33" s="16" t="s">
        <v>52</v>
      </c>
      <c r="C33" s="17" t="s">
        <v>22</v>
      </c>
      <c r="D33" s="18">
        <f t="array" ref="D33">LET(val, IFERROR(INDEX('Weekly 쨈 raw'!$A:$AAQ, MATCH(TODAY() - WEEKDAY(TODAY(), 2) - 13, 'Weekly 쨈 raw'!$A:$A, 0), MATCH($A33, 'Weekly 쨈 raw'!$1:$1, 0)), ""), IF(val=0, "", val))</f>
        <v>455</v>
      </c>
      <c r="E33" s="19">
        <f t="array" ref="E33">LET(val, IFERROR(INDEX('Weekly 쨈 raw'!$A:$AAQ, MATCH(TODAY() - WEEKDAY(TODAY(), 2) - 6, 'Weekly 쨈 raw'!$A:$A, 0), MATCH($A33, 'Weekly 쨈 raw'!$1:$1, 0)), ""), IF(val=0, "", val))</f>
        <v>801</v>
      </c>
      <c r="F33" s="14">
        <f t="shared" si="32"/>
        <v>0.7604395604</v>
      </c>
      <c r="G33" s="19">
        <f t="array" ref="G33">LET(val, IFERROR(INDEX('Monthly 쨈 M raw'!$A:$AAQ, MATCH(EOMONTH(TODAY(), -2) + 1, 'Monthly 쨈 M raw'!$A:$A, 0), MATCH($B33, 'Monthly 쨈 M raw'!$1:$1, 0)), 0), IF(val=0, "", val))</f>
        <v>6987</v>
      </c>
      <c r="H33" s="19">
        <f t="array" ref="H33">LET(val, IFERROR(INDEX('Monthly 쨈 M raw'!$A:$AAQ, MATCH(EOMONTH(TODAY(), -1) + 1, 'Monthly 쨈 M raw'!$A:$A, 0), MATCH($B33, 'Monthly 쨈 M raw'!$1:$1, 0)), ""), IF(val=0, "", val))</f>
        <v>2289</v>
      </c>
      <c r="I33" s="15">
        <f t="shared" si="33"/>
        <v>-0.6723915844</v>
      </c>
      <c r="J33" s="18">
        <f t="array" ref="J33">LET(val, IFERROR(INDEX('Weekly 사주 raw'!$A:$AAQ, MATCH(TODAY() - WEEKDAY(TODAY(), 2) - 13, 'Weekly 사주 raw'!$A:$A, 0), MATCH($A33, 'Weekly 사주 raw'!$1:$1, 0)), ""), IF(val=0, "", val))</f>
        <v>1131</v>
      </c>
      <c r="K33" s="19">
        <f t="array" ref="K33">LET(val, IFERROR(INDEX('Weekly 사주 raw'!$A:$AAQ, MATCH(TODAY() - WEEKDAY(TODAY(), 2) - 6, 'Weekly 사주 raw'!$A:$A, 0), MATCH($A33, 'Weekly 사주 raw'!$1:$1, 0)), ""), IF(val=0, "", val))</f>
        <v>1133</v>
      </c>
      <c r="L33" s="14">
        <f t="shared" si="34"/>
        <v>0.001768346596</v>
      </c>
      <c r="M33" s="19">
        <f t="array" ref="M33">LET(val, IFERROR(INDEX('Monthly 사주 M raw'!$A:$AAQ, MATCH(EOMONTH(TODAY(), -2) + 1, 'Monthly 사주 M raw'!$A:$A, 0), MATCH($B33, 'Monthly 사주 M raw'!$1:$1, 0)), ""), IF(val=0, "", val))</f>
        <v>6827</v>
      </c>
      <c r="N33" s="24">
        <f t="array" ref="N33">LET(val, IFERROR(INDEX('Monthly 사주 M raw'!$A:$AAQ, MATCH(EOMONTH(TODAY(), -1) + 1, 'Monthly 사주 M raw'!$A:$A, 0), MATCH($B33, 'Monthly 사주 M raw'!$1:$1, 0)), ""), IF(val=0, "", val))</f>
        <v>3566</v>
      </c>
      <c r="O33" s="14">
        <f t="shared" si="35"/>
        <v>-0.4776622235</v>
      </c>
      <c r="P33" s="18">
        <f t="array" ref="P33">LET(val, IFERROR(INDEX('Weekly 스피킹 raw'!$A:$AAQ, MATCH(TODAY() - WEEKDAY(TODAY(), 2) - 13, 'Weekly 스피킹 raw'!$A:$A, 0), MATCH($A33, 'Weekly 스피킹 raw'!$1:$1, 0)), ""), IF(val=0, "", val))</f>
        <v>10664</v>
      </c>
      <c r="Q33" s="19">
        <f t="array" ref="Q33">LET(val, IFERROR(INDEX('Weekly 스피킹 raw'!$A:$AAQ, MATCH(TODAY() - WEEKDAY(TODAY(), 2) - 6, 'Weekly 스피킹 raw'!$A:$A, 0), MATCH($A33, 'Weekly 스피킹 raw'!$1:$1, 0)), ""), IF(val=0, "", val))</f>
        <v>9862</v>
      </c>
      <c r="R33" s="14">
        <f t="shared" si="36"/>
        <v>-0.07520630158</v>
      </c>
      <c r="S33" s="24">
        <f t="array" ref="S33">LET(val, IFERROR(INDEX('Monthly 스피킹 M raw'!$A:$AAQ, MATCH(EOMONTH(TODAY(), -2) + 1, 'Monthly 스피킹 M raw'!$A:$A, 0), MATCH($B33, 'Monthly 스피킹 M raw'!$1:$1, 0)), ""), IF(val=0, "", val))</f>
        <v>29332</v>
      </c>
      <c r="T33" s="19">
        <f t="array" ref="T33">LET(val, IFERROR(INDEX('Monthly 스피킹 raw'!$A:$AAQ, MATCH(EOMONTH(TODAY(), -1) + 1, 'Monthly 스피킹 raw'!$A:$A, 0), MATCH($B33, 'Monthly 스피킹 raw'!$1:$1, 0)), ""), IF(val=0, "", val))</f>
        <v>22838</v>
      </c>
      <c r="U33" s="14">
        <f t="shared" si="37"/>
        <v>-0.2213964271</v>
      </c>
    </row>
    <row r="34">
      <c r="A34" s="16" t="s">
        <v>53</v>
      </c>
      <c r="B34" s="16" t="s">
        <v>53</v>
      </c>
      <c r="C34" s="17" t="s">
        <v>47</v>
      </c>
      <c r="D34" s="18">
        <f t="array" ref="D34">LET(val, IFERROR(INDEX('Weekly 쨈 raw'!$A:$AAQ, MATCH(TODAY() - WEEKDAY(TODAY(), 2) - 13, 'Weekly 쨈 raw'!$A:$A, 0), MATCH($A34, 'Weekly 쨈 raw'!$1:$1, 0)), ""), IF(val=0, "", val))</f>
        <v>195</v>
      </c>
      <c r="E34" s="19">
        <f t="array" ref="E34">LET(val, IFERROR(INDEX('Weekly 쨈 raw'!$A:$AAQ, MATCH(TODAY() - WEEKDAY(TODAY(), 2) - 6, 'Weekly 쨈 raw'!$A:$A, 0), MATCH($A34, 'Weekly 쨈 raw'!$1:$1, 0)), ""), IF(val=0, "", val))</f>
        <v>382</v>
      </c>
      <c r="F34" s="14">
        <f t="shared" si="32"/>
        <v>0.958974359</v>
      </c>
      <c r="G34" s="19">
        <f t="array" ref="G34">LET(val, IFERROR(INDEX('Monthly 쨈 M raw'!$A:$AAQ, MATCH(EOMONTH(TODAY(), -2) + 1, 'Monthly 쨈 M raw'!$A:$A, 0), MATCH($B34, 'Monthly 쨈 M raw'!$1:$1, 0)), 0), IF(val=0, "", val))</f>
        <v>9576</v>
      </c>
      <c r="H34" s="19">
        <f t="array" ref="H34">LET(val, IFERROR(INDEX('Monthly 쨈 M raw'!$A:$AAQ, MATCH(EOMONTH(TODAY(), -1) + 1, 'Monthly 쨈 M raw'!$A:$A, 0), MATCH($B34, 'Monthly 쨈 M raw'!$1:$1, 0)), ""), IF(val=0, "", val))</f>
        <v>1016</v>
      </c>
      <c r="I34" s="15">
        <f t="shared" si="33"/>
        <v>-0.8939014202</v>
      </c>
      <c r="J34" s="18">
        <f t="array" ref="J34">LET(val, IFERROR(INDEX('Weekly 사주 raw'!$A:$AAQ, MATCH(TODAY() - WEEKDAY(TODAY(), 2) - 13, 'Weekly 사주 raw'!$A:$A, 0), MATCH($A34, 'Weekly 사주 raw'!$1:$1, 0)), ""), IF(val=0, "", val))</f>
        <v>3036</v>
      </c>
      <c r="K34" s="19">
        <f t="array" ref="K34">LET(val, IFERROR(INDEX('Weekly 사주 raw'!$A:$AAQ, MATCH(TODAY() - WEEKDAY(TODAY(), 2) - 6, 'Weekly 사주 raw'!$A:$A, 0), MATCH($A34, 'Weekly 사주 raw'!$1:$1, 0)), ""), IF(val=0, "", val))</f>
        <v>3433</v>
      </c>
      <c r="L34" s="14">
        <f t="shared" si="34"/>
        <v>0.1307641634</v>
      </c>
      <c r="M34" s="19">
        <f t="array" ref="M34">LET(val, IFERROR(INDEX('Monthly 사주 M raw'!$A:$AAQ, MATCH(EOMONTH(TODAY(), -2) + 1, 'Monthly 사주 M raw'!$A:$A, 0), MATCH($B34, 'Monthly 사주 M raw'!$1:$1, 0)), ""), IF(val=0, "", val))</f>
        <v>12366</v>
      </c>
      <c r="N34" s="24">
        <f t="array" ref="N34">LET(val, IFERROR(INDEX('Monthly 사주 M raw'!$A:$AAQ, MATCH(EOMONTH(TODAY(), -1) + 1, 'Monthly 사주 M raw'!$A:$A, 0), MATCH($B34, 'Monthly 사주 M raw'!$1:$1, 0)), ""), IF(val=0, "", val))</f>
        <v>9761</v>
      </c>
      <c r="O34" s="14">
        <f t="shared" si="35"/>
        <v>-0.2106582565</v>
      </c>
      <c r="P34" s="18">
        <f t="array" ref="P34">LET(val, IFERROR(INDEX('Weekly 스피킹 raw'!$A:$AAQ, MATCH(TODAY() - WEEKDAY(TODAY(), 2) - 13, 'Weekly 스피킹 raw'!$A:$A, 0), MATCH($A34, 'Weekly 스피킹 raw'!$1:$1, 0)), ""), IF(val=0, "", val))</f>
        <v>3660</v>
      </c>
      <c r="Q34" s="19">
        <f t="array" ref="Q34">LET(val, IFERROR(INDEX('Weekly 스피킹 raw'!$A:$AAQ, MATCH(TODAY() - WEEKDAY(TODAY(), 2) - 6, 'Weekly 스피킹 raw'!$A:$A, 0), MATCH($A34, 'Weekly 스피킹 raw'!$1:$1, 0)), ""), IF(val=0, "", val))</f>
        <v>3120</v>
      </c>
      <c r="R34" s="14">
        <f t="shared" si="36"/>
        <v>-0.1475409836</v>
      </c>
      <c r="S34" s="19">
        <f t="array" ref="S34">LET(val, IFERROR(INDEX('Monthly 스피킹 M raw'!$A:$AAQ, MATCH(EOMONTH(TODAY(), -2) + 1, 'Monthly 스피킹 M raw'!$A:$A, 0), MATCH($B34, 'Monthly 스피킹 M raw'!$1:$1, 0)), ""), IF(val=0, "", val))</f>
        <v>13575</v>
      </c>
      <c r="T34" s="19">
        <f t="array" ref="T34">LET(val, IFERROR(INDEX('Monthly 스피킹 raw'!$A:$AAQ, MATCH(EOMONTH(TODAY(), -1) + 1, 'Monthly 스피킹 raw'!$A:$A, 0), MATCH($B34, 'Monthly 스피킹 raw'!$1:$1, 0)), ""), IF(val=0, "", val))</f>
        <v>9514</v>
      </c>
      <c r="U34" s="14">
        <f t="shared" si="37"/>
        <v>-0.2991528545</v>
      </c>
    </row>
    <row r="35">
      <c r="A35" s="16" t="s">
        <v>54</v>
      </c>
      <c r="B35" s="16" t="s">
        <v>54</v>
      </c>
      <c r="C35" s="17" t="s">
        <v>20</v>
      </c>
      <c r="D35" s="18">
        <f t="array" ref="D35">LET(val, IFERROR(INDEX('Weekly 쨈 raw'!$A:$AAQ, MATCH(TODAY() - WEEKDAY(TODAY(), 2) - 13, 'Weekly 쨈 raw'!$A:$A, 0), MATCH($A35, 'Weekly 쨈 raw'!$1:$1, 0)), ""), IF(val=0, "", val))</f>
        <v>66</v>
      </c>
      <c r="E35" s="19">
        <f t="array" ref="E35">LET(val, IFERROR(INDEX('Weekly 쨈 raw'!$A:$AAQ, MATCH(TODAY() - WEEKDAY(TODAY(), 2) - 6, 'Weekly 쨈 raw'!$A:$A, 0), MATCH($A35, 'Weekly 쨈 raw'!$1:$1, 0)), ""), IF(val=0, "", val))</f>
        <v>114</v>
      </c>
      <c r="F35" s="14">
        <f t="shared" si="32"/>
        <v>0.7272727273</v>
      </c>
      <c r="G35" s="19">
        <f t="array" ref="G35">LET(val, IFERROR(INDEX('Monthly 쨈 M raw'!$A:$AAQ, MATCH(EOMONTH(TODAY(), -2) + 1, 'Monthly 쨈 M raw'!$A:$A, 0), MATCH($B35, 'Monthly 쨈 M raw'!$1:$1, 0)), 0), IF(val=0, "", val))</f>
        <v>1162</v>
      </c>
      <c r="H35" s="19">
        <f t="array" ref="H35">LET(val, IFERROR(INDEX('Monthly 쨈 M raw'!$A:$AAQ, MATCH(EOMONTH(TODAY(), -1) + 1, 'Monthly 쨈 M raw'!$A:$A, 0), MATCH($B35, 'Monthly 쨈 M raw'!$1:$1, 0)), ""), IF(val=0, "", val))</f>
        <v>220</v>
      </c>
      <c r="I35" s="15">
        <f t="shared" si="33"/>
        <v>-0.8106712565</v>
      </c>
      <c r="J35" s="18">
        <f t="array" ref="J35">LET(val, IFERROR(INDEX('Weekly 사주 raw'!$A:$AAQ, MATCH(TODAY() - WEEKDAY(TODAY(), 2) - 13, 'Weekly 사주 raw'!$A:$A, 0), MATCH($A35, 'Weekly 사주 raw'!$1:$1, 0)), ""), IF(val=0, "", val))</f>
        <v>152</v>
      </c>
      <c r="K35" s="19">
        <f t="array" ref="K35">LET(val, IFERROR(INDEX('Weekly 사주 raw'!$A:$AAQ, MATCH(TODAY() - WEEKDAY(TODAY(), 2) - 6, 'Weekly 사주 raw'!$A:$A, 0), MATCH($A35, 'Weekly 사주 raw'!$1:$1, 0)), ""), IF(val=0, "", val))</f>
        <v>198</v>
      </c>
      <c r="L35" s="14">
        <f t="shared" si="34"/>
        <v>0.3026315789</v>
      </c>
      <c r="M35" s="19">
        <f t="array" ref="M35">LET(val, IFERROR(INDEX('Monthly 사주 M raw'!$A:$AAQ, MATCH(EOMONTH(TODAY(), -2) + 1, 'Monthly 사주 M raw'!$A:$A, 0), MATCH($B35, 'Monthly 사주 M raw'!$1:$1, 0)), ""), IF(val=0, "", val))</f>
        <v>735</v>
      </c>
      <c r="N35" s="24">
        <f t="array" ref="N35">LET(val, IFERROR(INDEX('Monthly 사주 M raw'!$A:$AAQ, MATCH(EOMONTH(TODAY(), -1) + 1, 'Monthly 사주 M raw'!$A:$A, 0), MATCH($B35, 'Monthly 사주 M raw'!$1:$1, 0)), ""), IF(val=0, "", val))</f>
        <v>539</v>
      </c>
      <c r="O35" s="14">
        <f t="shared" si="35"/>
        <v>-0.2666666667</v>
      </c>
      <c r="P35" s="18">
        <f t="array" ref="P35">LET(val, IFERROR(INDEX('Weekly 스피킹 raw'!$A:$AAQ, MATCH(TODAY() - WEEKDAY(TODAY(), 2) - 13, 'Weekly 스피킹 raw'!$A:$A, 0), MATCH($A35, 'Weekly 스피킹 raw'!$1:$1, 0)), ""), IF(val=0, "", val))</f>
        <v>26</v>
      </c>
      <c r="Q35" s="19">
        <f t="array" ref="Q35">LET(val, IFERROR(INDEX('Weekly 스피킹 raw'!$A:$AAQ, MATCH(TODAY() - WEEKDAY(TODAY(), 2) - 6, 'Weekly 스피킹 raw'!$A:$A, 0), MATCH($A35, 'Weekly 스피킹 raw'!$1:$1, 0)), ""), IF(val=0, "", val))</f>
        <v>24</v>
      </c>
      <c r="R35" s="14">
        <f t="shared" si="36"/>
        <v>-0.07692307692</v>
      </c>
      <c r="S35" s="19">
        <f t="array" ref="S35">LET(val, IFERROR(INDEX('Monthly 스피킹 M raw'!$A:$AAQ, MATCH(EOMONTH(TODAY(), -2) + 1, 'Monthly 스피킹 M raw'!$A:$A, 0), MATCH($B35, 'Monthly 스피킹 M raw'!$1:$1, 0)), ""), IF(val=0, "", val))</f>
        <v>131</v>
      </c>
      <c r="T35" s="19">
        <f t="array" ref="T35">LET(val, IFERROR(INDEX('Monthly 스피킹 raw'!$A:$AAQ, MATCH(EOMONTH(TODAY(), -1) + 1, 'Monthly 스피킹 raw'!$A:$A, 0), MATCH($B35, 'Monthly 스피킹 raw'!$1:$1, 0)), ""), IF(val=0, "", val))</f>
        <v>94</v>
      </c>
      <c r="U35" s="14">
        <f t="shared" si="37"/>
        <v>-0.2824427481</v>
      </c>
    </row>
    <row r="36">
      <c r="C36" s="17"/>
      <c r="D36" s="20"/>
      <c r="I36" s="31"/>
      <c r="J36" s="20"/>
      <c r="O36" s="31"/>
      <c r="P36" s="20"/>
      <c r="U36" s="31"/>
    </row>
    <row r="37">
      <c r="C37" s="17"/>
      <c r="D37" s="20"/>
      <c r="I37" s="31"/>
      <c r="J37" s="20"/>
      <c r="O37" s="31"/>
      <c r="P37" s="20"/>
      <c r="U37" s="31"/>
    </row>
    <row r="38">
      <c r="A38" s="30"/>
      <c r="B38" s="30"/>
      <c r="C38" s="17"/>
      <c r="D38" s="20"/>
      <c r="I38" s="31"/>
      <c r="J38" s="20"/>
      <c r="O38" s="31"/>
      <c r="P38" s="20"/>
      <c r="U38" s="31"/>
    </row>
    <row r="39">
      <c r="A39" s="30"/>
      <c r="B39" s="30"/>
      <c r="C39" s="17"/>
      <c r="D39" s="32"/>
      <c r="E39" s="33"/>
      <c r="F39" s="33"/>
      <c r="G39" s="33"/>
      <c r="H39" s="33"/>
      <c r="I39" s="34"/>
      <c r="J39" s="32"/>
      <c r="K39" s="33"/>
      <c r="L39" s="33"/>
      <c r="M39" s="33"/>
      <c r="N39" s="33"/>
      <c r="O39" s="34"/>
      <c r="P39" s="32"/>
      <c r="Q39" s="33"/>
      <c r="R39" s="33"/>
      <c r="S39" s="33"/>
      <c r="T39" s="33"/>
      <c r="U39" s="34"/>
    </row>
  </sheetData>
  <mergeCells count="3">
    <mergeCell ref="D1:I1"/>
    <mergeCell ref="J1:O1"/>
    <mergeCell ref="P1:U1"/>
  </mergeCells>
  <conditionalFormatting sqref="F3:F35 I3:I35 L3:L35 O3:O35 R3:R35 U3:U35">
    <cfRule type="cellIs" dxfId="0" priority="1" operator="greaterThan">
      <formula>0</formula>
    </cfRule>
  </conditionalFormatting>
  <conditionalFormatting sqref="F3:F35 I3:I35 L3:L35 O3:O35 R3:R35 U3:U35">
    <cfRule type="cellIs" dxfId="1" priority="2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hidden="1" min="1" max="1" width="32.0"/>
    <col customWidth="1" min="2" max="2" width="31.88"/>
    <col customWidth="1" min="3" max="74" width="8.88"/>
    <col customWidth="1" min="75" max="75" width="10.13"/>
    <col customWidth="1" min="76" max="130" width="8.88"/>
  </cols>
  <sheetData>
    <row r="1">
      <c r="A1" s="1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 t="s">
        <v>55</v>
      </c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7" t="s">
        <v>56</v>
      </c>
      <c r="BO1" s="36"/>
      <c r="BP1" s="36"/>
      <c r="BQ1" s="36"/>
      <c r="BR1" s="37" t="s">
        <v>57</v>
      </c>
      <c r="BS1" s="36"/>
      <c r="BT1" s="36"/>
      <c r="BU1" s="36"/>
      <c r="BV1" s="36"/>
      <c r="BW1" s="37" t="s">
        <v>58</v>
      </c>
      <c r="BX1" s="38" t="s">
        <v>59</v>
      </c>
      <c r="BY1" s="36"/>
      <c r="BZ1" s="36"/>
      <c r="CA1" s="36"/>
      <c r="CB1" s="39" t="s">
        <v>60</v>
      </c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</row>
    <row r="2">
      <c r="A2" s="1"/>
      <c r="B2" s="35" t="s">
        <v>61</v>
      </c>
      <c r="C2" s="36" t="str">
        <f t="shared" ref="C2:DZ2" si="1">text(C3, "ddd")</f>
        <v>월</v>
      </c>
      <c r="D2" s="36" t="str">
        <f t="shared" si="1"/>
        <v>화</v>
      </c>
      <c r="E2" s="36" t="str">
        <f t="shared" si="1"/>
        <v>수</v>
      </c>
      <c r="F2" s="36" t="str">
        <f t="shared" si="1"/>
        <v>목</v>
      </c>
      <c r="G2" s="36" t="str">
        <f t="shared" si="1"/>
        <v>금</v>
      </c>
      <c r="H2" s="36" t="str">
        <f t="shared" si="1"/>
        <v>토</v>
      </c>
      <c r="I2" s="36" t="str">
        <f t="shared" si="1"/>
        <v>일</v>
      </c>
      <c r="J2" s="36" t="str">
        <f t="shared" si="1"/>
        <v>월</v>
      </c>
      <c r="K2" s="36" t="str">
        <f t="shared" si="1"/>
        <v>화</v>
      </c>
      <c r="L2" s="36" t="str">
        <f t="shared" si="1"/>
        <v>수</v>
      </c>
      <c r="M2" s="36" t="str">
        <f t="shared" si="1"/>
        <v>목</v>
      </c>
      <c r="N2" s="36" t="str">
        <f t="shared" si="1"/>
        <v>금</v>
      </c>
      <c r="O2" s="36" t="str">
        <f t="shared" si="1"/>
        <v>토</v>
      </c>
      <c r="P2" s="36" t="str">
        <f t="shared" si="1"/>
        <v>일</v>
      </c>
      <c r="Q2" s="36" t="str">
        <f t="shared" si="1"/>
        <v>월</v>
      </c>
      <c r="R2" s="36" t="str">
        <f t="shared" si="1"/>
        <v>화</v>
      </c>
      <c r="S2" s="36" t="str">
        <f t="shared" si="1"/>
        <v>수</v>
      </c>
      <c r="T2" s="36" t="str">
        <f t="shared" si="1"/>
        <v>목</v>
      </c>
      <c r="U2" s="36" t="str">
        <f t="shared" si="1"/>
        <v>금</v>
      </c>
      <c r="V2" s="36" t="str">
        <f t="shared" si="1"/>
        <v>토</v>
      </c>
      <c r="W2" s="36" t="str">
        <f t="shared" si="1"/>
        <v>일</v>
      </c>
      <c r="X2" s="36" t="str">
        <f t="shared" si="1"/>
        <v>월</v>
      </c>
      <c r="Y2" s="36" t="str">
        <f t="shared" si="1"/>
        <v>화</v>
      </c>
      <c r="Z2" s="36" t="str">
        <f t="shared" si="1"/>
        <v>수</v>
      </c>
      <c r="AA2" s="36" t="str">
        <f t="shared" si="1"/>
        <v>목</v>
      </c>
      <c r="AB2" s="36" t="str">
        <f t="shared" si="1"/>
        <v>금</v>
      </c>
      <c r="AC2" s="36" t="str">
        <f t="shared" si="1"/>
        <v>토</v>
      </c>
      <c r="AD2" s="36" t="str">
        <f t="shared" si="1"/>
        <v>일</v>
      </c>
      <c r="AE2" s="36" t="str">
        <f t="shared" si="1"/>
        <v>월</v>
      </c>
      <c r="AF2" s="36" t="str">
        <f t="shared" si="1"/>
        <v>화</v>
      </c>
      <c r="AG2" s="36" t="str">
        <f t="shared" si="1"/>
        <v>수</v>
      </c>
      <c r="AH2" s="36" t="str">
        <f t="shared" si="1"/>
        <v>목</v>
      </c>
      <c r="AI2" s="36" t="str">
        <f t="shared" si="1"/>
        <v>금</v>
      </c>
      <c r="AJ2" s="36" t="str">
        <f t="shared" si="1"/>
        <v>토</v>
      </c>
      <c r="AK2" s="36" t="str">
        <f t="shared" si="1"/>
        <v>일</v>
      </c>
      <c r="AL2" s="36" t="str">
        <f t="shared" si="1"/>
        <v>월</v>
      </c>
      <c r="AM2" s="36" t="str">
        <f t="shared" si="1"/>
        <v>화</v>
      </c>
      <c r="AN2" s="36" t="str">
        <f t="shared" si="1"/>
        <v>수</v>
      </c>
      <c r="AO2" s="36" t="str">
        <f t="shared" si="1"/>
        <v>목</v>
      </c>
      <c r="AP2" s="36" t="str">
        <f t="shared" si="1"/>
        <v>금</v>
      </c>
      <c r="AQ2" s="36" t="str">
        <f t="shared" si="1"/>
        <v>토</v>
      </c>
      <c r="AR2" s="36" t="str">
        <f t="shared" si="1"/>
        <v>일</v>
      </c>
      <c r="AS2" s="36" t="str">
        <f t="shared" si="1"/>
        <v>월</v>
      </c>
      <c r="AT2" s="36" t="str">
        <f t="shared" si="1"/>
        <v>화</v>
      </c>
      <c r="AU2" s="36" t="str">
        <f t="shared" si="1"/>
        <v>수</v>
      </c>
      <c r="AV2" s="36" t="str">
        <f t="shared" si="1"/>
        <v>목</v>
      </c>
      <c r="AW2" s="36" t="str">
        <f t="shared" si="1"/>
        <v>금</v>
      </c>
      <c r="AX2" s="36" t="str">
        <f t="shared" si="1"/>
        <v>토</v>
      </c>
      <c r="AY2" s="36" t="str">
        <f t="shared" si="1"/>
        <v>일</v>
      </c>
      <c r="AZ2" s="36" t="str">
        <f t="shared" si="1"/>
        <v>월</v>
      </c>
      <c r="BA2" s="36" t="str">
        <f t="shared" si="1"/>
        <v>화</v>
      </c>
      <c r="BB2" s="36" t="str">
        <f t="shared" si="1"/>
        <v>수</v>
      </c>
      <c r="BC2" s="36" t="str">
        <f t="shared" si="1"/>
        <v>목</v>
      </c>
      <c r="BD2" s="36" t="str">
        <f t="shared" si="1"/>
        <v>금</v>
      </c>
      <c r="BE2" s="36" t="str">
        <f t="shared" si="1"/>
        <v>토</v>
      </c>
      <c r="BF2" s="36" t="str">
        <f t="shared" si="1"/>
        <v>일</v>
      </c>
      <c r="BG2" s="36" t="str">
        <f t="shared" si="1"/>
        <v>월</v>
      </c>
      <c r="BH2" s="36" t="str">
        <f t="shared" si="1"/>
        <v>화</v>
      </c>
      <c r="BI2" s="36" t="str">
        <f t="shared" si="1"/>
        <v>수</v>
      </c>
      <c r="BJ2" s="36" t="str">
        <f t="shared" si="1"/>
        <v>목</v>
      </c>
      <c r="BK2" s="36" t="str">
        <f t="shared" si="1"/>
        <v>금</v>
      </c>
      <c r="BL2" s="36" t="str">
        <f t="shared" si="1"/>
        <v>토</v>
      </c>
      <c r="BM2" s="36" t="str">
        <f t="shared" si="1"/>
        <v>일</v>
      </c>
      <c r="BN2" s="36" t="str">
        <f t="shared" si="1"/>
        <v>월</v>
      </c>
      <c r="BO2" s="36" t="str">
        <f t="shared" si="1"/>
        <v>화</v>
      </c>
      <c r="BP2" s="36" t="str">
        <f t="shared" si="1"/>
        <v>수</v>
      </c>
      <c r="BQ2" s="36" t="str">
        <f t="shared" si="1"/>
        <v>목</v>
      </c>
      <c r="BR2" s="36" t="str">
        <f t="shared" si="1"/>
        <v>금</v>
      </c>
      <c r="BS2" s="36" t="str">
        <f t="shared" si="1"/>
        <v>토</v>
      </c>
      <c r="BT2" s="36" t="str">
        <f t="shared" si="1"/>
        <v>일</v>
      </c>
      <c r="BU2" s="36" t="str">
        <f t="shared" si="1"/>
        <v>월</v>
      </c>
      <c r="BV2" s="36" t="str">
        <f t="shared" si="1"/>
        <v>화</v>
      </c>
      <c r="BW2" s="36" t="str">
        <f t="shared" si="1"/>
        <v>수</v>
      </c>
      <c r="BX2" s="36" t="str">
        <f t="shared" si="1"/>
        <v>목</v>
      </c>
      <c r="BY2" s="36" t="str">
        <f t="shared" si="1"/>
        <v>금</v>
      </c>
      <c r="BZ2" s="36" t="str">
        <f t="shared" si="1"/>
        <v>토</v>
      </c>
      <c r="CA2" s="36" t="str">
        <f t="shared" si="1"/>
        <v>일</v>
      </c>
      <c r="CB2" s="36" t="str">
        <f t="shared" si="1"/>
        <v>월</v>
      </c>
      <c r="CC2" s="36" t="str">
        <f t="shared" si="1"/>
        <v>화</v>
      </c>
      <c r="CD2" s="36" t="str">
        <f t="shared" si="1"/>
        <v>수</v>
      </c>
      <c r="CE2" s="36" t="str">
        <f t="shared" si="1"/>
        <v>목</v>
      </c>
      <c r="CF2" s="36" t="str">
        <f t="shared" si="1"/>
        <v>금</v>
      </c>
      <c r="CG2" s="36" t="str">
        <f t="shared" si="1"/>
        <v>토</v>
      </c>
      <c r="CH2" s="36" t="str">
        <f t="shared" si="1"/>
        <v>일</v>
      </c>
      <c r="CI2" s="36" t="str">
        <f t="shared" si="1"/>
        <v>월</v>
      </c>
      <c r="CJ2" s="36" t="str">
        <f t="shared" si="1"/>
        <v>화</v>
      </c>
      <c r="CK2" s="36" t="str">
        <f t="shared" si="1"/>
        <v>수</v>
      </c>
      <c r="CL2" s="36" t="str">
        <f t="shared" si="1"/>
        <v>목</v>
      </c>
      <c r="CM2" s="36" t="str">
        <f t="shared" si="1"/>
        <v>금</v>
      </c>
      <c r="CN2" s="36" t="str">
        <f t="shared" si="1"/>
        <v>토</v>
      </c>
      <c r="CO2" s="36" t="str">
        <f t="shared" si="1"/>
        <v>일</v>
      </c>
      <c r="CP2" s="36" t="str">
        <f t="shared" si="1"/>
        <v>월</v>
      </c>
      <c r="CQ2" s="36" t="str">
        <f t="shared" si="1"/>
        <v>화</v>
      </c>
      <c r="CR2" s="36" t="str">
        <f t="shared" si="1"/>
        <v>수</v>
      </c>
      <c r="CS2" s="36" t="str">
        <f t="shared" si="1"/>
        <v>목</v>
      </c>
      <c r="CT2" s="36" t="str">
        <f t="shared" si="1"/>
        <v>금</v>
      </c>
      <c r="CU2" s="36" t="str">
        <f t="shared" si="1"/>
        <v>토</v>
      </c>
      <c r="CV2" s="36" t="str">
        <f t="shared" si="1"/>
        <v>일</v>
      </c>
      <c r="CW2" s="36" t="str">
        <f t="shared" si="1"/>
        <v>월</v>
      </c>
      <c r="CX2" s="36" t="str">
        <f t="shared" si="1"/>
        <v>화</v>
      </c>
      <c r="CY2" s="36" t="str">
        <f t="shared" si="1"/>
        <v>수</v>
      </c>
      <c r="CZ2" s="36" t="str">
        <f t="shared" si="1"/>
        <v>목</v>
      </c>
      <c r="DA2" s="36" t="str">
        <f t="shared" si="1"/>
        <v>금</v>
      </c>
      <c r="DB2" s="36" t="str">
        <f t="shared" si="1"/>
        <v>토</v>
      </c>
      <c r="DC2" s="36" t="str">
        <f t="shared" si="1"/>
        <v>일</v>
      </c>
      <c r="DD2" s="36" t="str">
        <f t="shared" si="1"/>
        <v>월</v>
      </c>
      <c r="DE2" s="36" t="str">
        <f t="shared" si="1"/>
        <v>화</v>
      </c>
      <c r="DF2" s="36" t="str">
        <f t="shared" si="1"/>
        <v>수</v>
      </c>
      <c r="DG2" s="36" t="str">
        <f t="shared" si="1"/>
        <v>목</v>
      </c>
      <c r="DH2" s="36" t="str">
        <f t="shared" si="1"/>
        <v>금</v>
      </c>
      <c r="DI2" s="36" t="str">
        <f t="shared" si="1"/>
        <v>토</v>
      </c>
      <c r="DJ2" s="36" t="str">
        <f t="shared" si="1"/>
        <v>일</v>
      </c>
      <c r="DK2" s="36" t="str">
        <f t="shared" si="1"/>
        <v>월</v>
      </c>
      <c r="DL2" s="36" t="str">
        <f t="shared" si="1"/>
        <v>화</v>
      </c>
      <c r="DM2" s="36" t="str">
        <f t="shared" si="1"/>
        <v>수</v>
      </c>
      <c r="DN2" s="36" t="str">
        <f t="shared" si="1"/>
        <v>목</v>
      </c>
      <c r="DO2" s="36" t="str">
        <f t="shared" si="1"/>
        <v>금</v>
      </c>
      <c r="DP2" s="36" t="str">
        <f t="shared" si="1"/>
        <v>토</v>
      </c>
      <c r="DQ2" s="36" t="str">
        <f t="shared" si="1"/>
        <v>일</v>
      </c>
      <c r="DR2" s="36" t="str">
        <f t="shared" si="1"/>
        <v>월</v>
      </c>
      <c r="DS2" s="36" t="str">
        <f t="shared" si="1"/>
        <v>화</v>
      </c>
      <c r="DT2" s="36" t="str">
        <f t="shared" si="1"/>
        <v>수</v>
      </c>
      <c r="DU2" s="36" t="str">
        <f t="shared" si="1"/>
        <v>목</v>
      </c>
      <c r="DV2" s="36" t="str">
        <f t="shared" si="1"/>
        <v>금</v>
      </c>
      <c r="DW2" s="36" t="str">
        <f t="shared" si="1"/>
        <v>토</v>
      </c>
      <c r="DX2" s="36" t="str">
        <f t="shared" si="1"/>
        <v>일</v>
      </c>
      <c r="DY2" s="36" t="str">
        <f t="shared" si="1"/>
        <v>월</v>
      </c>
      <c r="DZ2" s="36" t="str">
        <f t="shared" si="1"/>
        <v>화</v>
      </c>
    </row>
    <row r="3" ht="21.75" customHeight="1">
      <c r="A3" s="7" t="s">
        <v>3</v>
      </c>
      <c r="C3" s="40">
        <v>45985.0</v>
      </c>
      <c r="D3" s="40">
        <v>45986.0</v>
      </c>
      <c r="E3" s="40">
        <v>45987.0</v>
      </c>
      <c r="F3" s="40">
        <v>45988.0</v>
      </c>
      <c r="G3" s="40">
        <v>45989.0</v>
      </c>
      <c r="H3" s="40">
        <v>45990.0</v>
      </c>
      <c r="I3" s="40">
        <v>45991.0</v>
      </c>
      <c r="J3" s="40">
        <v>45992.0</v>
      </c>
      <c r="K3" s="40">
        <v>45993.0</v>
      </c>
      <c r="L3" s="40">
        <v>45994.0</v>
      </c>
      <c r="M3" s="40">
        <v>45995.0</v>
      </c>
      <c r="N3" s="40">
        <v>45996.0</v>
      </c>
      <c r="O3" s="40">
        <v>45997.0</v>
      </c>
      <c r="P3" s="40">
        <v>45998.0</v>
      </c>
      <c r="Q3" s="40">
        <v>45999.0</v>
      </c>
      <c r="R3" s="40">
        <v>46000.0</v>
      </c>
      <c r="S3" s="40">
        <v>46001.0</v>
      </c>
      <c r="T3" s="40">
        <v>46002.0</v>
      </c>
      <c r="U3" s="40">
        <v>46003.0</v>
      </c>
      <c r="V3" s="40">
        <v>46004.0</v>
      </c>
      <c r="W3" s="40">
        <v>46005.0</v>
      </c>
      <c r="X3" s="40">
        <v>46006.0</v>
      </c>
      <c r="Y3" s="40">
        <v>46007.0</v>
      </c>
      <c r="Z3" s="40">
        <v>46008.0</v>
      </c>
      <c r="AA3" s="40">
        <v>46009.0</v>
      </c>
      <c r="AB3" s="40">
        <v>46010.0</v>
      </c>
      <c r="AC3" s="40">
        <v>46011.0</v>
      </c>
      <c r="AD3" s="40">
        <v>46012.0</v>
      </c>
      <c r="AE3" s="40">
        <v>46013.0</v>
      </c>
      <c r="AF3" s="40">
        <v>46014.0</v>
      </c>
      <c r="AG3" s="40">
        <v>46015.0</v>
      </c>
      <c r="AH3" s="40">
        <v>46016.0</v>
      </c>
      <c r="AI3" s="40">
        <v>46017.0</v>
      </c>
      <c r="AJ3" s="40">
        <v>46018.0</v>
      </c>
      <c r="AK3" s="40">
        <v>46019.0</v>
      </c>
      <c r="AL3" s="40">
        <v>46020.0</v>
      </c>
      <c r="AM3" s="40">
        <v>46021.0</v>
      </c>
      <c r="AN3" s="40">
        <v>46022.0</v>
      </c>
      <c r="AO3" s="40">
        <v>46023.0</v>
      </c>
      <c r="AP3" s="40">
        <f t="shared" ref="AP3:DZ3" si="2">AO3+1</f>
        <v>46024</v>
      </c>
      <c r="AQ3" s="40">
        <f t="shared" si="2"/>
        <v>46025</v>
      </c>
      <c r="AR3" s="40">
        <f t="shared" si="2"/>
        <v>46026</v>
      </c>
      <c r="AS3" s="40">
        <f t="shared" si="2"/>
        <v>46027</v>
      </c>
      <c r="AT3" s="40">
        <f t="shared" si="2"/>
        <v>46028</v>
      </c>
      <c r="AU3" s="40">
        <f t="shared" si="2"/>
        <v>46029</v>
      </c>
      <c r="AV3" s="40">
        <f t="shared" si="2"/>
        <v>46030</v>
      </c>
      <c r="AW3" s="40">
        <f t="shared" si="2"/>
        <v>46031</v>
      </c>
      <c r="AX3" s="40">
        <f t="shared" si="2"/>
        <v>46032</v>
      </c>
      <c r="AY3" s="40">
        <f t="shared" si="2"/>
        <v>46033</v>
      </c>
      <c r="AZ3" s="40">
        <f t="shared" si="2"/>
        <v>46034</v>
      </c>
      <c r="BA3" s="40">
        <f t="shared" si="2"/>
        <v>46035</v>
      </c>
      <c r="BB3" s="40">
        <f t="shared" si="2"/>
        <v>46036</v>
      </c>
      <c r="BC3" s="40">
        <f t="shared" si="2"/>
        <v>46037</v>
      </c>
      <c r="BD3" s="40">
        <f t="shared" si="2"/>
        <v>46038</v>
      </c>
      <c r="BE3" s="40">
        <f t="shared" si="2"/>
        <v>46039</v>
      </c>
      <c r="BF3" s="40">
        <f t="shared" si="2"/>
        <v>46040</v>
      </c>
      <c r="BG3" s="40">
        <f t="shared" si="2"/>
        <v>46041</v>
      </c>
      <c r="BH3" s="40">
        <f t="shared" si="2"/>
        <v>46042</v>
      </c>
      <c r="BI3" s="40">
        <f t="shared" si="2"/>
        <v>46043</v>
      </c>
      <c r="BJ3" s="40">
        <f t="shared" si="2"/>
        <v>46044</v>
      </c>
      <c r="BK3" s="40">
        <f t="shared" si="2"/>
        <v>46045</v>
      </c>
      <c r="BL3" s="40">
        <f t="shared" si="2"/>
        <v>46046</v>
      </c>
      <c r="BM3" s="40">
        <f t="shared" si="2"/>
        <v>46047</v>
      </c>
      <c r="BN3" s="40">
        <f t="shared" si="2"/>
        <v>46048</v>
      </c>
      <c r="BO3" s="40">
        <f t="shared" si="2"/>
        <v>46049</v>
      </c>
      <c r="BP3" s="40">
        <f t="shared" si="2"/>
        <v>46050</v>
      </c>
      <c r="BQ3" s="40">
        <f t="shared" si="2"/>
        <v>46051</v>
      </c>
      <c r="BR3" s="40">
        <f t="shared" si="2"/>
        <v>46052</v>
      </c>
      <c r="BS3" s="40">
        <f t="shared" si="2"/>
        <v>46053</v>
      </c>
      <c r="BT3" s="40">
        <f t="shared" si="2"/>
        <v>46054</v>
      </c>
      <c r="BU3" s="40">
        <f t="shared" si="2"/>
        <v>46055</v>
      </c>
      <c r="BV3" s="40">
        <f t="shared" si="2"/>
        <v>46056</v>
      </c>
      <c r="BW3" s="40">
        <f t="shared" si="2"/>
        <v>46057</v>
      </c>
      <c r="BX3" s="40">
        <f t="shared" si="2"/>
        <v>46058</v>
      </c>
      <c r="BY3" s="40">
        <f t="shared" si="2"/>
        <v>46059</v>
      </c>
      <c r="BZ3" s="40">
        <f t="shared" si="2"/>
        <v>46060</v>
      </c>
      <c r="CA3" s="40">
        <f t="shared" si="2"/>
        <v>46061</v>
      </c>
      <c r="CB3" s="40">
        <f t="shared" si="2"/>
        <v>46062</v>
      </c>
      <c r="CC3" s="40">
        <f t="shared" si="2"/>
        <v>46063</v>
      </c>
      <c r="CD3" s="40">
        <f t="shared" si="2"/>
        <v>46064</v>
      </c>
      <c r="CE3" s="40">
        <f t="shared" si="2"/>
        <v>46065</v>
      </c>
      <c r="CF3" s="40">
        <f t="shared" si="2"/>
        <v>46066</v>
      </c>
      <c r="CG3" s="40">
        <f t="shared" si="2"/>
        <v>46067</v>
      </c>
      <c r="CH3" s="40">
        <f t="shared" si="2"/>
        <v>46068</v>
      </c>
      <c r="CI3" s="40">
        <f t="shared" si="2"/>
        <v>46069</v>
      </c>
      <c r="CJ3" s="40">
        <f t="shared" si="2"/>
        <v>46070</v>
      </c>
      <c r="CK3" s="40">
        <f t="shared" si="2"/>
        <v>46071</v>
      </c>
      <c r="CL3" s="40">
        <f t="shared" si="2"/>
        <v>46072</v>
      </c>
      <c r="CM3" s="40">
        <f t="shared" si="2"/>
        <v>46073</v>
      </c>
      <c r="CN3" s="40">
        <f t="shared" si="2"/>
        <v>46074</v>
      </c>
      <c r="CO3" s="40">
        <f t="shared" si="2"/>
        <v>46075</v>
      </c>
      <c r="CP3" s="40">
        <f t="shared" si="2"/>
        <v>46076</v>
      </c>
      <c r="CQ3" s="40">
        <f t="shared" si="2"/>
        <v>46077</v>
      </c>
      <c r="CR3" s="40">
        <f t="shared" si="2"/>
        <v>46078</v>
      </c>
      <c r="CS3" s="40">
        <f t="shared" si="2"/>
        <v>46079</v>
      </c>
      <c r="CT3" s="40">
        <f t="shared" si="2"/>
        <v>46080</v>
      </c>
      <c r="CU3" s="40">
        <f t="shared" si="2"/>
        <v>46081</v>
      </c>
      <c r="CV3" s="40">
        <f t="shared" si="2"/>
        <v>46082</v>
      </c>
      <c r="CW3" s="40">
        <f t="shared" si="2"/>
        <v>46083</v>
      </c>
      <c r="CX3" s="40">
        <f t="shared" si="2"/>
        <v>46084</v>
      </c>
      <c r="CY3" s="40">
        <f t="shared" si="2"/>
        <v>46085</v>
      </c>
      <c r="CZ3" s="40">
        <f t="shared" si="2"/>
        <v>46086</v>
      </c>
      <c r="DA3" s="40">
        <f t="shared" si="2"/>
        <v>46087</v>
      </c>
      <c r="DB3" s="40">
        <f t="shared" si="2"/>
        <v>46088</v>
      </c>
      <c r="DC3" s="40">
        <f t="shared" si="2"/>
        <v>46089</v>
      </c>
      <c r="DD3" s="40">
        <f t="shared" si="2"/>
        <v>46090</v>
      </c>
      <c r="DE3" s="40">
        <f t="shared" si="2"/>
        <v>46091</v>
      </c>
      <c r="DF3" s="40">
        <f t="shared" si="2"/>
        <v>46092</v>
      </c>
      <c r="DG3" s="40">
        <f t="shared" si="2"/>
        <v>46093</v>
      </c>
      <c r="DH3" s="40">
        <f t="shared" si="2"/>
        <v>46094</v>
      </c>
      <c r="DI3" s="40">
        <f t="shared" si="2"/>
        <v>46095</v>
      </c>
      <c r="DJ3" s="40">
        <f t="shared" si="2"/>
        <v>46096</v>
      </c>
      <c r="DK3" s="40">
        <f t="shared" si="2"/>
        <v>46097</v>
      </c>
      <c r="DL3" s="40">
        <f t="shared" si="2"/>
        <v>46098</v>
      </c>
      <c r="DM3" s="40">
        <f t="shared" si="2"/>
        <v>46099</v>
      </c>
      <c r="DN3" s="40">
        <f t="shared" si="2"/>
        <v>46100</v>
      </c>
      <c r="DO3" s="40">
        <f t="shared" si="2"/>
        <v>46101</v>
      </c>
      <c r="DP3" s="40">
        <f t="shared" si="2"/>
        <v>46102</v>
      </c>
      <c r="DQ3" s="40">
        <f t="shared" si="2"/>
        <v>46103</v>
      </c>
      <c r="DR3" s="40">
        <f t="shared" si="2"/>
        <v>46104</v>
      </c>
      <c r="DS3" s="40">
        <f t="shared" si="2"/>
        <v>46105</v>
      </c>
      <c r="DT3" s="40">
        <f t="shared" si="2"/>
        <v>46106</v>
      </c>
      <c r="DU3" s="40">
        <f t="shared" si="2"/>
        <v>46107</v>
      </c>
      <c r="DV3" s="40">
        <f t="shared" si="2"/>
        <v>46108</v>
      </c>
      <c r="DW3" s="40">
        <f t="shared" si="2"/>
        <v>46109</v>
      </c>
      <c r="DX3" s="40">
        <f t="shared" si="2"/>
        <v>46110</v>
      </c>
      <c r="DY3" s="40">
        <f t="shared" si="2"/>
        <v>46111</v>
      </c>
      <c r="DZ3" s="40">
        <f t="shared" si="2"/>
        <v>46112</v>
      </c>
    </row>
    <row r="4" ht="22.5" customHeight="1">
      <c r="A4" s="11" t="s">
        <v>10</v>
      </c>
      <c r="B4" s="41" t="s">
        <v>11</v>
      </c>
      <c r="C4" s="42">
        <f t="array" ref="C4">LET(val, IFERROR(INDEX('Daily 쨈 raw'!$A:$Z, MATCH(C$3, 'Daily 쨈 raw'!$A:$A, 0), MATCH($A4, 'Daily 쨈 raw'!$1:$1, 0)), ""), IF(val=0, "", val))</f>
        <v>0.59375</v>
      </c>
      <c r="D4" s="42">
        <f t="array" ref="D4">LET(val, IFERROR(INDEX('Daily 쨈 raw'!$A:$Z, MATCH(D$3, 'Daily 쨈 raw'!$A:$A, 0), MATCH($A4, 'Daily 쨈 raw'!$1:$1, 0)), ""), IF(val=0, "", val))</f>
        <v>0.7922077922</v>
      </c>
      <c r="E4" s="42">
        <f t="array" ref="E4">LET(val, IFERROR(INDEX('Daily 쨈 raw'!$A:$Z, MATCH(E$3, 'Daily 쨈 raw'!$A:$A, 0), MATCH($A4, 'Daily 쨈 raw'!$1:$1, 0)), ""), IF(val=0, "", val))</f>
        <v>0.5660377358</v>
      </c>
      <c r="F4" s="42">
        <f t="array" ref="F4">LET(val, IFERROR(INDEX('Daily 쨈 raw'!$A:$Z, MATCH(F$3, 'Daily 쨈 raw'!$A:$A, 0), MATCH($A4, 'Daily 쨈 raw'!$1:$1, 0)), ""), IF(val=0, "", val))</f>
        <v>0.5384615385</v>
      </c>
      <c r="G4" s="42">
        <f t="array" ref="G4">LET(val, IFERROR(INDEX('Daily 쨈 raw'!$A:$Z, MATCH(G$3, 'Daily 쨈 raw'!$A:$A, 0), MATCH($A4, 'Daily 쨈 raw'!$1:$1, 0)), ""), IF(val=0, "", val))</f>
        <v>0.4857142857</v>
      </c>
      <c r="H4" s="42">
        <f t="array" ref="H4">LET(val, IFERROR(INDEX('Daily 쨈 raw'!$A:$Z, MATCH(H$3, 'Daily 쨈 raw'!$A:$A, 0), MATCH($A4, 'Daily 쨈 raw'!$1:$1, 0)), ""), IF(val=0, "", val))</f>
        <v>0.5903614458</v>
      </c>
      <c r="I4" s="42">
        <f t="array" ref="I4">LET(val, IFERROR(INDEX('Daily 쨈 raw'!$A:$Z, MATCH(I$3, 'Daily 쨈 raw'!$A:$A, 0), MATCH($A4, 'Daily 쨈 raw'!$1:$1, 0)), ""), IF(val=0, "", val))</f>
        <v>0.546875</v>
      </c>
      <c r="J4" s="42">
        <f t="array" ref="J4">LET(val, IFERROR(INDEX('Daily 쨈 raw'!$A:$Z, MATCH(J$3, 'Daily 쨈 raw'!$A:$A, 0), MATCH($A4, 'Daily 쨈 raw'!$1:$1, 0)), ""), IF(val=0, "", val))</f>
        <v>0.5208333333</v>
      </c>
      <c r="K4" s="42">
        <f t="array" ref="K4">LET(val, IFERROR(INDEX('Daily 쨈 raw'!$A:$Z, MATCH(K$3, 'Daily 쨈 raw'!$A:$A, 0), MATCH($A4, 'Daily 쨈 raw'!$1:$1, 0)), ""), IF(val=0, "", val))</f>
        <v>0.4823529412</v>
      </c>
      <c r="L4" s="42">
        <f t="array" ref="L4">LET(val, IFERROR(INDEX('Daily 쨈 raw'!$A:$Z, MATCH(L$3, 'Daily 쨈 raw'!$A:$A, 0), MATCH($A4, 'Daily 쨈 raw'!$1:$1, 0)), ""), IF(val=0, "", val))</f>
        <v>0.4835164835</v>
      </c>
      <c r="M4" s="42">
        <f t="array" ref="M4">LET(val, IFERROR(INDEX('Daily 쨈 raw'!$A:$Z, MATCH(M$3, 'Daily 쨈 raw'!$A:$A, 0), MATCH($A4, 'Daily 쨈 raw'!$1:$1, 0)), ""), IF(val=0, "", val))</f>
        <v>0.3970588235</v>
      </c>
      <c r="N4" s="42">
        <f t="array" ref="N4">LET(val, IFERROR(INDEX('Daily 쨈 raw'!$A:$Z, MATCH(N$3, 'Daily 쨈 raw'!$A:$A, 0), MATCH($A4, 'Daily 쨈 raw'!$1:$1, 0)), ""), IF(val=0, "", val))</f>
        <v>0.5230769231</v>
      </c>
      <c r="O4" s="42">
        <f t="array" ref="O4">LET(val, IFERROR(INDEX('Daily 쨈 raw'!$A:$Z, MATCH(O$3, 'Daily 쨈 raw'!$A:$A, 0), MATCH($A4, 'Daily 쨈 raw'!$1:$1, 0)), ""), IF(val=0, "", val))</f>
        <v>0.4246575342</v>
      </c>
      <c r="P4" s="42">
        <f t="array" ref="P4">LET(val, IFERROR(INDEX('Daily 쨈 raw'!$A:$Z, MATCH(P$3, 'Daily 쨈 raw'!$A:$A, 0), MATCH($A4, 'Daily 쨈 raw'!$1:$1, 0)), ""), IF(val=0, "", val))</f>
        <v>0.323943662</v>
      </c>
      <c r="Q4" s="42">
        <f t="array" ref="Q4">LET(val, IFERROR(INDEX('Daily 쨈 raw'!$A:$Z, MATCH(Q$3, 'Daily 쨈 raw'!$A:$A, 0), MATCH($A4, 'Daily 쨈 raw'!$1:$1, 0)), ""), IF(val=0, "", val))</f>
        <v>0.5087719298</v>
      </c>
      <c r="R4" s="42">
        <f t="array" ref="R4">LET(val, IFERROR(INDEX('Daily 쨈 raw'!$A:$Z, MATCH(R$3, 'Daily 쨈 raw'!$A:$A, 0), MATCH($A4, 'Daily 쨈 raw'!$1:$1, 0)), ""), IF(val=0, "", val))</f>
        <v>0.38</v>
      </c>
      <c r="S4" s="42">
        <f t="array" ref="S4">LET(val, IFERROR(INDEX('Daily 쨈 raw'!$A:$Z, MATCH(S$3, 'Daily 쨈 raw'!$A:$A, 0), MATCH($A4, 'Daily 쨈 raw'!$1:$1, 0)), ""), IF(val=0, "", val))</f>
        <v>0.4418604651</v>
      </c>
      <c r="T4" s="42">
        <f t="array" ref="T4">LET(val, IFERROR(INDEX('Daily 쨈 raw'!$A:$Z, MATCH(T$3, 'Daily 쨈 raw'!$A:$A, 0), MATCH($A4, 'Daily 쨈 raw'!$1:$1, 0)), ""), IF(val=0, "", val))</f>
        <v>0.52</v>
      </c>
      <c r="U4" s="42">
        <f t="array" ref="U4">LET(val, IFERROR(INDEX('Daily 쨈 raw'!$A:$Z, MATCH(U$3, 'Daily 쨈 raw'!$A:$A, 0), MATCH($A4, 'Daily 쨈 raw'!$1:$1, 0)), ""), IF(val=0, "", val))</f>
        <v>0.4651162791</v>
      </c>
      <c r="V4" s="42">
        <f t="array" ref="V4">LET(val, IFERROR(INDEX('Daily 쨈 raw'!$A:$Z, MATCH(V$3, 'Daily 쨈 raw'!$A:$A, 0), MATCH($A4, 'Daily 쨈 raw'!$1:$1, 0)), ""), IF(val=0, "", val))</f>
        <v>0.3571428571</v>
      </c>
      <c r="W4" s="42">
        <f t="array" ref="W4">LET(val, IFERROR(INDEX('Daily 쨈 raw'!$A:$Z, MATCH(W$3, 'Daily 쨈 raw'!$A:$A, 0), MATCH($A4, 'Daily 쨈 raw'!$1:$1, 0)), ""), IF(val=0, "", val))</f>
        <v>0.3269230769</v>
      </c>
      <c r="X4" s="42">
        <f t="array" ref="X4">LET(val, IFERROR(INDEX('Daily 쨈 raw'!$A:$Z, MATCH(X$3, 'Daily 쨈 raw'!$A:$A, 0), MATCH($A4, 'Daily 쨈 raw'!$1:$1, 0)), ""), IF(val=0, "", val))</f>
        <v>0.5897435897</v>
      </c>
      <c r="Y4" s="42">
        <f t="array" ref="Y4">LET(val, IFERROR(INDEX('Daily 쨈 raw'!$A:$Z, MATCH(Y$3, 'Daily 쨈 raw'!$A:$A, 0), MATCH($A4, 'Daily 쨈 raw'!$1:$1, 0)), ""), IF(val=0, "", val))</f>
        <v>0.3720930233</v>
      </c>
      <c r="Z4" s="42">
        <f t="array" ref="Z4">LET(val, IFERROR(INDEX('Daily 쨈 raw'!$A:$Z, MATCH(Z$3, 'Daily 쨈 raw'!$A:$A, 0), MATCH($A4, 'Daily 쨈 raw'!$1:$1, 0)), ""), IF(val=0, "", val))</f>
        <v>0.3571428571</v>
      </c>
      <c r="AA4" s="42">
        <f t="array" ref="AA4">LET(val, IFERROR(INDEX('Daily 쨈 raw'!$A:$Z, MATCH(AA$3, 'Daily 쨈 raw'!$A:$A, 0), MATCH($A4, 'Daily 쨈 raw'!$1:$1, 0)), ""), IF(val=0, "", val))</f>
        <v>0.4137931034</v>
      </c>
      <c r="AB4" s="42">
        <f t="array" ref="AB4">LET(val, IFERROR(INDEX('Daily 쨈 raw'!$A:$Z, MATCH(AB$3, 'Daily 쨈 raw'!$A:$A, 0), MATCH($A4, 'Daily 쨈 raw'!$1:$1, 0)), ""), IF(val=0, "", val))</f>
        <v>0.425</v>
      </c>
      <c r="AC4" s="42">
        <f t="array" ref="AC4">LET(val, IFERROR(INDEX('Daily 쨈 raw'!$A:$Z, MATCH(AC$3, 'Daily 쨈 raw'!$A:$A, 0), MATCH($A4, 'Daily 쨈 raw'!$1:$1, 0)), ""), IF(val=0, "", val))</f>
        <v>0.4838709677</v>
      </c>
      <c r="AD4" s="42">
        <f t="array" ref="AD4">LET(val, IFERROR(INDEX('Daily 쨈 raw'!$A:$Z, MATCH(AD$3, 'Daily 쨈 raw'!$A:$A, 0), MATCH($A4, 'Daily 쨈 raw'!$1:$1, 0)), ""), IF(val=0, "", val))</f>
        <v>0.3939393939</v>
      </c>
      <c r="AE4" s="42">
        <f t="array" ref="AE4">LET(val, IFERROR(INDEX('Daily 쨈 raw'!$A:$Z, MATCH(AE$3, 'Daily 쨈 raw'!$A:$A, 0), MATCH($A4, 'Daily 쨈 raw'!$1:$1, 0)), ""), IF(val=0, "", val))</f>
        <v>0.5</v>
      </c>
      <c r="AF4" s="42">
        <f t="array" ref="AF4">LET(val, IFERROR(INDEX('Daily 쨈 raw'!$A:$Z, MATCH(AF$3, 'Daily 쨈 raw'!$A:$A, 0), MATCH($A4, 'Daily 쨈 raw'!$1:$1, 0)), ""), IF(val=0, "", val))</f>
        <v>0.4366197183</v>
      </c>
      <c r="AG4" s="42">
        <f t="array" ref="AG4">LET(val, IFERROR(INDEX('Daily 쨈 raw'!$A:$Z, MATCH(AG$3, 'Daily 쨈 raw'!$A:$A, 0), MATCH($A4, 'Daily 쨈 raw'!$1:$1, 0)), ""), IF(val=0, "", val))</f>
        <v>0.487804878</v>
      </c>
      <c r="AH4" s="42">
        <f t="array" ref="AH4">LET(val, IFERROR(INDEX('Daily 쨈 raw'!$A:$Z, MATCH(AH$3, 'Daily 쨈 raw'!$A:$A, 0), MATCH($A4, 'Daily 쨈 raw'!$1:$1, 0)), ""), IF(val=0, "", val))</f>
        <v>0.3173076923</v>
      </c>
      <c r="AI4" s="42">
        <f t="array" ref="AI4">LET(val, IFERROR(INDEX('Daily 쨈 raw'!$A:$Z, MATCH(AI$3, 'Daily 쨈 raw'!$A:$A, 0), MATCH($A4, 'Daily 쨈 raw'!$1:$1, 0)), ""), IF(val=0, "", val))</f>
        <v>0.4230769231</v>
      </c>
      <c r="AJ4" s="42">
        <f t="array" ref="AJ4">LET(val, IFERROR(INDEX('Daily 쨈 raw'!$A:$Z, MATCH(AJ$3, 'Daily 쨈 raw'!$A:$A, 0), MATCH($A4, 'Daily 쨈 raw'!$1:$1, 0)), ""), IF(val=0, "", val))</f>
        <v>0.5</v>
      </c>
      <c r="AK4" s="42">
        <f t="array" ref="AK4">LET(val, IFERROR(INDEX('Daily 쨈 raw'!$A:$Z, MATCH(AK$3, 'Daily 쨈 raw'!$A:$A, 0), MATCH($A4, 'Daily 쨈 raw'!$1:$1, 0)), ""), IF(val=0, "", val))</f>
        <v>0.3098591549</v>
      </c>
      <c r="AL4" s="42">
        <f t="array" ref="AL4">LET(val, IFERROR(INDEX('Daily 쨈 raw'!$A:$Z, MATCH(AL$3, 'Daily 쨈 raw'!$A:$A, 0), MATCH($A4, 'Daily 쨈 raw'!$1:$1, 0)), ""), IF(val=0, "", val))</f>
        <v>0.4677419355</v>
      </c>
      <c r="AM4" s="42">
        <f t="array" ref="AM4">LET(val, IFERROR(INDEX('Daily 쨈 raw'!$A:$Z, MATCH(AM$3, 'Daily 쨈 raw'!$A:$A, 0), MATCH($A4, 'Daily 쨈 raw'!$1:$1, 0)), ""), IF(val=0, "", val))</f>
        <v>0.4782608696</v>
      </c>
      <c r="AN4" s="42">
        <f t="array" ref="AN4">LET(val, IFERROR(INDEX('Daily 쨈 raw'!$A:$Z, MATCH(AN$3, 'Daily 쨈 raw'!$A:$A, 0), MATCH($A4, 'Daily 쨈 raw'!$1:$1, 0)), ""), IF(val=0, "", val))</f>
        <v>0.4642857143</v>
      </c>
      <c r="AO4" s="42">
        <f t="array" ref="AO4">LET(val, IFERROR(INDEX('Daily 쨈 raw'!$A:$Z, MATCH(AO$3, 'Daily 쨈 raw'!$A:$A, 0), MATCH($A4, 'Daily 쨈 raw'!$1:$1, 0)), ""), IF(val=0, "", val))</f>
        <v>0.3240740741</v>
      </c>
      <c r="AP4" s="42">
        <f t="array" ref="AP4">LET(val, IFERROR(INDEX('Daily 쨈 raw'!$A:$Z, MATCH(AP$3, 'Daily 쨈 raw'!$A:$A, 0), MATCH($A4, 'Daily 쨈 raw'!$1:$1, 0)), ""), IF(val=0, "", val))</f>
        <v>0.4716981132</v>
      </c>
      <c r="AQ4" s="42">
        <f t="array" ref="AQ4">LET(val, IFERROR(INDEX('Daily 쨈 raw'!$A:$Z, MATCH(AQ$3, 'Daily 쨈 raw'!$A:$A, 0), MATCH($A4, 'Daily 쨈 raw'!$1:$1, 0)), ""), IF(val=0, "", val))</f>
        <v>0.4150943396</v>
      </c>
      <c r="AR4" s="42">
        <f t="array" ref="AR4">LET(val, IFERROR(INDEX('Daily 쨈 raw'!$A:$Z, MATCH(AR$3, 'Daily 쨈 raw'!$A:$A, 0), MATCH($A4, 'Daily 쨈 raw'!$1:$1, 0)), ""), IF(val=0, "", val))</f>
        <v>0.4444444444</v>
      </c>
      <c r="AS4" s="42">
        <f t="array" ref="AS4">LET(val, IFERROR(INDEX('Daily 쨈 raw'!$A:$Z, MATCH(AS$3, 'Daily 쨈 raw'!$A:$A, 0), MATCH($A4, 'Daily 쨈 raw'!$1:$1, 0)), ""), IF(val=0, "", val))</f>
        <v>0.4666666667</v>
      </c>
      <c r="AT4" s="42">
        <f t="array" ref="AT4">LET(val, IFERROR(INDEX('Daily 쨈 raw'!$A:$Z, MATCH(AT$3, 'Daily 쨈 raw'!$A:$A, 0), MATCH($A4, 'Daily 쨈 raw'!$1:$1, 0)), ""), IF(val=0, "", val))</f>
        <v>0.4523809524</v>
      </c>
      <c r="AU4" s="42">
        <f t="array" ref="AU4">LET(val, IFERROR(INDEX('Daily 쨈 raw'!$A:$Z, MATCH(AU$3, 'Daily 쨈 raw'!$A:$A, 0), MATCH($A4, 'Daily 쨈 raw'!$1:$1, 0)), ""), IF(val=0, "", val))</f>
        <v>0.4074074074</v>
      </c>
      <c r="AV4" s="42">
        <f t="array" ref="AV4">LET(val, IFERROR(INDEX('Daily 쨈 raw'!$A:$Z, MATCH(AV$3, 'Daily 쨈 raw'!$A:$A, 0), MATCH($A4, 'Daily 쨈 raw'!$1:$1, 0)), ""), IF(val=0, "", val))</f>
        <v>0.4146341463</v>
      </c>
      <c r="AW4" s="42">
        <f t="array" ref="AW4">LET(val, IFERROR(INDEX('Daily 쨈 raw'!$A:$Z, MATCH(AW$3, 'Daily 쨈 raw'!$A:$A, 0), MATCH($A4, 'Daily 쨈 raw'!$1:$1, 0)), ""), IF(val=0, "", val))</f>
        <v>0.2941176471</v>
      </c>
      <c r="AX4" s="42">
        <f t="array" ref="AX4">LET(val, IFERROR(INDEX('Daily 쨈 raw'!$A:$Z, MATCH(AX$3, 'Daily 쨈 raw'!$A:$A, 0), MATCH($A4, 'Daily 쨈 raw'!$1:$1, 0)), ""), IF(val=0, "", val))</f>
        <v>0.4333333333</v>
      </c>
      <c r="AY4" s="42">
        <f t="array" ref="AY4">LET(val, IFERROR(INDEX('Daily 쨈 raw'!$A:$Z, MATCH(AY$3, 'Daily 쨈 raw'!$A:$A, 0), MATCH($A4, 'Daily 쨈 raw'!$1:$1, 0)), ""), IF(val=0, "", val))</f>
        <v>0.3214285714</v>
      </c>
      <c r="AZ4" s="42">
        <f t="array" ref="AZ4">LET(val, IFERROR(INDEX('Daily 쨈 raw'!$A:$Z, MATCH(AZ$3, 'Daily 쨈 raw'!$A:$A, 0), MATCH($A4, 'Daily 쨈 raw'!$1:$1, 0)), ""), IF(val=0, "", val))</f>
        <v>0.2333333333</v>
      </c>
      <c r="BA4" s="42">
        <f t="array" ref="BA4">LET(val, IFERROR(INDEX('Daily 쨈 raw'!$A:$Z, MATCH(BA$3, 'Daily 쨈 raw'!$A:$A, 0), MATCH($A4, 'Daily 쨈 raw'!$1:$1, 0)), ""), IF(val=0, "", val))</f>
        <v>0.4324324324</v>
      </c>
      <c r="BB4" s="42">
        <f t="array" ref="BB4">LET(val, IFERROR(INDEX('Daily 쨈 raw'!$A:$Z, MATCH(BB$3, 'Daily 쨈 raw'!$A:$A, 0), MATCH($A4, 'Daily 쨈 raw'!$1:$1, 0)), ""), IF(val=0, "", val))</f>
        <v>0.4</v>
      </c>
      <c r="BC4" s="42">
        <f t="array" ref="BC4">LET(val, IFERROR(INDEX('Daily 쨈 raw'!$A:$Z, MATCH(BC$3, 'Daily 쨈 raw'!$A:$A, 0), MATCH($A4, 'Daily 쨈 raw'!$1:$1, 0)), ""), IF(val=0, "", val))</f>
        <v>0.3636363636</v>
      </c>
      <c r="BD4" s="42">
        <f t="array" ref="BD4">LET(val, IFERROR(INDEX('Daily 쨈 raw'!$A:$Z, MATCH(BD$3, 'Daily 쨈 raw'!$A:$A, 0), MATCH($A4, 'Daily 쨈 raw'!$1:$1, 0)), ""), IF(val=0, "", val))</f>
        <v>0.4468085106</v>
      </c>
      <c r="BE4" s="42">
        <f t="array" ref="BE4">LET(val, IFERROR(INDEX('Daily 쨈 raw'!$A:$Z, MATCH(BE$3, 'Daily 쨈 raw'!$A:$A, 0), MATCH($A4, 'Daily 쨈 raw'!$1:$1, 0)), ""), IF(val=0, "", val))</f>
        <v>0.4266666667</v>
      </c>
      <c r="BF4" s="42">
        <f t="array" ref="BF4">LET(val, IFERROR(INDEX('Daily 쨈 raw'!$A:$Z, MATCH(BF$3, 'Daily 쨈 raw'!$A:$A, 0), MATCH($A4, 'Daily 쨈 raw'!$1:$1, 0)), ""), IF(val=0, "", val))</f>
        <v>0.3225806452</v>
      </c>
      <c r="BG4" s="42">
        <f t="array" ref="BG4">LET(val, IFERROR(INDEX('Daily 쨈 raw'!$A:$Z, MATCH(BG$3, 'Daily 쨈 raw'!$A:$A, 0), MATCH($A4, 'Daily 쨈 raw'!$1:$1, 0)), ""), IF(val=0, "", val))</f>
        <v>0.3333333333</v>
      </c>
      <c r="BH4" s="42">
        <f t="array" ref="BH4">LET(val, IFERROR(INDEX('Daily 쨈 raw'!$A:$Z, MATCH(BH$3, 'Daily 쨈 raw'!$A:$A, 0), MATCH($A4, 'Daily 쨈 raw'!$1:$1, 0)), ""), IF(val=0, "", val))</f>
        <v>0.2727272727</v>
      </c>
      <c r="BI4" s="42">
        <f t="array" ref="BI4">LET(val, IFERROR(INDEX('Daily 쨈 raw'!$A:$Z, MATCH(BI$3, 'Daily 쨈 raw'!$A:$A, 0), MATCH($A4, 'Daily 쨈 raw'!$1:$1, 0)), ""), IF(val=0, "", val))</f>
        <v>0.3333333333</v>
      </c>
      <c r="BJ4" s="42">
        <f t="array" ref="BJ4">LET(val, IFERROR(INDEX('Daily 쨈 raw'!$A:$Z, MATCH(BJ$3, 'Daily 쨈 raw'!$A:$A, 0), MATCH($A4, 'Daily 쨈 raw'!$1:$1, 0)), ""), IF(val=0, "", val))</f>
        <v>0.4230769231</v>
      </c>
      <c r="BK4" s="42">
        <f t="array" ref="BK4">LET(val, IFERROR(INDEX('Daily 쨈 raw'!$A:$Z, MATCH(BK$3, 'Daily 쨈 raw'!$A:$A, 0), MATCH($A4, 'Daily 쨈 raw'!$1:$1, 0)), ""), IF(val=0, "", val))</f>
        <v>0.4333333333</v>
      </c>
      <c r="BL4" s="42">
        <f t="array" ref="BL4">LET(val, IFERROR(INDEX('Daily 쨈 raw'!$A:$Z, MATCH(BL$3, 'Daily 쨈 raw'!$A:$A, 0), MATCH($A4, 'Daily 쨈 raw'!$1:$1, 0)), ""), IF(val=0, "", val))</f>
        <v>0.4406779661</v>
      </c>
      <c r="BM4" s="42">
        <f t="array" ref="BM4">LET(val, IFERROR(INDEX('Daily 쨈 raw'!$A:$Z, MATCH(BM$3, 'Daily 쨈 raw'!$A:$A, 0), MATCH($A4, 'Daily 쨈 raw'!$1:$1, 0)), ""), IF(val=0, "", val))</f>
        <v>0.2692307692</v>
      </c>
      <c r="BN4" s="42">
        <f t="array" ref="BN4">LET(val, IFERROR(INDEX('Daily 쨈 raw'!$A:$Z, MATCH(BN$3, 'Daily 쨈 raw'!$A:$A, 0), MATCH($A4, 'Daily 쨈 raw'!$1:$1, 0)), ""), IF(val=0, "", val))</f>
        <v>0.3793103448</v>
      </c>
      <c r="BO4" s="42">
        <f t="array" ref="BO4">LET(val, IFERROR(INDEX('Daily 쨈 raw'!$A:$Z, MATCH(BO$3, 'Daily 쨈 raw'!$A:$A, 0), MATCH($A4, 'Daily 쨈 raw'!$1:$1, 0)), ""), IF(val=0, "", val))</f>
        <v>0.4444444444</v>
      </c>
      <c r="BP4" s="42">
        <f t="array" ref="BP4">LET(val, IFERROR(INDEX('Daily 쨈 raw'!$A:$Z, MATCH(BP$3, 'Daily 쨈 raw'!$A:$A, 0), MATCH($A4, 'Daily 쨈 raw'!$1:$1, 0)), ""), IF(val=0, "", val))</f>
        <v>0.4074074074</v>
      </c>
      <c r="BQ4" s="42">
        <f t="array" ref="BQ4">LET(val, IFERROR(INDEX('Daily 쨈 raw'!$A:$Z, MATCH(BQ$3, 'Daily 쨈 raw'!$A:$A, 0), MATCH($A4, 'Daily 쨈 raw'!$1:$1, 0)), ""), IF(val=0, "", val))</f>
        <v>0.2727272727</v>
      </c>
      <c r="BR4" s="42">
        <f t="array" ref="BR4">LET(val, IFERROR(INDEX('Daily 쨈 raw'!$A:$Z, MATCH(BR$3, 'Daily 쨈 raw'!$A:$A, 0), MATCH($A4, 'Daily 쨈 raw'!$1:$1, 0)), ""), IF(val=0, "", val))</f>
        <v>0.45</v>
      </c>
      <c r="BS4" s="42">
        <f t="array" ref="BS4">LET(val, IFERROR(INDEX('Daily 쨈 raw'!$A:$Z, MATCH(BS$3, 'Daily 쨈 raw'!$A:$A, 0), MATCH($A4, 'Daily 쨈 raw'!$1:$1, 0)), ""), IF(val=0, "", val))</f>
        <v>0.4047619048</v>
      </c>
      <c r="BT4" s="42">
        <f t="array" ref="BT4">LET(val, IFERROR(INDEX('Daily 쨈 raw'!$A:$Z, MATCH(BT$3, 'Daily 쨈 raw'!$A:$A, 0), MATCH($A4, 'Daily 쨈 raw'!$1:$1, 0)), ""), IF(val=0, "", val))</f>
        <v>0.3181818182</v>
      </c>
      <c r="BU4" s="42">
        <f t="array" ref="BU4">LET(val, IFERROR(INDEX('Daily 쨈 raw'!$A:$Z, MATCH(BU$3, 'Daily 쨈 raw'!$A:$A, 0), MATCH($A4, 'Daily 쨈 raw'!$1:$1, 0)), ""), IF(val=0, "", val))</f>
        <v>0.5454545455</v>
      </c>
      <c r="BV4" s="42">
        <f t="array" ref="BV4">LET(val, IFERROR(INDEX('Daily 쨈 raw'!$A:$Z, MATCH(BV$3, 'Daily 쨈 raw'!$A:$A, 0), MATCH($A4, 'Daily 쨈 raw'!$1:$1, 0)), ""), IF(val=0, "", val))</f>
        <v>0.2727272727</v>
      </c>
      <c r="BW4" s="42">
        <f t="array" ref="BW4">LET(val, IFERROR(INDEX('Daily 쨈 raw'!$A:$Z, MATCH(BW$3, 'Daily 쨈 raw'!$A:$A, 0), MATCH($A4, 'Daily 쨈 raw'!$1:$1, 0)), ""), IF(val=0, "", val))</f>
        <v>0.5</v>
      </c>
      <c r="BX4" s="42">
        <f t="array" ref="BX4">LET(val, IFERROR(INDEX('Daily 쨈 raw'!$A:$Z, MATCH(BX$3, 'Daily 쨈 raw'!$A:$A, 0), MATCH($A4, 'Daily 쨈 raw'!$1:$1, 0)), ""), IF(val=0, "", val))</f>
        <v>0.4074074074</v>
      </c>
      <c r="BY4" s="42">
        <f t="array" ref="BY4">LET(val, IFERROR(INDEX('Daily 쨈 raw'!$A:$Z, MATCH(BY$3, 'Daily 쨈 raw'!$A:$A, 0), MATCH($A4, 'Daily 쨈 raw'!$1:$1, 0)), ""), IF(val=0, "", val))</f>
        <v>0.5757575758</v>
      </c>
      <c r="BZ4" s="42">
        <f t="array" ref="BZ4">LET(val, IFERROR(INDEX('Daily 쨈 raw'!$A:$Z, MATCH(BZ$3, 'Daily 쨈 raw'!$A:$A, 0), MATCH($A4, 'Daily 쨈 raw'!$1:$1, 0)), ""), IF(val=0, "", val))</f>
        <v>0.45</v>
      </c>
      <c r="CA4" s="42">
        <f t="array" ref="CA4">LET(val, IFERROR(INDEX('Daily 쨈 raw'!$A:$Z, MATCH(CA$3, 'Daily 쨈 raw'!$A:$A, 0), MATCH($A4, 'Daily 쨈 raw'!$1:$1, 0)), ""), IF(val=0, "", val))</f>
        <v>0.2592592593</v>
      </c>
      <c r="CB4" s="42">
        <f t="array" ref="CB4">LET(val, IFERROR(INDEX('Daily 쨈 raw'!$A:$Z, MATCH(CB$3, 'Daily 쨈 raw'!$A:$A, 0), MATCH($A4, 'Daily 쨈 raw'!$1:$1, 0)), ""), IF(val=0, "", val))</f>
        <v>0.4444444444</v>
      </c>
      <c r="CC4" s="42">
        <f t="array" ref="CC4">LET(val, IFERROR(INDEX('Daily 쨈 raw'!$A:$Z, MATCH(CC$3, 'Daily 쨈 raw'!$A:$A, 0), MATCH($A4, 'Daily 쨈 raw'!$1:$1, 0)), ""), IF(val=0, "", val))</f>
        <v>0.5714285714</v>
      </c>
      <c r="CD4" s="42">
        <f t="array" ref="CD4">LET(val, IFERROR(INDEX('Daily 쨈 raw'!$A:$Z, MATCH(CD$3, 'Daily 쨈 raw'!$A:$A, 0), MATCH($A4, 'Daily 쨈 raw'!$1:$1, 0)), ""), IF(val=0, "", val))</f>
        <v>0.5588235294</v>
      </c>
      <c r="CE4" s="42">
        <f t="array" ref="CE4">LET(val, IFERROR(INDEX('Daily 쨈 raw'!$A:$Z, MATCH(CE$3, 'Daily 쨈 raw'!$A:$A, 0), MATCH($A4, 'Daily 쨈 raw'!$1:$1, 0)), ""), IF(val=0, "", val))</f>
        <v>0.3157894737</v>
      </c>
      <c r="CF4" s="42">
        <f t="array" ref="CF4">LET(val, IFERROR(INDEX('Daily 쨈 raw'!$A:$Z, MATCH(CF$3, 'Daily 쨈 raw'!$A:$A, 0), MATCH($A4, 'Daily 쨈 raw'!$1:$1, 0)), ""), IF(val=0, "", val))</f>
        <v>0.4324324324</v>
      </c>
      <c r="CG4" s="42">
        <f t="array" ref="CG4">LET(val, IFERROR(INDEX('Daily 쨈 raw'!$A:$Z, MATCH(CG$3, 'Daily 쨈 raw'!$A:$A, 0), MATCH($A4, 'Daily 쨈 raw'!$1:$1, 0)), ""), IF(val=0, "", val))</f>
        <v>0.3469387755</v>
      </c>
      <c r="CH4" s="42">
        <f t="array" ref="CH4">LET(val, IFERROR(INDEX('Daily 쨈 raw'!$A:$Z, MATCH(CH$3, 'Daily 쨈 raw'!$A:$A, 0), MATCH($A4, 'Daily 쨈 raw'!$1:$1, 0)), ""), IF(val=0, "", val))</f>
        <v>0.375</v>
      </c>
      <c r="CI4" s="42">
        <f t="array" ref="CI4">LET(val, IFERROR(INDEX('Daily 쨈 raw'!$A:$Z, MATCH(CI$3, 'Daily 쨈 raw'!$A:$A, 0), MATCH($A4, 'Daily 쨈 raw'!$1:$1, 0)), ""), IF(val=0, "", val))</f>
        <v>0.46875</v>
      </c>
      <c r="CJ4" s="42">
        <f t="array" ref="CJ4">LET(val, IFERROR(INDEX('Daily 쨈 raw'!$A:$Z, MATCH(CJ$3, 'Daily 쨈 raw'!$A:$A, 0), MATCH($A4, 'Daily 쨈 raw'!$1:$1, 0)), ""), IF(val=0, "", val))</f>
        <v>0.4210526316</v>
      </c>
      <c r="CK4" s="42">
        <f t="array" ref="CK4">LET(val, IFERROR(INDEX('Daily 쨈 raw'!$A:$Z, MATCH(CK$3, 'Daily 쨈 raw'!$A:$A, 0), MATCH($A4, 'Daily 쨈 raw'!$1:$1, 0)), ""), IF(val=0, "", val))</f>
        <v>0.4057971014</v>
      </c>
      <c r="CL4" s="42">
        <f t="array" ref="CL4">LET(val, IFERROR(INDEX('Daily 쨈 raw'!$A:$Z, MATCH(CL$3, 'Daily 쨈 raw'!$A:$A, 0), MATCH($A4, 'Daily 쨈 raw'!$1:$1, 0)), ""), IF(val=0, "", val))</f>
        <v>0.5</v>
      </c>
      <c r="CM4" s="42">
        <f t="array" ref="CM4">LET(val, IFERROR(INDEX('Daily 쨈 raw'!$A:$Z, MATCH(CM$3, 'Daily 쨈 raw'!$A:$A, 0), MATCH($A4, 'Daily 쨈 raw'!$1:$1, 0)), ""), IF(val=0, "", val))</f>
        <v>0.4130434783</v>
      </c>
      <c r="CN4" s="42">
        <f t="array" ref="CN4">LET(val, IFERROR(INDEX('Daily 쨈 raw'!$A:$Z, MATCH(CN$3, 'Daily 쨈 raw'!$A:$A, 0), MATCH($A4, 'Daily 쨈 raw'!$1:$1, 0)), ""), IF(val=0, "", val))</f>
        <v>0.3571428571</v>
      </c>
      <c r="CO4" s="42" t="str">
        <f t="array" ref="CO4">LET(val, IFERROR(INDEX('Daily 쨈 raw'!$A:$Z, MATCH(CO$3, 'Daily 쨈 raw'!$A:$A, 0), MATCH($A4, 'Daily 쨈 raw'!$1:$1, 0)), ""), IF(val=0, "", val))</f>
        <v/>
      </c>
      <c r="CP4" s="42" t="str">
        <f t="array" ref="CP4">LET(val, IFERROR(INDEX('Daily 쨈 raw'!$A:$Z, MATCH(CP$3, 'Daily 쨈 raw'!$A:$A, 0), MATCH($A4, 'Daily 쨈 raw'!$1:$1, 0)), ""), IF(val=0, "", val))</f>
        <v/>
      </c>
      <c r="CQ4" s="42" t="str">
        <f t="array" ref="CQ4">LET(val, IFERROR(INDEX('Daily 쨈 raw'!$A:$Z, MATCH(CQ$3, 'Daily 쨈 raw'!$A:$A, 0), MATCH($A4, 'Daily 쨈 raw'!$1:$1, 0)), ""), IF(val=0, "", val))</f>
        <v/>
      </c>
      <c r="CR4" s="42" t="str">
        <f t="array" ref="CR4">LET(val, IFERROR(INDEX('Daily 쨈 raw'!$A:$Z, MATCH(CR$3, 'Daily 쨈 raw'!$A:$A, 0), MATCH($A4, 'Daily 쨈 raw'!$1:$1, 0)), ""), IF(val=0, "", val))</f>
        <v/>
      </c>
      <c r="CS4" s="42" t="str">
        <f t="array" ref="CS4">LET(val, IFERROR(INDEX('Daily 쨈 raw'!$A:$Z, MATCH(CS$3, 'Daily 쨈 raw'!$A:$A, 0), MATCH($A4, 'Daily 쨈 raw'!$1:$1, 0)), ""), IF(val=0, "", val))</f>
        <v/>
      </c>
      <c r="CT4" s="42" t="str">
        <f t="array" ref="CT4">LET(val, IFERROR(INDEX('Daily 쨈 raw'!$A:$Z, MATCH(CT$3, 'Daily 쨈 raw'!$A:$A, 0), MATCH($A4, 'Daily 쨈 raw'!$1:$1, 0)), ""), IF(val=0, "", val))</f>
        <v/>
      </c>
      <c r="CU4" s="42" t="str">
        <f t="array" ref="CU4">LET(val, IFERROR(INDEX('Daily 쨈 raw'!$A:$Z, MATCH(CU$3, 'Daily 쨈 raw'!$A:$A, 0), MATCH($A4, 'Daily 쨈 raw'!$1:$1, 0)), ""), IF(val=0, "", val))</f>
        <v/>
      </c>
      <c r="CV4" s="42" t="str">
        <f t="array" ref="CV4">LET(val, IFERROR(INDEX('Daily 쨈 raw'!$A:$Z, MATCH(CV$3, 'Daily 쨈 raw'!$A:$A, 0), MATCH($A4, 'Daily 쨈 raw'!$1:$1, 0)), ""), IF(val=0, "", val))</f>
        <v/>
      </c>
      <c r="CW4" s="42" t="str">
        <f t="array" ref="CW4">LET(val, IFERROR(INDEX('Daily 쨈 raw'!$A:$Z, MATCH(CW$3, 'Daily 쨈 raw'!$A:$A, 0), MATCH($A4, 'Daily 쨈 raw'!$1:$1, 0)), ""), IF(val=0, "", val))</f>
        <v/>
      </c>
      <c r="CX4" s="42" t="str">
        <f t="array" ref="CX4">LET(val, IFERROR(INDEX('Daily 쨈 raw'!$A:$Z, MATCH(CX$3, 'Daily 쨈 raw'!$A:$A, 0), MATCH($A4, 'Daily 쨈 raw'!$1:$1, 0)), ""), IF(val=0, "", val))</f>
        <v/>
      </c>
      <c r="CY4" s="42" t="str">
        <f t="array" ref="CY4">LET(val, IFERROR(INDEX('Daily 쨈 raw'!$A:$Z, MATCH(CY$3, 'Daily 쨈 raw'!$A:$A, 0), MATCH($A4, 'Daily 쨈 raw'!$1:$1, 0)), ""), IF(val=0, "", val))</f>
        <v/>
      </c>
      <c r="CZ4" s="42" t="str">
        <f t="array" ref="CZ4">LET(val, IFERROR(INDEX('Daily 쨈 raw'!$A:$Z, MATCH(CZ$3, 'Daily 쨈 raw'!$A:$A, 0), MATCH($A4, 'Daily 쨈 raw'!$1:$1, 0)), ""), IF(val=0, "", val))</f>
        <v/>
      </c>
      <c r="DA4" s="42" t="str">
        <f t="array" ref="DA4">LET(val, IFERROR(INDEX('Daily 쨈 raw'!$A:$Z, MATCH(DA$3, 'Daily 쨈 raw'!$A:$A, 0), MATCH($A4, 'Daily 쨈 raw'!$1:$1, 0)), ""), IF(val=0, "", val))</f>
        <v/>
      </c>
      <c r="DB4" s="42" t="str">
        <f t="array" ref="DB4">LET(val, IFERROR(INDEX('Daily 쨈 raw'!$A:$Z, MATCH(DB$3, 'Daily 쨈 raw'!$A:$A, 0), MATCH($A4, 'Daily 쨈 raw'!$1:$1, 0)), ""), IF(val=0, "", val))</f>
        <v/>
      </c>
      <c r="DC4" s="42" t="str">
        <f t="array" ref="DC4">LET(val, IFERROR(INDEX('Daily 쨈 raw'!$A:$Z, MATCH(DC$3, 'Daily 쨈 raw'!$A:$A, 0), MATCH($A4, 'Daily 쨈 raw'!$1:$1, 0)), ""), IF(val=0, "", val))</f>
        <v/>
      </c>
      <c r="DD4" s="42" t="str">
        <f t="array" ref="DD4">LET(val, IFERROR(INDEX('Daily 쨈 raw'!$A:$Z, MATCH(DD$3, 'Daily 쨈 raw'!$A:$A, 0), MATCH($A4, 'Daily 쨈 raw'!$1:$1, 0)), ""), IF(val=0, "", val))</f>
        <v/>
      </c>
      <c r="DE4" s="42" t="str">
        <f t="array" ref="DE4">LET(val, IFERROR(INDEX('Daily 쨈 raw'!$A:$Z, MATCH(DE$3, 'Daily 쨈 raw'!$A:$A, 0), MATCH($A4, 'Daily 쨈 raw'!$1:$1, 0)), ""), IF(val=0, "", val))</f>
        <v/>
      </c>
      <c r="DF4" s="42" t="str">
        <f t="array" ref="DF4">LET(val, IFERROR(INDEX('Daily 쨈 raw'!$A:$Z, MATCH(DF$3, 'Daily 쨈 raw'!$A:$A, 0), MATCH($A4, 'Daily 쨈 raw'!$1:$1, 0)), ""), IF(val=0, "", val))</f>
        <v/>
      </c>
      <c r="DG4" s="42" t="str">
        <f t="array" ref="DG4">LET(val, IFERROR(INDEX('Daily 쨈 raw'!$A:$Z, MATCH(DG$3, 'Daily 쨈 raw'!$A:$A, 0), MATCH($A4, 'Daily 쨈 raw'!$1:$1, 0)), ""), IF(val=0, "", val))</f>
        <v/>
      </c>
      <c r="DH4" s="42" t="str">
        <f t="array" ref="DH4">LET(val, IFERROR(INDEX('Daily 쨈 raw'!$A:$Z, MATCH(DH$3, 'Daily 쨈 raw'!$A:$A, 0), MATCH($A4, 'Daily 쨈 raw'!$1:$1, 0)), ""), IF(val=0, "", val))</f>
        <v/>
      </c>
      <c r="DI4" s="42" t="str">
        <f t="array" ref="DI4">LET(val, IFERROR(INDEX('Daily 쨈 raw'!$A:$Z, MATCH(DI$3, 'Daily 쨈 raw'!$A:$A, 0), MATCH($A4, 'Daily 쨈 raw'!$1:$1, 0)), ""), IF(val=0, "", val))</f>
        <v/>
      </c>
      <c r="DJ4" s="42" t="str">
        <f t="array" ref="DJ4">LET(val, IFERROR(INDEX('Daily 쨈 raw'!$A:$Z, MATCH(DJ$3, 'Daily 쨈 raw'!$A:$A, 0), MATCH($A4, 'Daily 쨈 raw'!$1:$1, 0)), ""), IF(val=0, "", val))</f>
        <v/>
      </c>
      <c r="DK4" s="42" t="str">
        <f t="array" ref="DK4">LET(val, IFERROR(INDEX('Daily 쨈 raw'!$A:$Z, MATCH(DK$3, 'Daily 쨈 raw'!$A:$A, 0), MATCH($A4, 'Daily 쨈 raw'!$1:$1, 0)), ""), IF(val=0, "", val))</f>
        <v/>
      </c>
      <c r="DL4" s="42" t="str">
        <f t="array" ref="DL4">LET(val, IFERROR(INDEX('Daily 쨈 raw'!$A:$Z, MATCH(DL$3, 'Daily 쨈 raw'!$A:$A, 0), MATCH($A4, 'Daily 쨈 raw'!$1:$1, 0)), ""), IF(val=0, "", val))</f>
        <v/>
      </c>
      <c r="DM4" s="42" t="str">
        <f t="array" ref="DM4">LET(val, IFERROR(INDEX('Daily 쨈 raw'!$A:$Z, MATCH(DM$3, 'Daily 쨈 raw'!$A:$A, 0), MATCH($A4, 'Daily 쨈 raw'!$1:$1, 0)), ""), IF(val=0, "", val))</f>
        <v/>
      </c>
      <c r="DN4" s="42" t="str">
        <f t="array" ref="DN4">LET(val, IFERROR(INDEX('Daily 쨈 raw'!$A:$Z, MATCH(DN$3, 'Daily 쨈 raw'!$A:$A, 0), MATCH($A4, 'Daily 쨈 raw'!$1:$1, 0)), ""), IF(val=0, "", val))</f>
        <v/>
      </c>
      <c r="DO4" s="42" t="str">
        <f t="array" ref="DO4">LET(val, IFERROR(INDEX('Daily 쨈 raw'!$A:$Z, MATCH(DO$3, 'Daily 쨈 raw'!$A:$A, 0), MATCH($A4, 'Daily 쨈 raw'!$1:$1, 0)), ""), IF(val=0, "", val))</f>
        <v/>
      </c>
      <c r="DP4" s="42" t="str">
        <f t="array" ref="DP4">LET(val, IFERROR(INDEX('Daily 쨈 raw'!$A:$Z, MATCH(DP$3, 'Daily 쨈 raw'!$A:$A, 0), MATCH($A4, 'Daily 쨈 raw'!$1:$1, 0)), ""), IF(val=0, "", val))</f>
        <v/>
      </c>
      <c r="DQ4" s="42" t="str">
        <f t="array" ref="DQ4">LET(val, IFERROR(INDEX('Daily 쨈 raw'!$A:$Z, MATCH(DQ$3, 'Daily 쨈 raw'!$A:$A, 0), MATCH($A4, 'Daily 쨈 raw'!$1:$1, 0)), ""), IF(val=0, "", val))</f>
        <v/>
      </c>
      <c r="DR4" s="42" t="str">
        <f t="array" ref="DR4">LET(val, IFERROR(INDEX('Daily 쨈 raw'!$A:$Z, MATCH(DR$3, 'Daily 쨈 raw'!$A:$A, 0), MATCH($A4, 'Daily 쨈 raw'!$1:$1, 0)), ""), IF(val=0, "", val))</f>
        <v/>
      </c>
      <c r="DS4" s="42" t="str">
        <f t="array" ref="DS4">LET(val, IFERROR(INDEX('Daily 쨈 raw'!$A:$Z, MATCH(DS$3, 'Daily 쨈 raw'!$A:$A, 0), MATCH($A4, 'Daily 쨈 raw'!$1:$1, 0)), ""), IF(val=0, "", val))</f>
        <v/>
      </c>
      <c r="DT4" s="42" t="str">
        <f t="array" ref="DT4">LET(val, IFERROR(INDEX('Daily 쨈 raw'!$A:$Z, MATCH(DT$3, 'Daily 쨈 raw'!$A:$A, 0), MATCH($A4, 'Daily 쨈 raw'!$1:$1, 0)), ""), IF(val=0, "", val))</f>
        <v/>
      </c>
      <c r="DU4" s="42" t="str">
        <f t="array" ref="DU4">LET(val, IFERROR(INDEX('Daily 쨈 raw'!$A:$Z, MATCH(DU$3, 'Daily 쨈 raw'!$A:$A, 0), MATCH($A4, 'Daily 쨈 raw'!$1:$1, 0)), ""), IF(val=0, "", val))</f>
        <v/>
      </c>
      <c r="DV4" s="42" t="str">
        <f t="array" ref="DV4">LET(val, IFERROR(INDEX('Daily 쨈 raw'!$A:$Z, MATCH(DV$3, 'Daily 쨈 raw'!$A:$A, 0), MATCH($A4, 'Daily 쨈 raw'!$1:$1, 0)), ""), IF(val=0, "", val))</f>
        <v/>
      </c>
      <c r="DW4" s="42" t="str">
        <f t="array" ref="DW4">LET(val, IFERROR(INDEX('Daily 쨈 raw'!$A:$Z, MATCH(DW$3, 'Daily 쨈 raw'!$A:$A, 0), MATCH($A4, 'Daily 쨈 raw'!$1:$1, 0)), ""), IF(val=0, "", val))</f>
        <v/>
      </c>
      <c r="DX4" s="42" t="str">
        <f t="array" ref="DX4">LET(val, IFERROR(INDEX('Daily 쨈 raw'!$A:$Z, MATCH(DX$3, 'Daily 쨈 raw'!$A:$A, 0), MATCH($A4, 'Daily 쨈 raw'!$1:$1, 0)), ""), IF(val=0, "", val))</f>
        <v/>
      </c>
      <c r="DY4" s="42" t="str">
        <f t="array" ref="DY4">LET(val, IFERROR(INDEX('Daily 쨈 raw'!$A:$Z, MATCH(DY$3, 'Daily 쨈 raw'!$A:$A, 0), MATCH($A4, 'Daily 쨈 raw'!$1:$1, 0)), ""), IF(val=0, "", val))</f>
        <v/>
      </c>
      <c r="DZ4" s="42" t="str">
        <f t="array" ref="DZ4">LET(val, IFERROR(INDEX('Daily 쨈 raw'!$A:$Z, MATCH(DZ$3, 'Daily 쨈 raw'!$A:$A, 0), MATCH($A4, 'Daily 쨈 raw'!$1:$1, 0)), ""), IF(val=0, "", val))</f>
        <v/>
      </c>
    </row>
    <row r="5" ht="22.5" customHeight="1">
      <c r="A5" s="23" t="s">
        <v>62</v>
      </c>
      <c r="B5" s="43" t="s">
        <v>63</v>
      </c>
      <c r="C5" s="44">
        <f t="array" ref="C5">LET(val, IFERROR(INDEX('Daily 쨈 raw'!$A:$Z, MATCH(C$3, 'Daily 쨈 raw'!$A:$A, 0), MATCH($A5, 'Daily 쨈 raw'!$1:$1, 0)), ""), IF(val=0, "", val))</f>
        <v>38</v>
      </c>
      <c r="D5" s="44">
        <f t="array" ref="D5">LET(val, IFERROR(INDEX('Daily 쨈 raw'!$A:$Z, MATCH(D$3, 'Daily 쨈 raw'!$A:$A, 0), MATCH($A5, 'Daily 쨈 raw'!$1:$1, 0)), ""), IF(val=0, "", val))</f>
        <v>61</v>
      </c>
      <c r="E5" s="44">
        <f t="array" ref="E5">LET(val, IFERROR(INDEX('Daily 쨈 raw'!$A:$Z, MATCH(E$3, 'Daily 쨈 raw'!$A:$A, 0), MATCH($A5, 'Daily 쨈 raw'!$1:$1, 0)), ""), IF(val=0, "", val))</f>
        <v>30</v>
      </c>
      <c r="F5" s="44">
        <f t="array" ref="F5">LET(val, IFERROR(INDEX('Daily 쨈 raw'!$A:$Z, MATCH(F$3, 'Daily 쨈 raw'!$A:$A, 0), MATCH($A5, 'Daily 쨈 raw'!$1:$1, 0)), ""), IF(val=0, "", val))</f>
        <v>21</v>
      </c>
      <c r="G5" s="44">
        <f t="array" ref="G5">LET(val, IFERROR(INDEX('Daily 쨈 raw'!$A:$Z, MATCH(G$3, 'Daily 쨈 raw'!$A:$A, 0), MATCH($A5, 'Daily 쨈 raw'!$1:$1, 0)), ""), IF(val=0, "", val))</f>
        <v>17</v>
      </c>
      <c r="H5" s="44">
        <f t="array" ref="H5">LET(val, IFERROR(INDEX('Daily 쨈 raw'!$A:$Z, MATCH(H$3, 'Daily 쨈 raw'!$A:$A, 0), MATCH($A5, 'Daily 쨈 raw'!$1:$1, 0)), ""), IF(val=0, "", val))</f>
        <v>49</v>
      </c>
      <c r="I5" s="44">
        <f t="array" ref="I5">LET(val, IFERROR(INDEX('Daily 쨈 raw'!$A:$Z, MATCH(I$3, 'Daily 쨈 raw'!$A:$A, 0), MATCH($A5, 'Daily 쨈 raw'!$1:$1, 0)), ""), IF(val=0, "", val))</f>
        <v>35</v>
      </c>
      <c r="J5" s="44">
        <f t="array" ref="J5">LET(val, IFERROR(INDEX('Daily 쨈 raw'!$A:$Z, MATCH(J$3, 'Daily 쨈 raw'!$A:$A, 0), MATCH($A5, 'Daily 쨈 raw'!$1:$1, 0)), ""), IF(val=0, "", val))</f>
        <v>25</v>
      </c>
      <c r="K5" s="44">
        <f t="array" ref="K5">LET(val, IFERROR(INDEX('Daily 쨈 raw'!$A:$Z, MATCH(K$3, 'Daily 쨈 raw'!$A:$A, 0), MATCH($A5, 'Daily 쨈 raw'!$1:$1, 0)), ""), IF(val=0, "", val))</f>
        <v>41</v>
      </c>
      <c r="L5" s="44">
        <f t="array" ref="L5">LET(val, IFERROR(INDEX('Daily 쨈 raw'!$A:$Z, MATCH(L$3, 'Daily 쨈 raw'!$A:$A, 0), MATCH($A5, 'Daily 쨈 raw'!$1:$1, 0)), ""), IF(val=0, "", val))</f>
        <v>44</v>
      </c>
      <c r="M5" s="44">
        <f t="array" ref="M5">LET(val, IFERROR(INDEX('Daily 쨈 raw'!$A:$Z, MATCH(M$3, 'Daily 쨈 raw'!$A:$A, 0), MATCH($A5, 'Daily 쨈 raw'!$1:$1, 0)), ""), IF(val=0, "", val))</f>
        <v>27</v>
      </c>
      <c r="N5" s="44">
        <f t="array" ref="N5">LET(val, IFERROR(INDEX('Daily 쨈 raw'!$A:$Z, MATCH(N$3, 'Daily 쨈 raw'!$A:$A, 0), MATCH($A5, 'Daily 쨈 raw'!$1:$1, 0)), ""), IF(val=0, "", val))</f>
        <v>34</v>
      </c>
      <c r="O5" s="44">
        <f t="array" ref="O5">LET(val, IFERROR(INDEX('Daily 쨈 raw'!$A:$Z, MATCH(O$3, 'Daily 쨈 raw'!$A:$A, 0), MATCH($A5, 'Daily 쨈 raw'!$1:$1, 0)), ""), IF(val=0, "", val))</f>
        <v>31</v>
      </c>
      <c r="P5" s="44">
        <f t="array" ref="P5">LET(val, IFERROR(INDEX('Daily 쨈 raw'!$A:$Z, MATCH(P$3, 'Daily 쨈 raw'!$A:$A, 0), MATCH($A5, 'Daily 쨈 raw'!$1:$1, 0)), ""), IF(val=0, "", val))</f>
        <v>23</v>
      </c>
      <c r="Q5" s="44">
        <f t="array" ref="Q5">LET(val, IFERROR(INDEX('Daily 쨈 raw'!$A:$Z, MATCH(Q$3, 'Daily 쨈 raw'!$A:$A, 0), MATCH($A5, 'Daily 쨈 raw'!$1:$1, 0)), ""), IF(val=0, "", val))</f>
        <v>29</v>
      </c>
      <c r="R5" s="44">
        <f t="array" ref="R5">LET(val, IFERROR(INDEX('Daily 쨈 raw'!$A:$Z, MATCH(R$3, 'Daily 쨈 raw'!$A:$A, 0), MATCH($A5, 'Daily 쨈 raw'!$1:$1, 0)), ""), IF(val=0, "", val))</f>
        <v>19</v>
      </c>
      <c r="S5" s="44">
        <f t="array" ref="S5">LET(val, IFERROR(INDEX('Daily 쨈 raw'!$A:$Z, MATCH(S$3, 'Daily 쨈 raw'!$A:$A, 0), MATCH($A5, 'Daily 쨈 raw'!$1:$1, 0)), ""), IF(val=0, "", val))</f>
        <v>19</v>
      </c>
      <c r="T5" s="44">
        <f t="array" ref="T5">LET(val, IFERROR(INDEX('Daily 쨈 raw'!$A:$Z, MATCH(T$3, 'Daily 쨈 raw'!$A:$A, 0), MATCH($A5, 'Daily 쨈 raw'!$1:$1, 0)), ""), IF(val=0, "", val))</f>
        <v>26</v>
      </c>
      <c r="U5" s="44">
        <f t="array" ref="U5">LET(val, IFERROR(INDEX('Daily 쨈 raw'!$A:$Z, MATCH(U$3, 'Daily 쨈 raw'!$A:$A, 0), MATCH($A5, 'Daily 쨈 raw'!$1:$1, 0)), ""), IF(val=0, "", val))</f>
        <v>20</v>
      </c>
      <c r="V5" s="44">
        <f t="array" ref="V5">LET(val, IFERROR(INDEX('Daily 쨈 raw'!$A:$Z, MATCH(V$3, 'Daily 쨈 raw'!$A:$A, 0), MATCH($A5, 'Daily 쨈 raw'!$1:$1, 0)), ""), IF(val=0, "", val))</f>
        <v>20</v>
      </c>
      <c r="W5" s="44">
        <f t="array" ref="W5">LET(val, IFERROR(INDEX('Daily 쨈 raw'!$A:$Z, MATCH(W$3, 'Daily 쨈 raw'!$A:$A, 0), MATCH($A5, 'Daily 쨈 raw'!$1:$1, 0)), ""), IF(val=0, "", val))</f>
        <v>17</v>
      </c>
      <c r="X5" s="44">
        <f t="array" ref="X5">LET(val, IFERROR(INDEX('Daily 쨈 raw'!$A:$Z, MATCH(X$3, 'Daily 쨈 raw'!$A:$A, 0), MATCH($A5, 'Daily 쨈 raw'!$1:$1, 0)), ""), IF(val=0, "", val))</f>
        <v>23</v>
      </c>
      <c r="Y5" s="44">
        <f t="array" ref="Y5">LET(val, IFERROR(INDEX('Daily 쨈 raw'!$A:$Z, MATCH(Y$3, 'Daily 쨈 raw'!$A:$A, 0), MATCH($A5, 'Daily 쨈 raw'!$1:$1, 0)), ""), IF(val=0, "", val))</f>
        <v>16</v>
      </c>
      <c r="Z5" s="44">
        <f t="array" ref="Z5">LET(val, IFERROR(INDEX('Daily 쨈 raw'!$A:$Z, MATCH(Z$3, 'Daily 쨈 raw'!$A:$A, 0), MATCH($A5, 'Daily 쨈 raw'!$1:$1, 0)), ""), IF(val=0, "", val))</f>
        <v>15</v>
      </c>
      <c r="AA5" s="44">
        <f t="array" ref="AA5">LET(val, IFERROR(INDEX('Daily 쨈 raw'!$A:$Z, MATCH(AA$3, 'Daily 쨈 raw'!$A:$A, 0), MATCH($A5, 'Daily 쨈 raw'!$1:$1, 0)), ""), IF(val=0, "", val))</f>
        <v>12</v>
      </c>
      <c r="AB5" s="44">
        <f t="array" ref="AB5">LET(val, IFERROR(INDEX('Daily 쨈 raw'!$A:$Z, MATCH(AB$3, 'Daily 쨈 raw'!$A:$A, 0), MATCH($A5, 'Daily 쨈 raw'!$1:$1, 0)), ""), IF(val=0, "", val))</f>
        <v>17</v>
      </c>
      <c r="AC5" s="44">
        <f t="array" ref="AC5">LET(val, IFERROR(INDEX('Daily 쨈 raw'!$A:$Z, MATCH(AC$3, 'Daily 쨈 raw'!$A:$A, 0), MATCH($A5, 'Daily 쨈 raw'!$1:$1, 0)), ""), IF(val=0, "", val))</f>
        <v>15</v>
      </c>
      <c r="AD5" s="44">
        <f t="array" ref="AD5">LET(val, IFERROR(INDEX('Daily 쨈 raw'!$A:$Z, MATCH(AD$3, 'Daily 쨈 raw'!$A:$A, 0), MATCH($A5, 'Daily 쨈 raw'!$1:$1, 0)), ""), IF(val=0, "", val))</f>
        <v>13</v>
      </c>
      <c r="AE5" s="44">
        <f t="array" ref="AE5">LET(val, IFERROR(INDEX('Daily 쨈 raw'!$A:$Z, MATCH(AE$3, 'Daily 쨈 raw'!$A:$A, 0), MATCH($A5, 'Daily 쨈 raw'!$1:$1, 0)), ""), IF(val=0, "", val))</f>
        <v>24</v>
      </c>
      <c r="AF5" s="44">
        <f t="array" ref="AF5">LET(val, IFERROR(INDEX('Daily 쨈 raw'!$A:$Z, MATCH(AF$3, 'Daily 쨈 raw'!$A:$A, 0), MATCH($A5, 'Daily 쨈 raw'!$1:$1, 0)), ""), IF(val=0, "", val))</f>
        <v>31</v>
      </c>
      <c r="AG5" s="44">
        <f t="array" ref="AG5">LET(val, IFERROR(INDEX('Daily 쨈 raw'!$A:$Z, MATCH(AG$3, 'Daily 쨈 raw'!$A:$A, 0), MATCH($A5, 'Daily 쨈 raw'!$1:$1, 0)), ""), IF(val=0, "", val))</f>
        <v>140</v>
      </c>
      <c r="AH5" s="44">
        <f t="array" ref="AH5">LET(val, IFERROR(INDEX('Daily 쨈 raw'!$A:$Z, MATCH(AH$3, 'Daily 쨈 raw'!$A:$A, 0), MATCH($A5, 'Daily 쨈 raw'!$1:$1, 0)), ""), IF(val=0, "", val))</f>
        <v>66</v>
      </c>
      <c r="AI5" s="44">
        <f t="array" ref="AI5">LET(val, IFERROR(INDEX('Daily 쨈 raw'!$A:$Z, MATCH(AI$3, 'Daily 쨈 raw'!$A:$A, 0), MATCH($A5, 'Daily 쨈 raw'!$1:$1, 0)), ""), IF(val=0, "", val))</f>
        <v>22</v>
      </c>
      <c r="AJ5" s="44">
        <f t="array" ref="AJ5">LET(val, IFERROR(INDEX('Daily 쨈 raw'!$A:$Z, MATCH(AJ$3, 'Daily 쨈 raw'!$A:$A, 0), MATCH($A5, 'Daily 쨈 raw'!$1:$1, 0)), ""), IF(val=0, "", val))</f>
        <v>37</v>
      </c>
      <c r="AK5" s="44">
        <f t="array" ref="AK5">LET(val, IFERROR(INDEX('Daily 쨈 raw'!$A:$Z, MATCH(AK$3, 'Daily 쨈 raw'!$A:$A, 0), MATCH($A5, 'Daily 쨈 raw'!$1:$1, 0)), ""), IF(val=0, "", val))</f>
        <v>22</v>
      </c>
      <c r="AL5" s="44">
        <f t="array" ref="AL5">LET(val, IFERROR(INDEX('Daily 쨈 raw'!$A:$Z, MATCH(AL$3, 'Daily 쨈 raw'!$A:$A, 0), MATCH($A5, 'Daily 쨈 raw'!$1:$1, 0)), ""), IF(val=0, "", val))</f>
        <v>29</v>
      </c>
      <c r="AM5" s="44">
        <f t="array" ref="AM5">LET(val, IFERROR(INDEX('Daily 쨈 raw'!$A:$Z, MATCH(AM$3, 'Daily 쨈 raw'!$A:$A, 0), MATCH($A5, 'Daily 쨈 raw'!$1:$1, 0)), ""), IF(val=0, "", val))</f>
        <v>22</v>
      </c>
      <c r="AN5" s="44">
        <f t="array" ref="AN5">LET(val, IFERROR(INDEX('Daily 쨈 raw'!$A:$Z, MATCH(AN$3, 'Daily 쨈 raw'!$A:$A, 0), MATCH($A5, 'Daily 쨈 raw'!$1:$1, 0)), ""), IF(val=0, "", val))</f>
        <v>26</v>
      </c>
      <c r="AO5" s="44">
        <f t="array" ref="AO5">LET(val, IFERROR(INDEX('Daily 쨈 raw'!$A:$Z, MATCH(AO$3, 'Daily 쨈 raw'!$A:$A, 0), MATCH($A5, 'Daily 쨈 raw'!$1:$1, 0)), ""), IF(val=0, "", val))</f>
        <v>35</v>
      </c>
      <c r="AP5" s="44">
        <f t="array" ref="AP5">LET(val, IFERROR(INDEX('Daily 쨈 raw'!$A:$Z, MATCH(AP$3, 'Daily 쨈 raw'!$A:$A, 0), MATCH($A5, 'Daily 쨈 raw'!$1:$1, 0)), ""), IF(val=0, "", val))</f>
        <v>25</v>
      </c>
      <c r="AQ5" s="44">
        <f t="array" ref="AQ5">LET(val, IFERROR(INDEX('Daily 쨈 raw'!$A:$Z, MATCH(AQ$3, 'Daily 쨈 raw'!$A:$A, 0), MATCH($A5, 'Daily 쨈 raw'!$1:$1, 0)), ""), IF(val=0, "", val))</f>
        <v>22</v>
      </c>
      <c r="AR5" s="44">
        <f t="array" ref="AR5">LET(val, IFERROR(INDEX('Daily 쨈 raw'!$A:$Z, MATCH(AR$3, 'Daily 쨈 raw'!$A:$A, 0), MATCH($A5, 'Daily 쨈 raw'!$1:$1, 0)), ""), IF(val=0, "", val))</f>
        <v>20</v>
      </c>
      <c r="AS5" s="44">
        <f t="array" ref="AS5">LET(val, IFERROR(INDEX('Daily 쨈 raw'!$A:$Z, MATCH(AS$3, 'Daily 쨈 raw'!$A:$A, 0), MATCH($A5, 'Daily 쨈 raw'!$1:$1, 0)), ""), IF(val=0, "", val))</f>
        <v>14</v>
      </c>
      <c r="AT5" s="44">
        <f t="array" ref="AT5">LET(val, IFERROR(INDEX('Daily 쨈 raw'!$A:$Z, MATCH(AT$3, 'Daily 쨈 raw'!$A:$A, 0), MATCH($A5, 'Daily 쨈 raw'!$1:$1, 0)), ""), IF(val=0, "", val))</f>
        <v>19</v>
      </c>
      <c r="AU5" s="44">
        <f t="array" ref="AU5">LET(val, IFERROR(INDEX('Daily 쨈 raw'!$A:$Z, MATCH(AU$3, 'Daily 쨈 raw'!$A:$A, 0), MATCH($A5, 'Daily 쨈 raw'!$1:$1, 0)), ""), IF(val=0, "", val))</f>
        <v>11</v>
      </c>
      <c r="AV5" s="44">
        <f t="array" ref="AV5">LET(val, IFERROR(INDEX('Daily 쨈 raw'!$A:$Z, MATCH(AV$3, 'Daily 쨈 raw'!$A:$A, 0), MATCH($A5, 'Daily 쨈 raw'!$1:$1, 0)), ""), IF(val=0, "", val))</f>
        <v>17</v>
      </c>
      <c r="AW5" s="44">
        <f t="array" ref="AW5">LET(val, IFERROR(INDEX('Daily 쨈 raw'!$A:$Z, MATCH(AW$3, 'Daily 쨈 raw'!$A:$A, 0), MATCH($A5, 'Daily 쨈 raw'!$1:$1, 0)), ""), IF(val=0, "", val))</f>
        <v>10</v>
      </c>
      <c r="AX5" s="44">
        <f t="array" ref="AX5">LET(val, IFERROR(INDEX('Daily 쨈 raw'!$A:$Z, MATCH(AX$3, 'Daily 쨈 raw'!$A:$A, 0), MATCH($A5, 'Daily 쨈 raw'!$1:$1, 0)), ""), IF(val=0, "", val))</f>
        <v>13</v>
      </c>
      <c r="AY5" s="44">
        <f t="array" ref="AY5">LET(val, IFERROR(INDEX('Daily 쨈 raw'!$A:$Z, MATCH(AY$3, 'Daily 쨈 raw'!$A:$A, 0), MATCH($A5, 'Daily 쨈 raw'!$1:$1, 0)), ""), IF(val=0, "", val))</f>
        <v>9</v>
      </c>
      <c r="AZ5" s="44">
        <f t="array" ref="AZ5">LET(val, IFERROR(INDEX('Daily 쨈 raw'!$A:$Z, MATCH(AZ$3, 'Daily 쨈 raw'!$A:$A, 0), MATCH($A5, 'Daily 쨈 raw'!$1:$1, 0)), ""), IF(val=0, "", val))</f>
        <v>7</v>
      </c>
      <c r="BA5" s="44">
        <f t="array" ref="BA5">LET(val, IFERROR(INDEX('Daily 쨈 raw'!$A:$Z, MATCH(BA$3, 'Daily 쨈 raw'!$A:$A, 0), MATCH($A5, 'Daily 쨈 raw'!$1:$1, 0)), ""), IF(val=0, "", val))</f>
        <v>16</v>
      </c>
      <c r="BB5" s="44">
        <f t="array" ref="BB5">LET(val, IFERROR(INDEX('Daily 쨈 raw'!$A:$Z, MATCH(BB$3, 'Daily 쨈 raw'!$A:$A, 0), MATCH($A5, 'Daily 쨈 raw'!$1:$1, 0)), ""), IF(val=0, "", val))</f>
        <v>10</v>
      </c>
      <c r="BC5" s="44">
        <f t="array" ref="BC5">LET(val, IFERROR(INDEX('Daily 쨈 raw'!$A:$Z, MATCH(BC$3, 'Daily 쨈 raw'!$A:$A, 0), MATCH($A5, 'Daily 쨈 raw'!$1:$1, 0)), ""), IF(val=0, "", val))</f>
        <v>12</v>
      </c>
      <c r="BD5" s="44">
        <f t="array" ref="BD5">LET(val, IFERROR(INDEX('Daily 쨈 raw'!$A:$Z, MATCH(BD$3, 'Daily 쨈 raw'!$A:$A, 0), MATCH($A5, 'Daily 쨈 raw'!$1:$1, 0)), ""), IF(val=0, "", val))</f>
        <v>21</v>
      </c>
      <c r="BE5" s="44">
        <f t="array" ref="BE5">LET(val, IFERROR(INDEX('Daily 쨈 raw'!$A:$Z, MATCH(BE$3, 'Daily 쨈 raw'!$A:$A, 0), MATCH($A5, 'Daily 쨈 raw'!$1:$1, 0)), ""), IF(val=0, "", val))</f>
        <v>32</v>
      </c>
      <c r="BF5" s="44">
        <f t="array" ref="BF5">LET(val, IFERROR(INDEX('Daily 쨈 raw'!$A:$Z, MATCH(BF$3, 'Daily 쨈 raw'!$A:$A, 0), MATCH($A5, 'Daily 쨈 raw'!$1:$1, 0)), ""), IF(val=0, "", val))</f>
        <v>20</v>
      </c>
      <c r="BG5" s="44">
        <f t="array" ref="BG5">LET(val, IFERROR(INDEX('Daily 쨈 raw'!$A:$Z, MATCH(BG$3, 'Daily 쨈 raw'!$A:$A, 0), MATCH($A5, 'Daily 쨈 raw'!$1:$1, 0)), ""), IF(val=0, "", val))</f>
        <v>13</v>
      </c>
      <c r="BH5" s="44">
        <f t="array" ref="BH5">LET(val, IFERROR(INDEX('Daily 쨈 raw'!$A:$Z, MATCH(BH$3, 'Daily 쨈 raw'!$A:$A, 0), MATCH($A5, 'Daily 쨈 raw'!$1:$1, 0)), ""), IF(val=0, "", val))</f>
        <v>12</v>
      </c>
      <c r="BI5" s="44">
        <f t="array" ref="BI5">LET(val, IFERROR(INDEX('Daily 쨈 raw'!$A:$Z, MATCH(BI$3, 'Daily 쨈 raw'!$A:$A, 0), MATCH($A5, 'Daily 쨈 raw'!$1:$1, 0)), ""), IF(val=0, "", val))</f>
        <v>12</v>
      </c>
      <c r="BJ5" s="44">
        <f t="array" ref="BJ5">LET(val, IFERROR(INDEX('Daily 쨈 raw'!$A:$Z, MATCH(BJ$3, 'Daily 쨈 raw'!$A:$A, 0), MATCH($A5, 'Daily 쨈 raw'!$1:$1, 0)), ""), IF(val=0, "", val))</f>
        <v>22</v>
      </c>
      <c r="BK5" s="44">
        <f t="array" ref="BK5">LET(val, IFERROR(INDEX('Daily 쨈 raw'!$A:$Z, MATCH(BK$3, 'Daily 쨈 raw'!$A:$A, 0), MATCH($A5, 'Daily 쨈 raw'!$1:$1, 0)), ""), IF(val=0, "", val))</f>
        <v>26</v>
      </c>
      <c r="BL5" s="44">
        <f t="array" ref="BL5">LET(val, IFERROR(INDEX('Daily 쨈 raw'!$A:$Z, MATCH(BL$3, 'Daily 쨈 raw'!$A:$A, 0), MATCH($A5, 'Daily 쨈 raw'!$1:$1, 0)), ""), IF(val=0, "", val))</f>
        <v>26</v>
      </c>
      <c r="BM5" s="44">
        <f t="array" ref="BM5">LET(val, IFERROR(INDEX('Daily 쨈 raw'!$A:$Z, MATCH(BM$3, 'Daily 쨈 raw'!$A:$A, 0), MATCH($A5, 'Daily 쨈 raw'!$1:$1, 0)), ""), IF(val=0, "", val))</f>
        <v>14</v>
      </c>
      <c r="BN5" s="44">
        <f t="array" ref="BN5">LET(val, IFERROR(INDEX('Daily 쨈 raw'!$A:$Z, MATCH(BN$3, 'Daily 쨈 raw'!$A:$A, 0), MATCH($A5, 'Daily 쨈 raw'!$1:$1, 0)), ""), IF(val=0, "", val))</f>
        <v>11</v>
      </c>
      <c r="BO5" s="44">
        <f t="array" ref="BO5">LET(val, IFERROR(INDEX('Daily 쨈 raw'!$A:$Z, MATCH(BO$3, 'Daily 쨈 raw'!$A:$A, 0), MATCH($A5, 'Daily 쨈 raw'!$1:$1, 0)), ""), IF(val=0, "", val))</f>
        <v>12</v>
      </c>
      <c r="BP5" s="44">
        <f t="array" ref="BP5">LET(val, IFERROR(INDEX('Daily 쨈 raw'!$A:$Z, MATCH(BP$3, 'Daily 쨈 raw'!$A:$A, 0), MATCH($A5, 'Daily 쨈 raw'!$1:$1, 0)), ""), IF(val=0, "", val))</f>
        <v>11</v>
      </c>
      <c r="BQ5" s="44">
        <f t="array" ref="BQ5">LET(val, IFERROR(INDEX('Daily 쨈 raw'!$A:$Z, MATCH(BQ$3, 'Daily 쨈 raw'!$A:$A, 0), MATCH($A5, 'Daily 쨈 raw'!$1:$1, 0)), ""), IF(val=0, "", val))</f>
        <v>6</v>
      </c>
      <c r="BR5" s="44">
        <f t="array" ref="BR5">LET(val, IFERROR(INDEX('Daily 쨈 raw'!$A:$Z, MATCH(BR$3, 'Daily 쨈 raw'!$A:$A, 0), MATCH($A5, 'Daily 쨈 raw'!$1:$1, 0)), ""), IF(val=0, "", val))</f>
        <v>9</v>
      </c>
      <c r="BS5" s="44">
        <f t="array" ref="BS5">LET(val, IFERROR(INDEX('Daily 쨈 raw'!$A:$Z, MATCH(BS$3, 'Daily 쨈 raw'!$A:$A, 0), MATCH($A5, 'Daily 쨈 raw'!$1:$1, 0)), ""), IF(val=0, "", val))</f>
        <v>17</v>
      </c>
      <c r="BT5" s="44">
        <f t="array" ref="BT5">LET(val, IFERROR(INDEX('Daily 쨈 raw'!$A:$Z, MATCH(BT$3, 'Daily 쨈 raw'!$A:$A, 0), MATCH($A5, 'Daily 쨈 raw'!$1:$1, 0)), ""), IF(val=0, "", val))</f>
        <v>7</v>
      </c>
      <c r="BU5" s="44">
        <f t="array" ref="BU5">LET(val, IFERROR(INDEX('Daily 쨈 raw'!$A:$Z, MATCH(BU$3, 'Daily 쨈 raw'!$A:$A, 0), MATCH($A5, 'Daily 쨈 raw'!$1:$1, 0)), ""), IF(val=0, "", val))</f>
        <v>18</v>
      </c>
      <c r="BV5" s="44">
        <f t="array" ref="BV5">LET(val, IFERROR(INDEX('Daily 쨈 raw'!$A:$Z, MATCH(BV$3, 'Daily 쨈 raw'!$A:$A, 0), MATCH($A5, 'Daily 쨈 raw'!$1:$1, 0)), ""), IF(val=0, "", val))</f>
        <v>6</v>
      </c>
      <c r="BW5" s="44">
        <f t="array" ref="BW5">LET(val, IFERROR(INDEX('Daily 쨈 raw'!$A:$Z, MATCH(BW$3, 'Daily 쨈 raw'!$A:$A, 0), MATCH($A5, 'Daily 쨈 raw'!$1:$1, 0)), ""), IF(val=0, "", val))</f>
        <v>13</v>
      </c>
      <c r="BX5" s="44">
        <f t="array" ref="BX5">LET(val, IFERROR(INDEX('Daily 쨈 raw'!$A:$Z, MATCH(BX$3, 'Daily 쨈 raw'!$A:$A, 0), MATCH($A5, 'Daily 쨈 raw'!$1:$1, 0)), ""), IF(val=0, "", val))</f>
        <v>11</v>
      </c>
      <c r="BY5" s="44">
        <f t="array" ref="BY5">LET(val, IFERROR(INDEX('Daily 쨈 raw'!$A:$Z, MATCH(BY$3, 'Daily 쨈 raw'!$A:$A, 0), MATCH($A5, 'Daily 쨈 raw'!$1:$1, 0)), ""), IF(val=0, "", val))</f>
        <v>19</v>
      </c>
      <c r="BZ5" s="44">
        <f t="array" ref="BZ5">LET(val, IFERROR(INDEX('Daily 쨈 raw'!$A:$Z, MATCH(BZ$3, 'Daily 쨈 raw'!$A:$A, 0), MATCH($A5, 'Daily 쨈 raw'!$1:$1, 0)), ""), IF(val=0, "", val))</f>
        <v>9</v>
      </c>
      <c r="CA5" s="44">
        <f t="array" ref="CA5">LET(val, IFERROR(INDEX('Daily 쨈 raw'!$A:$Z, MATCH(CA$3, 'Daily 쨈 raw'!$A:$A, 0), MATCH($A5, 'Daily 쨈 raw'!$1:$1, 0)), ""), IF(val=0, "", val))</f>
        <v>7</v>
      </c>
      <c r="CB5" s="44">
        <f t="array" ref="CB5">LET(val, IFERROR(INDEX('Daily 쨈 raw'!$A:$Z, MATCH(CB$3, 'Daily 쨈 raw'!$A:$A, 0), MATCH($A5, 'Daily 쨈 raw'!$1:$1, 0)), ""), IF(val=0, "", val))</f>
        <v>8</v>
      </c>
      <c r="CC5" s="44">
        <f t="array" ref="CC5">LET(val, IFERROR(INDEX('Daily 쨈 raw'!$A:$Z, MATCH(CC$3, 'Daily 쨈 raw'!$A:$A, 0), MATCH($A5, 'Daily 쨈 raw'!$1:$1, 0)), ""), IF(val=0, "", val))</f>
        <v>16</v>
      </c>
      <c r="CD5" s="44">
        <f t="array" ref="CD5">LET(val, IFERROR(INDEX('Daily 쨈 raw'!$A:$Z, MATCH(CD$3, 'Daily 쨈 raw'!$A:$A, 0), MATCH($A5, 'Daily 쨈 raw'!$1:$1, 0)), ""), IF(val=0, "", val))</f>
        <v>19</v>
      </c>
      <c r="CE5" s="44">
        <f t="array" ref="CE5">LET(val, IFERROR(INDEX('Daily 쨈 raw'!$A:$Z, MATCH(CE$3, 'Daily 쨈 raw'!$A:$A, 0), MATCH($A5, 'Daily 쨈 raw'!$1:$1, 0)), ""), IF(val=0, "", val))</f>
        <v>12</v>
      </c>
      <c r="CF5" s="44">
        <f t="array" ref="CF5">LET(val, IFERROR(INDEX('Daily 쨈 raw'!$A:$Z, MATCH(CF$3, 'Daily 쨈 raw'!$A:$A, 0), MATCH($A5, 'Daily 쨈 raw'!$1:$1, 0)), ""), IF(val=0, "", val))</f>
        <v>16</v>
      </c>
      <c r="CG5" s="44">
        <f t="array" ref="CG5">LET(val, IFERROR(INDEX('Daily 쨈 raw'!$A:$Z, MATCH(CG$3, 'Daily 쨈 raw'!$A:$A, 0), MATCH($A5, 'Daily 쨈 raw'!$1:$1, 0)), ""), IF(val=0, "", val))</f>
        <v>17</v>
      </c>
      <c r="CH5" s="44">
        <f t="array" ref="CH5">LET(val, IFERROR(INDEX('Daily 쨈 raw'!$A:$Z, MATCH(CH$3, 'Daily 쨈 raw'!$A:$A, 0), MATCH($A5, 'Daily 쨈 raw'!$1:$1, 0)), ""), IF(val=0, "", val))</f>
        <v>18</v>
      </c>
      <c r="CI5" s="44">
        <f t="array" ref="CI5">LET(val, IFERROR(INDEX('Daily 쨈 raw'!$A:$Z, MATCH(CI$3, 'Daily 쨈 raw'!$A:$A, 0), MATCH($A5, 'Daily 쨈 raw'!$1:$1, 0)), ""), IF(val=0, "", val))</f>
        <v>30</v>
      </c>
      <c r="CJ5" s="44">
        <f t="array" ref="CJ5">LET(val, IFERROR(INDEX('Daily 쨈 raw'!$A:$Z, MATCH(CJ$3, 'Daily 쨈 raw'!$A:$A, 0), MATCH($A5, 'Daily 쨈 raw'!$1:$1, 0)), ""), IF(val=0, "", val))</f>
        <v>24</v>
      </c>
      <c r="CK5" s="44">
        <f t="array" ref="CK5">LET(val, IFERROR(INDEX('Daily 쨈 raw'!$A:$Z, MATCH(CK$3, 'Daily 쨈 raw'!$A:$A, 0), MATCH($A5, 'Daily 쨈 raw'!$1:$1, 0)), ""), IF(val=0, "", val))</f>
        <v>28</v>
      </c>
      <c r="CL5" s="44">
        <f t="array" ref="CL5">LET(val, IFERROR(INDEX('Daily 쨈 raw'!$A:$Z, MATCH(CL$3, 'Daily 쨈 raw'!$A:$A, 0), MATCH($A5, 'Daily 쨈 raw'!$1:$1, 0)), ""), IF(val=0, "", val))</f>
        <v>21</v>
      </c>
      <c r="CM5" s="44">
        <f t="array" ref="CM5">LET(val, IFERROR(INDEX('Daily 쨈 raw'!$A:$Z, MATCH(CM$3, 'Daily 쨈 raw'!$A:$A, 0), MATCH($A5, 'Daily 쨈 raw'!$1:$1, 0)), ""), IF(val=0, "", val))</f>
        <v>19</v>
      </c>
      <c r="CN5" s="44">
        <f t="array" ref="CN5">LET(val, IFERROR(INDEX('Daily 쨈 raw'!$A:$Z, MATCH(CN$3, 'Daily 쨈 raw'!$A:$A, 0), MATCH($A5, 'Daily 쨈 raw'!$1:$1, 0)), ""), IF(val=0, "", val))</f>
        <v>15</v>
      </c>
      <c r="CO5" s="44" t="str">
        <f t="array" ref="CO5">LET(val, IFERROR(INDEX('Daily 쨈 raw'!$A:$Z, MATCH(CO$3, 'Daily 쨈 raw'!$A:$A, 0), MATCH($A5, 'Daily 쨈 raw'!$1:$1, 0)), ""), IF(val=0, "", val))</f>
        <v/>
      </c>
      <c r="CP5" s="44" t="str">
        <f t="array" ref="CP5">LET(val, IFERROR(INDEX('Daily 쨈 raw'!$A:$Z, MATCH(CP$3, 'Daily 쨈 raw'!$A:$A, 0), MATCH($A5, 'Daily 쨈 raw'!$1:$1, 0)), ""), IF(val=0, "", val))</f>
        <v/>
      </c>
      <c r="CQ5" s="44" t="str">
        <f t="array" ref="CQ5">LET(val, IFERROR(INDEX('Daily 쨈 raw'!$A:$Z, MATCH(CQ$3, 'Daily 쨈 raw'!$A:$A, 0), MATCH($A5, 'Daily 쨈 raw'!$1:$1, 0)), ""), IF(val=0, "", val))</f>
        <v/>
      </c>
      <c r="CR5" s="44" t="str">
        <f t="array" ref="CR5">LET(val, IFERROR(INDEX('Daily 쨈 raw'!$A:$Z, MATCH(CR$3, 'Daily 쨈 raw'!$A:$A, 0), MATCH($A5, 'Daily 쨈 raw'!$1:$1, 0)), ""), IF(val=0, "", val))</f>
        <v/>
      </c>
      <c r="CS5" s="44" t="str">
        <f t="array" ref="CS5">LET(val, IFERROR(INDEX('Daily 쨈 raw'!$A:$Z, MATCH(CS$3, 'Daily 쨈 raw'!$A:$A, 0), MATCH($A5, 'Daily 쨈 raw'!$1:$1, 0)), ""), IF(val=0, "", val))</f>
        <v/>
      </c>
      <c r="CT5" s="44" t="str">
        <f t="array" ref="CT5">LET(val, IFERROR(INDEX('Daily 쨈 raw'!$A:$Z, MATCH(CT$3, 'Daily 쨈 raw'!$A:$A, 0), MATCH($A5, 'Daily 쨈 raw'!$1:$1, 0)), ""), IF(val=0, "", val))</f>
        <v/>
      </c>
      <c r="CU5" s="44" t="str">
        <f t="array" ref="CU5">LET(val, IFERROR(INDEX('Daily 쨈 raw'!$A:$Z, MATCH(CU$3, 'Daily 쨈 raw'!$A:$A, 0), MATCH($A5, 'Daily 쨈 raw'!$1:$1, 0)), ""), IF(val=0, "", val))</f>
        <v/>
      </c>
      <c r="CV5" s="44" t="str">
        <f t="array" ref="CV5">LET(val, IFERROR(INDEX('Daily 쨈 raw'!$A:$Z, MATCH(CV$3, 'Daily 쨈 raw'!$A:$A, 0), MATCH($A5, 'Daily 쨈 raw'!$1:$1, 0)), ""), IF(val=0, "", val))</f>
        <v/>
      </c>
      <c r="CW5" s="44" t="str">
        <f t="array" ref="CW5">LET(val, IFERROR(INDEX('Daily 쨈 raw'!$A:$Z, MATCH(CW$3, 'Daily 쨈 raw'!$A:$A, 0), MATCH($A5, 'Daily 쨈 raw'!$1:$1, 0)), ""), IF(val=0, "", val))</f>
        <v/>
      </c>
      <c r="CX5" s="44" t="str">
        <f t="array" ref="CX5">LET(val, IFERROR(INDEX('Daily 쨈 raw'!$A:$Z, MATCH(CX$3, 'Daily 쨈 raw'!$A:$A, 0), MATCH($A5, 'Daily 쨈 raw'!$1:$1, 0)), ""), IF(val=0, "", val))</f>
        <v/>
      </c>
      <c r="CY5" s="44" t="str">
        <f t="array" ref="CY5">LET(val, IFERROR(INDEX('Daily 쨈 raw'!$A:$Z, MATCH(CY$3, 'Daily 쨈 raw'!$A:$A, 0), MATCH($A5, 'Daily 쨈 raw'!$1:$1, 0)), ""), IF(val=0, "", val))</f>
        <v/>
      </c>
      <c r="CZ5" s="44" t="str">
        <f t="array" ref="CZ5">LET(val, IFERROR(INDEX('Daily 쨈 raw'!$A:$Z, MATCH(CZ$3, 'Daily 쨈 raw'!$A:$A, 0), MATCH($A5, 'Daily 쨈 raw'!$1:$1, 0)), ""), IF(val=0, "", val))</f>
        <v/>
      </c>
      <c r="DA5" s="44" t="str">
        <f t="array" ref="DA5">LET(val, IFERROR(INDEX('Daily 쨈 raw'!$A:$Z, MATCH(DA$3, 'Daily 쨈 raw'!$A:$A, 0), MATCH($A5, 'Daily 쨈 raw'!$1:$1, 0)), ""), IF(val=0, "", val))</f>
        <v/>
      </c>
      <c r="DB5" s="44" t="str">
        <f t="array" ref="DB5">LET(val, IFERROR(INDEX('Daily 쨈 raw'!$A:$Z, MATCH(DB$3, 'Daily 쨈 raw'!$A:$A, 0), MATCH($A5, 'Daily 쨈 raw'!$1:$1, 0)), ""), IF(val=0, "", val))</f>
        <v/>
      </c>
      <c r="DC5" s="44" t="str">
        <f t="array" ref="DC5">LET(val, IFERROR(INDEX('Daily 쨈 raw'!$A:$Z, MATCH(DC$3, 'Daily 쨈 raw'!$A:$A, 0), MATCH($A5, 'Daily 쨈 raw'!$1:$1, 0)), ""), IF(val=0, "", val))</f>
        <v/>
      </c>
      <c r="DD5" s="44" t="str">
        <f t="array" ref="DD5">LET(val, IFERROR(INDEX('Daily 쨈 raw'!$A:$Z, MATCH(DD$3, 'Daily 쨈 raw'!$A:$A, 0), MATCH($A5, 'Daily 쨈 raw'!$1:$1, 0)), ""), IF(val=0, "", val))</f>
        <v/>
      </c>
      <c r="DE5" s="44" t="str">
        <f t="array" ref="DE5">LET(val, IFERROR(INDEX('Daily 쨈 raw'!$A:$Z, MATCH(DE$3, 'Daily 쨈 raw'!$A:$A, 0), MATCH($A5, 'Daily 쨈 raw'!$1:$1, 0)), ""), IF(val=0, "", val))</f>
        <v/>
      </c>
      <c r="DF5" s="44" t="str">
        <f t="array" ref="DF5">LET(val, IFERROR(INDEX('Daily 쨈 raw'!$A:$Z, MATCH(DF$3, 'Daily 쨈 raw'!$A:$A, 0), MATCH($A5, 'Daily 쨈 raw'!$1:$1, 0)), ""), IF(val=0, "", val))</f>
        <v/>
      </c>
      <c r="DG5" s="44" t="str">
        <f t="array" ref="DG5">LET(val, IFERROR(INDEX('Daily 쨈 raw'!$A:$Z, MATCH(DG$3, 'Daily 쨈 raw'!$A:$A, 0), MATCH($A5, 'Daily 쨈 raw'!$1:$1, 0)), ""), IF(val=0, "", val))</f>
        <v/>
      </c>
      <c r="DH5" s="44" t="str">
        <f t="array" ref="DH5">LET(val, IFERROR(INDEX('Daily 쨈 raw'!$A:$Z, MATCH(DH$3, 'Daily 쨈 raw'!$A:$A, 0), MATCH($A5, 'Daily 쨈 raw'!$1:$1, 0)), ""), IF(val=0, "", val))</f>
        <v/>
      </c>
      <c r="DI5" s="44" t="str">
        <f t="array" ref="DI5">LET(val, IFERROR(INDEX('Daily 쨈 raw'!$A:$Z, MATCH(DI$3, 'Daily 쨈 raw'!$A:$A, 0), MATCH($A5, 'Daily 쨈 raw'!$1:$1, 0)), ""), IF(val=0, "", val))</f>
        <v/>
      </c>
      <c r="DJ5" s="44" t="str">
        <f t="array" ref="DJ5">LET(val, IFERROR(INDEX('Daily 쨈 raw'!$A:$Z, MATCH(DJ$3, 'Daily 쨈 raw'!$A:$A, 0), MATCH($A5, 'Daily 쨈 raw'!$1:$1, 0)), ""), IF(val=0, "", val))</f>
        <v/>
      </c>
      <c r="DK5" s="44" t="str">
        <f t="array" ref="DK5">LET(val, IFERROR(INDEX('Daily 쨈 raw'!$A:$Z, MATCH(DK$3, 'Daily 쨈 raw'!$A:$A, 0), MATCH($A5, 'Daily 쨈 raw'!$1:$1, 0)), ""), IF(val=0, "", val))</f>
        <v/>
      </c>
      <c r="DL5" s="44" t="str">
        <f t="array" ref="DL5">LET(val, IFERROR(INDEX('Daily 쨈 raw'!$A:$Z, MATCH(DL$3, 'Daily 쨈 raw'!$A:$A, 0), MATCH($A5, 'Daily 쨈 raw'!$1:$1, 0)), ""), IF(val=0, "", val))</f>
        <v/>
      </c>
      <c r="DM5" s="44" t="str">
        <f t="array" ref="DM5">LET(val, IFERROR(INDEX('Daily 쨈 raw'!$A:$Z, MATCH(DM$3, 'Daily 쨈 raw'!$A:$A, 0), MATCH($A5, 'Daily 쨈 raw'!$1:$1, 0)), ""), IF(val=0, "", val))</f>
        <v/>
      </c>
      <c r="DN5" s="44" t="str">
        <f t="array" ref="DN5">LET(val, IFERROR(INDEX('Daily 쨈 raw'!$A:$Z, MATCH(DN$3, 'Daily 쨈 raw'!$A:$A, 0), MATCH($A5, 'Daily 쨈 raw'!$1:$1, 0)), ""), IF(val=0, "", val))</f>
        <v/>
      </c>
      <c r="DO5" s="44" t="str">
        <f t="array" ref="DO5">LET(val, IFERROR(INDEX('Daily 쨈 raw'!$A:$Z, MATCH(DO$3, 'Daily 쨈 raw'!$A:$A, 0), MATCH($A5, 'Daily 쨈 raw'!$1:$1, 0)), ""), IF(val=0, "", val))</f>
        <v/>
      </c>
      <c r="DP5" s="44" t="str">
        <f t="array" ref="DP5">LET(val, IFERROR(INDEX('Daily 쨈 raw'!$A:$Z, MATCH(DP$3, 'Daily 쨈 raw'!$A:$A, 0), MATCH($A5, 'Daily 쨈 raw'!$1:$1, 0)), ""), IF(val=0, "", val))</f>
        <v/>
      </c>
      <c r="DQ5" s="44" t="str">
        <f t="array" ref="DQ5">LET(val, IFERROR(INDEX('Daily 쨈 raw'!$A:$Z, MATCH(DQ$3, 'Daily 쨈 raw'!$A:$A, 0), MATCH($A5, 'Daily 쨈 raw'!$1:$1, 0)), ""), IF(val=0, "", val))</f>
        <v/>
      </c>
      <c r="DR5" s="44" t="str">
        <f t="array" ref="DR5">LET(val, IFERROR(INDEX('Daily 쨈 raw'!$A:$Z, MATCH(DR$3, 'Daily 쨈 raw'!$A:$A, 0), MATCH($A5, 'Daily 쨈 raw'!$1:$1, 0)), ""), IF(val=0, "", val))</f>
        <v/>
      </c>
      <c r="DS5" s="44" t="str">
        <f t="array" ref="DS5">LET(val, IFERROR(INDEX('Daily 쨈 raw'!$A:$Z, MATCH(DS$3, 'Daily 쨈 raw'!$A:$A, 0), MATCH($A5, 'Daily 쨈 raw'!$1:$1, 0)), ""), IF(val=0, "", val))</f>
        <v/>
      </c>
      <c r="DT5" s="44" t="str">
        <f t="array" ref="DT5">LET(val, IFERROR(INDEX('Daily 쨈 raw'!$A:$Z, MATCH(DT$3, 'Daily 쨈 raw'!$A:$A, 0), MATCH($A5, 'Daily 쨈 raw'!$1:$1, 0)), ""), IF(val=0, "", val))</f>
        <v/>
      </c>
      <c r="DU5" s="44" t="str">
        <f t="array" ref="DU5">LET(val, IFERROR(INDEX('Daily 쨈 raw'!$A:$Z, MATCH(DU$3, 'Daily 쨈 raw'!$A:$A, 0), MATCH($A5, 'Daily 쨈 raw'!$1:$1, 0)), ""), IF(val=0, "", val))</f>
        <v/>
      </c>
      <c r="DV5" s="44" t="str">
        <f t="array" ref="DV5">LET(val, IFERROR(INDEX('Daily 쨈 raw'!$A:$Z, MATCH(DV$3, 'Daily 쨈 raw'!$A:$A, 0), MATCH($A5, 'Daily 쨈 raw'!$1:$1, 0)), ""), IF(val=0, "", val))</f>
        <v/>
      </c>
      <c r="DW5" s="44" t="str">
        <f t="array" ref="DW5">LET(val, IFERROR(INDEX('Daily 쨈 raw'!$A:$Z, MATCH(DW$3, 'Daily 쨈 raw'!$A:$A, 0), MATCH($A5, 'Daily 쨈 raw'!$1:$1, 0)), ""), IF(val=0, "", val))</f>
        <v/>
      </c>
      <c r="DX5" s="44" t="str">
        <f t="array" ref="DX5">LET(val, IFERROR(INDEX('Daily 쨈 raw'!$A:$Z, MATCH(DX$3, 'Daily 쨈 raw'!$A:$A, 0), MATCH($A5, 'Daily 쨈 raw'!$1:$1, 0)), ""), IF(val=0, "", val))</f>
        <v/>
      </c>
      <c r="DY5" s="44" t="str">
        <f t="array" ref="DY5">LET(val, IFERROR(INDEX('Daily 쨈 raw'!$A:$Z, MATCH(DY$3, 'Daily 쨈 raw'!$A:$A, 0), MATCH($A5, 'Daily 쨈 raw'!$1:$1, 0)), ""), IF(val=0, "", val))</f>
        <v/>
      </c>
      <c r="DZ5" s="44" t="str">
        <f t="array" ref="DZ5">LET(val, IFERROR(INDEX('Daily 쨈 raw'!$A:$Z, MATCH(DZ$3, 'Daily 쨈 raw'!$A:$A, 0), MATCH($A5, 'Daily 쨈 raw'!$1:$1, 0)), ""), IF(val=0, "", val))</f>
        <v/>
      </c>
    </row>
    <row r="6" ht="22.5" customHeight="1">
      <c r="A6" s="23" t="s">
        <v>64</v>
      </c>
      <c r="B6" s="43" t="s">
        <v>65</v>
      </c>
      <c r="C6" s="44">
        <f t="array" ref="C6">LET(val, IFERROR(INDEX('Daily 쨈 raw'!$A:$Z, MATCH(C$3, 'Daily 쨈 raw'!$A:$A, 0), MATCH($A6, 'Daily 쨈 raw'!$1:$1, 0)), ""), IF(val=0, "", val))</f>
        <v>64</v>
      </c>
      <c r="D6" s="44">
        <f t="array" ref="D6">LET(val, IFERROR(INDEX('Daily 쨈 raw'!$A:$Z, MATCH(D$3, 'Daily 쨈 raw'!$A:$A, 0), MATCH($A6, 'Daily 쨈 raw'!$1:$1, 0)), ""), IF(val=0, "", val))</f>
        <v>77</v>
      </c>
      <c r="E6" s="44">
        <f t="array" ref="E6">LET(val, IFERROR(INDEX('Daily 쨈 raw'!$A:$Z, MATCH(E$3, 'Daily 쨈 raw'!$A:$A, 0), MATCH($A6, 'Daily 쨈 raw'!$1:$1, 0)), ""), IF(val=0, "", val))</f>
        <v>53</v>
      </c>
      <c r="F6" s="44">
        <f t="array" ref="F6">LET(val, IFERROR(INDEX('Daily 쨈 raw'!$A:$Z, MATCH(F$3, 'Daily 쨈 raw'!$A:$A, 0), MATCH($A6, 'Daily 쨈 raw'!$1:$1, 0)), ""), IF(val=0, "", val))</f>
        <v>39</v>
      </c>
      <c r="G6" s="44">
        <f t="array" ref="G6">LET(val, IFERROR(INDEX('Daily 쨈 raw'!$A:$Z, MATCH(G$3, 'Daily 쨈 raw'!$A:$A, 0), MATCH($A6, 'Daily 쨈 raw'!$1:$1, 0)), ""), IF(val=0, "", val))</f>
        <v>35</v>
      </c>
      <c r="H6" s="44">
        <f t="array" ref="H6">LET(val, IFERROR(INDEX('Daily 쨈 raw'!$A:$Z, MATCH(H$3, 'Daily 쨈 raw'!$A:$A, 0), MATCH($A6, 'Daily 쨈 raw'!$1:$1, 0)), ""), IF(val=0, "", val))</f>
        <v>83</v>
      </c>
      <c r="I6" s="44">
        <f t="array" ref="I6">LET(val, IFERROR(INDEX('Daily 쨈 raw'!$A:$Z, MATCH(I$3, 'Daily 쨈 raw'!$A:$A, 0), MATCH($A6, 'Daily 쨈 raw'!$1:$1, 0)), ""), IF(val=0, "", val))</f>
        <v>64</v>
      </c>
      <c r="J6" s="44">
        <f t="array" ref="J6">LET(val, IFERROR(INDEX('Daily 쨈 raw'!$A:$Z, MATCH(J$3, 'Daily 쨈 raw'!$A:$A, 0), MATCH($A6, 'Daily 쨈 raw'!$1:$1, 0)), ""), IF(val=0, "", val))</f>
        <v>48</v>
      </c>
      <c r="K6" s="44">
        <f t="array" ref="K6">LET(val, IFERROR(INDEX('Daily 쨈 raw'!$A:$Z, MATCH(K$3, 'Daily 쨈 raw'!$A:$A, 0), MATCH($A6, 'Daily 쨈 raw'!$1:$1, 0)), ""), IF(val=0, "", val))</f>
        <v>85</v>
      </c>
      <c r="L6" s="44">
        <f t="array" ref="L6">LET(val, IFERROR(INDEX('Daily 쨈 raw'!$A:$Z, MATCH(L$3, 'Daily 쨈 raw'!$A:$A, 0), MATCH($A6, 'Daily 쨈 raw'!$1:$1, 0)), ""), IF(val=0, "", val))</f>
        <v>91</v>
      </c>
      <c r="M6" s="44">
        <f t="array" ref="M6">LET(val, IFERROR(INDEX('Daily 쨈 raw'!$A:$Z, MATCH(M$3, 'Daily 쨈 raw'!$A:$A, 0), MATCH($A6, 'Daily 쨈 raw'!$1:$1, 0)), ""), IF(val=0, "", val))</f>
        <v>68</v>
      </c>
      <c r="N6" s="44">
        <f t="array" ref="N6">LET(val, IFERROR(INDEX('Daily 쨈 raw'!$A:$Z, MATCH(N$3, 'Daily 쨈 raw'!$A:$A, 0), MATCH($A6, 'Daily 쨈 raw'!$1:$1, 0)), ""), IF(val=0, "", val))</f>
        <v>65</v>
      </c>
      <c r="O6" s="44">
        <f t="array" ref="O6">LET(val, IFERROR(INDEX('Daily 쨈 raw'!$A:$Z, MATCH(O$3, 'Daily 쨈 raw'!$A:$A, 0), MATCH($A6, 'Daily 쨈 raw'!$1:$1, 0)), ""), IF(val=0, "", val))</f>
        <v>73</v>
      </c>
      <c r="P6" s="44">
        <f t="array" ref="P6">LET(val, IFERROR(INDEX('Daily 쨈 raw'!$A:$Z, MATCH(P$3, 'Daily 쨈 raw'!$A:$A, 0), MATCH($A6, 'Daily 쨈 raw'!$1:$1, 0)), ""), IF(val=0, "", val))</f>
        <v>71</v>
      </c>
      <c r="Q6" s="44">
        <f t="array" ref="Q6">LET(val, IFERROR(INDEX('Daily 쨈 raw'!$A:$Z, MATCH(Q$3, 'Daily 쨈 raw'!$A:$A, 0), MATCH($A6, 'Daily 쨈 raw'!$1:$1, 0)), ""), IF(val=0, "", val))</f>
        <v>57</v>
      </c>
      <c r="R6" s="44">
        <f t="array" ref="R6">LET(val, IFERROR(INDEX('Daily 쨈 raw'!$A:$Z, MATCH(R$3, 'Daily 쨈 raw'!$A:$A, 0), MATCH($A6, 'Daily 쨈 raw'!$1:$1, 0)), ""), IF(val=0, "", val))</f>
        <v>50</v>
      </c>
      <c r="S6" s="44">
        <f t="array" ref="S6">LET(val, IFERROR(INDEX('Daily 쨈 raw'!$A:$Z, MATCH(S$3, 'Daily 쨈 raw'!$A:$A, 0), MATCH($A6, 'Daily 쨈 raw'!$1:$1, 0)), ""), IF(val=0, "", val))</f>
        <v>43</v>
      </c>
      <c r="T6" s="44">
        <f t="array" ref="T6">LET(val, IFERROR(INDEX('Daily 쨈 raw'!$A:$Z, MATCH(T$3, 'Daily 쨈 raw'!$A:$A, 0), MATCH($A6, 'Daily 쨈 raw'!$1:$1, 0)), ""), IF(val=0, "", val))</f>
        <v>50</v>
      </c>
      <c r="U6" s="44">
        <f t="array" ref="U6">LET(val, IFERROR(INDEX('Daily 쨈 raw'!$A:$Z, MATCH(U$3, 'Daily 쨈 raw'!$A:$A, 0), MATCH($A6, 'Daily 쨈 raw'!$1:$1, 0)), ""), IF(val=0, "", val))</f>
        <v>43</v>
      </c>
      <c r="V6" s="44">
        <f t="array" ref="V6">LET(val, IFERROR(INDEX('Daily 쨈 raw'!$A:$Z, MATCH(V$3, 'Daily 쨈 raw'!$A:$A, 0), MATCH($A6, 'Daily 쨈 raw'!$1:$1, 0)), ""), IF(val=0, "", val))</f>
        <v>56</v>
      </c>
      <c r="W6" s="44">
        <f t="array" ref="W6">LET(val, IFERROR(INDEX('Daily 쨈 raw'!$A:$Z, MATCH(W$3, 'Daily 쨈 raw'!$A:$A, 0), MATCH($A6, 'Daily 쨈 raw'!$1:$1, 0)), ""), IF(val=0, "", val))</f>
        <v>52</v>
      </c>
      <c r="X6" s="44">
        <f t="array" ref="X6">LET(val, IFERROR(INDEX('Daily 쨈 raw'!$A:$Z, MATCH(X$3, 'Daily 쨈 raw'!$A:$A, 0), MATCH($A6, 'Daily 쨈 raw'!$1:$1, 0)), ""), IF(val=0, "", val))</f>
        <v>39</v>
      </c>
      <c r="Y6" s="44">
        <f t="array" ref="Y6">LET(val, IFERROR(INDEX('Daily 쨈 raw'!$A:$Z, MATCH(Y$3, 'Daily 쨈 raw'!$A:$A, 0), MATCH($A6, 'Daily 쨈 raw'!$1:$1, 0)), ""), IF(val=0, "", val))</f>
        <v>43</v>
      </c>
      <c r="Z6" s="44">
        <f t="array" ref="Z6">LET(val, IFERROR(INDEX('Daily 쨈 raw'!$A:$Z, MATCH(Z$3, 'Daily 쨈 raw'!$A:$A, 0), MATCH($A6, 'Daily 쨈 raw'!$1:$1, 0)), ""), IF(val=0, "", val))</f>
        <v>42</v>
      </c>
      <c r="AA6" s="44">
        <f t="array" ref="AA6">LET(val, IFERROR(INDEX('Daily 쨈 raw'!$A:$Z, MATCH(AA$3, 'Daily 쨈 raw'!$A:$A, 0), MATCH($A6, 'Daily 쨈 raw'!$1:$1, 0)), ""), IF(val=0, "", val))</f>
        <v>29</v>
      </c>
      <c r="AB6" s="44">
        <f t="array" ref="AB6">LET(val, IFERROR(INDEX('Daily 쨈 raw'!$A:$Z, MATCH(AB$3, 'Daily 쨈 raw'!$A:$A, 0), MATCH($A6, 'Daily 쨈 raw'!$1:$1, 0)), ""), IF(val=0, "", val))</f>
        <v>40</v>
      </c>
      <c r="AC6" s="44">
        <f t="array" ref="AC6">LET(val, IFERROR(INDEX('Daily 쨈 raw'!$A:$Z, MATCH(AC$3, 'Daily 쨈 raw'!$A:$A, 0), MATCH($A6, 'Daily 쨈 raw'!$1:$1, 0)), ""), IF(val=0, "", val))</f>
        <v>31</v>
      </c>
      <c r="AD6" s="44">
        <f t="array" ref="AD6">LET(val, IFERROR(INDEX('Daily 쨈 raw'!$A:$Z, MATCH(AD$3, 'Daily 쨈 raw'!$A:$A, 0), MATCH($A6, 'Daily 쨈 raw'!$1:$1, 0)), ""), IF(val=0, "", val))</f>
        <v>33</v>
      </c>
      <c r="AE6" s="44">
        <f t="array" ref="AE6">LET(val, IFERROR(INDEX('Daily 쨈 raw'!$A:$Z, MATCH(AE$3, 'Daily 쨈 raw'!$A:$A, 0), MATCH($A6, 'Daily 쨈 raw'!$1:$1, 0)), ""), IF(val=0, "", val))</f>
        <v>48</v>
      </c>
      <c r="AF6" s="44">
        <f t="array" ref="AF6">LET(val, IFERROR(INDEX('Daily 쨈 raw'!$A:$Z, MATCH(AF$3, 'Daily 쨈 raw'!$A:$A, 0), MATCH($A6, 'Daily 쨈 raw'!$1:$1, 0)), ""), IF(val=0, "", val))</f>
        <v>71</v>
      </c>
      <c r="AG6" s="44">
        <f t="array" ref="AG6">LET(val, IFERROR(INDEX('Daily 쨈 raw'!$A:$Z, MATCH(AG$3, 'Daily 쨈 raw'!$A:$A, 0), MATCH($A6, 'Daily 쨈 raw'!$1:$1, 0)), ""), IF(val=0, "", val))</f>
        <v>287</v>
      </c>
      <c r="AH6" s="44">
        <f t="array" ref="AH6">LET(val, IFERROR(INDEX('Daily 쨈 raw'!$A:$Z, MATCH(AH$3, 'Daily 쨈 raw'!$A:$A, 0), MATCH($A6, 'Daily 쨈 raw'!$1:$1, 0)), ""), IF(val=0, "", val))</f>
        <v>208</v>
      </c>
      <c r="AI6" s="44">
        <f t="array" ref="AI6">LET(val, IFERROR(INDEX('Daily 쨈 raw'!$A:$Z, MATCH(AI$3, 'Daily 쨈 raw'!$A:$A, 0), MATCH($A6, 'Daily 쨈 raw'!$1:$1, 0)), ""), IF(val=0, "", val))</f>
        <v>52</v>
      </c>
      <c r="AJ6" s="44">
        <f t="array" ref="AJ6">LET(val, IFERROR(INDEX('Daily 쨈 raw'!$A:$Z, MATCH(AJ$3, 'Daily 쨈 raw'!$A:$A, 0), MATCH($A6, 'Daily 쨈 raw'!$1:$1, 0)), ""), IF(val=0, "", val))</f>
        <v>74</v>
      </c>
      <c r="AK6" s="44">
        <f t="array" ref="AK6">LET(val, IFERROR(INDEX('Daily 쨈 raw'!$A:$Z, MATCH(AK$3, 'Daily 쨈 raw'!$A:$A, 0), MATCH($A6, 'Daily 쨈 raw'!$1:$1, 0)), ""), IF(val=0, "", val))</f>
        <v>71</v>
      </c>
      <c r="AL6" s="44">
        <f t="array" ref="AL6">LET(val, IFERROR(INDEX('Daily 쨈 raw'!$A:$Z, MATCH(AL$3, 'Daily 쨈 raw'!$A:$A, 0), MATCH($A6, 'Daily 쨈 raw'!$1:$1, 0)), ""), IF(val=0, "", val))</f>
        <v>62</v>
      </c>
      <c r="AM6" s="44">
        <f t="array" ref="AM6">LET(val, IFERROR(INDEX('Daily 쨈 raw'!$A:$Z, MATCH(AM$3, 'Daily 쨈 raw'!$A:$A, 0), MATCH($A6, 'Daily 쨈 raw'!$1:$1, 0)), ""), IF(val=0, "", val))</f>
        <v>46</v>
      </c>
      <c r="AN6" s="44">
        <f t="array" ref="AN6">LET(val, IFERROR(INDEX('Daily 쨈 raw'!$A:$Z, MATCH(AN$3, 'Daily 쨈 raw'!$A:$A, 0), MATCH($A6, 'Daily 쨈 raw'!$1:$1, 0)), ""), IF(val=0, "", val))</f>
        <v>56</v>
      </c>
      <c r="AO6" s="44">
        <f t="array" ref="AO6">LET(val, IFERROR(INDEX('Daily 쨈 raw'!$A:$Z, MATCH(AO$3, 'Daily 쨈 raw'!$A:$A, 0), MATCH($A6, 'Daily 쨈 raw'!$1:$1, 0)), ""), IF(val=0, "", val))</f>
        <v>108</v>
      </c>
      <c r="AP6" s="44">
        <f t="array" ref="AP6">LET(val, IFERROR(INDEX('Daily 쨈 raw'!$A:$Z, MATCH(AP$3, 'Daily 쨈 raw'!$A:$A, 0), MATCH($A6, 'Daily 쨈 raw'!$1:$1, 0)), ""), IF(val=0, "", val))</f>
        <v>53</v>
      </c>
      <c r="AQ6" s="44">
        <f t="array" ref="AQ6">LET(val, IFERROR(INDEX('Daily 쨈 raw'!$A:$Z, MATCH(AQ$3, 'Daily 쨈 raw'!$A:$A, 0), MATCH($A6, 'Daily 쨈 raw'!$1:$1, 0)), ""), IF(val=0, "", val))</f>
        <v>53</v>
      </c>
      <c r="AR6" s="44">
        <f t="array" ref="AR6">LET(val, IFERROR(INDEX('Daily 쨈 raw'!$A:$Z, MATCH(AR$3, 'Daily 쨈 raw'!$A:$A, 0), MATCH($A6, 'Daily 쨈 raw'!$1:$1, 0)), ""), IF(val=0, "", val))</f>
        <v>45</v>
      </c>
      <c r="AS6" s="44">
        <f t="array" ref="AS6">LET(val, IFERROR(INDEX('Daily 쨈 raw'!$A:$Z, MATCH(AS$3, 'Daily 쨈 raw'!$A:$A, 0), MATCH($A6, 'Daily 쨈 raw'!$1:$1, 0)), ""), IF(val=0, "", val))</f>
        <v>30</v>
      </c>
      <c r="AT6" s="44">
        <f t="array" ref="AT6">LET(val, IFERROR(INDEX('Daily 쨈 raw'!$A:$Z, MATCH(AT$3, 'Daily 쨈 raw'!$A:$A, 0), MATCH($A6, 'Daily 쨈 raw'!$1:$1, 0)), ""), IF(val=0, "", val))</f>
        <v>42</v>
      </c>
      <c r="AU6" s="44">
        <f t="array" ref="AU6">LET(val, IFERROR(INDEX('Daily 쨈 raw'!$A:$Z, MATCH(AU$3, 'Daily 쨈 raw'!$A:$A, 0), MATCH($A6, 'Daily 쨈 raw'!$1:$1, 0)), ""), IF(val=0, "", val))</f>
        <v>27</v>
      </c>
      <c r="AV6" s="44">
        <f t="array" ref="AV6">LET(val, IFERROR(INDEX('Daily 쨈 raw'!$A:$Z, MATCH(AV$3, 'Daily 쨈 raw'!$A:$A, 0), MATCH($A6, 'Daily 쨈 raw'!$1:$1, 0)), ""), IF(val=0, "", val))</f>
        <v>41</v>
      </c>
      <c r="AW6" s="44">
        <f t="array" ref="AW6">LET(val, IFERROR(INDEX('Daily 쨈 raw'!$A:$Z, MATCH(AW$3, 'Daily 쨈 raw'!$A:$A, 0), MATCH($A6, 'Daily 쨈 raw'!$1:$1, 0)), ""), IF(val=0, "", val))</f>
        <v>34</v>
      </c>
      <c r="AX6" s="44">
        <f t="array" ref="AX6">LET(val, IFERROR(INDEX('Daily 쨈 raw'!$A:$Z, MATCH(AX$3, 'Daily 쨈 raw'!$A:$A, 0), MATCH($A6, 'Daily 쨈 raw'!$1:$1, 0)), ""), IF(val=0, "", val))</f>
        <v>30</v>
      </c>
      <c r="AY6" s="44">
        <f t="array" ref="AY6">LET(val, IFERROR(INDEX('Daily 쨈 raw'!$A:$Z, MATCH(AY$3, 'Daily 쨈 raw'!$A:$A, 0), MATCH($A6, 'Daily 쨈 raw'!$1:$1, 0)), ""), IF(val=0, "", val))</f>
        <v>28</v>
      </c>
      <c r="AZ6" s="44">
        <f t="array" ref="AZ6">LET(val, IFERROR(INDEX('Daily 쨈 raw'!$A:$Z, MATCH(AZ$3, 'Daily 쨈 raw'!$A:$A, 0), MATCH($A6, 'Daily 쨈 raw'!$1:$1, 0)), ""), IF(val=0, "", val))</f>
        <v>30</v>
      </c>
      <c r="BA6" s="44">
        <f t="array" ref="BA6">LET(val, IFERROR(INDEX('Daily 쨈 raw'!$A:$Z, MATCH(BA$3, 'Daily 쨈 raw'!$A:$A, 0), MATCH($A6, 'Daily 쨈 raw'!$1:$1, 0)), ""), IF(val=0, "", val))</f>
        <v>37</v>
      </c>
      <c r="BB6" s="44">
        <f t="array" ref="BB6">LET(val, IFERROR(INDEX('Daily 쨈 raw'!$A:$Z, MATCH(BB$3, 'Daily 쨈 raw'!$A:$A, 0), MATCH($A6, 'Daily 쨈 raw'!$1:$1, 0)), ""), IF(val=0, "", val))</f>
        <v>25</v>
      </c>
      <c r="BC6" s="44">
        <f t="array" ref="BC6">LET(val, IFERROR(INDEX('Daily 쨈 raw'!$A:$Z, MATCH(BC$3, 'Daily 쨈 raw'!$A:$A, 0), MATCH($A6, 'Daily 쨈 raw'!$1:$1, 0)), ""), IF(val=0, "", val))</f>
        <v>33</v>
      </c>
      <c r="BD6" s="44">
        <f t="array" ref="BD6">LET(val, IFERROR(INDEX('Daily 쨈 raw'!$A:$Z, MATCH(BD$3, 'Daily 쨈 raw'!$A:$A, 0), MATCH($A6, 'Daily 쨈 raw'!$1:$1, 0)), ""), IF(val=0, "", val))</f>
        <v>47</v>
      </c>
      <c r="BE6" s="44">
        <f t="array" ref="BE6">LET(val, IFERROR(INDEX('Daily 쨈 raw'!$A:$Z, MATCH(BE$3, 'Daily 쨈 raw'!$A:$A, 0), MATCH($A6, 'Daily 쨈 raw'!$1:$1, 0)), ""), IF(val=0, "", val))</f>
        <v>75</v>
      </c>
      <c r="BF6" s="44">
        <f t="array" ref="BF6">LET(val, IFERROR(INDEX('Daily 쨈 raw'!$A:$Z, MATCH(BF$3, 'Daily 쨈 raw'!$A:$A, 0), MATCH($A6, 'Daily 쨈 raw'!$1:$1, 0)), ""), IF(val=0, "", val))</f>
        <v>62</v>
      </c>
      <c r="BG6" s="44">
        <f t="array" ref="BG6">LET(val, IFERROR(INDEX('Daily 쨈 raw'!$A:$Z, MATCH(BG$3, 'Daily 쨈 raw'!$A:$A, 0), MATCH($A6, 'Daily 쨈 raw'!$1:$1, 0)), ""), IF(val=0, "", val))</f>
        <v>39</v>
      </c>
      <c r="BH6" s="44">
        <f t="array" ref="BH6">LET(val, IFERROR(INDEX('Daily 쨈 raw'!$A:$Z, MATCH(BH$3, 'Daily 쨈 raw'!$A:$A, 0), MATCH($A6, 'Daily 쨈 raw'!$1:$1, 0)), ""), IF(val=0, "", val))</f>
        <v>44</v>
      </c>
      <c r="BI6" s="44">
        <f t="array" ref="BI6">LET(val, IFERROR(INDEX('Daily 쨈 raw'!$A:$Z, MATCH(BI$3, 'Daily 쨈 raw'!$A:$A, 0), MATCH($A6, 'Daily 쨈 raw'!$1:$1, 0)), ""), IF(val=0, "", val))</f>
        <v>36</v>
      </c>
      <c r="BJ6" s="44">
        <f t="array" ref="BJ6">LET(val, IFERROR(INDEX('Daily 쨈 raw'!$A:$Z, MATCH(BJ$3, 'Daily 쨈 raw'!$A:$A, 0), MATCH($A6, 'Daily 쨈 raw'!$1:$1, 0)), ""), IF(val=0, "", val))</f>
        <v>52</v>
      </c>
      <c r="BK6" s="44">
        <f t="array" ref="BK6">LET(val, IFERROR(INDEX('Daily 쨈 raw'!$A:$Z, MATCH(BK$3, 'Daily 쨈 raw'!$A:$A, 0), MATCH($A6, 'Daily 쨈 raw'!$1:$1, 0)), ""), IF(val=0, "", val))</f>
        <v>60</v>
      </c>
      <c r="BL6" s="44">
        <f t="array" ref="BL6">LET(val, IFERROR(INDEX('Daily 쨈 raw'!$A:$Z, MATCH(BL$3, 'Daily 쨈 raw'!$A:$A, 0), MATCH($A6, 'Daily 쨈 raw'!$1:$1, 0)), ""), IF(val=0, "", val))</f>
        <v>59</v>
      </c>
      <c r="BM6" s="44">
        <f t="array" ref="BM6">LET(val, IFERROR(INDEX('Daily 쨈 raw'!$A:$Z, MATCH(BM$3, 'Daily 쨈 raw'!$A:$A, 0), MATCH($A6, 'Daily 쨈 raw'!$1:$1, 0)), ""), IF(val=0, "", val))</f>
        <v>52</v>
      </c>
      <c r="BN6" s="44">
        <f t="array" ref="BN6">LET(val, IFERROR(INDEX('Daily 쨈 raw'!$A:$Z, MATCH(BN$3, 'Daily 쨈 raw'!$A:$A, 0), MATCH($A6, 'Daily 쨈 raw'!$1:$1, 0)), ""), IF(val=0, "", val))</f>
        <v>29</v>
      </c>
      <c r="BO6" s="44">
        <f t="array" ref="BO6">LET(val, IFERROR(INDEX('Daily 쨈 raw'!$A:$Z, MATCH(BO$3, 'Daily 쨈 raw'!$A:$A, 0), MATCH($A6, 'Daily 쨈 raw'!$1:$1, 0)), ""), IF(val=0, "", val))</f>
        <v>27</v>
      </c>
      <c r="BP6" s="44">
        <f t="array" ref="BP6">LET(val, IFERROR(INDEX('Daily 쨈 raw'!$A:$Z, MATCH(BP$3, 'Daily 쨈 raw'!$A:$A, 0), MATCH($A6, 'Daily 쨈 raw'!$1:$1, 0)), ""), IF(val=0, "", val))</f>
        <v>27</v>
      </c>
      <c r="BQ6" s="44">
        <f t="array" ref="BQ6">LET(val, IFERROR(INDEX('Daily 쨈 raw'!$A:$Z, MATCH(BQ$3, 'Daily 쨈 raw'!$A:$A, 0), MATCH($A6, 'Daily 쨈 raw'!$1:$1, 0)), ""), IF(val=0, "", val))</f>
        <v>22</v>
      </c>
      <c r="BR6" s="44">
        <f t="array" ref="BR6">LET(val, IFERROR(INDEX('Daily 쨈 raw'!$A:$Z, MATCH(BR$3, 'Daily 쨈 raw'!$A:$A, 0), MATCH($A6, 'Daily 쨈 raw'!$1:$1, 0)), ""), IF(val=0, "", val))</f>
        <v>20</v>
      </c>
      <c r="BS6" s="44">
        <f t="array" ref="BS6">LET(val, IFERROR(INDEX('Daily 쨈 raw'!$A:$Z, MATCH(BS$3, 'Daily 쨈 raw'!$A:$A, 0), MATCH($A6, 'Daily 쨈 raw'!$1:$1, 0)), ""), IF(val=0, "", val))</f>
        <v>42</v>
      </c>
      <c r="BT6" s="44">
        <f t="array" ref="BT6">LET(val, IFERROR(INDEX('Daily 쨈 raw'!$A:$Z, MATCH(BT$3, 'Daily 쨈 raw'!$A:$A, 0), MATCH($A6, 'Daily 쨈 raw'!$1:$1, 0)), ""), IF(val=0, "", val))</f>
        <v>22</v>
      </c>
      <c r="BU6" s="44">
        <f t="array" ref="BU6">LET(val, IFERROR(INDEX('Daily 쨈 raw'!$A:$Z, MATCH(BU$3, 'Daily 쨈 raw'!$A:$A, 0), MATCH($A6, 'Daily 쨈 raw'!$1:$1, 0)), ""), IF(val=0, "", val))</f>
        <v>33</v>
      </c>
      <c r="BV6" s="44">
        <f t="array" ref="BV6">LET(val, IFERROR(INDEX('Daily 쨈 raw'!$A:$Z, MATCH(BV$3, 'Daily 쨈 raw'!$A:$A, 0), MATCH($A6, 'Daily 쨈 raw'!$1:$1, 0)), ""), IF(val=0, "", val))</f>
        <v>22</v>
      </c>
      <c r="BW6" s="44">
        <f t="array" ref="BW6">LET(val, IFERROR(INDEX('Daily 쨈 raw'!$A:$Z, MATCH(BW$3, 'Daily 쨈 raw'!$A:$A, 0), MATCH($A6, 'Daily 쨈 raw'!$1:$1, 0)), ""), IF(val=0, "", val))</f>
        <v>26</v>
      </c>
      <c r="BX6" s="44">
        <f t="array" ref="BX6">LET(val, IFERROR(INDEX('Daily 쨈 raw'!$A:$Z, MATCH(BX$3, 'Daily 쨈 raw'!$A:$A, 0), MATCH($A6, 'Daily 쨈 raw'!$1:$1, 0)), ""), IF(val=0, "", val))</f>
        <v>27</v>
      </c>
      <c r="BY6" s="44">
        <f t="array" ref="BY6">LET(val, IFERROR(INDEX('Daily 쨈 raw'!$A:$Z, MATCH(BY$3, 'Daily 쨈 raw'!$A:$A, 0), MATCH($A6, 'Daily 쨈 raw'!$1:$1, 0)), ""), IF(val=0, "", val))</f>
        <v>33</v>
      </c>
      <c r="BZ6" s="44">
        <f t="array" ref="BZ6">LET(val, IFERROR(INDEX('Daily 쨈 raw'!$A:$Z, MATCH(BZ$3, 'Daily 쨈 raw'!$A:$A, 0), MATCH($A6, 'Daily 쨈 raw'!$1:$1, 0)), ""), IF(val=0, "", val))</f>
        <v>20</v>
      </c>
      <c r="CA6" s="44">
        <f t="array" ref="CA6">LET(val, IFERROR(INDEX('Daily 쨈 raw'!$A:$Z, MATCH(CA$3, 'Daily 쨈 raw'!$A:$A, 0), MATCH($A6, 'Daily 쨈 raw'!$1:$1, 0)), ""), IF(val=0, "", val))</f>
        <v>27</v>
      </c>
      <c r="CB6" s="44">
        <f t="array" ref="CB6">LET(val, IFERROR(INDEX('Daily 쨈 raw'!$A:$Z, MATCH(CB$3, 'Daily 쨈 raw'!$A:$A, 0), MATCH($A6, 'Daily 쨈 raw'!$1:$1, 0)), ""), IF(val=0, "", val))</f>
        <v>18</v>
      </c>
      <c r="CC6" s="44">
        <f t="array" ref="CC6">LET(val, IFERROR(INDEX('Daily 쨈 raw'!$A:$Z, MATCH(CC$3, 'Daily 쨈 raw'!$A:$A, 0), MATCH($A6, 'Daily 쨈 raw'!$1:$1, 0)), ""), IF(val=0, "", val))</f>
        <v>28</v>
      </c>
      <c r="CD6" s="44">
        <f t="array" ref="CD6">LET(val, IFERROR(INDEX('Daily 쨈 raw'!$A:$Z, MATCH(CD$3, 'Daily 쨈 raw'!$A:$A, 0), MATCH($A6, 'Daily 쨈 raw'!$1:$1, 0)), ""), IF(val=0, "", val))</f>
        <v>34</v>
      </c>
      <c r="CE6" s="44">
        <f t="array" ref="CE6">LET(val, IFERROR(INDEX('Daily 쨈 raw'!$A:$Z, MATCH(CE$3, 'Daily 쨈 raw'!$A:$A, 0), MATCH($A6, 'Daily 쨈 raw'!$1:$1, 0)), ""), IF(val=0, "", val))</f>
        <v>38</v>
      </c>
      <c r="CF6" s="44">
        <f t="array" ref="CF6">LET(val, IFERROR(INDEX('Daily 쨈 raw'!$A:$Z, MATCH(CF$3, 'Daily 쨈 raw'!$A:$A, 0), MATCH($A6, 'Daily 쨈 raw'!$1:$1, 0)), ""), IF(val=0, "", val))</f>
        <v>37</v>
      </c>
      <c r="CG6" s="44">
        <f t="array" ref="CG6">LET(val, IFERROR(INDEX('Daily 쨈 raw'!$A:$Z, MATCH(CG$3, 'Daily 쨈 raw'!$A:$A, 0), MATCH($A6, 'Daily 쨈 raw'!$1:$1, 0)), ""), IF(val=0, "", val))</f>
        <v>49</v>
      </c>
      <c r="CH6" s="44">
        <f t="array" ref="CH6">LET(val, IFERROR(INDEX('Daily 쨈 raw'!$A:$Z, MATCH(CH$3, 'Daily 쨈 raw'!$A:$A, 0), MATCH($A6, 'Daily 쨈 raw'!$1:$1, 0)), ""), IF(val=0, "", val))</f>
        <v>48</v>
      </c>
      <c r="CI6" s="44">
        <f t="array" ref="CI6">LET(val, IFERROR(INDEX('Daily 쨈 raw'!$A:$Z, MATCH(CI$3, 'Daily 쨈 raw'!$A:$A, 0), MATCH($A6, 'Daily 쨈 raw'!$1:$1, 0)), ""), IF(val=0, "", val))</f>
        <v>64</v>
      </c>
      <c r="CJ6" s="44">
        <f t="array" ref="CJ6">LET(val, IFERROR(INDEX('Daily 쨈 raw'!$A:$Z, MATCH(CJ$3, 'Daily 쨈 raw'!$A:$A, 0), MATCH($A6, 'Daily 쨈 raw'!$1:$1, 0)), ""), IF(val=0, "", val))</f>
        <v>57</v>
      </c>
      <c r="CK6" s="44">
        <f t="array" ref="CK6">LET(val, IFERROR(INDEX('Daily 쨈 raw'!$A:$Z, MATCH(CK$3, 'Daily 쨈 raw'!$A:$A, 0), MATCH($A6, 'Daily 쨈 raw'!$1:$1, 0)), ""), IF(val=0, "", val))</f>
        <v>69</v>
      </c>
      <c r="CL6" s="44">
        <f t="array" ref="CL6">LET(val, IFERROR(INDEX('Daily 쨈 raw'!$A:$Z, MATCH(CL$3, 'Daily 쨈 raw'!$A:$A, 0), MATCH($A6, 'Daily 쨈 raw'!$1:$1, 0)), ""), IF(val=0, "", val))</f>
        <v>42</v>
      </c>
      <c r="CM6" s="44">
        <f t="array" ref="CM6">LET(val, IFERROR(INDEX('Daily 쨈 raw'!$A:$Z, MATCH(CM$3, 'Daily 쨈 raw'!$A:$A, 0), MATCH($A6, 'Daily 쨈 raw'!$1:$1, 0)), ""), IF(val=0, "", val))</f>
        <v>46</v>
      </c>
      <c r="CN6" s="44">
        <f t="array" ref="CN6">LET(val, IFERROR(INDEX('Daily 쨈 raw'!$A:$Z, MATCH(CN$3, 'Daily 쨈 raw'!$A:$A, 0), MATCH($A6, 'Daily 쨈 raw'!$1:$1, 0)), ""), IF(val=0, "", val))</f>
        <v>42</v>
      </c>
      <c r="CO6" s="44">
        <f t="array" ref="CO6">LET(val, IFERROR(INDEX('Daily 쨈 raw'!$A:$Z, MATCH(CO$3, 'Daily 쨈 raw'!$A:$A, 0), MATCH($A6, 'Daily 쨈 raw'!$1:$1, 0)), ""), IF(val=0, "", val))</f>
        <v>63</v>
      </c>
      <c r="CP6" s="44">
        <f t="array" ref="CP6">LET(val, IFERROR(INDEX('Daily 쨈 raw'!$A:$Z, MATCH(CP$3, 'Daily 쨈 raw'!$A:$A, 0), MATCH($A6, 'Daily 쨈 raw'!$1:$1, 0)), ""), IF(val=0, "", val))</f>
        <v>14</v>
      </c>
      <c r="CQ6" s="44" t="str">
        <f t="array" ref="CQ6">LET(val, IFERROR(INDEX('Daily 쨈 raw'!$A:$Z, MATCH(CQ$3, 'Daily 쨈 raw'!$A:$A, 0), MATCH($A6, 'Daily 쨈 raw'!$1:$1, 0)), ""), IF(val=0, "", val))</f>
        <v/>
      </c>
      <c r="CR6" s="44" t="str">
        <f t="array" ref="CR6">LET(val, IFERROR(INDEX('Daily 쨈 raw'!$A:$Z, MATCH(CR$3, 'Daily 쨈 raw'!$A:$A, 0), MATCH($A6, 'Daily 쨈 raw'!$1:$1, 0)), ""), IF(val=0, "", val))</f>
        <v/>
      </c>
      <c r="CS6" s="44" t="str">
        <f t="array" ref="CS6">LET(val, IFERROR(INDEX('Daily 쨈 raw'!$A:$Z, MATCH(CS$3, 'Daily 쨈 raw'!$A:$A, 0), MATCH($A6, 'Daily 쨈 raw'!$1:$1, 0)), ""), IF(val=0, "", val))</f>
        <v/>
      </c>
      <c r="CT6" s="44" t="str">
        <f t="array" ref="CT6">LET(val, IFERROR(INDEX('Daily 쨈 raw'!$A:$Z, MATCH(CT$3, 'Daily 쨈 raw'!$A:$A, 0), MATCH($A6, 'Daily 쨈 raw'!$1:$1, 0)), ""), IF(val=0, "", val))</f>
        <v/>
      </c>
      <c r="CU6" s="44" t="str">
        <f t="array" ref="CU6">LET(val, IFERROR(INDEX('Daily 쨈 raw'!$A:$Z, MATCH(CU$3, 'Daily 쨈 raw'!$A:$A, 0), MATCH($A6, 'Daily 쨈 raw'!$1:$1, 0)), ""), IF(val=0, "", val))</f>
        <v/>
      </c>
      <c r="CV6" s="44" t="str">
        <f t="array" ref="CV6">LET(val, IFERROR(INDEX('Daily 쨈 raw'!$A:$Z, MATCH(CV$3, 'Daily 쨈 raw'!$A:$A, 0), MATCH($A6, 'Daily 쨈 raw'!$1:$1, 0)), ""), IF(val=0, "", val))</f>
        <v/>
      </c>
      <c r="CW6" s="44" t="str">
        <f t="array" ref="CW6">LET(val, IFERROR(INDEX('Daily 쨈 raw'!$A:$Z, MATCH(CW$3, 'Daily 쨈 raw'!$A:$A, 0), MATCH($A6, 'Daily 쨈 raw'!$1:$1, 0)), ""), IF(val=0, "", val))</f>
        <v/>
      </c>
      <c r="CX6" s="44" t="str">
        <f t="array" ref="CX6">LET(val, IFERROR(INDEX('Daily 쨈 raw'!$A:$Z, MATCH(CX$3, 'Daily 쨈 raw'!$A:$A, 0), MATCH($A6, 'Daily 쨈 raw'!$1:$1, 0)), ""), IF(val=0, "", val))</f>
        <v/>
      </c>
      <c r="CY6" s="44" t="str">
        <f t="array" ref="CY6">LET(val, IFERROR(INDEX('Daily 쨈 raw'!$A:$Z, MATCH(CY$3, 'Daily 쨈 raw'!$A:$A, 0), MATCH($A6, 'Daily 쨈 raw'!$1:$1, 0)), ""), IF(val=0, "", val))</f>
        <v/>
      </c>
      <c r="CZ6" s="44" t="str">
        <f t="array" ref="CZ6">LET(val, IFERROR(INDEX('Daily 쨈 raw'!$A:$Z, MATCH(CZ$3, 'Daily 쨈 raw'!$A:$A, 0), MATCH($A6, 'Daily 쨈 raw'!$1:$1, 0)), ""), IF(val=0, "", val))</f>
        <v/>
      </c>
      <c r="DA6" s="44" t="str">
        <f t="array" ref="DA6">LET(val, IFERROR(INDEX('Daily 쨈 raw'!$A:$Z, MATCH(DA$3, 'Daily 쨈 raw'!$A:$A, 0), MATCH($A6, 'Daily 쨈 raw'!$1:$1, 0)), ""), IF(val=0, "", val))</f>
        <v/>
      </c>
      <c r="DB6" s="44" t="str">
        <f t="array" ref="DB6">LET(val, IFERROR(INDEX('Daily 쨈 raw'!$A:$Z, MATCH(DB$3, 'Daily 쨈 raw'!$A:$A, 0), MATCH($A6, 'Daily 쨈 raw'!$1:$1, 0)), ""), IF(val=0, "", val))</f>
        <v/>
      </c>
      <c r="DC6" s="44" t="str">
        <f t="array" ref="DC6">LET(val, IFERROR(INDEX('Daily 쨈 raw'!$A:$Z, MATCH(DC$3, 'Daily 쨈 raw'!$A:$A, 0), MATCH($A6, 'Daily 쨈 raw'!$1:$1, 0)), ""), IF(val=0, "", val))</f>
        <v/>
      </c>
      <c r="DD6" s="44" t="str">
        <f t="array" ref="DD6">LET(val, IFERROR(INDEX('Daily 쨈 raw'!$A:$Z, MATCH(DD$3, 'Daily 쨈 raw'!$A:$A, 0), MATCH($A6, 'Daily 쨈 raw'!$1:$1, 0)), ""), IF(val=0, "", val))</f>
        <v/>
      </c>
      <c r="DE6" s="44" t="str">
        <f t="array" ref="DE6">LET(val, IFERROR(INDEX('Daily 쨈 raw'!$A:$Z, MATCH(DE$3, 'Daily 쨈 raw'!$A:$A, 0), MATCH($A6, 'Daily 쨈 raw'!$1:$1, 0)), ""), IF(val=0, "", val))</f>
        <v/>
      </c>
      <c r="DF6" s="44" t="str">
        <f t="array" ref="DF6">LET(val, IFERROR(INDEX('Daily 쨈 raw'!$A:$Z, MATCH(DF$3, 'Daily 쨈 raw'!$A:$A, 0), MATCH($A6, 'Daily 쨈 raw'!$1:$1, 0)), ""), IF(val=0, "", val))</f>
        <v/>
      </c>
      <c r="DG6" s="44" t="str">
        <f t="array" ref="DG6">LET(val, IFERROR(INDEX('Daily 쨈 raw'!$A:$Z, MATCH(DG$3, 'Daily 쨈 raw'!$A:$A, 0), MATCH($A6, 'Daily 쨈 raw'!$1:$1, 0)), ""), IF(val=0, "", val))</f>
        <v/>
      </c>
      <c r="DH6" s="44" t="str">
        <f t="array" ref="DH6">LET(val, IFERROR(INDEX('Daily 쨈 raw'!$A:$Z, MATCH(DH$3, 'Daily 쨈 raw'!$A:$A, 0), MATCH($A6, 'Daily 쨈 raw'!$1:$1, 0)), ""), IF(val=0, "", val))</f>
        <v/>
      </c>
      <c r="DI6" s="44" t="str">
        <f t="array" ref="DI6">LET(val, IFERROR(INDEX('Daily 쨈 raw'!$A:$Z, MATCH(DI$3, 'Daily 쨈 raw'!$A:$A, 0), MATCH($A6, 'Daily 쨈 raw'!$1:$1, 0)), ""), IF(val=0, "", val))</f>
        <v/>
      </c>
      <c r="DJ6" s="44" t="str">
        <f t="array" ref="DJ6">LET(val, IFERROR(INDEX('Daily 쨈 raw'!$A:$Z, MATCH(DJ$3, 'Daily 쨈 raw'!$A:$A, 0), MATCH($A6, 'Daily 쨈 raw'!$1:$1, 0)), ""), IF(val=0, "", val))</f>
        <v/>
      </c>
      <c r="DK6" s="44" t="str">
        <f t="array" ref="DK6">LET(val, IFERROR(INDEX('Daily 쨈 raw'!$A:$Z, MATCH(DK$3, 'Daily 쨈 raw'!$A:$A, 0), MATCH($A6, 'Daily 쨈 raw'!$1:$1, 0)), ""), IF(val=0, "", val))</f>
        <v/>
      </c>
      <c r="DL6" s="44" t="str">
        <f t="array" ref="DL6">LET(val, IFERROR(INDEX('Daily 쨈 raw'!$A:$Z, MATCH(DL$3, 'Daily 쨈 raw'!$A:$A, 0), MATCH($A6, 'Daily 쨈 raw'!$1:$1, 0)), ""), IF(val=0, "", val))</f>
        <v/>
      </c>
      <c r="DM6" s="44" t="str">
        <f t="array" ref="DM6">LET(val, IFERROR(INDEX('Daily 쨈 raw'!$A:$Z, MATCH(DM$3, 'Daily 쨈 raw'!$A:$A, 0), MATCH($A6, 'Daily 쨈 raw'!$1:$1, 0)), ""), IF(val=0, "", val))</f>
        <v/>
      </c>
      <c r="DN6" s="44" t="str">
        <f t="array" ref="DN6">LET(val, IFERROR(INDEX('Daily 쨈 raw'!$A:$Z, MATCH(DN$3, 'Daily 쨈 raw'!$A:$A, 0), MATCH($A6, 'Daily 쨈 raw'!$1:$1, 0)), ""), IF(val=0, "", val))</f>
        <v/>
      </c>
      <c r="DO6" s="44" t="str">
        <f t="array" ref="DO6">LET(val, IFERROR(INDEX('Daily 쨈 raw'!$A:$Z, MATCH(DO$3, 'Daily 쨈 raw'!$A:$A, 0), MATCH($A6, 'Daily 쨈 raw'!$1:$1, 0)), ""), IF(val=0, "", val))</f>
        <v/>
      </c>
      <c r="DP6" s="44" t="str">
        <f t="array" ref="DP6">LET(val, IFERROR(INDEX('Daily 쨈 raw'!$A:$Z, MATCH(DP$3, 'Daily 쨈 raw'!$A:$A, 0), MATCH($A6, 'Daily 쨈 raw'!$1:$1, 0)), ""), IF(val=0, "", val))</f>
        <v/>
      </c>
      <c r="DQ6" s="44" t="str">
        <f t="array" ref="DQ6">LET(val, IFERROR(INDEX('Daily 쨈 raw'!$A:$Z, MATCH(DQ$3, 'Daily 쨈 raw'!$A:$A, 0), MATCH($A6, 'Daily 쨈 raw'!$1:$1, 0)), ""), IF(val=0, "", val))</f>
        <v/>
      </c>
      <c r="DR6" s="44" t="str">
        <f t="array" ref="DR6">LET(val, IFERROR(INDEX('Daily 쨈 raw'!$A:$Z, MATCH(DR$3, 'Daily 쨈 raw'!$A:$A, 0), MATCH($A6, 'Daily 쨈 raw'!$1:$1, 0)), ""), IF(val=0, "", val))</f>
        <v/>
      </c>
      <c r="DS6" s="44" t="str">
        <f t="array" ref="DS6">LET(val, IFERROR(INDEX('Daily 쨈 raw'!$A:$Z, MATCH(DS$3, 'Daily 쨈 raw'!$A:$A, 0), MATCH($A6, 'Daily 쨈 raw'!$1:$1, 0)), ""), IF(val=0, "", val))</f>
        <v/>
      </c>
      <c r="DT6" s="44" t="str">
        <f t="array" ref="DT6">LET(val, IFERROR(INDEX('Daily 쨈 raw'!$A:$Z, MATCH(DT$3, 'Daily 쨈 raw'!$A:$A, 0), MATCH($A6, 'Daily 쨈 raw'!$1:$1, 0)), ""), IF(val=0, "", val))</f>
        <v/>
      </c>
      <c r="DU6" s="44" t="str">
        <f t="array" ref="DU6">LET(val, IFERROR(INDEX('Daily 쨈 raw'!$A:$Z, MATCH(DU$3, 'Daily 쨈 raw'!$A:$A, 0), MATCH($A6, 'Daily 쨈 raw'!$1:$1, 0)), ""), IF(val=0, "", val))</f>
        <v/>
      </c>
      <c r="DV6" s="44" t="str">
        <f t="array" ref="DV6">LET(val, IFERROR(INDEX('Daily 쨈 raw'!$A:$Z, MATCH(DV$3, 'Daily 쨈 raw'!$A:$A, 0), MATCH($A6, 'Daily 쨈 raw'!$1:$1, 0)), ""), IF(val=0, "", val))</f>
        <v/>
      </c>
      <c r="DW6" s="44" t="str">
        <f t="array" ref="DW6">LET(val, IFERROR(INDEX('Daily 쨈 raw'!$A:$Z, MATCH(DW$3, 'Daily 쨈 raw'!$A:$A, 0), MATCH($A6, 'Daily 쨈 raw'!$1:$1, 0)), ""), IF(val=0, "", val))</f>
        <v/>
      </c>
      <c r="DX6" s="44" t="str">
        <f t="array" ref="DX6">LET(val, IFERROR(INDEX('Daily 쨈 raw'!$A:$Z, MATCH(DX$3, 'Daily 쨈 raw'!$A:$A, 0), MATCH($A6, 'Daily 쨈 raw'!$1:$1, 0)), ""), IF(val=0, "", val))</f>
        <v/>
      </c>
      <c r="DY6" s="44" t="str">
        <f t="array" ref="DY6">LET(val, IFERROR(INDEX('Daily 쨈 raw'!$A:$Z, MATCH(DY$3, 'Daily 쨈 raw'!$A:$A, 0), MATCH($A6, 'Daily 쨈 raw'!$1:$1, 0)), ""), IF(val=0, "", val))</f>
        <v/>
      </c>
      <c r="DZ6" s="44" t="str">
        <f t="array" ref="DZ6">LET(val, IFERROR(INDEX('Daily 쨈 raw'!$A:$Z, MATCH(DZ$3, 'Daily 쨈 raw'!$A:$A, 0), MATCH($A6, 'Daily 쨈 raw'!$1:$1, 0)), ""), IF(val=0, "", val))</f>
        <v/>
      </c>
    </row>
    <row r="7" ht="22.5" customHeight="1">
      <c r="A7" s="11" t="s">
        <v>18</v>
      </c>
      <c r="B7" s="45" t="s">
        <v>18</v>
      </c>
      <c r="C7" s="46">
        <f t="array" ref="C7">LET(val, IFERROR(INDEX('Daily 쨈 raw'!$A:$Z, MATCH(C$3, 'Daily 쨈 raw'!$A:$A, 0), MATCH($A7, 'Daily 쨈 raw'!$1:$1, 0)), ""), IF(val=0, "", val))</f>
        <v>0.01949436491</v>
      </c>
      <c r="D7" s="46">
        <f t="array" ref="D7">LET(val, IFERROR(INDEX('Daily 쨈 raw'!$A:$Z, MATCH(D$3, 'Daily 쨈 raw'!$A:$A, 0), MATCH($A7, 'Daily 쨈 raw'!$1:$1, 0)), ""), IF(val=0, "", val))</f>
        <v>0.02418879056</v>
      </c>
      <c r="E7" s="46">
        <f t="array" ref="E7">LET(val, IFERROR(INDEX('Daily 쨈 raw'!$A:$Z, MATCH(E$3, 'Daily 쨈 raw'!$A:$A, 0), MATCH($A7, 'Daily 쨈 raw'!$1:$1, 0)), ""), IF(val=0, "", val))</f>
        <v>0.01681719091</v>
      </c>
      <c r="F7" s="46">
        <f t="array" ref="F7">LET(val, IFERROR(INDEX('Daily 쨈 raw'!$A:$Z, MATCH(F$3, 'Daily 쨈 raw'!$A:$A, 0), MATCH($A7, 'Daily 쨈 raw'!$1:$1, 0)), ""), IF(val=0, "", val))</f>
        <v>0.01623266824</v>
      </c>
      <c r="G7" s="46">
        <f t="array" ref="G7">LET(val, IFERROR(INDEX('Daily 쨈 raw'!$A:$Z, MATCH(G$3, 'Daily 쨈 raw'!$A:$A, 0), MATCH($A7, 'Daily 쨈 raw'!$1:$1, 0)), ""), IF(val=0, "", val))</f>
        <v>0.01578586136</v>
      </c>
      <c r="H7" s="46">
        <f t="array" ref="H7">LET(val, IFERROR(INDEX('Daily 쨈 raw'!$A:$Z, MATCH(H$3, 'Daily 쨈 raw'!$A:$A, 0), MATCH($A7, 'Daily 쨈 raw'!$1:$1, 0)), ""), IF(val=0, "", val))</f>
        <v>0.04754186926</v>
      </c>
      <c r="I7" s="46">
        <f t="array" ref="I7">LET(val, IFERROR(INDEX('Daily 쨈 raw'!$A:$Z, MATCH(I$3, 'Daily 쨈 raw'!$A:$A, 0), MATCH($A7, 'Daily 쨈 raw'!$1:$1, 0)), ""), IF(val=0, "", val))</f>
        <v>0.03171806167</v>
      </c>
      <c r="J7" s="46">
        <f t="array" ref="J7">LET(val, IFERROR(INDEX('Daily 쨈 raw'!$A:$Z, MATCH(J$3, 'Daily 쨈 raw'!$A:$A, 0), MATCH($A7, 'Daily 쨈 raw'!$1:$1, 0)), ""), IF(val=0, "", val))</f>
        <v>0.02939659618</v>
      </c>
      <c r="K7" s="46">
        <f t="array" ref="K7">LET(val, IFERROR(INDEX('Daily 쨈 raw'!$A:$Z, MATCH(K$3, 'Daily 쨈 raw'!$A:$A, 0), MATCH($A7, 'Daily 쨈 raw'!$1:$1, 0)), ""), IF(val=0, "", val))</f>
        <v>0.08989805375</v>
      </c>
      <c r="L7" s="46">
        <f t="array" ref="L7">LET(val, IFERROR(INDEX('Daily 쨈 raw'!$A:$Z, MATCH(L$3, 'Daily 쨈 raw'!$A:$A, 0), MATCH($A7, 'Daily 쨈 raw'!$1:$1, 0)), ""), IF(val=0, "", val))</f>
        <v>0.1096033403</v>
      </c>
      <c r="M7" s="46">
        <f t="array" ref="M7">LET(val, IFERROR(INDEX('Daily 쨈 raw'!$A:$Z, MATCH(M$3, 'Daily 쨈 raw'!$A:$A, 0), MATCH($A7, 'Daily 쨈 raw'!$1:$1, 0)), ""), IF(val=0, "", val))</f>
        <v>0.08152173913</v>
      </c>
      <c r="N7" s="46">
        <f t="array" ref="N7">LET(val, IFERROR(INDEX('Daily 쨈 raw'!$A:$Z, MATCH(N$3, 'Daily 쨈 raw'!$A:$A, 0), MATCH($A7, 'Daily 쨈 raw'!$1:$1, 0)), ""), IF(val=0, "", val))</f>
        <v>0.09363745498</v>
      </c>
      <c r="O7" s="46">
        <f t="array" ref="O7">LET(val, IFERROR(INDEX('Daily 쨈 raw'!$A:$Z, MATCH(O$3, 'Daily 쨈 raw'!$A:$A, 0), MATCH($A7, 'Daily 쨈 raw'!$1:$1, 0)), ""), IF(val=0, "", val))</f>
        <v>0.1260997067</v>
      </c>
      <c r="P7" s="46">
        <f t="array" ref="P7">LET(val, IFERROR(INDEX('Daily 쨈 raw'!$A:$Z, MATCH(P$3, 'Daily 쨈 raw'!$A:$A, 0), MATCH($A7, 'Daily 쨈 raw'!$1:$1, 0)), ""), IF(val=0, "", val))</f>
        <v>0.1297709924</v>
      </c>
      <c r="Q7" s="46">
        <f t="array" ref="Q7">LET(val, IFERROR(INDEX('Daily 쨈 raw'!$A:$Z, MATCH(Q$3, 'Daily 쨈 raw'!$A:$A, 0), MATCH($A7, 'Daily 쨈 raw'!$1:$1, 0)), ""), IF(val=0, "", val))</f>
        <v>0.1137521222</v>
      </c>
      <c r="R7" s="46">
        <f t="array" ref="R7">LET(val, IFERROR(INDEX('Daily 쨈 raw'!$A:$Z, MATCH(R$3, 'Daily 쨈 raw'!$A:$A, 0), MATCH($A7, 'Daily 쨈 raw'!$1:$1, 0)), ""), IF(val=0, "", val))</f>
        <v>0.08804204993</v>
      </c>
      <c r="S7" s="46">
        <f t="array" ref="S7">LET(val, IFERROR(INDEX('Daily 쨈 raw'!$A:$Z, MATCH(S$3, 'Daily 쨈 raw'!$A:$A, 0), MATCH($A7, 'Daily 쨈 raw'!$1:$1, 0)), ""), IF(val=0, "", val))</f>
        <v>0.06375838926</v>
      </c>
      <c r="T7" s="46">
        <f t="array" ref="T7">LET(val, IFERROR(INDEX('Daily 쨈 raw'!$A:$Z, MATCH(T$3, 'Daily 쨈 raw'!$A:$A, 0), MATCH($A7, 'Daily 쨈 raw'!$1:$1, 0)), ""), IF(val=0, "", val))</f>
        <v>0.09681881051</v>
      </c>
      <c r="U7" s="46">
        <f t="array" ref="U7">LET(val, IFERROR(INDEX('Daily 쨈 raw'!$A:$Z, MATCH(U$3, 'Daily 쨈 raw'!$A:$A, 0), MATCH($A7, 'Daily 쨈 raw'!$1:$1, 0)), ""), IF(val=0, "", val))</f>
        <v>0.07472826087</v>
      </c>
      <c r="V7" s="46">
        <f t="array" ref="V7">LET(val, IFERROR(INDEX('Daily 쨈 raw'!$A:$Z, MATCH(V$3, 'Daily 쨈 raw'!$A:$A, 0), MATCH($A7, 'Daily 쨈 raw'!$1:$1, 0)), ""), IF(val=0, "", val))</f>
        <v>0.0824742268</v>
      </c>
      <c r="W7" s="46">
        <f t="array" ref="W7">LET(val, IFERROR(INDEX('Daily 쨈 raw'!$A:$Z, MATCH(W$3, 'Daily 쨈 raw'!$A:$A, 0), MATCH($A7, 'Daily 쨈 raw'!$1:$1, 0)), ""), IF(val=0, "", val))</f>
        <v>0.07766990291</v>
      </c>
      <c r="X7" s="46">
        <f t="array" ref="X7">LET(val, IFERROR(INDEX('Daily 쨈 raw'!$A:$Z, MATCH(X$3, 'Daily 쨈 raw'!$A:$A, 0), MATCH($A7, 'Daily 쨈 raw'!$1:$1, 0)), ""), IF(val=0, "", val))</f>
        <v>0.08365019011</v>
      </c>
      <c r="Y7" s="46">
        <f t="array" ref="Y7">LET(val, IFERROR(INDEX('Daily 쨈 raw'!$A:$Z, MATCH(Y$3, 'Daily 쨈 raw'!$A:$A, 0), MATCH($A7, 'Daily 쨈 raw'!$1:$1, 0)), ""), IF(val=0, "", val))</f>
        <v>0.07352941176</v>
      </c>
      <c r="Z7" s="46">
        <f t="array" ref="Z7">LET(val, IFERROR(INDEX('Daily 쨈 raw'!$A:$Z, MATCH(Z$3, 'Daily 쨈 raw'!$A:$A, 0), MATCH($A7, 'Daily 쨈 raw'!$1:$1, 0)), ""), IF(val=0, "", val))</f>
        <v>0.09302325581</v>
      </c>
      <c r="AA7" s="46">
        <f t="array" ref="AA7">LET(val, IFERROR(INDEX('Daily 쨈 raw'!$A:$Z, MATCH(AA$3, 'Daily 쨈 raw'!$A:$A, 0), MATCH($A7, 'Daily 쨈 raw'!$1:$1, 0)), ""), IF(val=0, "", val))</f>
        <v>0.06451612903</v>
      </c>
      <c r="AB7" s="46">
        <f t="array" ref="AB7">LET(val, IFERROR(INDEX('Daily 쨈 raw'!$A:$Z, MATCH(AB$3, 'Daily 쨈 raw'!$A:$A, 0), MATCH($A7, 'Daily 쨈 raw'!$1:$1, 0)), ""), IF(val=0, "", val))</f>
        <v>0.1031307551</v>
      </c>
      <c r="AC7" s="46">
        <f t="array" ref="AC7">LET(val, IFERROR(INDEX('Daily 쨈 raw'!$A:$Z, MATCH(AC$3, 'Daily 쨈 raw'!$A:$A, 0), MATCH($A7, 'Daily 쨈 raw'!$1:$1, 0)), ""), IF(val=0, "", val))</f>
        <v>0.07643312102</v>
      </c>
      <c r="AD7" s="46">
        <f t="array" ref="AD7">LET(val, IFERROR(INDEX('Daily 쨈 raw'!$A:$Z, MATCH(AD$3, 'Daily 쨈 raw'!$A:$A, 0), MATCH($A7, 'Daily 쨈 raw'!$1:$1, 0)), ""), IF(val=0, "", val))</f>
        <v>0.0814479638</v>
      </c>
      <c r="AE7" s="46">
        <f t="array" ref="AE7">LET(val, IFERROR(INDEX('Daily 쨈 raw'!$A:$Z, MATCH(AE$3, 'Daily 쨈 raw'!$A:$A, 0), MATCH($A7, 'Daily 쨈 raw'!$1:$1, 0)), ""), IF(val=0, "", val))</f>
        <v>0.09116409537</v>
      </c>
      <c r="AF7" s="46">
        <f t="array" ref="AF7">LET(val, IFERROR(INDEX('Daily 쨈 raw'!$A:$Z, MATCH(AF$3, 'Daily 쨈 raw'!$A:$A, 0), MATCH($A7, 'Daily 쨈 raw'!$1:$1, 0)), ""), IF(val=0, "", val))</f>
        <v>0.1401869159</v>
      </c>
      <c r="AG7" s="46">
        <f t="array" ref="AG7">LET(val, IFERROR(INDEX('Daily 쨈 raw'!$A:$Z, MATCH(AG$3, 'Daily 쨈 raw'!$A:$A, 0), MATCH($A7, 'Daily 쨈 raw'!$1:$1, 0)), ""), IF(val=0, "", val))</f>
        <v>0.2270155587</v>
      </c>
      <c r="AH7" s="46">
        <f t="array" ref="AH7">LET(val, IFERROR(INDEX('Daily 쨈 raw'!$A:$Z, MATCH(AH$3, 'Daily 쨈 raw'!$A:$A, 0), MATCH($A7, 'Daily 쨈 raw'!$1:$1, 0)), ""), IF(val=0, "", val))</f>
        <v>0.1551724138</v>
      </c>
      <c r="AI7" s="46">
        <f t="array" ref="AI7">LET(val, IFERROR(INDEX('Daily 쨈 raw'!$A:$Z, MATCH(AI$3, 'Daily 쨈 raw'!$A:$A, 0), MATCH($A7, 'Daily 쨈 raw'!$1:$1, 0)), ""), IF(val=0, "", val))</f>
        <v>0.08743169399</v>
      </c>
      <c r="AJ7" s="46">
        <f t="array" ref="AJ7">LET(val, IFERROR(INDEX('Daily 쨈 raw'!$A:$Z, MATCH(AJ$3, 'Daily 쨈 raw'!$A:$A, 0), MATCH($A7, 'Daily 쨈 raw'!$1:$1, 0)), ""), IF(val=0, "", val))</f>
        <v>0.1112426036</v>
      </c>
      <c r="AK7" s="46">
        <f t="array" ref="AK7">LET(val, IFERROR(INDEX('Daily 쨈 raw'!$A:$Z, MATCH(AK$3, 'Daily 쨈 raw'!$A:$A, 0), MATCH($A7, 'Daily 쨈 raw'!$1:$1, 0)), ""), IF(val=0, "", val))</f>
        <v>0.09699321048</v>
      </c>
      <c r="AL7" s="46">
        <f t="array" ref="AL7">LET(val, IFERROR(INDEX('Daily 쨈 raw'!$A:$Z, MATCH(AL$3, 'Daily 쨈 raw'!$A:$A, 0), MATCH($A7, 'Daily 쨈 raw'!$1:$1, 0)), ""), IF(val=0, "", val))</f>
        <v>0.09513274336</v>
      </c>
      <c r="AM7" s="46">
        <f t="array" ref="AM7">LET(val, IFERROR(INDEX('Daily 쨈 raw'!$A:$Z, MATCH(AM$3, 'Daily 쨈 raw'!$A:$A, 0), MATCH($A7, 'Daily 쨈 raw'!$1:$1, 0)), ""), IF(val=0, "", val))</f>
        <v>0.07966457023</v>
      </c>
      <c r="AN7" s="46">
        <f t="array" ref="AN7">LET(val, IFERROR(INDEX('Daily 쨈 raw'!$A:$Z, MATCH(AN$3, 'Daily 쨈 raw'!$A:$A, 0), MATCH($A7, 'Daily 쨈 raw'!$1:$1, 0)), ""), IF(val=0, "", val))</f>
        <v>0.1135881104</v>
      </c>
      <c r="AO7" s="46">
        <f t="array" ref="AO7">LET(val, IFERROR(INDEX('Daily 쨈 raw'!$A:$Z, MATCH(AO$3, 'Daily 쨈 raw'!$A:$A, 0), MATCH($A7, 'Daily 쨈 raw'!$1:$1, 0)), ""), IF(val=0, "", val))</f>
        <v>0.1138153185</v>
      </c>
      <c r="AP7" s="46">
        <f t="array" ref="AP7">LET(val, IFERROR(INDEX('Daily 쨈 raw'!$A:$Z, MATCH(AP$3, 'Daily 쨈 raw'!$A:$A, 0), MATCH($A7, 'Daily 쨈 raw'!$1:$1, 0)), ""), IF(val=0, "", val))</f>
        <v>0.1006622517</v>
      </c>
      <c r="AQ7" s="46">
        <f t="array" ref="AQ7">LET(val, IFERROR(INDEX('Daily 쨈 raw'!$A:$Z, MATCH(AQ$3, 'Daily 쨈 raw'!$A:$A, 0), MATCH($A7, 'Daily 쨈 raw'!$1:$1, 0)), ""), IF(val=0, "", val))</f>
        <v>0.07692307692</v>
      </c>
      <c r="AR7" s="46">
        <f t="array" ref="AR7">LET(val, IFERROR(INDEX('Daily 쨈 raw'!$A:$Z, MATCH(AR$3, 'Daily 쨈 raw'!$A:$A, 0), MATCH($A7, 'Daily 쨈 raw'!$1:$1, 0)), ""), IF(val=0, "", val))</f>
        <v>0.07420091324</v>
      </c>
      <c r="AS7" s="46">
        <f t="array" ref="AS7">LET(val, IFERROR(INDEX('Daily 쨈 raw'!$A:$Z, MATCH(AS$3, 'Daily 쨈 raw'!$A:$A, 0), MATCH($A7, 'Daily 쨈 raw'!$1:$1, 0)), ""), IF(val=0, "", val))</f>
        <v>0.05897114178</v>
      </c>
      <c r="AT7" s="46">
        <f t="array" ref="AT7">LET(val, IFERROR(INDEX('Daily 쨈 raw'!$A:$Z, MATCH(AT$3, 'Daily 쨈 raw'!$A:$A, 0), MATCH($A7, 'Daily 쨈 raw'!$1:$1, 0)), ""), IF(val=0, "", val))</f>
        <v>0.09320905459</v>
      </c>
      <c r="AU7" s="46">
        <f t="array" ref="AU7">LET(val, IFERROR(INDEX('Daily 쨈 raw'!$A:$Z, MATCH(AU$3, 'Daily 쨈 raw'!$A:$A, 0), MATCH($A7, 'Daily 쨈 raw'!$1:$1, 0)), ""), IF(val=0, "", val))</f>
        <v>0.07487922705</v>
      </c>
      <c r="AV7" s="46">
        <f t="array" ref="AV7">LET(val, IFERROR(INDEX('Daily 쨈 raw'!$A:$Z, MATCH(AV$3, 'Daily 쨈 raw'!$A:$A, 0), MATCH($A7, 'Daily 쨈 raw'!$1:$1, 0)), ""), IF(val=0, "", val))</f>
        <v>0.08021390374</v>
      </c>
      <c r="AW7" s="46">
        <f t="array" ref="AW7">LET(val, IFERROR(INDEX('Daily 쨈 raw'!$A:$Z, MATCH(AW$3, 'Daily 쨈 raw'!$A:$A, 0), MATCH($A7, 'Daily 쨈 raw'!$1:$1, 0)), ""), IF(val=0, "", val))</f>
        <v>0.08547008547</v>
      </c>
      <c r="AX7" s="46">
        <f t="array" ref="AX7">LET(val, IFERROR(INDEX('Daily 쨈 raw'!$A:$Z, MATCH(AX$3, 'Daily 쨈 raw'!$A:$A, 0), MATCH($A7, 'Daily 쨈 raw'!$1:$1, 0)), ""), IF(val=0, "", val))</f>
        <v>0.0684079602</v>
      </c>
      <c r="AY7" s="46">
        <f t="array" ref="AY7">LET(val, IFERROR(INDEX('Daily 쨈 raw'!$A:$Z, MATCH(AY$3, 'Daily 쨈 raw'!$A:$A, 0), MATCH($A7, 'Daily 쨈 raw'!$1:$1, 0)), ""), IF(val=0, "", val))</f>
        <v>0.05802047782</v>
      </c>
      <c r="AZ7" s="46">
        <f t="array" ref="AZ7">LET(val, IFERROR(INDEX('Daily 쨈 raw'!$A:$Z, MATCH(AZ$3, 'Daily 쨈 raw'!$A:$A, 0), MATCH($A7, 'Daily 쨈 raw'!$1:$1, 0)), ""), IF(val=0, "", val))</f>
        <v>0.06657963446</v>
      </c>
      <c r="BA7" s="46">
        <f t="array" ref="BA7">LET(val, IFERROR(INDEX('Daily 쨈 raw'!$A:$Z, MATCH(BA$3, 'Daily 쨈 raw'!$A:$A, 0), MATCH($A7, 'Daily 쨈 raw'!$1:$1, 0)), ""), IF(val=0, "", val))</f>
        <v>0.08194233687</v>
      </c>
      <c r="BB7" s="46">
        <f t="array" ref="BB7">LET(val, IFERROR(INDEX('Daily 쨈 raw'!$A:$Z, MATCH(BB$3, 'Daily 쨈 raw'!$A:$A, 0), MATCH($A7, 'Daily 쨈 raw'!$1:$1, 0)), ""), IF(val=0, "", val))</f>
        <v>0.06446776612</v>
      </c>
      <c r="BC7" s="46">
        <f t="array" ref="BC7">LET(val, IFERROR(INDEX('Daily 쨈 raw'!$A:$Z, MATCH(BC$3, 'Daily 쨈 raw'!$A:$A, 0), MATCH($A7, 'Daily 쨈 raw'!$1:$1, 0)), ""), IF(val=0, "", val))</f>
        <v>0.1090146751</v>
      </c>
      <c r="BD7" s="46">
        <f t="array" ref="BD7">LET(val, IFERROR(INDEX('Daily 쨈 raw'!$A:$Z, MATCH(BD$3, 'Daily 쨈 raw'!$A:$A, 0), MATCH($A7, 'Daily 쨈 raw'!$1:$1, 0)), ""), IF(val=0, "", val))</f>
        <v>0.1332149201</v>
      </c>
      <c r="BE7" s="46">
        <f t="array" ref="BE7">LET(val, IFERROR(INDEX('Daily 쨈 raw'!$A:$Z, MATCH(BE$3, 'Daily 쨈 raw'!$A:$A, 0), MATCH($A7, 'Daily 쨈 raw'!$1:$1, 0)), ""), IF(val=0, "", val))</f>
        <v>0.1198547215</v>
      </c>
      <c r="BF7" s="46">
        <f t="array" ref="BF7">LET(val, IFERROR(INDEX('Daily 쨈 raw'!$A:$Z, MATCH(BF$3, 'Daily 쨈 raw'!$A:$A, 0), MATCH($A7, 'Daily 쨈 raw'!$1:$1, 0)), ""), IF(val=0, "", val))</f>
        <v>0.1715976331</v>
      </c>
      <c r="BG7" s="46">
        <f t="array" ref="BG7">LET(val, IFERROR(INDEX('Daily 쨈 raw'!$A:$Z, MATCH(BG$3, 'Daily 쨈 raw'!$A:$A, 0), MATCH($A7, 'Daily 쨈 raw'!$1:$1, 0)), ""), IF(val=0, "", val))</f>
        <v>0.08040935673</v>
      </c>
      <c r="BH7" s="46">
        <f t="array" ref="BH7">LET(val, IFERROR(INDEX('Daily 쨈 raw'!$A:$Z, MATCH(BH$3, 'Daily 쨈 raw'!$A:$A, 0), MATCH($A7, 'Daily 쨈 raw'!$1:$1, 0)), ""), IF(val=0, "", val))</f>
        <v>0.1040372671</v>
      </c>
      <c r="BI7" s="46">
        <f t="array" ref="BI7">LET(val, IFERROR(INDEX('Daily 쨈 raw'!$A:$Z, MATCH(BI$3, 'Daily 쨈 raw'!$A:$A, 0), MATCH($A7, 'Daily 쨈 raw'!$1:$1, 0)), ""), IF(val=0, "", val))</f>
        <v>0.09954058193</v>
      </c>
      <c r="BJ7" s="46">
        <f t="array" ref="BJ7">LET(val, IFERROR(INDEX('Daily 쨈 raw'!$A:$Z, MATCH(BJ$3, 'Daily 쨈 raw'!$A:$A, 0), MATCH($A7, 'Daily 쨈 raw'!$1:$1, 0)), ""), IF(val=0, "", val))</f>
        <v>0.1046357616</v>
      </c>
      <c r="BK7" s="46">
        <f t="array" ref="BK7">LET(val, IFERROR(INDEX('Daily 쨈 raw'!$A:$Z, MATCH(BK$3, 'Daily 쨈 raw'!$A:$A, 0), MATCH($A7, 'Daily 쨈 raw'!$1:$1, 0)), ""), IF(val=0, "", val))</f>
        <v>0.1158038147</v>
      </c>
      <c r="BL7" s="46">
        <f t="array" ref="BL7">LET(val, IFERROR(INDEX('Daily 쨈 raw'!$A:$Z, MATCH(BL$3, 'Daily 쨈 raw'!$A:$A, 0), MATCH($A7, 'Daily 쨈 raw'!$1:$1, 0)), ""), IF(val=0, "", val))</f>
        <v>0.1067839196</v>
      </c>
      <c r="BM7" s="46">
        <f t="array" ref="BM7">LET(val, IFERROR(INDEX('Daily 쨈 raw'!$A:$Z, MATCH(BM$3, 'Daily 쨈 raw'!$A:$A, 0), MATCH($A7, 'Daily 쨈 raw'!$1:$1, 0)), ""), IF(val=0, "", val))</f>
        <v>0.1103810775</v>
      </c>
      <c r="BN7" s="46">
        <f t="array" ref="BN7">LET(val, IFERROR(INDEX('Daily 쨈 raw'!$A:$Z, MATCH(BN$3, 'Daily 쨈 raw'!$A:$A, 0), MATCH($A7, 'Daily 쨈 raw'!$1:$1, 0)), ""), IF(val=0, "", val))</f>
        <v>0.1238738739</v>
      </c>
      <c r="BO7" s="46">
        <f t="array" ref="BO7">LET(val, IFERROR(INDEX('Daily 쨈 raw'!$A:$Z, MATCH(BO$3, 'Daily 쨈 raw'!$A:$A, 0), MATCH($A7, 'Daily 쨈 raw'!$1:$1, 0)), ""), IF(val=0, "", val))</f>
        <v>0.06582633053</v>
      </c>
      <c r="BP7" s="46">
        <f t="array" ref="BP7">LET(val, IFERROR(INDEX('Daily 쨈 raw'!$A:$Z, MATCH(BP$3, 'Daily 쨈 raw'!$A:$A, 0), MATCH($A7, 'Daily 쨈 raw'!$1:$1, 0)), ""), IF(val=0, "", val))</f>
        <v>0.06472919419</v>
      </c>
      <c r="BQ7" s="46">
        <f t="array" ref="BQ7">LET(val, IFERROR(INDEX('Daily 쨈 raw'!$A:$Z, MATCH(BQ$3, 'Daily 쨈 raw'!$A:$A, 0), MATCH($A7, 'Daily 쨈 raw'!$1:$1, 0)), ""), IF(val=0, "", val))</f>
        <v>0.09197324415</v>
      </c>
      <c r="BR7" s="46">
        <f t="array" ref="BR7">LET(val, IFERROR(INDEX('Daily 쨈 raw'!$A:$Z, MATCH(BR$3, 'Daily 쨈 raw'!$A:$A, 0), MATCH($A7, 'Daily 쨈 raw'!$1:$1, 0)), ""), IF(val=0, "", val))</f>
        <v>0.1096256684</v>
      </c>
      <c r="BS7" s="46">
        <f t="array" ref="BS7">LET(val, IFERROR(INDEX('Daily 쨈 raw'!$A:$Z, MATCH(BS$3, 'Daily 쨈 raw'!$A:$A, 0), MATCH($A7, 'Daily 쨈 raw'!$1:$1, 0)), ""), IF(val=0, "", val))</f>
        <v>0.09302325581</v>
      </c>
      <c r="BT7" s="46">
        <f t="array" ref="BT7">LET(val, IFERROR(INDEX('Daily 쨈 raw'!$A:$Z, MATCH(BT$3, 'Daily 쨈 raw'!$A:$A, 0), MATCH($A7, 'Daily 쨈 raw'!$1:$1, 0)), ""), IF(val=0, "", val))</f>
        <v>0.06017925736</v>
      </c>
      <c r="BU7" s="46">
        <f t="array" ref="BU7">LET(val, IFERROR(INDEX('Daily 쨈 raw'!$A:$Z, MATCH(BU$3, 'Daily 쨈 raw'!$A:$A, 0), MATCH($A7, 'Daily 쨈 raw'!$1:$1, 0)), ""), IF(val=0, "", val))</f>
        <v>0.08368794326</v>
      </c>
      <c r="BV7" s="46">
        <f t="array" ref="BV7">LET(val, IFERROR(INDEX('Daily 쨈 raw'!$A:$Z, MATCH(BV$3, 'Daily 쨈 raw'!$A:$A, 0), MATCH($A7, 'Daily 쨈 raw'!$1:$1, 0)), ""), IF(val=0, "", val))</f>
        <v>0.05792682927</v>
      </c>
      <c r="BW7" s="46">
        <f t="array" ref="BW7">LET(val, IFERROR(INDEX('Daily 쨈 raw'!$A:$Z, MATCH(BW$3, 'Daily 쨈 raw'!$A:$A, 0), MATCH($A7, 'Daily 쨈 raw'!$1:$1, 0)), ""), IF(val=0, "", val))</f>
        <v>0.07255520505</v>
      </c>
      <c r="BX7" s="46">
        <f t="array" ref="BX7">LET(val, IFERROR(INDEX('Daily 쨈 raw'!$A:$Z, MATCH(BX$3, 'Daily 쨈 raw'!$A:$A, 0), MATCH($A7, 'Daily 쨈 raw'!$1:$1, 0)), ""), IF(val=0, "", val))</f>
        <v>0.08488964346</v>
      </c>
      <c r="BY7" s="46">
        <f t="array" ref="BY7">LET(val, IFERROR(INDEX('Daily 쨈 raw'!$A:$Z, MATCH(BY$3, 'Daily 쨈 raw'!$A:$A, 0), MATCH($A7, 'Daily 쨈 raw'!$1:$1, 0)), ""), IF(val=0, "", val))</f>
        <v>0.08647798742</v>
      </c>
      <c r="BZ7" s="46">
        <f t="array" ref="BZ7">LET(val, IFERROR(INDEX('Daily 쨈 raw'!$A:$Z, MATCH(BZ$3, 'Daily 쨈 raw'!$A:$A, 0), MATCH($A7, 'Daily 쨈 raw'!$1:$1, 0)), ""), IF(val=0, "", val))</f>
        <v>0.04755244755</v>
      </c>
      <c r="CA7" s="46">
        <f t="array" ref="CA7">LET(val, IFERROR(INDEX('Daily 쨈 raw'!$A:$Z, MATCH(CA$3, 'Daily 쨈 raw'!$A:$A, 0), MATCH($A7, 'Daily 쨈 raw'!$1:$1, 0)), ""), IF(val=0, "", val))</f>
        <v>0.0620782726</v>
      </c>
      <c r="CB7" s="46">
        <f t="array" ref="CB7">LET(val, IFERROR(INDEX('Daily 쨈 raw'!$A:$Z, MATCH(CB$3, 'Daily 쨈 raw'!$A:$A, 0), MATCH($A7, 'Daily 쨈 raw'!$1:$1, 0)), ""), IF(val=0, "", val))</f>
        <v>0.05949656751</v>
      </c>
      <c r="CC7" s="46">
        <f t="array" ref="CC7">LET(val, IFERROR(INDEX('Daily 쨈 raw'!$A:$Z, MATCH(CC$3, 'Daily 쨈 raw'!$A:$A, 0), MATCH($A7, 'Daily 쨈 raw'!$1:$1, 0)), ""), IF(val=0, "", val))</f>
        <v>0.08893709328</v>
      </c>
      <c r="CD7" s="46">
        <f t="array" ref="CD7">LET(val, IFERROR(INDEX('Daily 쨈 raw'!$A:$Z, MATCH(CD$3, 'Daily 쨈 raw'!$A:$A, 0), MATCH($A7, 'Daily 쨈 raw'!$1:$1, 0)), ""), IF(val=0, "", val))</f>
        <v>0.1088295688</v>
      </c>
      <c r="CE7" s="46">
        <f t="array" ref="CE7">LET(val, IFERROR(INDEX('Daily 쨈 raw'!$A:$Z, MATCH(CE$3, 'Daily 쨈 raw'!$A:$A, 0), MATCH($A7, 'Daily 쨈 raw'!$1:$1, 0)), ""), IF(val=0, "", val))</f>
        <v>0.1055900621</v>
      </c>
      <c r="CF7" s="46">
        <f t="array" ref="CF7">LET(val, IFERROR(INDEX('Daily 쨈 raw'!$A:$Z, MATCH(CF$3, 'Daily 쨈 raw'!$A:$A, 0), MATCH($A7, 'Daily 쨈 raw'!$1:$1, 0)), ""), IF(val=0, "", val))</f>
        <v>0.1001964637</v>
      </c>
      <c r="CG7" s="46">
        <f t="array" ref="CG7">LET(val, IFERROR(INDEX('Daily 쨈 raw'!$A:$Z, MATCH(CG$3, 'Daily 쨈 raw'!$A:$A, 0), MATCH($A7, 'Daily 쨈 raw'!$1:$1, 0)), ""), IF(val=0, "", val))</f>
        <v>0.1315789474</v>
      </c>
      <c r="CH7" s="46">
        <f t="array" ref="CH7">LET(val, IFERROR(INDEX('Daily 쨈 raw'!$A:$Z, MATCH(CH$3, 'Daily 쨈 raw'!$A:$A, 0), MATCH($A7, 'Daily 쨈 raw'!$1:$1, 0)), ""), IF(val=0, "", val))</f>
        <v>0.1232142857</v>
      </c>
      <c r="CI7" s="46">
        <f t="array" ref="CI7">LET(val, IFERROR(INDEX('Daily 쨈 raw'!$A:$Z, MATCH(CI$3, 'Daily 쨈 raw'!$A:$A, 0), MATCH($A7, 'Daily 쨈 raw'!$1:$1, 0)), ""), IF(val=0, "", val))</f>
        <v>0.183982684</v>
      </c>
      <c r="CJ7" s="46">
        <f t="array" ref="CJ7">LET(val, IFERROR(INDEX('Daily 쨈 raw'!$A:$Z, MATCH(CJ$3, 'Daily 쨈 raw'!$A:$A, 0), MATCH($A7, 'Daily 쨈 raw'!$1:$1, 0)), ""), IF(val=0, "", val))</f>
        <v>0.1296</v>
      </c>
      <c r="CK7" s="46">
        <f t="array" ref="CK7">LET(val, IFERROR(INDEX('Daily 쨈 raw'!$A:$Z, MATCH(CK$3, 'Daily 쨈 raw'!$A:$A, 0), MATCH($A7, 'Daily 쨈 raw'!$1:$1, 0)), ""), IF(val=0, "", val))</f>
        <v>0.1669505963</v>
      </c>
      <c r="CL7" s="46">
        <f t="array" ref="CL7">LET(val, IFERROR(INDEX('Daily 쨈 raw'!$A:$Z, MATCH(CL$3, 'Daily 쨈 raw'!$A:$A, 0), MATCH($A7, 'Daily 쨈 raw'!$1:$1, 0)), ""), IF(val=0, "", val))</f>
        <v>0.115913556</v>
      </c>
      <c r="CM7" s="46">
        <f t="array" ref="CM7">LET(val, IFERROR(INDEX('Daily 쨈 raw'!$A:$Z, MATCH(CM$3, 'Daily 쨈 raw'!$A:$A, 0), MATCH($A7, 'Daily 쨈 raw'!$1:$1, 0)), ""), IF(val=0, "", val))</f>
        <v>0.1252144082</v>
      </c>
      <c r="CN7" s="46">
        <f t="array" ref="CN7">LET(val, IFERROR(INDEX('Daily 쨈 raw'!$A:$Z, MATCH(CN$3, 'Daily 쨈 raw'!$A:$A, 0), MATCH($A7, 'Daily 쨈 raw'!$1:$1, 0)), ""), IF(val=0, "", val))</f>
        <v>0.1219047619</v>
      </c>
      <c r="CO7" s="46">
        <f t="array" ref="CO7">LET(val, IFERROR(INDEX('Daily 쨈 raw'!$A:$Z, MATCH(CO$3, 'Daily 쨈 raw'!$A:$A, 0), MATCH($A7, 'Daily 쨈 raw'!$1:$1, 0)), ""), IF(val=0, "", val))</f>
        <v>0.1377245509</v>
      </c>
      <c r="CP7" s="46">
        <f t="array" ref="CP7">LET(val, IFERROR(INDEX('Daily 쨈 raw'!$A:$Z, MATCH(CP$3, 'Daily 쨈 raw'!$A:$A, 0), MATCH($A7, 'Daily 쨈 raw'!$1:$1, 0)), ""), IF(val=0, "", val))</f>
        <v>0.06684491979</v>
      </c>
      <c r="CQ7" s="46" t="str">
        <f t="array" ref="CQ7">LET(val, IFERROR(INDEX('Daily 쨈 raw'!$A:$Z, MATCH(CQ$3, 'Daily 쨈 raw'!$A:$A, 0), MATCH($A7, 'Daily 쨈 raw'!$1:$1, 0)), ""), IF(val=0, "", val))</f>
        <v/>
      </c>
      <c r="CR7" s="46" t="str">
        <f t="array" ref="CR7">LET(val, IFERROR(INDEX('Daily 쨈 raw'!$A:$Z, MATCH(CR$3, 'Daily 쨈 raw'!$A:$A, 0), MATCH($A7, 'Daily 쨈 raw'!$1:$1, 0)), ""), IF(val=0, "", val))</f>
        <v/>
      </c>
      <c r="CS7" s="46" t="str">
        <f t="array" ref="CS7">LET(val, IFERROR(INDEX('Daily 쨈 raw'!$A:$Z, MATCH(CS$3, 'Daily 쨈 raw'!$A:$A, 0), MATCH($A7, 'Daily 쨈 raw'!$1:$1, 0)), ""), IF(val=0, "", val))</f>
        <v/>
      </c>
      <c r="CT7" s="46" t="str">
        <f t="array" ref="CT7">LET(val, IFERROR(INDEX('Daily 쨈 raw'!$A:$Z, MATCH(CT$3, 'Daily 쨈 raw'!$A:$A, 0), MATCH($A7, 'Daily 쨈 raw'!$1:$1, 0)), ""), IF(val=0, "", val))</f>
        <v/>
      </c>
      <c r="CU7" s="46" t="str">
        <f t="array" ref="CU7">LET(val, IFERROR(INDEX('Daily 쨈 raw'!$A:$Z, MATCH(CU$3, 'Daily 쨈 raw'!$A:$A, 0), MATCH($A7, 'Daily 쨈 raw'!$1:$1, 0)), ""), IF(val=0, "", val))</f>
        <v/>
      </c>
      <c r="CV7" s="46" t="str">
        <f t="array" ref="CV7">LET(val, IFERROR(INDEX('Daily 쨈 raw'!$A:$Z, MATCH(CV$3, 'Daily 쨈 raw'!$A:$A, 0), MATCH($A7, 'Daily 쨈 raw'!$1:$1, 0)), ""), IF(val=0, "", val))</f>
        <v/>
      </c>
      <c r="CW7" s="46" t="str">
        <f t="array" ref="CW7">LET(val, IFERROR(INDEX('Daily 쨈 raw'!$A:$Z, MATCH(CW$3, 'Daily 쨈 raw'!$A:$A, 0), MATCH($A7, 'Daily 쨈 raw'!$1:$1, 0)), ""), IF(val=0, "", val))</f>
        <v/>
      </c>
      <c r="CX7" s="46" t="str">
        <f t="array" ref="CX7">LET(val, IFERROR(INDEX('Daily 쨈 raw'!$A:$Z, MATCH(CX$3, 'Daily 쨈 raw'!$A:$A, 0), MATCH($A7, 'Daily 쨈 raw'!$1:$1, 0)), ""), IF(val=0, "", val))</f>
        <v/>
      </c>
      <c r="CY7" s="46" t="str">
        <f t="array" ref="CY7">LET(val, IFERROR(INDEX('Daily 쨈 raw'!$A:$Z, MATCH(CY$3, 'Daily 쨈 raw'!$A:$A, 0), MATCH($A7, 'Daily 쨈 raw'!$1:$1, 0)), ""), IF(val=0, "", val))</f>
        <v/>
      </c>
      <c r="CZ7" s="46" t="str">
        <f t="array" ref="CZ7">LET(val, IFERROR(INDEX('Daily 쨈 raw'!$A:$Z, MATCH(CZ$3, 'Daily 쨈 raw'!$A:$A, 0), MATCH($A7, 'Daily 쨈 raw'!$1:$1, 0)), ""), IF(val=0, "", val))</f>
        <v/>
      </c>
      <c r="DA7" s="46" t="str">
        <f t="array" ref="DA7">LET(val, IFERROR(INDEX('Daily 쨈 raw'!$A:$Z, MATCH(DA$3, 'Daily 쨈 raw'!$A:$A, 0), MATCH($A7, 'Daily 쨈 raw'!$1:$1, 0)), ""), IF(val=0, "", val))</f>
        <v/>
      </c>
      <c r="DB7" s="46" t="str">
        <f t="array" ref="DB7">LET(val, IFERROR(INDEX('Daily 쨈 raw'!$A:$Z, MATCH(DB$3, 'Daily 쨈 raw'!$A:$A, 0), MATCH($A7, 'Daily 쨈 raw'!$1:$1, 0)), ""), IF(val=0, "", val))</f>
        <v/>
      </c>
      <c r="DC7" s="46" t="str">
        <f t="array" ref="DC7">LET(val, IFERROR(INDEX('Daily 쨈 raw'!$A:$Z, MATCH(DC$3, 'Daily 쨈 raw'!$A:$A, 0), MATCH($A7, 'Daily 쨈 raw'!$1:$1, 0)), ""), IF(val=0, "", val))</f>
        <v/>
      </c>
      <c r="DD7" s="46" t="str">
        <f t="array" ref="DD7">LET(val, IFERROR(INDEX('Daily 쨈 raw'!$A:$Z, MATCH(DD$3, 'Daily 쨈 raw'!$A:$A, 0), MATCH($A7, 'Daily 쨈 raw'!$1:$1, 0)), ""), IF(val=0, "", val))</f>
        <v/>
      </c>
      <c r="DE7" s="46" t="str">
        <f t="array" ref="DE7">LET(val, IFERROR(INDEX('Daily 쨈 raw'!$A:$Z, MATCH(DE$3, 'Daily 쨈 raw'!$A:$A, 0), MATCH($A7, 'Daily 쨈 raw'!$1:$1, 0)), ""), IF(val=0, "", val))</f>
        <v/>
      </c>
      <c r="DF7" s="46" t="str">
        <f t="array" ref="DF7">LET(val, IFERROR(INDEX('Daily 쨈 raw'!$A:$Z, MATCH(DF$3, 'Daily 쨈 raw'!$A:$A, 0), MATCH($A7, 'Daily 쨈 raw'!$1:$1, 0)), ""), IF(val=0, "", val))</f>
        <v/>
      </c>
      <c r="DG7" s="46" t="str">
        <f t="array" ref="DG7">LET(val, IFERROR(INDEX('Daily 쨈 raw'!$A:$Z, MATCH(DG$3, 'Daily 쨈 raw'!$A:$A, 0), MATCH($A7, 'Daily 쨈 raw'!$1:$1, 0)), ""), IF(val=0, "", val))</f>
        <v/>
      </c>
      <c r="DH7" s="46" t="str">
        <f t="array" ref="DH7">LET(val, IFERROR(INDEX('Daily 쨈 raw'!$A:$Z, MATCH(DH$3, 'Daily 쨈 raw'!$A:$A, 0), MATCH($A7, 'Daily 쨈 raw'!$1:$1, 0)), ""), IF(val=0, "", val))</f>
        <v/>
      </c>
      <c r="DI7" s="46" t="str">
        <f t="array" ref="DI7">LET(val, IFERROR(INDEX('Daily 쨈 raw'!$A:$Z, MATCH(DI$3, 'Daily 쨈 raw'!$A:$A, 0), MATCH($A7, 'Daily 쨈 raw'!$1:$1, 0)), ""), IF(val=0, "", val))</f>
        <v/>
      </c>
      <c r="DJ7" s="46" t="str">
        <f t="array" ref="DJ7">LET(val, IFERROR(INDEX('Daily 쨈 raw'!$A:$Z, MATCH(DJ$3, 'Daily 쨈 raw'!$A:$A, 0), MATCH($A7, 'Daily 쨈 raw'!$1:$1, 0)), ""), IF(val=0, "", val))</f>
        <v/>
      </c>
      <c r="DK7" s="46" t="str">
        <f t="array" ref="DK7">LET(val, IFERROR(INDEX('Daily 쨈 raw'!$A:$Z, MATCH(DK$3, 'Daily 쨈 raw'!$A:$A, 0), MATCH($A7, 'Daily 쨈 raw'!$1:$1, 0)), ""), IF(val=0, "", val))</f>
        <v/>
      </c>
      <c r="DL7" s="46" t="str">
        <f t="array" ref="DL7">LET(val, IFERROR(INDEX('Daily 쨈 raw'!$A:$Z, MATCH(DL$3, 'Daily 쨈 raw'!$A:$A, 0), MATCH($A7, 'Daily 쨈 raw'!$1:$1, 0)), ""), IF(val=0, "", val))</f>
        <v/>
      </c>
      <c r="DM7" s="46" t="str">
        <f t="array" ref="DM7">LET(val, IFERROR(INDEX('Daily 쨈 raw'!$A:$Z, MATCH(DM$3, 'Daily 쨈 raw'!$A:$A, 0), MATCH($A7, 'Daily 쨈 raw'!$1:$1, 0)), ""), IF(val=0, "", val))</f>
        <v/>
      </c>
      <c r="DN7" s="46" t="str">
        <f t="array" ref="DN7">LET(val, IFERROR(INDEX('Daily 쨈 raw'!$A:$Z, MATCH(DN$3, 'Daily 쨈 raw'!$A:$A, 0), MATCH($A7, 'Daily 쨈 raw'!$1:$1, 0)), ""), IF(val=0, "", val))</f>
        <v/>
      </c>
      <c r="DO7" s="46" t="str">
        <f t="array" ref="DO7">LET(val, IFERROR(INDEX('Daily 쨈 raw'!$A:$Z, MATCH(DO$3, 'Daily 쨈 raw'!$A:$A, 0), MATCH($A7, 'Daily 쨈 raw'!$1:$1, 0)), ""), IF(val=0, "", val))</f>
        <v/>
      </c>
      <c r="DP7" s="46" t="str">
        <f t="array" ref="DP7">LET(val, IFERROR(INDEX('Daily 쨈 raw'!$A:$Z, MATCH(DP$3, 'Daily 쨈 raw'!$A:$A, 0), MATCH($A7, 'Daily 쨈 raw'!$1:$1, 0)), ""), IF(val=0, "", val))</f>
        <v/>
      </c>
      <c r="DQ7" s="46" t="str">
        <f t="array" ref="DQ7">LET(val, IFERROR(INDEX('Daily 쨈 raw'!$A:$Z, MATCH(DQ$3, 'Daily 쨈 raw'!$A:$A, 0), MATCH($A7, 'Daily 쨈 raw'!$1:$1, 0)), ""), IF(val=0, "", val))</f>
        <v/>
      </c>
      <c r="DR7" s="46" t="str">
        <f t="array" ref="DR7">LET(val, IFERROR(INDEX('Daily 쨈 raw'!$A:$Z, MATCH(DR$3, 'Daily 쨈 raw'!$A:$A, 0), MATCH($A7, 'Daily 쨈 raw'!$1:$1, 0)), ""), IF(val=0, "", val))</f>
        <v/>
      </c>
      <c r="DS7" s="46" t="str">
        <f t="array" ref="DS7">LET(val, IFERROR(INDEX('Daily 쨈 raw'!$A:$Z, MATCH(DS$3, 'Daily 쨈 raw'!$A:$A, 0), MATCH($A7, 'Daily 쨈 raw'!$1:$1, 0)), ""), IF(val=0, "", val))</f>
        <v/>
      </c>
      <c r="DT7" s="46" t="str">
        <f t="array" ref="DT7">LET(val, IFERROR(INDEX('Daily 쨈 raw'!$A:$Z, MATCH(DT$3, 'Daily 쨈 raw'!$A:$A, 0), MATCH($A7, 'Daily 쨈 raw'!$1:$1, 0)), ""), IF(val=0, "", val))</f>
        <v/>
      </c>
      <c r="DU7" s="46" t="str">
        <f t="array" ref="DU7">LET(val, IFERROR(INDEX('Daily 쨈 raw'!$A:$Z, MATCH(DU$3, 'Daily 쨈 raw'!$A:$A, 0), MATCH($A7, 'Daily 쨈 raw'!$1:$1, 0)), ""), IF(val=0, "", val))</f>
        <v/>
      </c>
      <c r="DV7" s="46" t="str">
        <f t="array" ref="DV7">LET(val, IFERROR(INDEX('Daily 쨈 raw'!$A:$Z, MATCH(DV$3, 'Daily 쨈 raw'!$A:$A, 0), MATCH($A7, 'Daily 쨈 raw'!$1:$1, 0)), ""), IF(val=0, "", val))</f>
        <v/>
      </c>
      <c r="DW7" s="46" t="str">
        <f t="array" ref="DW7">LET(val, IFERROR(INDEX('Daily 쨈 raw'!$A:$Z, MATCH(DW$3, 'Daily 쨈 raw'!$A:$A, 0), MATCH($A7, 'Daily 쨈 raw'!$1:$1, 0)), ""), IF(val=0, "", val))</f>
        <v/>
      </c>
      <c r="DX7" s="46" t="str">
        <f t="array" ref="DX7">LET(val, IFERROR(INDEX('Daily 쨈 raw'!$A:$Z, MATCH(DX$3, 'Daily 쨈 raw'!$A:$A, 0), MATCH($A7, 'Daily 쨈 raw'!$1:$1, 0)), ""), IF(val=0, "", val))</f>
        <v/>
      </c>
      <c r="DY7" s="46" t="str">
        <f t="array" ref="DY7">LET(val, IFERROR(INDEX('Daily 쨈 raw'!$A:$Z, MATCH(DY$3, 'Daily 쨈 raw'!$A:$A, 0), MATCH($A7, 'Daily 쨈 raw'!$1:$1, 0)), ""), IF(val=0, "", val))</f>
        <v/>
      </c>
      <c r="DZ7" s="46" t="str">
        <f t="array" ref="DZ7">LET(val, IFERROR(INDEX('Daily 쨈 raw'!$A:$Z, MATCH(DZ$3, 'Daily 쨈 raw'!$A:$A, 0), MATCH($A7, 'Daily 쨈 raw'!$1:$1, 0)), ""), IF(val=0, "", val))</f>
        <v/>
      </c>
    </row>
    <row r="8" ht="22.5" customHeight="1">
      <c r="A8" s="23" t="s">
        <v>19</v>
      </c>
      <c r="B8" s="47" t="s">
        <v>66</v>
      </c>
      <c r="C8" s="44">
        <f t="array" ref="C8">LET(val, IFERROR(INDEX('Daily 쨈 raw'!$A:$Z, MATCH(C$3, 'Daily 쨈 raw'!$A:$A, 0), MATCH($A8, 'Daily 쨈 raw'!$1:$1, 0)), ""), IF(val=0, "", val))</f>
        <v>64</v>
      </c>
      <c r="D8" s="44">
        <f t="array" ref="D8">LET(val, IFERROR(INDEX('Daily 쨈 raw'!$A:$Z, MATCH(D$3, 'Daily 쨈 raw'!$A:$A, 0), MATCH($A8, 'Daily 쨈 raw'!$1:$1, 0)), ""), IF(val=0, "", val))</f>
        <v>82</v>
      </c>
      <c r="E8" s="44">
        <f t="array" ref="E8">LET(val, IFERROR(INDEX('Daily 쨈 raw'!$A:$Z, MATCH(E$3, 'Daily 쨈 raw'!$A:$A, 0), MATCH($A8, 'Daily 쨈 raw'!$1:$1, 0)), ""), IF(val=0, "", val))</f>
        <v>54</v>
      </c>
      <c r="F8" s="44">
        <f t="array" ref="F8">LET(val, IFERROR(INDEX('Daily 쨈 raw'!$A:$Z, MATCH(F$3, 'Daily 쨈 raw'!$A:$A, 0), MATCH($A8, 'Daily 쨈 raw'!$1:$1, 0)), ""), IF(val=0, "", val))</f>
        <v>48</v>
      </c>
      <c r="G8" s="44">
        <f t="array" ref="G8">LET(val, IFERROR(INDEX('Daily 쨈 raw'!$A:$Z, MATCH(G$3, 'Daily 쨈 raw'!$A:$A, 0), MATCH($A8, 'Daily 쨈 raw'!$1:$1, 0)), ""), IF(val=0, "", val))</f>
        <v>46</v>
      </c>
      <c r="H8" s="44">
        <f t="array" ref="H8">LET(val, IFERROR(INDEX('Daily 쨈 raw'!$A:$Z, MATCH(H$3, 'Daily 쨈 raw'!$A:$A, 0), MATCH($A8, 'Daily 쨈 raw'!$1:$1, 0)), ""), IF(val=0, "", val))</f>
        <v>88</v>
      </c>
      <c r="I8" s="44">
        <f t="array" ref="I8">LET(val, IFERROR(INDEX('Daily 쨈 raw'!$A:$Z, MATCH(I$3, 'Daily 쨈 raw'!$A:$A, 0), MATCH($A8, 'Daily 쨈 raw'!$1:$1, 0)), ""), IF(val=0, "", val))</f>
        <v>72</v>
      </c>
      <c r="J8" s="44">
        <f t="array" ref="J8">LET(val, IFERROR(INDEX('Daily 쨈 raw'!$A:$Z, MATCH(J$3, 'Daily 쨈 raw'!$A:$A, 0), MATCH($A8, 'Daily 쨈 raw'!$1:$1, 0)), ""), IF(val=0, "", val))</f>
        <v>57</v>
      </c>
      <c r="K8" s="44">
        <f t="array" ref="K8">LET(val, IFERROR(INDEX('Daily 쨈 raw'!$A:$Z, MATCH(K$3, 'Daily 쨈 raw'!$A:$A, 0), MATCH($A8, 'Daily 쨈 raw'!$1:$1, 0)), ""), IF(val=0, "", val))</f>
        <v>97</v>
      </c>
      <c r="L8" s="44">
        <f t="array" ref="L8">LET(val, IFERROR(INDEX('Daily 쨈 raw'!$A:$Z, MATCH(L$3, 'Daily 쨈 raw'!$A:$A, 0), MATCH($A8, 'Daily 쨈 raw'!$1:$1, 0)), ""), IF(val=0, "", val))</f>
        <v>105</v>
      </c>
      <c r="M8" s="44">
        <f t="array" ref="M8">LET(val, IFERROR(INDEX('Daily 쨈 raw'!$A:$Z, MATCH(M$3, 'Daily 쨈 raw'!$A:$A, 0), MATCH($A8, 'Daily 쨈 raw'!$1:$1, 0)), ""), IF(val=0, "", val))</f>
        <v>75</v>
      </c>
      <c r="N8" s="44">
        <f t="array" ref="N8">LET(val, IFERROR(INDEX('Daily 쨈 raw'!$A:$Z, MATCH(N$3, 'Daily 쨈 raw'!$A:$A, 0), MATCH($A8, 'Daily 쨈 raw'!$1:$1, 0)), ""), IF(val=0, "", val))</f>
        <v>78</v>
      </c>
      <c r="O8" s="44">
        <f t="array" ref="O8">LET(val, IFERROR(INDEX('Daily 쨈 raw'!$A:$Z, MATCH(O$3, 'Daily 쨈 raw'!$A:$A, 0), MATCH($A8, 'Daily 쨈 raw'!$1:$1, 0)), ""), IF(val=0, "", val))</f>
        <v>86</v>
      </c>
      <c r="P8" s="44">
        <f t="array" ref="P8">LET(val, IFERROR(INDEX('Daily 쨈 raw'!$A:$Z, MATCH(P$3, 'Daily 쨈 raw'!$A:$A, 0), MATCH($A8, 'Daily 쨈 raw'!$1:$1, 0)), ""), IF(val=0, "", val))</f>
        <v>85</v>
      </c>
      <c r="Q8" s="44">
        <f t="array" ref="Q8">LET(val, IFERROR(INDEX('Daily 쨈 raw'!$A:$Z, MATCH(Q$3, 'Daily 쨈 raw'!$A:$A, 0), MATCH($A8, 'Daily 쨈 raw'!$1:$1, 0)), ""), IF(val=0, "", val))</f>
        <v>67</v>
      </c>
      <c r="R8" s="44">
        <f t="array" ref="R8">LET(val, IFERROR(INDEX('Daily 쨈 raw'!$A:$Z, MATCH(R$3, 'Daily 쨈 raw'!$A:$A, 0), MATCH($A8, 'Daily 쨈 raw'!$1:$1, 0)), ""), IF(val=0, "", val))</f>
        <v>67</v>
      </c>
      <c r="S8" s="44">
        <f t="array" ref="S8">LET(val, IFERROR(INDEX('Daily 쨈 raw'!$A:$Z, MATCH(S$3, 'Daily 쨈 raw'!$A:$A, 0), MATCH($A8, 'Daily 쨈 raw'!$1:$1, 0)), ""), IF(val=0, "", val))</f>
        <v>57</v>
      </c>
      <c r="T8" s="44">
        <f t="array" ref="T8">LET(val, IFERROR(INDEX('Daily 쨈 raw'!$A:$Z, MATCH(T$3, 'Daily 쨈 raw'!$A:$A, 0), MATCH($A8, 'Daily 쨈 raw'!$1:$1, 0)), ""), IF(val=0, "", val))</f>
        <v>70</v>
      </c>
      <c r="U8" s="44">
        <f t="array" ref="U8">LET(val, IFERROR(INDEX('Daily 쨈 raw'!$A:$Z, MATCH(U$3, 'Daily 쨈 raw'!$A:$A, 0), MATCH($A8, 'Daily 쨈 raw'!$1:$1, 0)), ""), IF(val=0, "", val))</f>
        <v>55</v>
      </c>
      <c r="V8" s="44">
        <f t="array" ref="V8">LET(val, IFERROR(INDEX('Daily 쨈 raw'!$A:$Z, MATCH(V$3, 'Daily 쨈 raw'!$A:$A, 0), MATCH($A8, 'Daily 쨈 raw'!$1:$1, 0)), ""), IF(val=0, "", val))</f>
        <v>64</v>
      </c>
      <c r="W8" s="44">
        <f t="array" ref="W8">LET(val, IFERROR(INDEX('Daily 쨈 raw'!$A:$Z, MATCH(W$3, 'Daily 쨈 raw'!$A:$A, 0), MATCH($A8, 'Daily 쨈 raw'!$1:$1, 0)), ""), IF(val=0, "", val))</f>
        <v>72</v>
      </c>
      <c r="X8" s="44">
        <f t="array" ref="X8">LET(val, IFERROR(INDEX('Daily 쨈 raw'!$A:$Z, MATCH(X$3, 'Daily 쨈 raw'!$A:$A, 0), MATCH($A8, 'Daily 쨈 raw'!$1:$1, 0)), ""), IF(val=0, "", val))</f>
        <v>66</v>
      </c>
      <c r="Y8" s="44">
        <f t="array" ref="Y8">LET(val, IFERROR(INDEX('Daily 쨈 raw'!$A:$Z, MATCH(Y$3, 'Daily 쨈 raw'!$A:$A, 0), MATCH($A8, 'Daily 쨈 raw'!$1:$1, 0)), ""), IF(val=0, "", val))</f>
        <v>55</v>
      </c>
      <c r="Z8" s="44">
        <f t="array" ref="Z8">LET(val, IFERROR(INDEX('Daily 쨈 raw'!$A:$Z, MATCH(Z$3, 'Daily 쨈 raw'!$A:$A, 0), MATCH($A8, 'Daily 쨈 raw'!$1:$1, 0)), ""), IF(val=0, "", val))</f>
        <v>68</v>
      </c>
      <c r="AA8" s="44">
        <f t="array" ref="AA8">LET(val, IFERROR(INDEX('Daily 쨈 raw'!$A:$Z, MATCH(AA$3, 'Daily 쨈 raw'!$A:$A, 0), MATCH($A8, 'Daily 쨈 raw'!$1:$1, 0)), ""), IF(val=0, "", val))</f>
        <v>44</v>
      </c>
      <c r="AB8" s="44">
        <f t="array" ref="AB8">LET(val, IFERROR(INDEX('Daily 쨈 raw'!$A:$Z, MATCH(AB$3, 'Daily 쨈 raw'!$A:$A, 0), MATCH($A8, 'Daily 쨈 raw'!$1:$1, 0)), ""), IF(val=0, "", val))</f>
        <v>56</v>
      </c>
      <c r="AC8" s="44">
        <f t="array" ref="AC8">LET(val, IFERROR(INDEX('Daily 쨈 raw'!$A:$Z, MATCH(AC$3, 'Daily 쨈 raw'!$A:$A, 0), MATCH($A8, 'Daily 쨈 raw'!$1:$1, 0)), ""), IF(val=0, "", val))</f>
        <v>48</v>
      </c>
      <c r="AD8" s="44">
        <f t="array" ref="AD8">LET(val, IFERROR(INDEX('Daily 쨈 raw'!$A:$Z, MATCH(AD$3, 'Daily 쨈 raw'!$A:$A, 0), MATCH($A8, 'Daily 쨈 raw'!$1:$1, 0)), ""), IF(val=0, "", val))</f>
        <v>54</v>
      </c>
      <c r="AE8" s="44">
        <f t="array" ref="AE8">LET(val, IFERROR(INDEX('Daily 쨈 raw'!$A:$Z, MATCH(AE$3, 'Daily 쨈 raw'!$A:$A, 0), MATCH($A8, 'Daily 쨈 raw'!$1:$1, 0)), ""), IF(val=0, "", val))</f>
        <v>65</v>
      </c>
      <c r="AF8" s="44">
        <f t="array" ref="AF8">LET(val, IFERROR(INDEX('Daily 쨈 raw'!$A:$Z, MATCH(AF$3, 'Daily 쨈 raw'!$A:$A, 0), MATCH($A8, 'Daily 쨈 raw'!$1:$1, 0)), ""), IF(val=0, "", val))</f>
        <v>90</v>
      </c>
      <c r="AG8" s="44">
        <f t="array" ref="AG8">LET(val, IFERROR(INDEX('Daily 쨈 raw'!$A:$Z, MATCH(AG$3, 'Daily 쨈 raw'!$A:$A, 0), MATCH($A8, 'Daily 쨈 raw'!$1:$1, 0)), ""), IF(val=0, "", val))</f>
        <v>321</v>
      </c>
      <c r="AH8" s="44">
        <f t="array" ref="AH8">LET(val, IFERROR(INDEX('Daily 쨈 raw'!$A:$Z, MATCH(AH$3, 'Daily 쨈 raw'!$A:$A, 0), MATCH($A8, 'Daily 쨈 raw'!$1:$1, 0)), ""), IF(val=0, "", val))</f>
        <v>252</v>
      </c>
      <c r="AI8" s="44">
        <f t="array" ref="AI8">LET(val, IFERROR(INDEX('Daily 쨈 raw'!$A:$Z, MATCH(AI$3, 'Daily 쨈 raw'!$A:$A, 0), MATCH($A8, 'Daily 쨈 raw'!$1:$1, 0)), ""), IF(val=0, "", val))</f>
        <v>80</v>
      </c>
      <c r="AJ8" s="44">
        <f t="array" ref="AJ8">LET(val, IFERROR(INDEX('Daily 쨈 raw'!$A:$Z, MATCH(AJ$3, 'Daily 쨈 raw'!$A:$A, 0), MATCH($A8, 'Daily 쨈 raw'!$1:$1, 0)), ""), IF(val=0, "", val))</f>
        <v>94</v>
      </c>
      <c r="AK8" s="44">
        <f t="array" ref="AK8">LET(val, IFERROR(INDEX('Daily 쨈 raw'!$A:$Z, MATCH(AK$3, 'Daily 쨈 raw'!$A:$A, 0), MATCH($A8, 'Daily 쨈 raw'!$1:$1, 0)), ""), IF(val=0, "", val))</f>
        <v>100</v>
      </c>
      <c r="AL8" s="44">
        <f t="array" ref="AL8">LET(val, IFERROR(INDEX('Daily 쨈 raw'!$A:$Z, MATCH(AL$3, 'Daily 쨈 raw'!$A:$A, 0), MATCH($A8, 'Daily 쨈 raw'!$1:$1, 0)), ""), IF(val=0, "", val))</f>
        <v>86</v>
      </c>
      <c r="AM8" s="44">
        <f t="array" ref="AM8">LET(val, IFERROR(INDEX('Daily 쨈 raw'!$A:$Z, MATCH(AM$3, 'Daily 쨈 raw'!$A:$A, 0), MATCH($A8, 'Daily 쨈 raw'!$1:$1, 0)), ""), IF(val=0, "", val))</f>
        <v>76</v>
      </c>
      <c r="AN8" s="44">
        <f t="array" ref="AN8">LET(val, IFERROR(INDEX('Daily 쨈 raw'!$A:$Z, MATCH(AN$3, 'Daily 쨈 raw'!$A:$A, 0), MATCH($A8, 'Daily 쨈 raw'!$1:$1, 0)), ""), IF(val=0, "", val))</f>
        <v>107</v>
      </c>
      <c r="AO8" s="44">
        <f t="array" ref="AO8">LET(val, IFERROR(INDEX('Daily 쨈 raw'!$A:$Z, MATCH(AO$3, 'Daily 쨈 raw'!$A:$A, 0), MATCH($A8, 'Daily 쨈 raw'!$1:$1, 0)), ""), IF(val=0, "", val))</f>
        <v>159</v>
      </c>
      <c r="AP8" s="44">
        <f t="array" ref="AP8">LET(val, IFERROR(INDEX('Daily 쨈 raw'!$A:$Z, MATCH(AP$3, 'Daily 쨈 raw'!$A:$A, 0), MATCH($A8, 'Daily 쨈 raw'!$1:$1, 0)), ""), IF(val=0, "", val))</f>
        <v>76</v>
      </c>
      <c r="AQ8" s="44">
        <f t="array" ref="AQ8">LET(val, IFERROR(INDEX('Daily 쨈 raw'!$A:$Z, MATCH(AQ$3, 'Daily 쨈 raw'!$A:$A, 0), MATCH($A8, 'Daily 쨈 raw'!$1:$1, 0)), ""), IF(val=0, "", val))</f>
        <v>83</v>
      </c>
      <c r="AR8" s="44">
        <f t="array" ref="AR8">LET(val, IFERROR(INDEX('Daily 쨈 raw'!$A:$Z, MATCH(AR$3, 'Daily 쨈 raw'!$A:$A, 0), MATCH($A8, 'Daily 쨈 raw'!$1:$1, 0)), ""), IF(val=0, "", val))</f>
        <v>65</v>
      </c>
      <c r="AS8" s="44">
        <f t="array" ref="AS8">LET(val, IFERROR(INDEX('Daily 쨈 raw'!$A:$Z, MATCH(AS$3, 'Daily 쨈 raw'!$A:$A, 0), MATCH($A8, 'Daily 쨈 raw'!$1:$1, 0)), ""), IF(val=0, "", val))</f>
        <v>47</v>
      </c>
      <c r="AT8" s="44">
        <f t="array" ref="AT8">LET(val, IFERROR(INDEX('Daily 쨈 raw'!$A:$Z, MATCH(AT$3, 'Daily 쨈 raw'!$A:$A, 0), MATCH($A8, 'Daily 쨈 raw'!$1:$1, 0)), ""), IF(val=0, "", val))</f>
        <v>70</v>
      </c>
      <c r="AU8" s="44">
        <f t="array" ref="AU8">LET(val, IFERROR(INDEX('Daily 쨈 raw'!$A:$Z, MATCH(AU$3, 'Daily 쨈 raw'!$A:$A, 0), MATCH($A8, 'Daily 쨈 raw'!$1:$1, 0)), ""), IF(val=0, "", val))</f>
        <v>62</v>
      </c>
      <c r="AV8" s="44">
        <f t="array" ref="AV8">LET(val, IFERROR(INDEX('Daily 쨈 raw'!$A:$Z, MATCH(AV$3, 'Daily 쨈 raw'!$A:$A, 0), MATCH($A8, 'Daily 쨈 raw'!$1:$1, 0)), ""), IF(val=0, "", val))</f>
        <v>60</v>
      </c>
      <c r="AW8" s="44">
        <f t="array" ref="AW8">LET(val, IFERROR(INDEX('Daily 쨈 raw'!$A:$Z, MATCH(AW$3, 'Daily 쨈 raw'!$A:$A, 0), MATCH($A8, 'Daily 쨈 raw'!$1:$1, 0)), ""), IF(val=0, "", val))</f>
        <v>60</v>
      </c>
      <c r="AX8" s="44">
        <f t="array" ref="AX8">LET(val, IFERROR(INDEX('Daily 쨈 raw'!$A:$Z, MATCH(AX$3, 'Daily 쨈 raw'!$A:$A, 0), MATCH($A8, 'Daily 쨈 raw'!$1:$1, 0)), ""), IF(val=0, "", val))</f>
        <v>55</v>
      </c>
      <c r="AY8" s="44">
        <f t="array" ref="AY8">LET(val, IFERROR(INDEX('Daily 쨈 raw'!$A:$Z, MATCH(AY$3, 'Daily 쨈 raw'!$A:$A, 0), MATCH($A8, 'Daily 쨈 raw'!$1:$1, 0)), ""), IF(val=0, "", val))</f>
        <v>51</v>
      </c>
      <c r="AZ8" s="44">
        <f t="array" ref="AZ8">LET(val, IFERROR(INDEX('Daily 쨈 raw'!$A:$Z, MATCH(AZ$3, 'Daily 쨈 raw'!$A:$A, 0), MATCH($A8, 'Daily 쨈 raw'!$1:$1, 0)), ""), IF(val=0, "", val))</f>
        <v>51</v>
      </c>
      <c r="BA8" s="44">
        <f t="array" ref="BA8">LET(val, IFERROR(INDEX('Daily 쨈 raw'!$A:$Z, MATCH(BA$3, 'Daily 쨈 raw'!$A:$A, 0), MATCH($A8, 'Daily 쨈 raw'!$1:$1, 0)), ""), IF(val=0, "", val))</f>
        <v>54</v>
      </c>
      <c r="BB8" s="44">
        <f t="array" ref="BB8">LET(val, IFERROR(INDEX('Daily 쨈 raw'!$A:$Z, MATCH(BB$3, 'Daily 쨈 raw'!$A:$A, 0), MATCH($A8, 'Daily 쨈 raw'!$1:$1, 0)), ""), IF(val=0, "", val))</f>
        <v>43</v>
      </c>
      <c r="BC8" s="44">
        <f t="array" ref="BC8">LET(val, IFERROR(INDEX('Daily 쨈 raw'!$A:$Z, MATCH(BC$3, 'Daily 쨈 raw'!$A:$A, 0), MATCH($A8, 'Daily 쨈 raw'!$1:$1, 0)), ""), IF(val=0, "", val))</f>
        <v>52</v>
      </c>
      <c r="BD8" s="44">
        <f t="array" ref="BD8">LET(val, IFERROR(INDEX('Daily 쨈 raw'!$A:$Z, MATCH(BD$3, 'Daily 쨈 raw'!$A:$A, 0), MATCH($A8, 'Daily 쨈 raw'!$1:$1, 0)), ""), IF(val=0, "", val))</f>
        <v>75</v>
      </c>
      <c r="BE8" s="44">
        <f t="array" ref="BE8">LET(val, IFERROR(INDEX('Daily 쨈 raw'!$A:$Z, MATCH(BE$3, 'Daily 쨈 raw'!$A:$A, 0), MATCH($A8, 'Daily 쨈 raw'!$1:$1, 0)), ""), IF(val=0, "", val))</f>
        <v>99</v>
      </c>
      <c r="BF8" s="44">
        <f t="array" ref="BF8">LET(val, IFERROR(INDEX('Daily 쨈 raw'!$A:$Z, MATCH(BF$3, 'Daily 쨈 raw'!$A:$A, 0), MATCH($A8, 'Daily 쨈 raw'!$1:$1, 0)), ""), IF(val=0, "", val))</f>
        <v>87</v>
      </c>
      <c r="BG8" s="44">
        <f t="array" ref="BG8">LET(val, IFERROR(INDEX('Daily 쨈 raw'!$A:$Z, MATCH(BG$3, 'Daily 쨈 raw'!$A:$A, 0), MATCH($A8, 'Daily 쨈 raw'!$1:$1, 0)), ""), IF(val=0, "", val))</f>
        <v>55</v>
      </c>
      <c r="BH8" s="44">
        <f t="array" ref="BH8">LET(val, IFERROR(INDEX('Daily 쨈 raw'!$A:$Z, MATCH(BH$3, 'Daily 쨈 raw'!$A:$A, 0), MATCH($A8, 'Daily 쨈 raw'!$1:$1, 0)), ""), IF(val=0, "", val))</f>
        <v>67</v>
      </c>
      <c r="BI8" s="44">
        <f t="array" ref="BI8">LET(val, IFERROR(INDEX('Daily 쨈 raw'!$A:$Z, MATCH(BI$3, 'Daily 쨈 raw'!$A:$A, 0), MATCH($A8, 'Daily 쨈 raw'!$1:$1, 0)), ""), IF(val=0, "", val))</f>
        <v>65</v>
      </c>
      <c r="BJ8" s="44">
        <f t="array" ref="BJ8">LET(val, IFERROR(INDEX('Daily 쨈 raw'!$A:$Z, MATCH(BJ$3, 'Daily 쨈 raw'!$A:$A, 0), MATCH($A8, 'Daily 쨈 raw'!$1:$1, 0)), ""), IF(val=0, "", val))</f>
        <v>79</v>
      </c>
      <c r="BK8" s="44">
        <f t="array" ref="BK8">LET(val, IFERROR(INDEX('Daily 쨈 raw'!$A:$Z, MATCH(BK$3, 'Daily 쨈 raw'!$A:$A, 0), MATCH($A8, 'Daily 쨈 raw'!$1:$1, 0)), ""), IF(val=0, "", val))</f>
        <v>85</v>
      </c>
      <c r="BL8" s="44">
        <f t="array" ref="BL8">LET(val, IFERROR(INDEX('Daily 쨈 raw'!$A:$Z, MATCH(BL$3, 'Daily 쨈 raw'!$A:$A, 0), MATCH($A8, 'Daily 쨈 raw'!$1:$1, 0)), ""), IF(val=0, "", val))</f>
        <v>85</v>
      </c>
      <c r="BM8" s="44">
        <f t="array" ref="BM8">LET(val, IFERROR(INDEX('Daily 쨈 raw'!$A:$Z, MATCH(BM$3, 'Daily 쨈 raw'!$A:$A, 0), MATCH($A8, 'Daily 쨈 raw'!$1:$1, 0)), ""), IF(val=0, "", val))</f>
        <v>84</v>
      </c>
      <c r="BN8" s="44">
        <f t="array" ref="BN8">LET(val, IFERROR(INDEX('Daily 쨈 raw'!$A:$Z, MATCH(BN$3, 'Daily 쨈 raw'!$A:$A, 0), MATCH($A8, 'Daily 쨈 raw'!$1:$1, 0)), ""), IF(val=0, "", val))</f>
        <v>55</v>
      </c>
      <c r="BO8" s="44">
        <f t="array" ref="BO8">LET(val, IFERROR(INDEX('Daily 쨈 raw'!$A:$Z, MATCH(BO$3, 'Daily 쨈 raw'!$A:$A, 0), MATCH($A8, 'Daily 쨈 raw'!$1:$1, 0)), ""), IF(val=0, "", val))</f>
        <v>47</v>
      </c>
      <c r="BP8" s="44">
        <f t="array" ref="BP8">LET(val, IFERROR(INDEX('Daily 쨈 raw'!$A:$Z, MATCH(BP$3, 'Daily 쨈 raw'!$A:$A, 0), MATCH($A8, 'Daily 쨈 raw'!$1:$1, 0)), ""), IF(val=0, "", val))</f>
        <v>49</v>
      </c>
      <c r="BQ8" s="44">
        <f t="array" ref="BQ8">LET(val, IFERROR(INDEX('Daily 쨈 raw'!$A:$Z, MATCH(BQ$3, 'Daily 쨈 raw'!$A:$A, 0), MATCH($A8, 'Daily 쨈 raw'!$1:$1, 0)), ""), IF(val=0, "", val))</f>
        <v>55</v>
      </c>
      <c r="BR8" s="44">
        <f t="array" ref="BR8">LET(val, IFERROR(INDEX('Daily 쨈 raw'!$A:$Z, MATCH(BR$3, 'Daily 쨈 raw'!$A:$A, 0), MATCH($A8, 'Daily 쨈 raw'!$1:$1, 0)), ""), IF(val=0, "", val))</f>
        <v>41</v>
      </c>
      <c r="BS8" s="44">
        <f t="array" ref="BS8">LET(val, IFERROR(INDEX('Daily 쨈 raw'!$A:$Z, MATCH(BS$3, 'Daily 쨈 raw'!$A:$A, 0), MATCH($A8, 'Daily 쨈 raw'!$1:$1, 0)), ""), IF(val=0, "", val))</f>
        <v>64</v>
      </c>
      <c r="BT8" s="44">
        <f t="array" ref="BT8">LET(val, IFERROR(INDEX('Daily 쨈 raw'!$A:$Z, MATCH(BT$3, 'Daily 쨈 raw'!$A:$A, 0), MATCH($A8, 'Daily 쨈 raw'!$1:$1, 0)), ""), IF(val=0, "", val))</f>
        <v>47</v>
      </c>
      <c r="BU8" s="44">
        <f t="array" ref="BU8">LET(val, IFERROR(INDEX('Daily 쨈 raw'!$A:$Z, MATCH(BU$3, 'Daily 쨈 raw'!$A:$A, 0), MATCH($A8, 'Daily 쨈 raw'!$1:$1, 0)), ""), IF(val=0, "", val))</f>
        <v>59</v>
      </c>
      <c r="BV8" s="44">
        <f t="array" ref="BV8">LET(val, IFERROR(INDEX('Daily 쨈 raw'!$A:$Z, MATCH(BV$3, 'Daily 쨈 raw'!$A:$A, 0), MATCH($A8, 'Daily 쨈 raw'!$1:$1, 0)), ""), IF(val=0, "", val))</f>
        <v>38</v>
      </c>
      <c r="BW8" s="44">
        <f t="array" ref="BW8">LET(val, IFERROR(INDEX('Daily 쨈 raw'!$A:$Z, MATCH(BW$3, 'Daily 쨈 raw'!$A:$A, 0), MATCH($A8, 'Daily 쨈 raw'!$1:$1, 0)), ""), IF(val=0, "", val))</f>
        <v>46</v>
      </c>
      <c r="BX8" s="44">
        <f t="array" ref="BX8">LET(val, IFERROR(INDEX('Daily 쨈 raw'!$A:$Z, MATCH(BX$3, 'Daily 쨈 raw'!$A:$A, 0), MATCH($A8, 'Daily 쨈 raw'!$1:$1, 0)), ""), IF(val=0, "", val))</f>
        <v>50</v>
      </c>
      <c r="BY8" s="44">
        <f t="array" ref="BY8">LET(val, IFERROR(INDEX('Daily 쨈 raw'!$A:$Z, MATCH(BY$3, 'Daily 쨈 raw'!$A:$A, 0), MATCH($A8, 'Daily 쨈 raw'!$1:$1, 0)), ""), IF(val=0, "", val))</f>
        <v>55</v>
      </c>
      <c r="BZ8" s="44">
        <f t="array" ref="BZ8">LET(val, IFERROR(INDEX('Daily 쨈 raw'!$A:$Z, MATCH(BZ$3, 'Daily 쨈 raw'!$A:$A, 0), MATCH($A8, 'Daily 쨈 raw'!$1:$1, 0)), ""), IF(val=0, "", val))</f>
        <v>34</v>
      </c>
      <c r="CA8" s="44">
        <f t="array" ref="CA8">LET(val, IFERROR(INDEX('Daily 쨈 raw'!$A:$Z, MATCH(CA$3, 'Daily 쨈 raw'!$A:$A, 0), MATCH($A8, 'Daily 쨈 raw'!$1:$1, 0)), ""), IF(val=0, "", val))</f>
        <v>46</v>
      </c>
      <c r="CB8" s="44">
        <f t="array" ref="CB8">LET(val, IFERROR(INDEX('Daily 쨈 raw'!$A:$Z, MATCH(CB$3, 'Daily 쨈 raw'!$A:$A, 0), MATCH($A8, 'Daily 쨈 raw'!$1:$1, 0)), ""), IF(val=0, "", val))</f>
        <v>26</v>
      </c>
      <c r="CC8" s="44">
        <f t="array" ref="CC8">LET(val, IFERROR(INDEX('Daily 쨈 raw'!$A:$Z, MATCH(CC$3, 'Daily 쨈 raw'!$A:$A, 0), MATCH($A8, 'Daily 쨈 raw'!$1:$1, 0)), ""), IF(val=0, "", val))</f>
        <v>41</v>
      </c>
      <c r="CD8" s="44">
        <f t="array" ref="CD8">LET(val, IFERROR(INDEX('Daily 쨈 raw'!$A:$Z, MATCH(CD$3, 'Daily 쨈 raw'!$A:$A, 0), MATCH($A8, 'Daily 쨈 raw'!$1:$1, 0)), ""), IF(val=0, "", val))</f>
        <v>53</v>
      </c>
      <c r="CE8" s="44">
        <f t="array" ref="CE8">LET(val, IFERROR(INDEX('Daily 쨈 raw'!$A:$Z, MATCH(CE$3, 'Daily 쨈 raw'!$A:$A, 0), MATCH($A8, 'Daily 쨈 raw'!$1:$1, 0)), ""), IF(val=0, "", val))</f>
        <v>51</v>
      </c>
      <c r="CF8" s="44">
        <f t="array" ref="CF8">LET(val, IFERROR(INDEX('Daily 쨈 raw'!$A:$Z, MATCH(CF$3, 'Daily 쨈 raw'!$A:$A, 0), MATCH($A8, 'Daily 쨈 raw'!$1:$1, 0)), ""), IF(val=0, "", val))</f>
        <v>51</v>
      </c>
      <c r="CG8" s="44">
        <f t="array" ref="CG8">LET(val, IFERROR(INDEX('Daily 쨈 raw'!$A:$Z, MATCH(CG$3, 'Daily 쨈 raw'!$A:$A, 0), MATCH($A8, 'Daily 쨈 raw'!$1:$1, 0)), ""), IF(val=0, "", val))</f>
        <v>70</v>
      </c>
      <c r="CH8" s="44">
        <f t="array" ref="CH8">LET(val, IFERROR(INDEX('Daily 쨈 raw'!$A:$Z, MATCH(CH$3, 'Daily 쨈 raw'!$A:$A, 0), MATCH($A8, 'Daily 쨈 raw'!$1:$1, 0)), ""), IF(val=0, "", val))</f>
        <v>69</v>
      </c>
      <c r="CI8" s="44">
        <f t="array" ref="CI8">LET(val, IFERROR(INDEX('Daily 쨈 raw'!$A:$Z, MATCH(CI$3, 'Daily 쨈 raw'!$A:$A, 0), MATCH($A8, 'Daily 쨈 raw'!$1:$1, 0)), ""), IF(val=0, "", val))</f>
        <v>85</v>
      </c>
      <c r="CJ8" s="44">
        <f t="array" ref="CJ8">LET(val, IFERROR(INDEX('Daily 쨈 raw'!$A:$Z, MATCH(CJ$3, 'Daily 쨈 raw'!$A:$A, 0), MATCH($A8, 'Daily 쨈 raw'!$1:$1, 0)), ""), IF(val=0, "", val))</f>
        <v>81</v>
      </c>
      <c r="CK8" s="44">
        <f t="array" ref="CK8">LET(val, IFERROR(INDEX('Daily 쨈 raw'!$A:$Z, MATCH(CK$3, 'Daily 쨈 raw'!$A:$A, 0), MATCH($A8, 'Daily 쨈 raw'!$1:$1, 0)), ""), IF(val=0, "", val))</f>
        <v>98</v>
      </c>
      <c r="CL8" s="44">
        <f t="array" ref="CL8">LET(val, IFERROR(INDEX('Daily 쨈 raw'!$A:$Z, MATCH(CL$3, 'Daily 쨈 raw'!$A:$A, 0), MATCH($A8, 'Daily 쨈 raw'!$1:$1, 0)), ""), IF(val=0, "", val))</f>
        <v>59</v>
      </c>
      <c r="CM8" s="44">
        <f t="array" ref="CM8">LET(val, IFERROR(INDEX('Daily 쨈 raw'!$A:$Z, MATCH(CM$3, 'Daily 쨈 raw'!$A:$A, 0), MATCH($A8, 'Daily 쨈 raw'!$1:$1, 0)), ""), IF(val=0, "", val))</f>
        <v>73</v>
      </c>
      <c r="CN8" s="44">
        <f t="array" ref="CN8">LET(val, IFERROR(INDEX('Daily 쨈 raw'!$A:$Z, MATCH(CN$3, 'Daily 쨈 raw'!$A:$A, 0), MATCH($A8, 'Daily 쨈 raw'!$1:$1, 0)), ""), IF(val=0, "", val))</f>
        <v>64</v>
      </c>
      <c r="CO8" s="44">
        <f t="array" ref="CO8">LET(val, IFERROR(INDEX('Daily 쨈 raw'!$A:$Z, MATCH(CO$3, 'Daily 쨈 raw'!$A:$A, 0), MATCH($A8, 'Daily 쨈 raw'!$1:$1, 0)), ""), IF(val=0, "", val))</f>
        <v>92</v>
      </c>
      <c r="CP8" s="44">
        <f t="array" ref="CP8">LET(val, IFERROR(INDEX('Daily 쨈 raw'!$A:$Z, MATCH(CP$3, 'Daily 쨈 raw'!$A:$A, 0), MATCH($A8, 'Daily 쨈 raw'!$1:$1, 0)), ""), IF(val=0, "", val))</f>
        <v>25</v>
      </c>
      <c r="CQ8" s="44" t="str">
        <f t="array" ref="CQ8">LET(val, IFERROR(INDEX('Daily 쨈 raw'!$A:$Z, MATCH(CQ$3, 'Daily 쨈 raw'!$A:$A, 0), MATCH($A8, 'Daily 쨈 raw'!$1:$1, 0)), ""), IF(val=0, "", val))</f>
        <v/>
      </c>
      <c r="CR8" s="44" t="str">
        <f t="array" ref="CR8">LET(val, IFERROR(INDEX('Daily 쨈 raw'!$A:$Z, MATCH(CR$3, 'Daily 쨈 raw'!$A:$A, 0), MATCH($A8, 'Daily 쨈 raw'!$1:$1, 0)), ""), IF(val=0, "", val))</f>
        <v/>
      </c>
      <c r="CS8" s="44" t="str">
        <f t="array" ref="CS8">LET(val, IFERROR(INDEX('Daily 쨈 raw'!$A:$Z, MATCH(CS$3, 'Daily 쨈 raw'!$A:$A, 0), MATCH($A8, 'Daily 쨈 raw'!$1:$1, 0)), ""), IF(val=0, "", val))</f>
        <v/>
      </c>
      <c r="CT8" s="44" t="str">
        <f t="array" ref="CT8">LET(val, IFERROR(INDEX('Daily 쨈 raw'!$A:$Z, MATCH(CT$3, 'Daily 쨈 raw'!$A:$A, 0), MATCH($A8, 'Daily 쨈 raw'!$1:$1, 0)), ""), IF(val=0, "", val))</f>
        <v/>
      </c>
      <c r="CU8" s="44" t="str">
        <f t="array" ref="CU8">LET(val, IFERROR(INDEX('Daily 쨈 raw'!$A:$Z, MATCH(CU$3, 'Daily 쨈 raw'!$A:$A, 0), MATCH($A8, 'Daily 쨈 raw'!$1:$1, 0)), ""), IF(val=0, "", val))</f>
        <v/>
      </c>
      <c r="CV8" s="44" t="str">
        <f t="array" ref="CV8">LET(val, IFERROR(INDEX('Daily 쨈 raw'!$A:$Z, MATCH(CV$3, 'Daily 쨈 raw'!$A:$A, 0), MATCH($A8, 'Daily 쨈 raw'!$1:$1, 0)), ""), IF(val=0, "", val))</f>
        <v/>
      </c>
      <c r="CW8" s="44" t="str">
        <f t="array" ref="CW8">LET(val, IFERROR(INDEX('Daily 쨈 raw'!$A:$Z, MATCH(CW$3, 'Daily 쨈 raw'!$A:$A, 0), MATCH($A8, 'Daily 쨈 raw'!$1:$1, 0)), ""), IF(val=0, "", val))</f>
        <v/>
      </c>
      <c r="CX8" s="44" t="str">
        <f t="array" ref="CX8">LET(val, IFERROR(INDEX('Daily 쨈 raw'!$A:$Z, MATCH(CX$3, 'Daily 쨈 raw'!$A:$A, 0), MATCH($A8, 'Daily 쨈 raw'!$1:$1, 0)), ""), IF(val=0, "", val))</f>
        <v/>
      </c>
      <c r="CY8" s="44" t="str">
        <f t="array" ref="CY8">LET(val, IFERROR(INDEX('Daily 쨈 raw'!$A:$Z, MATCH(CY$3, 'Daily 쨈 raw'!$A:$A, 0), MATCH($A8, 'Daily 쨈 raw'!$1:$1, 0)), ""), IF(val=0, "", val))</f>
        <v/>
      </c>
      <c r="CZ8" s="44" t="str">
        <f t="array" ref="CZ8">LET(val, IFERROR(INDEX('Daily 쨈 raw'!$A:$Z, MATCH(CZ$3, 'Daily 쨈 raw'!$A:$A, 0), MATCH($A8, 'Daily 쨈 raw'!$1:$1, 0)), ""), IF(val=0, "", val))</f>
        <v/>
      </c>
      <c r="DA8" s="44" t="str">
        <f t="array" ref="DA8">LET(val, IFERROR(INDEX('Daily 쨈 raw'!$A:$Z, MATCH(DA$3, 'Daily 쨈 raw'!$A:$A, 0), MATCH($A8, 'Daily 쨈 raw'!$1:$1, 0)), ""), IF(val=0, "", val))</f>
        <v/>
      </c>
      <c r="DB8" s="44" t="str">
        <f t="array" ref="DB8">LET(val, IFERROR(INDEX('Daily 쨈 raw'!$A:$Z, MATCH(DB$3, 'Daily 쨈 raw'!$A:$A, 0), MATCH($A8, 'Daily 쨈 raw'!$1:$1, 0)), ""), IF(val=0, "", val))</f>
        <v/>
      </c>
      <c r="DC8" s="44" t="str">
        <f t="array" ref="DC8">LET(val, IFERROR(INDEX('Daily 쨈 raw'!$A:$Z, MATCH(DC$3, 'Daily 쨈 raw'!$A:$A, 0), MATCH($A8, 'Daily 쨈 raw'!$1:$1, 0)), ""), IF(val=0, "", val))</f>
        <v/>
      </c>
      <c r="DD8" s="44" t="str">
        <f t="array" ref="DD8">LET(val, IFERROR(INDEX('Daily 쨈 raw'!$A:$Z, MATCH(DD$3, 'Daily 쨈 raw'!$A:$A, 0), MATCH($A8, 'Daily 쨈 raw'!$1:$1, 0)), ""), IF(val=0, "", val))</f>
        <v/>
      </c>
      <c r="DE8" s="44" t="str">
        <f t="array" ref="DE8">LET(val, IFERROR(INDEX('Daily 쨈 raw'!$A:$Z, MATCH(DE$3, 'Daily 쨈 raw'!$A:$A, 0), MATCH($A8, 'Daily 쨈 raw'!$1:$1, 0)), ""), IF(val=0, "", val))</f>
        <v/>
      </c>
      <c r="DF8" s="44" t="str">
        <f t="array" ref="DF8">LET(val, IFERROR(INDEX('Daily 쨈 raw'!$A:$Z, MATCH(DF$3, 'Daily 쨈 raw'!$A:$A, 0), MATCH($A8, 'Daily 쨈 raw'!$1:$1, 0)), ""), IF(val=0, "", val))</f>
        <v/>
      </c>
      <c r="DG8" s="44" t="str">
        <f t="array" ref="DG8">LET(val, IFERROR(INDEX('Daily 쨈 raw'!$A:$Z, MATCH(DG$3, 'Daily 쨈 raw'!$A:$A, 0), MATCH($A8, 'Daily 쨈 raw'!$1:$1, 0)), ""), IF(val=0, "", val))</f>
        <v/>
      </c>
      <c r="DH8" s="44" t="str">
        <f t="array" ref="DH8">LET(val, IFERROR(INDEX('Daily 쨈 raw'!$A:$Z, MATCH(DH$3, 'Daily 쨈 raw'!$A:$A, 0), MATCH($A8, 'Daily 쨈 raw'!$1:$1, 0)), ""), IF(val=0, "", val))</f>
        <v/>
      </c>
      <c r="DI8" s="44" t="str">
        <f t="array" ref="DI8">LET(val, IFERROR(INDEX('Daily 쨈 raw'!$A:$Z, MATCH(DI$3, 'Daily 쨈 raw'!$A:$A, 0), MATCH($A8, 'Daily 쨈 raw'!$1:$1, 0)), ""), IF(val=0, "", val))</f>
        <v/>
      </c>
      <c r="DJ8" s="44" t="str">
        <f t="array" ref="DJ8">LET(val, IFERROR(INDEX('Daily 쨈 raw'!$A:$Z, MATCH(DJ$3, 'Daily 쨈 raw'!$A:$A, 0), MATCH($A8, 'Daily 쨈 raw'!$1:$1, 0)), ""), IF(val=0, "", val))</f>
        <v/>
      </c>
      <c r="DK8" s="44" t="str">
        <f t="array" ref="DK8">LET(val, IFERROR(INDEX('Daily 쨈 raw'!$A:$Z, MATCH(DK$3, 'Daily 쨈 raw'!$A:$A, 0), MATCH($A8, 'Daily 쨈 raw'!$1:$1, 0)), ""), IF(val=0, "", val))</f>
        <v/>
      </c>
      <c r="DL8" s="44" t="str">
        <f t="array" ref="DL8">LET(val, IFERROR(INDEX('Daily 쨈 raw'!$A:$Z, MATCH(DL$3, 'Daily 쨈 raw'!$A:$A, 0), MATCH($A8, 'Daily 쨈 raw'!$1:$1, 0)), ""), IF(val=0, "", val))</f>
        <v/>
      </c>
      <c r="DM8" s="44" t="str">
        <f t="array" ref="DM8">LET(val, IFERROR(INDEX('Daily 쨈 raw'!$A:$Z, MATCH(DM$3, 'Daily 쨈 raw'!$A:$A, 0), MATCH($A8, 'Daily 쨈 raw'!$1:$1, 0)), ""), IF(val=0, "", val))</f>
        <v/>
      </c>
      <c r="DN8" s="44" t="str">
        <f t="array" ref="DN8">LET(val, IFERROR(INDEX('Daily 쨈 raw'!$A:$Z, MATCH(DN$3, 'Daily 쨈 raw'!$A:$A, 0), MATCH($A8, 'Daily 쨈 raw'!$1:$1, 0)), ""), IF(val=0, "", val))</f>
        <v/>
      </c>
      <c r="DO8" s="44" t="str">
        <f t="array" ref="DO8">LET(val, IFERROR(INDEX('Daily 쨈 raw'!$A:$Z, MATCH(DO$3, 'Daily 쨈 raw'!$A:$A, 0), MATCH($A8, 'Daily 쨈 raw'!$1:$1, 0)), ""), IF(val=0, "", val))</f>
        <v/>
      </c>
      <c r="DP8" s="44" t="str">
        <f t="array" ref="DP8">LET(val, IFERROR(INDEX('Daily 쨈 raw'!$A:$Z, MATCH(DP$3, 'Daily 쨈 raw'!$A:$A, 0), MATCH($A8, 'Daily 쨈 raw'!$1:$1, 0)), ""), IF(val=0, "", val))</f>
        <v/>
      </c>
      <c r="DQ8" s="44" t="str">
        <f t="array" ref="DQ8">LET(val, IFERROR(INDEX('Daily 쨈 raw'!$A:$Z, MATCH(DQ$3, 'Daily 쨈 raw'!$A:$A, 0), MATCH($A8, 'Daily 쨈 raw'!$1:$1, 0)), ""), IF(val=0, "", val))</f>
        <v/>
      </c>
      <c r="DR8" s="44" t="str">
        <f t="array" ref="DR8">LET(val, IFERROR(INDEX('Daily 쨈 raw'!$A:$Z, MATCH(DR$3, 'Daily 쨈 raw'!$A:$A, 0), MATCH($A8, 'Daily 쨈 raw'!$1:$1, 0)), ""), IF(val=0, "", val))</f>
        <v/>
      </c>
      <c r="DS8" s="44" t="str">
        <f t="array" ref="DS8">LET(val, IFERROR(INDEX('Daily 쨈 raw'!$A:$Z, MATCH(DS$3, 'Daily 쨈 raw'!$A:$A, 0), MATCH($A8, 'Daily 쨈 raw'!$1:$1, 0)), ""), IF(val=0, "", val))</f>
        <v/>
      </c>
      <c r="DT8" s="44" t="str">
        <f t="array" ref="DT8">LET(val, IFERROR(INDEX('Daily 쨈 raw'!$A:$Z, MATCH(DT$3, 'Daily 쨈 raw'!$A:$A, 0), MATCH($A8, 'Daily 쨈 raw'!$1:$1, 0)), ""), IF(val=0, "", val))</f>
        <v/>
      </c>
      <c r="DU8" s="44" t="str">
        <f t="array" ref="DU8">LET(val, IFERROR(INDEX('Daily 쨈 raw'!$A:$Z, MATCH(DU$3, 'Daily 쨈 raw'!$A:$A, 0), MATCH($A8, 'Daily 쨈 raw'!$1:$1, 0)), ""), IF(val=0, "", val))</f>
        <v/>
      </c>
      <c r="DV8" s="44" t="str">
        <f t="array" ref="DV8">LET(val, IFERROR(INDEX('Daily 쨈 raw'!$A:$Z, MATCH(DV$3, 'Daily 쨈 raw'!$A:$A, 0), MATCH($A8, 'Daily 쨈 raw'!$1:$1, 0)), ""), IF(val=0, "", val))</f>
        <v/>
      </c>
      <c r="DW8" s="44" t="str">
        <f t="array" ref="DW8">LET(val, IFERROR(INDEX('Daily 쨈 raw'!$A:$Z, MATCH(DW$3, 'Daily 쨈 raw'!$A:$A, 0), MATCH($A8, 'Daily 쨈 raw'!$1:$1, 0)), ""), IF(val=0, "", val))</f>
        <v/>
      </c>
      <c r="DX8" s="44" t="str">
        <f t="array" ref="DX8">LET(val, IFERROR(INDEX('Daily 쨈 raw'!$A:$Z, MATCH(DX$3, 'Daily 쨈 raw'!$A:$A, 0), MATCH($A8, 'Daily 쨈 raw'!$1:$1, 0)), ""), IF(val=0, "", val))</f>
        <v/>
      </c>
      <c r="DY8" s="44" t="str">
        <f t="array" ref="DY8">LET(val, IFERROR(INDEX('Daily 쨈 raw'!$A:$Z, MATCH(DY$3, 'Daily 쨈 raw'!$A:$A, 0), MATCH($A8, 'Daily 쨈 raw'!$1:$1, 0)), ""), IF(val=0, "", val))</f>
        <v/>
      </c>
      <c r="DZ8" s="44" t="str">
        <f t="array" ref="DZ8">LET(val, IFERROR(INDEX('Daily 쨈 raw'!$A:$Z, MATCH(DZ$3, 'Daily 쨈 raw'!$A:$A, 0), MATCH($A8, 'Daily 쨈 raw'!$1:$1, 0)), ""), IF(val=0, "", val))</f>
        <v/>
      </c>
    </row>
    <row r="9" ht="22.5" customHeight="1">
      <c r="A9" s="23" t="s">
        <v>21</v>
      </c>
      <c r="B9" s="47" t="s">
        <v>67</v>
      </c>
      <c r="C9" s="44">
        <f t="array" ref="C9">LET(val, IFERROR(INDEX('Daily 쨈 raw'!$A:$Z, MATCH(C$3, 'Daily 쨈 raw'!$A:$A, 0), MATCH($A9, 'Daily 쨈 raw'!$1:$1, 0)), ""), IF(val=0, "", val))</f>
        <v>3283</v>
      </c>
      <c r="D9" s="44">
        <f t="array" ref="D9">LET(val, IFERROR(INDEX('Daily 쨈 raw'!$A:$Z, MATCH(D$3, 'Daily 쨈 raw'!$A:$A, 0), MATCH($A9, 'Daily 쨈 raw'!$1:$1, 0)), ""), IF(val=0, "", val))</f>
        <v>3390</v>
      </c>
      <c r="E9" s="44">
        <f t="array" ref="E9">LET(val, IFERROR(INDEX('Daily 쨈 raw'!$A:$Z, MATCH(E$3, 'Daily 쨈 raw'!$A:$A, 0), MATCH($A9, 'Daily 쨈 raw'!$1:$1, 0)), ""), IF(val=0, "", val))</f>
        <v>3211</v>
      </c>
      <c r="F9" s="44">
        <f t="array" ref="F9">LET(val, IFERROR(INDEX('Daily 쨈 raw'!$A:$Z, MATCH(F$3, 'Daily 쨈 raw'!$A:$A, 0), MATCH($A9, 'Daily 쨈 raw'!$1:$1, 0)), ""), IF(val=0, "", val))</f>
        <v>2957</v>
      </c>
      <c r="G9" s="44">
        <f t="array" ref="G9">LET(val, IFERROR(INDEX('Daily 쨈 raw'!$A:$Z, MATCH(G$3, 'Daily 쨈 raw'!$A:$A, 0), MATCH($A9, 'Daily 쨈 raw'!$1:$1, 0)), ""), IF(val=0, "", val))</f>
        <v>2914</v>
      </c>
      <c r="H9" s="44">
        <f t="array" ref="H9">LET(val, IFERROR(INDEX('Daily 쨈 raw'!$A:$Z, MATCH(H$3, 'Daily 쨈 raw'!$A:$A, 0), MATCH($A9, 'Daily 쨈 raw'!$1:$1, 0)), ""), IF(val=0, "", val))</f>
        <v>1851</v>
      </c>
      <c r="I9" s="44">
        <f t="array" ref="I9">LET(val, IFERROR(INDEX('Daily 쨈 raw'!$A:$Z, MATCH(I$3, 'Daily 쨈 raw'!$A:$A, 0), MATCH($A9, 'Daily 쨈 raw'!$1:$1, 0)), ""), IF(val=0, "", val))</f>
        <v>2270</v>
      </c>
      <c r="J9" s="44">
        <f t="array" ref="J9">LET(val, IFERROR(INDEX('Daily 쨈 raw'!$A:$Z, MATCH(J$3, 'Daily 쨈 raw'!$A:$A, 0), MATCH($A9, 'Daily 쨈 raw'!$1:$1, 0)), ""), IF(val=0, "", val))</f>
        <v>1939</v>
      </c>
      <c r="K9" s="44">
        <f t="array" ref="K9">LET(val, IFERROR(INDEX('Daily 쨈 raw'!$A:$Z, MATCH(K$3, 'Daily 쨈 raw'!$A:$A, 0), MATCH($A9, 'Daily 쨈 raw'!$1:$1, 0)), ""), IF(val=0, "", val))</f>
        <v>1079</v>
      </c>
      <c r="L9" s="44">
        <f t="array" ref="L9">LET(val, IFERROR(INDEX('Daily 쨈 raw'!$A:$Z, MATCH(L$3, 'Daily 쨈 raw'!$A:$A, 0), MATCH($A9, 'Daily 쨈 raw'!$1:$1, 0)), ""), IF(val=0, "", val))</f>
        <v>958</v>
      </c>
      <c r="M9" s="44">
        <f t="array" ref="M9">LET(val, IFERROR(INDEX('Daily 쨈 raw'!$A:$Z, MATCH(M$3, 'Daily 쨈 raw'!$A:$A, 0), MATCH($A9, 'Daily 쨈 raw'!$1:$1, 0)), ""), IF(val=0, "", val))</f>
        <v>920</v>
      </c>
      <c r="N9" s="44">
        <f t="array" ref="N9">LET(val, IFERROR(INDEX('Daily 쨈 raw'!$A:$Z, MATCH(N$3, 'Daily 쨈 raw'!$A:$A, 0), MATCH($A9, 'Daily 쨈 raw'!$1:$1, 0)), ""), IF(val=0, "", val))</f>
        <v>833</v>
      </c>
      <c r="O9" s="44">
        <f t="array" ref="O9">LET(val, IFERROR(INDEX('Daily 쨈 raw'!$A:$Z, MATCH(O$3, 'Daily 쨈 raw'!$A:$A, 0), MATCH($A9, 'Daily 쨈 raw'!$1:$1, 0)), ""), IF(val=0, "", val))</f>
        <v>682</v>
      </c>
      <c r="P9" s="44">
        <f t="array" ref="P9">LET(val, IFERROR(INDEX('Daily 쨈 raw'!$A:$Z, MATCH(P$3, 'Daily 쨈 raw'!$A:$A, 0), MATCH($A9, 'Daily 쨈 raw'!$1:$1, 0)), ""), IF(val=0, "", val))</f>
        <v>655</v>
      </c>
      <c r="Q9" s="44">
        <f t="array" ref="Q9">LET(val, IFERROR(INDEX('Daily 쨈 raw'!$A:$Z, MATCH(Q$3, 'Daily 쨈 raw'!$A:$A, 0), MATCH($A9, 'Daily 쨈 raw'!$1:$1, 0)), ""), IF(val=0, "", val))</f>
        <v>589</v>
      </c>
      <c r="R9" s="44">
        <f t="array" ref="R9">LET(val, IFERROR(INDEX('Daily 쨈 raw'!$A:$Z, MATCH(R$3, 'Daily 쨈 raw'!$A:$A, 0), MATCH($A9, 'Daily 쨈 raw'!$1:$1, 0)), ""), IF(val=0, "", val))</f>
        <v>761</v>
      </c>
      <c r="S9" s="44">
        <f t="array" ref="S9">LET(val, IFERROR(INDEX('Daily 쨈 raw'!$A:$Z, MATCH(S$3, 'Daily 쨈 raw'!$A:$A, 0), MATCH($A9, 'Daily 쨈 raw'!$1:$1, 0)), ""), IF(val=0, "", val))</f>
        <v>894</v>
      </c>
      <c r="T9" s="44">
        <f t="array" ref="T9">LET(val, IFERROR(INDEX('Daily 쨈 raw'!$A:$Z, MATCH(T$3, 'Daily 쨈 raw'!$A:$A, 0), MATCH($A9, 'Daily 쨈 raw'!$1:$1, 0)), ""), IF(val=0, "", val))</f>
        <v>723</v>
      </c>
      <c r="U9" s="44">
        <f t="array" ref="U9">LET(val, IFERROR(INDEX('Daily 쨈 raw'!$A:$Z, MATCH(U$3, 'Daily 쨈 raw'!$A:$A, 0), MATCH($A9, 'Daily 쨈 raw'!$1:$1, 0)), ""), IF(val=0, "", val))</f>
        <v>736</v>
      </c>
      <c r="V9" s="44">
        <f t="array" ref="V9">LET(val, IFERROR(INDEX('Daily 쨈 raw'!$A:$Z, MATCH(V$3, 'Daily 쨈 raw'!$A:$A, 0), MATCH($A9, 'Daily 쨈 raw'!$1:$1, 0)), ""), IF(val=0, "", val))</f>
        <v>776</v>
      </c>
      <c r="W9" s="44">
        <f t="array" ref="W9">LET(val, IFERROR(INDEX('Daily 쨈 raw'!$A:$Z, MATCH(W$3, 'Daily 쨈 raw'!$A:$A, 0), MATCH($A9, 'Daily 쨈 raw'!$1:$1, 0)), ""), IF(val=0, "", val))</f>
        <v>927</v>
      </c>
      <c r="X9" s="44">
        <f t="array" ref="X9">LET(val, IFERROR(INDEX('Daily 쨈 raw'!$A:$Z, MATCH(X$3, 'Daily 쨈 raw'!$A:$A, 0), MATCH($A9, 'Daily 쨈 raw'!$1:$1, 0)), ""), IF(val=0, "", val))</f>
        <v>789</v>
      </c>
      <c r="Y9" s="44">
        <f t="array" ref="Y9">LET(val, IFERROR(INDEX('Daily 쨈 raw'!$A:$Z, MATCH(Y$3, 'Daily 쨈 raw'!$A:$A, 0), MATCH($A9, 'Daily 쨈 raw'!$1:$1, 0)), ""), IF(val=0, "", val))</f>
        <v>748</v>
      </c>
      <c r="Z9" s="44">
        <f t="array" ref="Z9">LET(val, IFERROR(INDEX('Daily 쨈 raw'!$A:$Z, MATCH(Z$3, 'Daily 쨈 raw'!$A:$A, 0), MATCH($A9, 'Daily 쨈 raw'!$1:$1, 0)), ""), IF(val=0, "", val))</f>
        <v>731</v>
      </c>
      <c r="AA9" s="44">
        <f t="array" ref="AA9">LET(val, IFERROR(INDEX('Daily 쨈 raw'!$A:$Z, MATCH(AA$3, 'Daily 쨈 raw'!$A:$A, 0), MATCH($A9, 'Daily 쨈 raw'!$1:$1, 0)), ""), IF(val=0, "", val))</f>
        <v>682</v>
      </c>
      <c r="AB9" s="44">
        <f t="array" ref="AB9">LET(val, IFERROR(INDEX('Daily 쨈 raw'!$A:$Z, MATCH(AB$3, 'Daily 쨈 raw'!$A:$A, 0), MATCH($A9, 'Daily 쨈 raw'!$1:$1, 0)), ""), IF(val=0, "", val))</f>
        <v>543</v>
      </c>
      <c r="AC9" s="44">
        <f t="array" ref="AC9">LET(val, IFERROR(INDEX('Daily 쨈 raw'!$A:$Z, MATCH(AC$3, 'Daily 쨈 raw'!$A:$A, 0), MATCH($A9, 'Daily 쨈 raw'!$1:$1, 0)), ""), IF(val=0, "", val))</f>
        <v>628</v>
      </c>
      <c r="AD9" s="44">
        <f t="array" ref="AD9">LET(val, IFERROR(INDEX('Daily 쨈 raw'!$A:$Z, MATCH(AD$3, 'Daily 쨈 raw'!$A:$A, 0), MATCH($A9, 'Daily 쨈 raw'!$1:$1, 0)), ""), IF(val=0, "", val))</f>
        <v>663</v>
      </c>
      <c r="AE9" s="44">
        <f t="array" ref="AE9">LET(val, IFERROR(INDEX('Daily 쨈 raw'!$A:$Z, MATCH(AE$3, 'Daily 쨈 raw'!$A:$A, 0), MATCH($A9, 'Daily 쨈 raw'!$1:$1, 0)), ""), IF(val=0, "", val))</f>
        <v>713</v>
      </c>
      <c r="AF9" s="44">
        <f t="array" ref="AF9">LET(val, IFERROR(INDEX('Daily 쨈 raw'!$A:$Z, MATCH(AF$3, 'Daily 쨈 raw'!$A:$A, 0), MATCH($A9, 'Daily 쨈 raw'!$1:$1, 0)), ""), IF(val=0, "", val))</f>
        <v>642</v>
      </c>
      <c r="AG9" s="44">
        <f t="array" ref="AG9">LET(val, IFERROR(INDEX('Daily 쨈 raw'!$A:$Z, MATCH(AG$3, 'Daily 쨈 raw'!$A:$A, 0), MATCH($A9, 'Daily 쨈 raw'!$1:$1, 0)), ""), IF(val=0, "", val))</f>
        <v>1414</v>
      </c>
      <c r="AH9" s="44">
        <f t="array" ref="AH9">LET(val, IFERROR(INDEX('Daily 쨈 raw'!$A:$Z, MATCH(AH$3, 'Daily 쨈 raw'!$A:$A, 0), MATCH($A9, 'Daily 쨈 raw'!$1:$1, 0)), ""), IF(val=0, "", val))</f>
        <v>1624</v>
      </c>
      <c r="AI9" s="44">
        <f t="array" ref="AI9">LET(val, IFERROR(INDEX('Daily 쨈 raw'!$A:$Z, MATCH(AI$3, 'Daily 쨈 raw'!$A:$A, 0), MATCH($A9, 'Daily 쨈 raw'!$1:$1, 0)), ""), IF(val=0, "", val))</f>
        <v>915</v>
      </c>
      <c r="AJ9" s="44">
        <f t="array" ref="AJ9">LET(val, IFERROR(INDEX('Daily 쨈 raw'!$A:$Z, MATCH(AJ$3, 'Daily 쨈 raw'!$A:$A, 0), MATCH($A9, 'Daily 쨈 raw'!$1:$1, 0)), ""), IF(val=0, "", val))</f>
        <v>845</v>
      </c>
      <c r="AK9" s="44">
        <f t="array" ref="AK9">LET(val, IFERROR(INDEX('Daily 쨈 raw'!$A:$Z, MATCH(AK$3, 'Daily 쨈 raw'!$A:$A, 0), MATCH($A9, 'Daily 쨈 raw'!$1:$1, 0)), ""), IF(val=0, "", val))</f>
        <v>1031</v>
      </c>
      <c r="AL9" s="44">
        <f t="array" ref="AL9">LET(val, IFERROR(INDEX('Daily 쨈 raw'!$A:$Z, MATCH(AL$3, 'Daily 쨈 raw'!$A:$A, 0), MATCH($A9, 'Daily 쨈 raw'!$1:$1, 0)), ""), IF(val=0, "", val))</f>
        <v>904</v>
      </c>
      <c r="AM9" s="44">
        <f t="array" ref="AM9">LET(val, IFERROR(INDEX('Daily 쨈 raw'!$A:$Z, MATCH(AM$3, 'Daily 쨈 raw'!$A:$A, 0), MATCH($A9, 'Daily 쨈 raw'!$1:$1, 0)), ""), IF(val=0, "", val))</f>
        <v>954</v>
      </c>
      <c r="AN9" s="44">
        <f t="array" ref="AN9">LET(val, IFERROR(INDEX('Daily 쨈 raw'!$A:$Z, MATCH(AN$3, 'Daily 쨈 raw'!$A:$A, 0), MATCH($A9, 'Daily 쨈 raw'!$1:$1, 0)), ""), IF(val=0, "", val))</f>
        <v>942</v>
      </c>
      <c r="AO9" s="44">
        <f t="array" ref="AO9">LET(val, IFERROR(INDEX('Daily 쨈 raw'!$A:$Z, MATCH(AO$3, 'Daily 쨈 raw'!$A:$A, 0), MATCH($A9, 'Daily 쨈 raw'!$1:$1, 0)), ""), IF(val=0, "", val))</f>
        <v>1397</v>
      </c>
      <c r="AP9" s="44">
        <f t="array" ref="AP9">LET(val, IFERROR(INDEX('Daily 쨈 raw'!$A:$Z, MATCH(AP$3, 'Daily 쨈 raw'!$A:$A, 0), MATCH($A9, 'Daily 쨈 raw'!$1:$1, 0)), ""), IF(val=0, "", val))</f>
        <v>755</v>
      </c>
      <c r="AQ9" s="44">
        <f t="array" ref="AQ9">LET(val, IFERROR(INDEX('Daily 쨈 raw'!$A:$Z, MATCH(AQ$3, 'Daily 쨈 raw'!$A:$A, 0), MATCH($A9, 'Daily 쨈 raw'!$1:$1, 0)), ""), IF(val=0, "", val))</f>
        <v>1079</v>
      </c>
      <c r="AR9" s="44">
        <f t="array" ref="AR9">LET(val, IFERROR(INDEX('Daily 쨈 raw'!$A:$Z, MATCH(AR$3, 'Daily 쨈 raw'!$A:$A, 0), MATCH($A9, 'Daily 쨈 raw'!$1:$1, 0)), ""), IF(val=0, "", val))</f>
        <v>876</v>
      </c>
      <c r="AS9" s="44">
        <f t="array" ref="AS9">LET(val, IFERROR(INDEX('Daily 쨈 raw'!$A:$Z, MATCH(AS$3, 'Daily 쨈 raw'!$A:$A, 0), MATCH($A9, 'Daily 쨈 raw'!$1:$1, 0)), ""), IF(val=0, "", val))</f>
        <v>797</v>
      </c>
      <c r="AT9" s="44">
        <f t="array" ref="AT9">LET(val, IFERROR(INDEX('Daily 쨈 raw'!$A:$Z, MATCH(AT$3, 'Daily 쨈 raw'!$A:$A, 0), MATCH($A9, 'Daily 쨈 raw'!$1:$1, 0)), ""), IF(val=0, "", val))</f>
        <v>751</v>
      </c>
      <c r="AU9" s="44">
        <f t="array" ref="AU9">LET(val, IFERROR(INDEX('Daily 쨈 raw'!$A:$Z, MATCH(AU$3, 'Daily 쨈 raw'!$A:$A, 0), MATCH($A9, 'Daily 쨈 raw'!$1:$1, 0)), ""), IF(val=0, "", val))</f>
        <v>828</v>
      </c>
      <c r="AV9" s="44">
        <f t="array" ref="AV9">LET(val, IFERROR(INDEX('Daily 쨈 raw'!$A:$Z, MATCH(AV$3, 'Daily 쨈 raw'!$A:$A, 0), MATCH($A9, 'Daily 쨈 raw'!$1:$1, 0)), ""), IF(val=0, "", val))</f>
        <v>748</v>
      </c>
      <c r="AW9" s="44">
        <f t="array" ref="AW9">LET(val, IFERROR(INDEX('Daily 쨈 raw'!$A:$Z, MATCH(AW$3, 'Daily 쨈 raw'!$A:$A, 0), MATCH($A9, 'Daily 쨈 raw'!$1:$1, 0)), ""), IF(val=0, "", val))</f>
        <v>702</v>
      </c>
      <c r="AX9" s="44">
        <f t="array" ref="AX9">LET(val, IFERROR(INDEX('Daily 쨈 raw'!$A:$Z, MATCH(AX$3, 'Daily 쨈 raw'!$A:$A, 0), MATCH($A9, 'Daily 쨈 raw'!$1:$1, 0)), ""), IF(val=0, "", val))</f>
        <v>804</v>
      </c>
      <c r="AY9" s="44">
        <f t="array" ref="AY9">LET(val, IFERROR(INDEX('Daily 쨈 raw'!$A:$Z, MATCH(AY$3, 'Daily 쨈 raw'!$A:$A, 0), MATCH($A9, 'Daily 쨈 raw'!$1:$1, 0)), ""), IF(val=0, "", val))</f>
        <v>879</v>
      </c>
      <c r="AZ9" s="44">
        <f t="array" ref="AZ9">LET(val, IFERROR(INDEX('Daily 쨈 raw'!$A:$Z, MATCH(AZ$3, 'Daily 쨈 raw'!$A:$A, 0), MATCH($A9, 'Daily 쨈 raw'!$1:$1, 0)), ""), IF(val=0, "", val))</f>
        <v>766</v>
      </c>
      <c r="BA9" s="44">
        <f t="array" ref="BA9">LET(val, IFERROR(INDEX('Daily 쨈 raw'!$A:$Z, MATCH(BA$3, 'Daily 쨈 raw'!$A:$A, 0), MATCH($A9, 'Daily 쨈 raw'!$1:$1, 0)), ""), IF(val=0, "", val))</f>
        <v>659</v>
      </c>
      <c r="BB9" s="44">
        <f t="array" ref="BB9">LET(val, IFERROR(INDEX('Daily 쨈 raw'!$A:$Z, MATCH(BB$3, 'Daily 쨈 raw'!$A:$A, 0), MATCH($A9, 'Daily 쨈 raw'!$1:$1, 0)), ""), IF(val=0, "", val))</f>
        <v>667</v>
      </c>
      <c r="BC9" s="44">
        <f t="array" ref="BC9">LET(val, IFERROR(INDEX('Daily 쨈 raw'!$A:$Z, MATCH(BC$3, 'Daily 쨈 raw'!$A:$A, 0), MATCH($A9, 'Daily 쨈 raw'!$1:$1, 0)), ""), IF(val=0, "", val))</f>
        <v>477</v>
      </c>
      <c r="BD9" s="44">
        <f t="array" ref="BD9">LET(val, IFERROR(INDEX('Daily 쨈 raw'!$A:$Z, MATCH(BD$3, 'Daily 쨈 raw'!$A:$A, 0), MATCH($A9, 'Daily 쨈 raw'!$1:$1, 0)), ""), IF(val=0, "", val))</f>
        <v>563</v>
      </c>
      <c r="BE9" s="44">
        <f t="array" ref="BE9">LET(val, IFERROR(INDEX('Daily 쨈 raw'!$A:$Z, MATCH(BE$3, 'Daily 쨈 raw'!$A:$A, 0), MATCH($A9, 'Daily 쨈 raw'!$1:$1, 0)), ""), IF(val=0, "", val))</f>
        <v>826</v>
      </c>
      <c r="BF9" s="44">
        <f t="array" ref="BF9">LET(val, IFERROR(INDEX('Daily 쨈 raw'!$A:$Z, MATCH(BF$3, 'Daily 쨈 raw'!$A:$A, 0), MATCH($A9, 'Daily 쨈 raw'!$1:$1, 0)), ""), IF(val=0, "", val))</f>
        <v>507</v>
      </c>
      <c r="BG9" s="44">
        <f t="array" ref="BG9">LET(val, IFERROR(INDEX('Daily 쨈 raw'!$A:$Z, MATCH(BG$3, 'Daily 쨈 raw'!$A:$A, 0), MATCH($A9, 'Daily 쨈 raw'!$1:$1, 0)), ""), IF(val=0, "", val))</f>
        <v>684</v>
      </c>
      <c r="BH9" s="44">
        <f t="array" ref="BH9">LET(val, IFERROR(INDEX('Daily 쨈 raw'!$A:$Z, MATCH(BH$3, 'Daily 쨈 raw'!$A:$A, 0), MATCH($A9, 'Daily 쨈 raw'!$1:$1, 0)), ""), IF(val=0, "", val))</f>
        <v>644</v>
      </c>
      <c r="BI9" s="44">
        <f t="array" ref="BI9">LET(val, IFERROR(INDEX('Daily 쨈 raw'!$A:$Z, MATCH(BI$3, 'Daily 쨈 raw'!$A:$A, 0), MATCH($A9, 'Daily 쨈 raw'!$1:$1, 0)), ""), IF(val=0, "", val))</f>
        <v>653</v>
      </c>
      <c r="BJ9" s="44">
        <f t="array" ref="BJ9">LET(val, IFERROR(INDEX('Daily 쨈 raw'!$A:$Z, MATCH(BJ$3, 'Daily 쨈 raw'!$A:$A, 0), MATCH($A9, 'Daily 쨈 raw'!$1:$1, 0)), ""), IF(val=0, "", val))</f>
        <v>755</v>
      </c>
      <c r="BK9" s="44">
        <f t="array" ref="BK9">LET(val, IFERROR(INDEX('Daily 쨈 raw'!$A:$Z, MATCH(BK$3, 'Daily 쨈 raw'!$A:$A, 0), MATCH($A9, 'Daily 쨈 raw'!$1:$1, 0)), ""), IF(val=0, "", val))</f>
        <v>734</v>
      </c>
      <c r="BL9" s="44">
        <f t="array" ref="BL9">LET(val, IFERROR(INDEX('Daily 쨈 raw'!$A:$Z, MATCH(BL$3, 'Daily 쨈 raw'!$A:$A, 0), MATCH($A9, 'Daily 쨈 raw'!$1:$1, 0)), ""), IF(val=0, "", val))</f>
        <v>796</v>
      </c>
      <c r="BM9" s="44">
        <f t="array" ref="BM9">LET(val, IFERROR(INDEX('Daily 쨈 raw'!$A:$Z, MATCH(BM$3, 'Daily 쨈 raw'!$A:$A, 0), MATCH($A9, 'Daily 쨈 raw'!$1:$1, 0)), ""), IF(val=0, "", val))</f>
        <v>761</v>
      </c>
      <c r="BN9" s="44">
        <f t="array" ref="BN9">LET(val, IFERROR(INDEX('Daily 쨈 raw'!$A:$Z, MATCH(BN$3, 'Daily 쨈 raw'!$A:$A, 0), MATCH($A9, 'Daily 쨈 raw'!$1:$1, 0)), ""), IF(val=0, "", val))</f>
        <v>444</v>
      </c>
      <c r="BO9" s="44">
        <f t="array" ref="BO9">LET(val, IFERROR(INDEX('Daily 쨈 raw'!$A:$Z, MATCH(BO$3, 'Daily 쨈 raw'!$A:$A, 0), MATCH($A9, 'Daily 쨈 raw'!$1:$1, 0)), ""), IF(val=0, "", val))</f>
        <v>714</v>
      </c>
      <c r="BP9" s="44">
        <f t="array" ref="BP9">LET(val, IFERROR(INDEX('Daily 쨈 raw'!$A:$Z, MATCH(BP$3, 'Daily 쨈 raw'!$A:$A, 0), MATCH($A9, 'Daily 쨈 raw'!$1:$1, 0)), ""), IF(val=0, "", val))</f>
        <v>757</v>
      </c>
      <c r="BQ9" s="44">
        <f t="array" ref="BQ9">LET(val, IFERROR(INDEX('Daily 쨈 raw'!$A:$Z, MATCH(BQ$3, 'Daily 쨈 raw'!$A:$A, 0), MATCH($A9, 'Daily 쨈 raw'!$1:$1, 0)), ""), IF(val=0, "", val))</f>
        <v>598</v>
      </c>
      <c r="BR9" s="44">
        <f t="array" ref="BR9">LET(val, IFERROR(INDEX('Daily 쨈 raw'!$A:$Z, MATCH(BR$3, 'Daily 쨈 raw'!$A:$A, 0), MATCH($A9, 'Daily 쨈 raw'!$1:$1, 0)), ""), IF(val=0, "", val))</f>
        <v>374</v>
      </c>
      <c r="BS9" s="44">
        <f t="array" ref="BS9">LET(val, IFERROR(INDEX('Daily 쨈 raw'!$A:$Z, MATCH(BS$3, 'Daily 쨈 raw'!$A:$A, 0), MATCH($A9, 'Daily 쨈 raw'!$1:$1, 0)), ""), IF(val=0, "", val))</f>
        <v>688</v>
      </c>
      <c r="BT9" s="44">
        <f t="array" ref="BT9">LET(val, IFERROR(INDEX('Daily 쨈 raw'!$A:$Z, MATCH(BT$3, 'Daily 쨈 raw'!$A:$A, 0), MATCH($A9, 'Daily 쨈 raw'!$1:$1, 0)), ""), IF(val=0, "", val))</f>
        <v>781</v>
      </c>
      <c r="BU9" s="44">
        <f t="array" ref="BU9">LET(val, IFERROR(INDEX('Daily 쨈 raw'!$A:$Z, MATCH(BU$3, 'Daily 쨈 raw'!$A:$A, 0), MATCH($A9, 'Daily 쨈 raw'!$1:$1, 0)), ""), IF(val=0, "", val))</f>
        <v>705</v>
      </c>
      <c r="BV9" s="44">
        <f t="array" ref="BV9">LET(val, IFERROR(INDEX('Daily 쨈 raw'!$A:$Z, MATCH(BV$3, 'Daily 쨈 raw'!$A:$A, 0), MATCH($A9, 'Daily 쨈 raw'!$1:$1, 0)), ""), IF(val=0, "", val))</f>
        <v>656</v>
      </c>
      <c r="BW9" s="44">
        <f t="array" ref="BW9">LET(val, IFERROR(INDEX('Daily 쨈 raw'!$A:$Z, MATCH(BW$3, 'Daily 쨈 raw'!$A:$A, 0), MATCH($A9, 'Daily 쨈 raw'!$1:$1, 0)), ""), IF(val=0, "", val))</f>
        <v>634</v>
      </c>
      <c r="BX9" s="44">
        <f t="array" ref="BX9">LET(val, IFERROR(INDEX('Daily 쨈 raw'!$A:$Z, MATCH(BX$3, 'Daily 쨈 raw'!$A:$A, 0), MATCH($A9, 'Daily 쨈 raw'!$1:$1, 0)), ""), IF(val=0, "", val))</f>
        <v>589</v>
      </c>
      <c r="BY9" s="44">
        <f t="array" ref="BY9">LET(val, IFERROR(INDEX('Daily 쨈 raw'!$A:$Z, MATCH(BY$3, 'Daily 쨈 raw'!$A:$A, 0), MATCH($A9, 'Daily 쨈 raw'!$1:$1, 0)), ""), IF(val=0, "", val))</f>
        <v>636</v>
      </c>
      <c r="BZ9" s="44">
        <f t="array" ref="BZ9">LET(val, IFERROR(INDEX('Daily 쨈 raw'!$A:$Z, MATCH(BZ$3, 'Daily 쨈 raw'!$A:$A, 0), MATCH($A9, 'Daily 쨈 raw'!$1:$1, 0)), ""), IF(val=0, "", val))</f>
        <v>715</v>
      </c>
      <c r="CA9" s="44">
        <f t="array" ref="CA9">LET(val, IFERROR(INDEX('Daily 쨈 raw'!$A:$Z, MATCH(CA$3, 'Daily 쨈 raw'!$A:$A, 0), MATCH($A9, 'Daily 쨈 raw'!$1:$1, 0)), ""), IF(val=0, "", val))</f>
        <v>741</v>
      </c>
      <c r="CB9" s="44">
        <f t="array" ref="CB9">LET(val, IFERROR(INDEX('Daily 쨈 raw'!$A:$Z, MATCH(CB$3, 'Daily 쨈 raw'!$A:$A, 0), MATCH($A9, 'Daily 쨈 raw'!$1:$1, 0)), ""), IF(val=0, "", val))</f>
        <v>437</v>
      </c>
      <c r="CC9" s="44">
        <f t="array" ref="CC9">LET(val, IFERROR(INDEX('Daily 쨈 raw'!$A:$Z, MATCH(CC$3, 'Daily 쨈 raw'!$A:$A, 0), MATCH($A9, 'Daily 쨈 raw'!$1:$1, 0)), ""), IF(val=0, "", val))</f>
        <v>461</v>
      </c>
      <c r="CD9" s="44">
        <f t="array" ref="CD9">LET(val, IFERROR(INDEX('Daily 쨈 raw'!$A:$Z, MATCH(CD$3, 'Daily 쨈 raw'!$A:$A, 0), MATCH($A9, 'Daily 쨈 raw'!$1:$1, 0)), ""), IF(val=0, "", val))</f>
        <v>487</v>
      </c>
      <c r="CE9" s="44">
        <f t="array" ref="CE9">LET(val, IFERROR(INDEX('Daily 쨈 raw'!$A:$Z, MATCH(CE$3, 'Daily 쨈 raw'!$A:$A, 0), MATCH($A9, 'Daily 쨈 raw'!$1:$1, 0)), ""), IF(val=0, "", val))</f>
        <v>483</v>
      </c>
      <c r="CF9" s="44">
        <f t="array" ref="CF9">LET(val, IFERROR(INDEX('Daily 쨈 raw'!$A:$Z, MATCH(CF$3, 'Daily 쨈 raw'!$A:$A, 0), MATCH($A9, 'Daily 쨈 raw'!$1:$1, 0)), ""), IF(val=0, "", val))</f>
        <v>509</v>
      </c>
      <c r="CG9" s="44">
        <f t="array" ref="CG9">LET(val, IFERROR(INDEX('Daily 쨈 raw'!$A:$Z, MATCH(CG$3, 'Daily 쨈 raw'!$A:$A, 0), MATCH($A9, 'Daily 쨈 raw'!$1:$1, 0)), ""), IF(val=0, "", val))</f>
        <v>532</v>
      </c>
      <c r="CH9" s="44">
        <f t="array" ref="CH9">LET(val, IFERROR(INDEX('Daily 쨈 raw'!$A:$Z, MATCH(CH$3, 'Daily 쨈 raw'!$A:$A, 0), MATCH($A9, 'Daily 쨈 raw'!$1:$1, 0)), ""), IF(val=0, "", val))</f>
        <v>560</v>
      </c>
      <c r="CI9" s="44">
        <f t="array" ref="CI9">LET(val, IFERROR(INDEX('Daily 쨈 raw'!$A:$Z, MATCH(CI$3, 'Daily 쨈 raw'!$A:$A, 0), MATCH($A9, 'Daily 쨈 raw'!$1:$1, 0)), ""), IF(val=0, "", val))</f>
        <v>462</v>
      </c>
      <c r="CJ9" s="44">
        <f t="array" ref="CJ9">LET(val, IFERROR(INDEX('Daily 쨈 raw'!$A:$Z, MATCH(CJ$3, 'Daily 쨈 raw'!$A:$A, 0), MATCH($A9, 'Daily 쨈 raw'!$1:$1, 0)), ""), IF(val=0, "", val))</f>
        <v>625</v>
      </c>
      <c r="CK9" s="44">
        <f t="array" ref="CK9">LET(val, IFERROR(INDEX('Daily 쨈 raw'!$A:$Z, MATCH(CK$3, 'Daily 쨈 raw'!$A:$A, 0), MATCH($A9, 'Daily 쨈 raw'!$1:$1, 0)), ""), IF(val=0, "", val))</f>
        <v>587</v>
      </c>
      <c r="CL9" s="44">
        <f t="array" ref="CL9">LET(val, IFERROR(INDEX('Daily 쨈 raw'!$A:$Z, MATCH(CL$3, 'Daily 쨈 raw'!$A:$A, 0), MATCH($A9, 'Daily 쨈 raw'!$1:$1, 0)), ""), IF(val=0, "", val))</f>
        <v>509</v>
      </c>
      <c r="CM9" s="44">
        <f t="array" ref="CM9">LET(val, IFERROR(INDEX('Daily 쨈 raw'!$A:$Z, MATCH(CM$3, 'Daily 쨈 raw'!$A:$A, 0), MATCH($A9, 'Daily 쨈 raw'!$1:$1, 0)), ""), IF(val=0, "", val))</f>
        <v>583</v>
      </c>
      <c r="CN9" s="44">
        <f t="array" ref="CN9">LET(val, IFERROR(INDEX('Daily 쨈 raw'!$A:$Z, MATCH(CN$3, 'Daily 쨈 raw'!$A:$A, 0), MATCH($A9, 'Daily 쨈 raw'!$1:$1, 0)), ""), IF(val=0, "", val))</f>
        <v>525</v>
      </c>
      <c r="CO9" s="44">
        <f t="array" ref="CO9">LET(val, IFERROR(INDEX('Daily 쨈 raw'!$A:$Z, MATCH(CO$3, 'Daily 쨈 raw'!$A:$A, 0), MATCH($A9, 'Daily 쨈 raw'!$1:$1, 0)), ""), IF(val=0, "", val))</f>
        <v>668</v>
      </c>
      <c r="CP9" s="44">
        <f t="array" ref="CP9">LET(val, IFERROR(INDEX('Daily 쨈 raw'!$A:$Z, MATCH(CP$3, 'Daily 쨈 raw'!$A:$A, 0), MATCH($A9, 'Daily 쨈 raw'!$1:$1, 0)), ""), IF(val=0, "", val))</f>
        <v>374</v>
      </c>
      <c r="CQ9" s="44" t="str">
        <f t="array" ref="CQ9">LET(val, IFERROR(INDEX('Daily 쨈 raw'!$A:$Z, MATCH(CQ$3, 'Daily 쨈 raw'!$A:$A, 0), MATCH($A9, 'Daily 쨈 raw'!$1:$1, 0)), ""), IF(val=0, "", val))</f>
        <v/>
      </c>
      <c r="CR9" s="44" t="str">
        <f t="array" ref="CR9">LET(val, IFERROR(INDEX('Daily 쨈 raw'!$A:$Z, MATCH(CR$3, 'Daily 쨈 raw'!$A:$A, 0), MATCH($A9, 'Daily 쨈 raw'!$1:$1, 0)), ""), IF(val=0, "", val))</f>
        <v/>
      </c>
      <c r="CS9" s="44" t="str">
        <f t="array" ref="CS9">LET(val, IFERROR(INDEX('Daily 쨈 raw'!$A:$Z, MATCH(CS$3, 'Daily 쨈 raw'!$A:$A, 0), MATCH($A9, 'Daily 쨈 raw'!$1:$1, 0)), ""), IF(val=0, "", val))</f>
        <v/>
      </c>
      <c r="CT9" s="44" t="str">
        <f t="array" ref="CT9">LET(val, IFERROR(INDEX('Daily 쨈 raw'!$A:$Z, MATCH(CT$3, 'Daily 쨈 raw'!$A:$A, 0), MATCH($A9, 'Daily 쨈 raw'!$1:$1, 0)), ""), IF(val=0, "", val))</f>
        <v/>
      </c>
      <c r="CU9" s="44" t="str">
        <f t="array" ref="CU9">LET(val, IFERROR(INDEX('Daily 쨈 raw'!$A:$Z, MATCH(CU$3, 'Daily 쨈 raw'!$A:$A, 0), MATCH($A9, 'Daily 쨈 raw'!$1:$1, 0)), ""), IF(val=0, "", val))</f>
        <v/>
      </c>
      <c r="CV9" s="44" t="str">
        <f t="array" ref="CV9">LET(val, IFERROR(INDEX('Daily 쨈 raw'!$A:$Z, MATCH(CV$3, 'Daily 쨈 raw'!$A:$A, 0), MATCH($A9, 'Daily 쨈 raw'!$1:$1, 0)), ""), IF(val=0, "", val))</f>
        <v/>
      </c>
      <c r="CW9" s="44" t="str">
        <f t="array" ref="CW9">LET(val, IFERROR(INDEX('Daily 쨈 raw'!$A:$Z, MATCH(CW$3, 'Daily 쨈 raw'!$A:$A, 0), MATCH($A9, 'Daily 쨈 raw'!$1:$1, 0)), ""), IF(val=0, "", val))</f>
        <v/>
      </c>
      <c r="CX9" s="44" t="str">
        <f t="array" ref="CX9">LET(val, IFERROR(INDEX('Daily 쨈 raw'!$A:$Z, MATCH(CX$3, 'Daily 쨈 raw'!$A:$A, 0), MATCH($A9, 'Daily 쨈 raw'!$1:$1, 0)), ""), IF(val=0, "", val))</f>
        <v/>
      </c>
      <c r="CY9" s="44" t="str">
        <f t="array" ref="CY9">LET(val, IFERROR(INDEX('Daily 쨈 raw'!$A:$Z, MATCH(CY$3, 'Daily 쨈 raw'!$A:$A, 0), MATCH($A9, 'Daily 쨈 raw'!$1:$1, 0)), ""), IF(val=0, "", val))</f>
        <v/>
      </c>
      <c r="CZ9" s="44" t="str">
        <f t="array" ref="CZ9">LET(val, IFERROR(INDEX('Daily 쨈 raw'!$A:$Z, MATCH(CZ$3, 'Daily 쨈 raw'!$A:$A, 0), MATCH($A9, 'Daily 쨈 raw'!$1:$1, 0)), ""), IF(val=0, "", val))</f>
        <v/>
      </c>
      <c r="DA9" s="44" t="str">
        <f t="array" ref="DA9">LET(val, IFERROR(INDEX('Daily 쨈 raw'!$A:$Z, MATCH(DA$3, 'Daily 쨈 raw'!$A:$A, 0), MATCH($A9, 'Daily 쨈 raw'!$1:$1, 0)), ""), IF(val=0, "", val))</f>
        <v/>
      </c>
      <c r="DB9" s="44" t="str">
        <f t="array" ref="DB9">LET(val, IFERROR(INDEX('Daily 쨈 raw'!$A:$Z, MATCH(DB$3, 'Daily 쨈 raw'!$A:$A, 0), MATCH($A9, 'Daily 쨈 raw'!$1:$1, 0)), ""), IF(val=0, "", val))</f>
        <v/>
      </c>
      <c r="DC9" s="44" t="str">
        <f t="array" ref="DC9">LET(val, IFERROR(INDEX('Daily 쨈 raw'!$A:$Z, MATCH(DC$3, 'Daily 쨈 raw'!$A:$A, 0), MATCH($A9, 'Daily 쨈 raw'!$1:$1, 0)), ""), IF(val=0, "", val))</f>
        <v/>
      </c>
      <c r="DD9" s="44" t="str">
        <f t="array" ref="DD9">LET(val, IFERROR(INDEX('Daily 쨈 raw'!$A:$Z, MATCH(DD$3, 'Daily 쨈 raw'!$A:$A, 0), MATCH($A9, 'Daily 쨈 raw'!$1:$1, 0)), ""), IF(val=0, "", val))</f>
        <v/>
      </c>
      <c r="DE9" s="44" t="str">
        <f t="array" ref="DE9">LET(val, IFERROR(INDEX('Daily 쨈 raw'!$A:$Z, MATCH(DE$3, 'Daily 쨈 raw'!$A:$A, 0), MATCH($A9, 'Daily 쨈 raw'!$1:$1, 0)), ""), IF(val=0, "", val))</f>
        <v/>
      </c>
      <c r="DF9" s="44" t="str">
        <f t="array" ref="DF9">LET(val, IFERROR(INDEX('Daily 쨈 raw'!$A:$Z, MATCH(DF$3, 'Daily 쨈 raw'!$A:$A, 0), MATCH($A9, 'Daily 쨈 raw'!$1:$1, 0)), ""), IF(val=0, "", val))</f>
        <v/>
      </c>
      <c r="DG9" s="44" t="str">
        <f t="array" ref="DG9">LET(val, IFERROR(INDEX('Daily 쨈 raw'!$A:$Z, MATCH(DG$3, 'Daily 쨈 raw'!$A:$A, 0), MATCH($A9, 'Daily 쨈 raw'!$1:$1, 0)), ""), IF(val=0, "", val))</f>
        <v/>
      </c>
      <c r="DH9" s="44" t="str">
        <f t="array" ref="DH9">LET(val, IFERROR(INDEX('Daily 쨈 raw'!$A:$Z, MATCH(DH$3, 'Daily 쨈 raw'!$A:$A, 0), MATCH($A9, 'Daily 쨈 raw'!$1:$1, 0)), ""), IF(val=0, "", val))</f>
        <v/>
      </c>
      <c r="DI9" s="44" t="str">
        <f t="array" ref="DI9">LET(val, IFERROR(INDEX('Daily 쨈 raw'!$A:$Z, MATCH(DI$3, 'Daily 쨈 raw'!$A:$A, 0), MATCH($A9, 'Daily 쨈 raw'!$1:$1, 0)), ""), IF(val=0, "", val))</f>
        <v/>
      </c>
      <c r="DJ9" s="44" t="str">
        <f t="array" ref="DJ9">LET(val, IFERROR(INDEX('Daily 쨈 raw'!$A:$Z, MATCH(DJ$3, 'Daily 쨈 raw'!$A:$A, 0), MATCH($A9, 'Daily 쨈 raw'!$1:$1, 0)), ""), IF(val=0, "", val))</f>
        <v/>
      </c>
      <c r="DK9" s="44" t="str">
        <f t="array" ref="DK9">LET(val, IFERROR(INDEX('Daily 쨈 raw'!$A:$Z, MATCH(DK$3, 'Daily 쨈 raw'!$A:$A, 0), MATCH($A9, 'Daily 쨈 raw'!$1:$1, 0)), ""), IF(val=0, "", val))</f>
        <v/>
      </c>
      <c r="DL9" s="44" t="str">
        <f t="array" ref="DL9">LET(val, IFERROR(INDEX('Daily 쨈 raw'!$A:$Z, MATCH(DL$3, 'Daily 쨈 raw'!$A:$A, 0), MATCH($A9, 'Daily 쨈 raw'!$1:$1, 0)), ""), IF(val=0, "", val))</f>
        <v/>
      </c>
      <c r="DM9" s="44" t="str">
        <f t="array" ref="DM9">LET(val, IFERROR(INDEX('Daily 쨈 raw'!$A:$Z, MATCH(DM$3, 'Daily 쨈 raw'!$A:$A, 0), MATCH($A9, 'Daily 쨈 raw'!$1:$1, 0)), ""), IF(val=0, "", val))</f>
        <v/>
      </c>
      <c r="DN9" s="44" t="str">
        <f t="array" ref="DN9">LET(val, IFERROR(INDEX('Daily 쨈 raw'!$A:$Z, MATCH(DN$3, 'Daily 쨈 raw'!$A:$A, 0), MATCH($A9, 'Daily 쨈 raw'!$1:$1, 0)), ""), IF(val=0, "", val))</f>
        <v/>
      </c>
      <c r="DO9" s="44" t="str">
        <f t="array" ref="DO9">LET(val, IFERROR(INDEX('Daily 쨈 raw'!$A:$Z, MATCH(DO$3, 'Daily 쨈 raw'!$A:$A, 0), MATCH($A9, 'Daily 쨈 raw'!$1:$1, 0)), ""), IF(val=0, "", val))</f>
        <v/>
      </c>
      <c r="DP9" s="44" t="str">
        <f t="array" ref="DP9">LET(val, IFERROR(INDEX('Daily 쨈 raw'!$A:$Z, MATCH(DP$3, 'Daily 쨈 raw'!$A:$A, 0), MATCH($A9, 'Daily 쨈 raw'!$1:$1, 0)), ""), IF(val=0, "", val))</f>
        <v/>
      </c>
      <c r="DQ9" s="44" t="str">
        <f t="array" ref="DQ9">LET(val, IFERROR(INDEX('Daily 쨈 raw'!$A:$Z, MATCH(DQ$3, 'Daily 쨈 raw'!$A:$A, 0), MATCH($A9, 'Daily 쨈 raw'!$1:$1, 0)), ""), IF(val=0, "", val))</f>
        <v/>
      </c>
      <c r="DR9" s="44" t="str">
        <f t="array" ref="DR9">LET(val, IFERROR(INDEX('Daily 쨈 raw'!$A:$Z, MATCH(DR$3, 'Daily 쨈 raw'!$A:$A, 0), MATCH($A9, 'Daily 쨈 raw'!$1:$1, 0)), ""), IF(val=0, "", val))</f>
        <v/>
      </c>
      <c r="DS9" s="44" t="str">
        <f t="array" ref="DS9">LET(val, IFERROR(INDEX('Daily 쨈 raw'!$A:$Z, MATCH(DS$3, 'Daily 쨈 raw'!$A:$A, 0), MATCH($A9, 'Daily 쨈 raw'!$1:$1, 0)), ""), IF(val=0, "", val))</f>
        <v/>
      </c>
      <c r="DT9" s="44" t="str">
        <f t="array" ref="DT9">LET(val, IFERROR(INDEX('Daily 쨈 raw'!$A:$Z, MATCH(DT$3, 'Daily 쨈 raw'!$A:$A, 0), MATCH($A9, 'Daily 쨈 raw'!$1:$1, 0)), ""), IF(val=0, "", val))</f>
        <v/>
      </c>
      <c r="DU9" s="44" t="str">
        <f t="array" ref="DU9">LET(val, IFERROR(INDEX('Daily 쨈 raw'!$A:$Z, MATCH(DU$3, 'Daily 쨈 raw'!$A:$A, 0), MATCH($A9, 'Daily 쨈 raw'!$1:$1, 0)), ""), IF(val=0, "", val))</f>
        <v/>
      </c>
      <c r="DV9" s="44" t="str">
        <f t="array" ref="DV9">LET(val, IFERROR(INDEX('Daily 쨈 raw'!$A:$Z, MATCH(DV$3, 'Daily 쨈 raw'!$A:$A, 0), MATCH($A9, 'Daily 쨈 raw'!$1:$1, 0)), ""), IF(val=0, "", val))</f>
        <v/>
      </c>
      <c r="DW9" s="44" t="str">
        <f t="array" ref="DW9">LET(val, IFERROR(INDEX('Daily 쨈 raw'!$A:$Z, MATCH(DW$3, 'Daily 쨈 raw'!$A:$A, 0), MATCH($A9, 'Daily 쨈 raw'!$1:$1, 0)), ""), IF(val=0, "", val))</f>
        <v/>
      </c>
      <c r="DX9" s="44" t="str">
        <f t="array" ref="DX9">LET(val, IFERROR(INDEX('Daily 쨈 raw'!$A:$Z, MATCH(DX$3, 'Daily 쨈 raw'!$A:$A, 0), MATCH($A9, 'Daily 쨈 raw'!$1:$1, 0)), ""), IF(val=0, "", val))</f>
        <v/>
      </c>
      <c r="DY9" s="44" t="str">
        <f t="array" ref="DY9">LET(val, IFERROR(INDEX('Daily 쨈 raw'!$A:$Z, MATCH(DY$3, 'Daily 쨈 raw'!$A:$A, 0), MATCH($A9, 'Daily 쨈 raw'!$1:$1, 0)), ""), IF(val=0, "", val))</f>
        <v/>
      </c>
      <c r="DZ9" s="44" t="str">
        <f t="array" ref="DZ9">LET(val, IFERROR(INDEX('Daily 쨈 raw'!$A:$Z, MATCH(DZ$3, 'Daily 쨈 raw'!$A:$A, 0), MATCH($A9, 'Daily 쨈 raw'!$1:$1, 0)), ""), IF(val=0, "", val))</f>
        <v/>
      </c>
    </row>
    <row r="10" ht="22.5" customHeight="1">
      <c r="A10" s="16" t="s">
        <v>68</v>
      </c>
      <c r="B10" s="48" t="s">
        <v>69</v>
      </c>
      <c r="C10" s="44">
        <f t="array" ref="C10">LET(val, IFERROR(INDEX('Daily 쨈 raw'!$A:$Z, MATCH(C$3, 'Daily 쨈 raw'!$A:$A, 0), MATCH($A10, 'Daily 쨈 raw'!$1:$1, 0)), ""), IF(val=0, "", val))</f>
        <v>3283</v>
      </c>
      <c r="D10" s="44">
        <f t="array" ref="D10">LET(val, IFERROR(INDEX('Daily 쨈 raw'!$A:$Z, MATCH(D$3, 'Daily 쨈 raw'!$A:$A, 0), MATCH($A10, 'Daily 쨈 raw'!$1:$1, 0)), ""), IF(val=0, "", val))</f>
        <v>3390</v>
      </c>
      <c r="E10" s="44">
        <f t="array" ref="E10">LET(val, IFERROR(INDEX('Daily 쨈 raw'!$A:$Z, MATCH(E$3, 'Daily 쨈 raw'!$A:$A, 0), MATCH($A10, 'Daily 쨈 raw'!$1:$1, 0)), ""), IF(val=0, "", val))</f>
        <v>3211</v>
      </c>
      <c r="F10" s="44">
        <f t="array" ref="F10">LET(val, IFERROR(INDEX('Daily 쨈 raw'!$A:$Z, MATCH(F$3, 'Daily 쨈 raw'!$A:$A, 0), MATCH($A10, 'Daily 쨈 raw'!$1:$1, 0)), ""), IF(val=0, "", val))</f>
        <v>2957</v>
      </c>
      <c r="G10" s="44">
        <f t="array" ref="G10">LET(val, IFERROR(INDEX('Daily 쨈 raw'!$A:$Z, MATCH(G$3, 'Daily 쨈 raw'!$A:$A, 0), MATCH($A10, 'Daily 쨈 raw'!$1:$1, 0)), ""), IF(val=0, "", val))</f>
        <v>2914</v>
      </c>
      <c r="H10" s="44">
        <f t="array" ref="H10">LET(val, IFERROR(INDEX('Daily 쨈 raw'!$A:$Z, MATCH(H$3, 'Daily 쨈 raw'!$A:$A, 0), MATCH($A10, 'Daily 쨈 raw'!$1:$1, 0)), ""), IF(val=0, "", val))</f>
        <v>1851</v>
      </c>
      <c r="I10" s="44">
        <f t="array" ref="I10">LET(val, IFERROR(INDEX('Daily 쨈 raw'!$A:$Z, MATCH(I$3, 'Daily 쨈 raw'!$A:$A, 0), MATCH($A10, 'Daily 쨈 raw'!$1:$1, 0)), ""), IF(val=0, "", val))</f>
        <v>2270</v>
      </c>
      <c r="J10" s="44">
        <f t="array" ref="J10">LET(val, IFERROR(INDEX('Daily 쨈 raw'!$A:$Z, MATCH(J$3, 'Daily 쨈 raw'!$A:$A, 0), MATCH($A10, 'Daily 쨈 raw'!$1:$1, 0)), ""), IF(val=0, "", val))</f>
        <v>1939</v>
      </c>
      <c r="K10" s="44">
        <f t="array" ref="K10">LET(val, IFERROR(INDEX('Daily 쨈 raw'!$A:$Z, MATCH(K$3, 'Daily 쨈 raw'!$A:$A, 0), MATCH($A10, 'Daily 쨈 raw'!$1:$1, 0)), ""), IF(val=0, "", val))</f>
        <v>1079</v>
      </c>
      <c r="L10" s="44">
        <f t="array" ref="L10">LET(val, IFERROR(INDEX('Daily 쨈 raw'!$A:$Z, MATCH(L$3, 'Daily 쨈 raw'!$A:$A, 0), MATCH($A10, 'Daily 쨈 raw'!$1:$1, 0)), ""), IF(val=0, "", val))</f>
        <v>958</v>
      </c>
      <c r="M10" s="44">
        <f t="array" ref="M10">LET(val, IFERROR(INDEX('Daily 쨈 raw'!$A:$Z, MATCH(M$3, 'Daily 쨈 raw'!$A:$A, 0), MATCH($A10, 'Daily 쨈 raw'!$1:$1, 0)), ""), IF(val=0, "", val))</f>
        <v>920</v>
      </c>
      <c r="N10" s="44">
        <f t="array" ref="N10">LET(val, IFERROR(INDEX('Daily 쨈 raw'!$A:$Z, MATCH(N$3, 'Daily 쨈 raw'!$A:$A, 0), MATCH($A10, 'Daily 쨈 raw'!$1:$1, 0)), ""), IF(val=0, "", val))</f>
        <v>833</v>
      </c>
      <c r="O10" s="44">
        <f t="array" ref="O10">LET(val, IFERROR(INDEX('Daily 쨈 raw'!$A:$Z, MATCH(O$3, 'Daily 쨈 raw'!$A:$A, 0), MATCH($A10, 'Daily 쨈 raw'!$1:$1, 0)), ""), IF(val=0, "", val))</f>
        <v>682</v>
      </c>
      <c r="P10" s="44">
        <f t="array" ref="P10">LET(val, IFERROR(INDEX('Daily 쨈 raw'!$A:$Z, MATCH(P$3, 'Daily 쨈 raw'!$A:$A, 0), MATCH($A10, 'Daily 쨈 raw'!$1:$1, 0)), ""), IF(val=0, "", val))</f>
        <v>655</v>
      </c>
      <c r="Q10" s="44">
        <f t="array" ref="Q10">LET(val, IFERROR(INDEX('Daily 쨈 raw'!$A:$Z, MATCH(Q$3, 'Daily 쨈 raw'!$A:$A, 0), MATCH($A10, 'Daily 쨈 raw'!$1:$1, 0)), ""), IF(val=0, "", val))</f>
        <v>589</v>
      </c>
      <c r="R10" s="44">
        <f t="array" ref="R10">LET(val, IFERROR(INDEX('Daily 쨈 raw'!$A:$Z, MATCH(R$3, 'Daily 쨈 raw'!$A:$A, 0), MATCH($A10, 'Daily 쨈 raw'!$1:$1, 0)), ""), IF(val=0, "", val))</f>
        <v>761</v>
      </c>
      <c r="S10" s="44">
        <f t="array" ref="S10">LET(val, IFERROR(INDEX('Daily 쨈 raw'!$A:$Z, MATCH(S$3, 'Daily 쨈 raw'!$A:$A, 0), MATCH($A10, 'Daily 쨈 raw'!$1:$1, 0)), ""), IF(val=0, "", val))</f>
        <v>894</v>
      </c>
      <c r="T10" s="44">
        <f t="array" ref="T10">LET(val, IFERROR(INDEX('Daily 쨈 raw'!$A:$Z, MATCH(T$3, 'Daily 쨈 raw'!$A:$A, 0), MATCH($A10, 'Daily 쨈 raw'!$1:$1, 0)), ""), IF(val=0, "", val))</f>
        <v>723</v>
      </c>
      <c r="U10" s="44">
        <f t="array" ref="U10">LET(val, IFERROR(INDEX('Daily 쨈 raw'!$A:$Z, MATCH(U$3, 'Daily 쨈 raw'!$A:$A, 0), MATCH($A10, 'Daily 쨈 raw'!$1:$1, 0)), ""), IF(val=0, "", val))</f>
        <v>736</v>
      </c>
      <c r="V10" s="44">
        <f t="array" ref="V10">LET(val, IFERROR(INDEX('Daily 쨈 raw'!$A:$Z, MATCH(V$3, 'Daily 쨈 raw'!$A:$A, 0), MATCH($A10, 'Daily 쨈 raw'!$1:$1, 0)), ""), IF(val=0, "", val))</f>
        <v>776</v>
      </c>
      <c r="W10" s="44">
        <f t="array" ref="W10">LET(val, IFERROR(INDEX('Daily 쨈 raw'!$A:$Z, MATCH(W$3, 'Daily 쨈 raw'!$A:$A, 0), MATCH($A10, 'Daily 쨈 raw'!$1:$1, 0)), ""), IF(val=0, "", val))</f>
        <v>927</v>
      </c>
      <c r="X10" s="44">
        <f t="array" ref="X10">LET(val, IFERROR(INDEX('Daily 쨈 raw'!$A:$Z, MATCH(X$3, 'Daily 쨈 raw'!$A:$A, 0), MATCH($A10, 'Daily 쨈 raw'!$1:$1, 0)), ""), IF(val=0, "", val))</f>
        <v>789</v>
      </c>
      <c r="Y10" s="44">
        <f t="array" ref="Y10">LET(val, IFERROR(INDEX('Daily 쨈 raw'!$A:$Z, MATCH(Y$3, 'Daily 쨈 raw'!$A:$A, 0), MATCH($A10, 'Daily 쨈 raw'!$1:$1, 0)), ""), IF(val=0, "", val))</f>
        <v>748</v>
      </c>
      <c r="Z10" s="44">
        <f t="array" ref="Z10">LET(val, IFERROR(INDEX('Daily 쨈 raw'!$A:$Z, MATCH(Z$3, 'Daily 쨈 raw'!$A:$A, 0), MATCH($A10, 'Daily 쨈 raw'!$1:$1, 0)), ""), IF(val=0, "", val))</f>
        <v>731</v>
      </c>
      <c r="AA10" s="44">
        <f t="array" ref="AA10">LET(val, IFERROR(INDEX('Daily 쨈 raw'!$A:$Z, MATCH(AA$3, 'Daily 쨈 raw'!$A:$A, 0), MATCH($A10, 'Daily 쨈 raw'!$1:$1, 0)), ""), IF(val=0, "", val))</f>
        <v>682</v>
      </c>
      <c r="AB10" s="44">
        <f t="array" ref="AB10">LET(val, IFERROR(INDEX('Daily 쨈 raw'!$A:$Z, MATCH(AB$3, 'Daily 쨈 raw'!$A:$A, 0), MATCH($A10, 'Daily 쨈 raw'!$1:$1, 0)), ""), IF(val=0, "", val))</f>
        <v>543</v>
      </c>
      <c r="AC10" s="44">
        <f t="array" ref="AC10">LET(val, IFERROR(INDEX('Daily 쨈 raw'!$A:$Z, MATCH(AC$3, 'Daily 쨈 raw'!$A:$A, 0), MATCH($A10, 'Daily 쨈 raw'!$1:$1, 0)), ""), IF(val=0, "", val))</f>
        <v>628</v>
      </c>
      <c r="AD10" s="44">
        <f t="array" ref="AD10">LET(val, IFERROR(INDEX('Daily 쨈 raw'!$A:$Z, MATCH(AD$3, 'Daily 쨈 raw'!$A:$A, 0), MATCH($A10, 'Daily 쨈 raw'!$1:$1, 0)), ""), IF(val=0, "", val))</f>
        <v>663</v>
      </c>
      <c r="AE10" s="44">
        <f t="array" ref="AE10">LET(val, IFERROR(INDEX('Daily 쨈 raw'!$A:$Z, MATCH(AE$3, 'Daily 쨈 raw'!$A:$A, 0), MATCH($A10, 'Daily 쨈 raw'!$1:$1, 0)), ""), IF(val=0, "", val))</f>
        <v>713</v>
      </c>
      <c r="AF10" s="44">
        <f t="array" ref="AF10">LET(val, IFERROR(INDEX('Daily 쨈 raw'!$A:$Z, MATCH(AF$3, 'Daily 쨈 raw'!$A:$A, 0), MATCH($A10, 'Daily 쨈 raw'!$1:$1, 0)), ""), IF(val=0, "", val))</f>
        <v>642</v>
      </c>
      <c r="AG10" s="44">
        <f t="array" ref="AG10">LET(val, IFERROR(INDEX('Daily 쨈 raw'!$A:$Z, MATCH(AG$3, 'Daily 쨈 raw'!$A:$A, 0), MATCH($A10, 'Daily 쨈 raw'!$1:$1, 0)), ""), IF(val=0, "", val))</f>
        <v>1414</v>
      </c>
      <c r="AH10" s="44">
        <f t="array" ref="AH10">LET(val, IFERROR(INDEX('Daily 쨈 raw'!$A:$Z, MATCH(AH$3, 'Daily 쨈 raw'!$A:$A, 0), MATCH($A10, 'Daily 쨈 raw'!$1:$1, 0)), ""), IF(val=0, "", val))</f>
        <v>1624</v>
      </c>
      <c r="AI10" s="44">
        <f t="array" ref="AI10">LET(val, IFERROR(INDEX('Daily 쨈 raw'!$A:$Z, MATCH(AI$3, 'Daily 쨈 raw'!$A:$A, 0), MATCH($A10, 'Daily 쨈 raw'!$1:$1, 0)), ""), IF(val=0, "", val))</f>
        <v>915</v>
      </c>
      <c r="AJ10" s="44">
        <f t="array" ref="AJ10">LET(val, IFERROR(INDEX('Daily 쨈 raw'!$A:$Z, MATCH(AJ$3, 'Daily 쨈 raw'!$A:$A, 0), MATCH($A10, 'Daily 쨈 raw'!$1:$1, 0)), ""), IF(val=0, "", val))</f>
        <v>845</v>
      </c>
      <c r="AK10" s="44">
        <f t="array" ref="AK10">LET(val, IFERROR(INDEX('Daily 쨈 raw'!$A:$Z, MATCH(AK$3, 'Daily 쨈 raw'!$A:$A, 0), MATCH($A10, 'Daily 쨈 raw'!$1:$1, 0)), ""), IF(val=0, "", val))</f>
        <v>1031</v>
      </c>
      <c r="AL10" s="44">
        <f t="array" ref="AL10">LET(val, IFERROR(INDEX('Daily 쨈 raw'!$A:$Z, MATCH(AL$3, 'Daily 쨈 raw'!$A:$A, 0), MATCH($A10, 'Daily 쨈 raw'!$1:$1, 0)), ""), IF(val=0, "", val))</f>
        <v>904</v>
      </c>
      <c r="AM10" s="44">
        <f t="array" ref="AM10">LET(val, IFERROR(INDEX('Daily 쨈 raw'!$A:$Z, MATCH(AM$3, 'Daily 쨈 raw'!$A:$A, 0), MATCH($A10, 'Daily 쨈 raw'!$1:$1, 0)), ""), IF(val=0, "", val))</f>
        <v>954</v>
      </c>
      <c r="AN10" s="44">
        <f t="array" ref="AN10">LET(val, IFERROR(INDEX('Daily 쨈 raw'!$A:$Z, MATCH(AN$3, 'Daily 쨈 raw'!$A:$A, 0), MATCH($A10, 'Daily 쨈 raw'!$1:$1, 0)), ""), IF(val=0, "", val))</f>
        <v>942</v>
      </c>
      <c r="AO10" s="44">
        <f t="array" ref="AO10">LET(val, IFERROR(INDEX('Daily 쨈 raw'!$A:$Z, MATCH(AO$3, 'Daily 쨈 raw'!$A:$A, 0), MATCH($A10, 'Daily 쨈 raw'!$1:$1, 0)), ""), IF(val=0, "", val))</f>
        <v>1397</v>
      </c>
      <c r="AP10" s="44">
        <f t="array" ref="AP10">LET(val, IFERROR(INDEX('Daily 쨈 raw'!$A:$Z, MATCH(AP$3, 'Daily 쨈 raw'!$A:$A, 0), MATCH($A10, 'Daily 쨈 raw'!$1:$1, 0)), ""), IF(val=0, "", val))</f>
        <v>755</v>
      </c>
      <c r="AQ10" s="44">
        <f t="array" ref="AQ10">LET(val, IFERROR(INDEX('Daily 쨈 raw'!$A:$Z, MATCH(AQ$3, 'Daily 쨈 raw'!$A:$A, 0), MATCH($A10, 'Daily 쨈 raw'!$1:$1, 0)), ""), IF(val=0, "", val))</f>
        <v>1079</v>
      </c>
      <c r="AR10" s="44">
        <f t="array" ref="AR10">LET(val, IFERROR(INDEX('Daily 쨈 raw'!$A:$Z, MATCH(AR$3, 'Daily 쨈 raw'!$A:$A, 0), MATCH($A10, 'Daily 쨈 raw'!$1:$1, 0)), ""), IF(val=0, "", val))</f>
        <v>876</v>
      </c>
      <c r="AS10" s="44">
        <f t="array" ref="AS10">LET(val, IFERROR(INDEX('Daily 쨈 raw'!$A:$Z, MATCH(AS$3, 'Daily 쨈 raw'!$A:$A, 0), MATCH($A10, 'Daily 쨈 raw'!$1:$1, 0)), ""), IF(val=0, "", val))</f>
        <v>797</v>
      </c>
      <c r="AT10" s="44">
        <f t="array" ref="AT10">LET(val, IFERROR(INDEX('Daily 쨈 raw'!$A:$Z, MATCH(AT$3, 'Daily 쨈 raw'!$A:$A, 0), MATCH($A10, 'Daily 쨈 raw'!$1:$1, 0)), ""), IF(val=0, "", val))</f>
        <v>751</v>
      </c>
      <c r="AU10" s="44">
        <f t="array" ref="AU10">LET(val, IFERROR(INDEX('Daily 쨈 raw'!$A:$Z, MATCH(AU$3, 'Daily 쨈 raw'!$A:$A, 0), MATCH($A10, 'Daily 쨈 raw'!$1:$1, 0)), ""), IF(val=0, "", val))</f>
        <v>828</v>
      </c>
      <c r="AV10" s="44">
        <f t="array" ref="AV10">LET(val, IFERROR(INDEX('Daily 쨈 raw'!$A:$Z, MATCH(AV$3, 'Daily 쨈 raw'!$A:$A, 0), MATCH($A10, 'Daily 쨈 raw'!$1:$1, 0)), ""), IF(val=0, "", val))</f>
        <v>748</v>
      </c>
      <c r="AW10" s="44">
        <f t="array" ref="AW10">LET(val, IFERROR(INDEX('Daily 쨈 raw'!$A:$Z, MATCH(AW$3, 'Daily 쨈 raw'!$A:$A, 0), MATCH($A10, 'Daily 쨈 raw'!$1:$1, 0)), ""), IF(val=0, "", val))</f>
        <v>702</v>
      </c>
      <c r="AX10" s="44">
        <f t="array" ref="AX10">LET(val, IFERROR(INDEX('Daily 쨈 raw'!$A:$Z, MATCH(AX$3, 'Daily 쨈 raw'!$A:$A, 0), MATCH($A10, 'Daily 쨈 raw'!$1:$1, 0)), ""), IF(val=0, "", val))</f>
        <v>804</v>
      </c>
      <c r="AY10" s="44">
        <f t="array" ref="AY10">LET(val, IFERROR(INDEX('Daily 쨈 raw'!$A:$Z, MATCH(AY$3, 'Daily 쨈 raw'!$A:$A, 0), MATCH($A10, 'Daily 쨈 raw'!$1:$1, 0)), ""), IF(val=0, "", val))</f>
        <v>879</v>
      </c>
      <c r="AZ10" s="44">
        <f t="array" ref="AZ10">LET(val, IFERROR(INDEX('Daily 쨈 raw'!$A:$Z, MATCH(AZ$3, 'Daily 쨈 raw'!$A:$A, 0), MATCH($A10, 'Daily 쨈 raw'!$1:$1, 0)), ""), IF(val=0, "", val))</f>
        <v>766</v>
      </c>
      <c r="BA10" s="44">
        <f t="array" ref="BA10">LET(val, IFERROR(INDEX('Daily 쨈 raw'!$A:$Z, MATCH(BA$3, 'Daily 쨈 raw'!$A:$A, 0), MATCH($A10, 'Daily 쨈 raw'!$1:$1, 0)), ""), IF(val=0, "", val))</f>
        <v>659</v>
      </c>
      <c r="BB10" s="44">
        <f t="array" ref="BB10">LET(val, IFERROR(INDEX('Daily 쨈 raw'!$A:$Z, MATCH(BB$3, 'Daily 쨈 raw'!$A:$A, 0), MATCH($A10, 'Daily 쨈 raw'!$1:$1, 0)), ""), IF(val=0, "", val))</f>
        <v>667</v>
      </c>
      <c r="BC10" s="44">
        <f t="array" ref="BC10">LET(val, IFERROR(INDEX('Daily 쨈 raw'!$A:$Z, MATCH(BC$3, 'Daily 쨈 raw'!$A:$A, 0), MATCH($A10, 'Daily 쨈 raw'!$1:$1, 0)), ""), IF(val=0, "", val))</f>
        <v>477</v>
      </c>
      <c r="BD10" s="44">
        <f t="array" ref="BD10">LET(val, IFERROR(INDEX('Daily 쨈 raw'!$A:$Z, MATCH(BD$3, 'Daily 쨈 raw'!$A:$A, 0), MATCH($A10, 'Daily 쨈 raw'!$1:$1, 0)), ""), IF(val=0, "", val))</f>
        <v>563</v>
      </c>
      <c r="BE10" s="44">
        <f t="array" ref="BE10">LET(val, IFERROR(INDEX('Daily 쨈 raw'!$A:$Z, MATCH(BE$3, 'Daily 쨈 raw'!$A:$A, 0), MATCH($A10, 'Daily 쨈 raw'!$1:$1, 0)), ""), IF(val=0, "", val))</f>
        <v>826</v>
      </c>
      <c r="BF10" s="44">
        <f t="array" ref="BF10">LET(val, IFERROR(INDEX('Daily 쨈 raw'!$A:$Z, MATCH(BF$3, 'Daily 쨈 raw'!$A:$A, 0), MATCH($A10, 'Daily 쨈 raw'!$1:$1, 0)), ""), IF(val=0, "", val))</f>
        <v>507</v>
      </c>
      <c r="BG10" s="44">
        <f t="array" ref="BG10">LET(val, IFERROR(INDEX('Daily 쨈 raw'!$A:$Z, MATCH(BG$3, 'Daily 쨈 raw'!$A:$A, 0), MATCH($A10, 'Daily 쨈 raw'!$1:$1, 0)), ""), IF(val=0, "", val))</f>
        <v>684</v>
      </c>
      <c r="BH10" s="44">
        <f t="array" ref="BH10">LET(val, IFERROR(INDEX('Daily 쨈 raw'!$A:$Z, MATCH(BH$3, 'Daily 쨈 raw'!$A:$A, 0), MATCH($A10, 'Daily 쨈 raw'!$1:$1, 0)), ""), IF(val=0, "", val))</f>
        <v>644</v>
      </c>
      <c r="BI10" s="44">
        <f t="array" ref="BI10">LET(val, IFERROR(INDEX('Daily 쨈 raw'!$A:$Z, MATCH(BI$3, 'Daily 쨈 raw'!$A:$A, 0), MATCH($A10, 'Daily 쨈 raw'!$1:$1, 0)), ""), IF(val=0, "", val))</f>
        <v>653</v>
      </c>
      <c r="BJ10" s="44">
        <f t="array" ref="BJ10">LET(val, IFERROR(INDEX('Daily 쨈 raw'!$A:$Z, MATCH(BJ$3, 'Daily 쨈 raw'!$A:$A, 0), MATCH($A10, 'Daily 쨈 raw'!$1:$1, 0)), ""), IF(val=0, "", val))</f>
        <v>755</v>
      </c>
      <c r="BK10" s="44">
        <f t="array" ref="BK10">LET(val, IFERROR(INDEX('Daily 쨈 raw'!$A:$Z, MATCH(BK$3, 'Daily 쨈 raw'!$A:$A, 0), MATCH($A10, 'Daily 쨈 raw'!$1:$1, 0)), ""), IF(val=0, "", val))</f>
        <v>734</v>
      </c>
      <c r="BL10" s="44">
        <f t="array" ref="BL10">LET(val, IFERROR(INDEX('Daily 쨈 raw'!$A:$Z, MATCH(BL$3, 'Daily 쨈 raw'!$A:$A, 0), MATCH($A10, 'Daily 쨈 raw'!$1:$1, 0)), ""), IF(val=0, "", val))</f>
        <v>796</v>
      </c>
      <c r="BM10" s="44">
        <f t="array" ref="BM10">LET(val, IFERROR(INDEX('Daily 쨈 raw'!$A:$Z, MATCH(BM$3, 'Daily 쨈 raw'!$A:$A, 0), MATCH($A10, 'Daily 쨈 raw'!$1:$1, 0)), ""), IF(val=0, "", val))</f>
        <v>761</v>
      </c>
      <c r="BN10" s="44">
        <f t="array" ref="BN10">LET(val, IFERROR(INDEX('Daily 쨈 raw'!$A:$Z, MATCH(BN$3, 'Daily 쨈 raw'!$A:$A, 0), MATCH($A10, 'Daily 쨈 raw'!$1:$1, 0)), ""), IF(val=0, "", val))</f>
        <v>444</v>
      </c>
      <c r="BO10" s="44">
        <f t="array" ref="BO10">LET(val, IFERROR(INDEX('Daily 쨈 raw'!$A:$Z, MATCH(BO$3, 'Daily 쨈 raw'!$A:$A, 0), MATCH($A10, 'Daily 쨈 raw'!$1:$1, 0)), ""), IF(val=0, "", val))</f>
        <v>714</v>
      </c>
      <c r="BP10" s="44">
        <f t="array" ref="BP10">LET(val, IFERROR(INDEX('Daily 쨈 raw'!$A:$Z, MATCH(BP$3, 'Daily 쨈 raw'!$A:$A, 0), MATCH($A10, 'Daily 쨈 raw'!$1:$1, 0)), ""), IF(val=0, "", val))</f>
        <v>757</v>
      </c>
      <c r="BQ10" s="44">
        <f t="array" ref="BQ10">LET(val, IFERROR(INDEX('Daily 쨈 raw'!$A:$Z, MATCH(BQ$3, 'Daily 쨈 raw'!$A:$A, 0), MATCH($A10, 'Daily 쨈 raw'!$1:$1, 0)), ""), IF(val=0, "", val))</f>
        <v>598</v>
      </c>
      <c r="BR10" s="44">
        <f t="array" ref="BR10">LET(val, IFERROR(INDEX('Daily 쨈 raw'!$A:$Z, MATCH(BR$3, 'Daily 쨈 raw'!$A:$A, 0), MATCH($A10, 'Daily 쨈 raw'!$1:$1, 0)), ""), IF(val=0, "", val))</f>
        <v>374</v>
      </c>
      <c r="BS10" s="44">
        <f t="array" ref="BS10">LET(val, IFERROR(INDEX('Daily 쨈 raw'!$A:$Z, MATCH(BS$3, 'Daily 쨈 raw'!$A:$A, 0), MATCH($A10, 'Daily 쨈 raw'!$1:$1, 0)), ""), IF(val=0, "", val))</f>
        <v>688</v>
      </c>
      <c r="BT10" s="44">
        <f t="array" ref="BT10">LET(val, IFERROR(INDEX('Daily 쨈 raw'!$A:$Z, MATCH(BT$3, 'Daily 쨈 raw'!$A:$A, 0), MATCH($A10, 'Daily 쨈 raw'!$1:$1, 0)), ""), IF(val=0, "", val))</f>
        <v>781</v>
      </c>
      <c r="BU10" s="44">
        <f t="array" ref="BU10">LET(val, IFERROR(INDEX('Daily 쨈 raw'!$A:$Z, MATCH(BU$3, 'Daily 쨈 raw'!$A:$A, 0), MATCH($A10, 'Daily 쨈 raw'!$1:$1, 0)), ""), IF(val=0, "", val))</f>
        <v>705</v>
      </c>
      <c r="BV10" s="44">
        <f t="array" ref="BV10">LET(val, IFERROR(INDEX('Daily 쨈 raw'!$A:$Z, MATCH(BV$3, 'Daily 쨈 raw'!$A:$A, 0), MATCH($A10, 'Daily 쨈 raw'!$1:$1, 0)), ""), IF(val=0, "", val))</f>
        <v>656</v>
      </c>
      <c r="BW10" s="44">
        <f t="array" ref="BW10">LET(val, IFERROR(INDEX('Daily 쨈 raw'!$A:$Z, MATCH(BW$3, 'Daily 쨈 raw'!$A:$A, 0), MATCH($A10, 'Daily 쨈 raw'!$1:$1, 0)), ""), IF(val=0, "", val))</f>
        <v>623</v>
      </c>
      <c r="BX10" s="44">
        <f t="array" ref="BX10">LET(val, IFERROR(INDEX('Daily 쨈 raw'!$A:$Z, MATCH(BX$3, 'Daily 쨈 raw'!$A:$A, 0), MATCH($A10, 'Daily 쨈 raw'!$1:$1, 0)), ""), IF(val=0, "", val))</f>
        <v>571</v>
      </c>
      <c r="BY10" s="44">
        <f t="array" ref="BY10">LET(val, IFERROR(INDEX('Daily 쨈 raw'!$A:$Z, MATCH(BY$3, 'Daily 쨈 raw'!$A:$A, 0), MATCH($A10, 'Daily 쨈 raw'!$1:$1, 0)), ""), IF(val=0, "", val))</f>
        <v>626</v>
      </c>
      <c r="BZ10" s="44">
        <f t="array" ref="BZ10">LET(val, IFERROR(INDEX('Daily 쨈 raw'!$A:$Z, MATCH(BZ$3, 'Daily 쨈 raw'!$A:$A, 0), MATCH($A10, 'Daily 쨈 raw'!$1:$1, 0)), ""), IF(val=0, "", val))</f>
        <v>704</v>
      </c>
      <c r="CA10" s="44">
        <f t="array" ref="CA10">LET(val, IFERROR(INDEX('Daily 쨈 raw'!$A:$Z, MATCH(CA$3, 'Daily 쨈 raw'!$A:$A, 0), MATCH($A10, 'Daily 쨈 raw'!$1:$1, 0)), ""), IF(val=0, "", val))</f>
        <v>718</v>
      </c>
      <c r="CB10" s="44">
        <f t="array" ref="CB10">LET(val, IFERROR(INDEX('Daily 쨈 raw'!$A:$Z, MATCH(CB$3, 'Daily 쨈 raw'!$A:$A, 0), MATCH($A10, 'Daily 쨈 raw'!$1:$1, 0)), ""), IF(val=0, "", val))</f>
        <v>407</v>
      </c>
      <c r="CC10" s="44">
        <f t="array" ref="CC10">LET(val, IFERROR(INDEX('Daily 쨈 raw'!$A:$Z, MATCH(CC$3, 'Daily 쨈 raw'!$A:$A, 0), MATCH($A10, 'Daily 쨈 raw'!$1:$1, 0)), ""), IF(val=0, "", val))</f>
        <v>427</v>
      </c>
      <c r="CD10" s="44">
        <f t="array" ref="CD10">LET(val, IFERROR(INDEX('Daily 쨈 raw'!$A:$Z, MATCH(CD$3, 'Daily 쨈 raw'!$A:$A, 0), MATCH($A10, 'Daily 쨈 raw'!$1:$1, 0)), ""), IF(val=0, "", val))</f>
        <v>436</v>
      </c>
      <c r="CE10" s="44">
        <f t="array" ref="CE10">LET(val, IFERROR(INDEX('Daily 쨈 raw'!$A:$Z, MATCH(CE$3, 'Daily 쨈 raw'!$A:$A, 0), MATCH($A10, 'Daily 쨈 raw'!$1:$1, 0)), ""), IF(val=0, "", val))</f>
        <v>452</v>
      </c>
      <c r="CF10" s="44">
        <f t="array" ref="CF10">LET(val, IFERROR(INDEX('Daily 쨈 raw'!$A:$Z, MATCH(CF$3, 'Daily 쨈 raw'!$A:$A, 0), MATCH($A10, 'Daily 쨈 raw'!$1:$1, 0)), ""), IF(val=0, "", val))</f>
        <v>475</v>
      </c>
      <c r="CG10" s="44">
        <f t="array" ref="CG10">LET(val, IFERROR(INDEX('Daily 쨈 raw'!$A:$Z, MATCH(CG$3, 'Daily 쨈 raw'!$A:$A, 0), MATCH($A10, 'Daily 쨈 raw'!$1:$1, 0)), ""), IF(val=0, "", val))</f>
        <v>491</v>
      </c>
      <c r="CH10" s="44">
        <f t="array" ref="CH10">LET(val, IFERROR(INDEX('Daily 쨈 raw'!$A:$Z, MATCH(CH$3, 'Daily 쨈 raw'!$A:$A, 0), MATCH($A10, 'Daily 쨈 raw'!$1:$1, 0)), ""), IF(val=0, "", val))</f>
        <v>499</v>
      </c>
      <c r="CI10" s="44">
        <f t="array" ref="CI10">LET(val, IFERROR(INDEX('Daily 쨈 raw'!$A:$Z, MATCH(CI$3, 'Daily 쨈 raw'!$A:$A, 0), MATCH($A10, 'Daily 쨈 raw'!$1:$1, 0)), ""), IF(val=0, "", val))</f>
        <v>400</v>
      </c>
      <c r="CJ10" s="44">
        <f t="array" ref="CJ10">LET(val, IFERROR(INDEX('Daily 쨈 raw'!$A:$Z, MATCH(CJ$3, 'Daily 쨈 raw'!$A:$A, 0), MATCH($A10, 'Daily 쨈 raw'!$1:$1, 0)), ""), IF(val=0, "", val))</f>
        <v>581</v>
      </c>
      <c r="CK10" s="44">
        <f t="array" ref="CK10">LET(val, IFERROR(INDEX('Daily 쨈 raw'!$A:$Z, MATCH(CK$3, 'Daily 쨈 raw'!$A:$A, 0), MATCH($A10, 'Daily 쨈 raw'!$1:$1, 0)), ""), IF(val=0, "", val))</f>
        <v>555</v>
      </c>
      <c r="CL10" s="44">
        <f t="array" ref="CL10">LET(val, IFERROR(INDEX('Daily 쨈 raw'!$A:$Z, MATCH(CL$3, 'Daily 쨈 raw'!$A:$A, 0), MATCH($A10, 'Daily 쨈 raw'!$1:$1, 0)), ""), IF(val=0, "", val))</f>
        <v>477</v>
      </c>
      <c r="CM10" s="44">
        <f t="array" ref="CM10">LET(val, IFERROR(INDEX('Daily 쨈 raw'!$A:$Z, MATCH(CM$3, 'Daily 쨈 raw'!$A:$A, 0), MATCH($A10, 'Daily 쨈 raw'!$1:$1, 0)), ""), IF(val=0, "", val))</f>
        <v>562</v>
      </c>
      <c r="CN10" s="44">
        <f t="array" ref="CN10">LET(val, IFERROR(INDEX('Daily 쨈 raw'!$A:$Z, MATCH(CN$3, 'Daily 쨈 raw'!$A:$A, 0), MATCH($A10, 'Daily 쨈 raw'!$1:$1, 0)), ""), IF(val=0, "", val))</f>
        <v>494</v>
      </c>
      <c r="CO10" s="44">
        <f t="array" ref="CO10">LET(val, IFERROR(INDEX('Daily 쨈 raw'!$A:$Z, MATCH(CO$3, 'Daily 쨈 raw'!$A:$A, 0), MATCH($A10, 'Daily 쨈 raw'!$1:$1, 0)), ""), IF(val=0, "", val))</f>
        <v>638</v>
      </c>
      <c r="CP10" s="44">
        <f t="array" ref="CP10">LET(val, IFERROR(INDEX('Daily 쨈 raw'!$A:$Z, MATCH(CP$3, 'Daily 쨈 raw'!$A:$A, 0), MATCH($A10, 'Daily 쨈 raw'!$1:$1, 0)), ""), IF(val=0, "", val))</f>
        <v>357</v>
      </c>
      <c r="CQ10" s="44" t="str">
        <f t="array" ref="CQ10">LET(val, IFERROR(INDEX('Daily 쨈 raw'!$A:$Z, MATCH(CQ$3, 'Daily 쨈 raw'!$A:$A, 0), MATCH($A10, 'Daily 쨈 raw'!$1:$1, 0)), ""), IF(val=0, "", val))</f>
        <v/>
      </c>
      <c r="CR10" s="44" t="str">
        <f t="array" ref="CR10">LET(val, IFERROR(INDEX('Daily 쨈 raw'!$A:$Z, MATCH(CR$3, 'Daily 쨈 raw'!$A:$A, 0), MATCH($A10, 'Daily 쨈 raw'!$1:$1, 0)), ""), IF(val=0, "", val))</f>
        <v/>
      </c>
      <c r="CS10" s="44" t="str">
        <f t="array" ref="CS10">LET(val, IFERROR(INDEX('Daily 쨈 raw'!$A:$Z, MATCH(CS$3, 'Daily 쨈 raw'!$A:$A, 0), MATCH($A10, 'Daily 쨈 raw'!$1:$1, 0)), ""), IF(val=0, "", val))</f>
        <v/>
      </c>
      <c r="CT10" s="44" t="str">
        <f t="array" ref="CT10">LET(val, IFERROR(INDEX('Daily 쨈 raw'!$A:$Z, MATCH(CT$3, 'Daily 쨈 raw'!$A:$A, 0), MATCH($A10, 'Daily 쨈 raw'!$1:$1, 0)), ""), IF(val=0, "", val))</f>
        <v/>
      </c>
      <c r="CU10" s="44" t="str">
        <f t="array" ref="CU10">LET(val, IFERROR(INDEX('Daily 쨈 raw'!$A:$Z, MATCH(CU$3, 'Daily 쨈 raw'!$A:$A, 0), MATCH($A10, 'Daily 쨈 raw'!$1:$1, 0)), ""), IF(val=0, "", val))</f>
        <v/>
      </c>
      <c r="CV10" s="44" t="str">
        <f t="array" ref="CV10">LET(val, IFERROR(INDEX('Daily 쨈 raw'!$A:$Z, MATCH(CV$3, 'Daily 쨈 raw'!$A:$A, 0), MATCH($A10, 'Daily 쨈 raw'!$1:$1, 0)), ""), IF(val=0, "", val))</f>
        <v/>
      </c>
      <c r="CW10" s="44" t="str">
        <f t="array" ref="CW10">LET(val, IFERROR(INDEX('Daily 쨈 raw'!$A:$Z, MATCH(CW$3, 'Daily 쨈 raw'!$A:$A, 0), MATCH($A10, 'Daily 쨈 raw'!$1:$1, 0)), ""), IF(val=0, "", val))</f>
        <v/>
      </c>
      <c r="CX10" s="44" t="str">
        <f t="array" ref="CX10">LET(val, IFERROR(INDEX('Daily 쨈 raw'!$A:$Z, MATCH(CX$3, 'Daily 쨈 raw'!$A:$A, 0), MATCH($A10, 'Daily 쨈 raw'!$1:$1, 0)), ""), IF(val=0, "", val))</f>
        <v/>
      </c>
      <c r="CY10" s="44" t="str">
        <f t="array" ref="CY10">LET(val, IFERROR(INDEX('Daily 쨈 raw'!$A:$Z, MATCH(CY$3, 'Daily 쨈 raw'!$A:$A, 0), MATCH($A10, 'Daily 쨈 raw'!$1:$1, 0)), ""), IF(val=0, "", val))</f>
        <v/>
      </c>
      <c r="CZ10" s="44" t="str">
        <f t="array" ref="CZ10">LET(val, IFERROR(INDEX('Daily 쨈 raw'!$A:$Z, MATCH(CZ$3, 'Daily 쨈 raw'!$A:$A, 0), MATCH($A10, 'Daily 쨈 raw'!$1:$1, 0)), ""), IF(val=0, "", val))</f>
        <v/>
      </c>
      <c r="DA10" s="44" t="str">
        <f t="array" ref="DA10">LET(val, IFERROR(INDEX('Daily 쨈 raw'!$A:$Z, MATCH(DA$3, 'Daily 쨈 raw'!$A:$A, 0), MATCH($A10, 'Daily 쨈 raw'!$1:$1, 0)), ""), IF(val=0, "", val))</f>
        <v/>
      </c>
      <c r="DB10" s="44" t="str">
        <f t="array" ref="DB10">LET(val, IFERROR(INDEX('Daily 쨈 raw'!$A:$Z, MATCH(DB$3, 'Daily 쨈 raw'!$A:$A, 0), MATCH($A10, 'Daily 쨈 raw'!$1:$1, 0)), ""), IF(val=0, "", val))</f>
        <v/>
      </c>
      <c r="DC10" s="44" t="str">
        <f t="array" ref="DC10">LET(val, IFERROR(INDEX('Daily 쨈 raw'!$A:$Z, MATCH(DC$3, 'Daily 쨈 raw'!$A:$A, 0), MATCH($A10, 'Daily 쨈 raw'!$1:$1, 0)), ""), IF(val=0, "", val))</f>
        <v/>
      </c>
      <c r="DD10" s="44" t="str">
        <f t="array" ref="DD10">LET(val, IFERROR(INDEX('Daily 쨈 raw'!$A:$Z, MATCH(DD$3, 'Daily 쨈 raw'!$A:$A, 0), MATCH($A10, 'Daily 쨈 raw'!$1:$1, 0)), ""), IF(val=0, "", val))</f>
        <v/>
      </c>
      <c r="DE10" s="44" t="str">
        <f t="array" ref="DE10">LET(val, IFERROR(INDEX('Daily 쨈 raw'!$A:$Z, MATCH(DE$3, 'Daily 쨈 raw'!$A:$A, 0), MATCH($A10, 'Daily 쨈 raw'!$1:$1, 0)), ""), IF(val=0, "", val))</f>
        <v/>
      </c>
      <c r="DF10" s="44" t="str">
        <f t="array" ref="DF10">LET(val, IFERROR(INDEX('Daily 쨈 raw'!$A:$Z, MATCH(DF$3, 'Daily 쨈 raw'!$A:$A, 0), MATCH($A10, 'Daily 쨈 raw'!$1:$1, 0)), ""), IF(val=0, "", val))</f>
        <v/>
      </c>
      <c r="DG10" s="44" t="str">
        <f t="array" ref="DG10">LET(val, IFERROR(INDEX('Daily 쨈 raw'!$A:$Z, MATCH(DG$3, 'Daily 쨈 raw'!$A:$A, 0), MATCH($A10, 'Daily 쨈 raw'!$1:$1, 0)), ""), IF(val=0, "", val))</f>
        <v/>
      </c>
      <c r="DH10" s="44" t="str">
        <f t="array" ref="DH10">LET(val, IFERROR(INDEX('Daily 쨈 raw'!$A:$Z, MATCH(DH$3, 'Daily 쨈 raw'!$A:$A, 0), MATCH($A10, 'Daily 쨈 raw'!$1:$1, 0)), ""), IF(val=0, "", val))</f>
        <v/>
      </c>
      <c r="DI10" s="44" t="str">
        <f t="array" ref="DI10">LET(val, IFERROR(INDEX('Daily 쨈 raw'!$A:$Z, MATCH(DI$3, 'Daily 쨈 raw'!$A:$A, 0), MATCH($A10, 'Daily 쨈 raw'!$1:$1, 0)), ""), IF(val=0, "", val))</f>
        <v/>
      </c>
      <c r="DJ10" s="44" t="str">
        <f t="array" ref="DJ10">LET(val, IFERROR(INDEX('Daily 쨈 raw'!$A:$Z, MATCH(DJ$3, 'Daily 쨈 raw'!$A:$A, 0), MATCH($A10, 'Daily 쨈 raw'!$1:$1, 0)), ""), IF(val=0, "", val))</f>
        <v/>
      </c>
      <c r="DK10" s="44" t="str">
        <f t="array" ref="DK10">LET(val, IFERROR(INDEX('Daily 쨈 raw'!$A:$Z, MATCH(DK$3, 'Daily 쨈 raw'!$A:$A, 0), MATCH($A10, 'Daily 쨈 raw'!$1:$1, 0)), ""), IF(val=0, "", val))</f>
        <v/>
      </c>
      <c r="DL10" s="44" t="str">
        <f t="array" ref="DL10">LET(val, IFERROR(INDEX('Daily 쨈 raw'!$A:$Z, MATCH(DL$3, 'Daily 쨈 raw'!$A:$A, 0), MATCH($A10, 'Daily 쨈 raw'!$1:$1, 0)), ""), IF(val=0, "", val))</f>
        <v/>
      </c>
      <c r="DM10" s="44" t="str">
        <f t="array" ref="DM10">LET(val, IFERROR(INDEX('Daily 쨈 raw'!$A:$Z, MATCH(DM$3, 'Daily 쨈 raw'!$A:$A, 0), MATCH($A10, 'Daily 쨈 raw'!$1:$1, 0)), ""), IF(val=0, "", val))</f>
        <v/>
      </c>
      <c r="DN10" s="44" t="str">
        <f t="array" ref="DN10">LET(val, IFERROR(INDEX('Daily 쨈 raw'!$A:$Z, MATCH(DN$3, 'Daily 쨈 raw'!$A:$A, 0), MATCH($A10, 'Daily 쨈 raw'!$1:$1, 0)), ""), IF(val=0, "", val))</f>
        <v/>
      </c>
      <c r="DO10" s="44" t="str">
        <f t="array" ref="DO10">LET(val, IFERROR(INDEX('Daily 쨈 raw'!$A:$Z, MATCH(DO$3, 'Daily 쨈 raw'!$A:$A, 0), MATCH($A10, 'Daily 쨈 raw'!$1:$1, 0)), ""), IF(val=0, "", val))</f>
        <v/>
      </c>
      <c r="DP10" s="44" t="str">
        <f t="array" ref="DP10">LET(val, IFERROR(INDEX('Daily 쨈 raw'!$A:$Z, MATCH(DP$3, 'Daily 쨈 raw'!$A:$A, 0), MATCH($A10, 'Daily 쨈 raw'!$1:$1, 0)), ""), IF(val=0, "", val))</f>
        <v/>
      </c>
      <c r="DQ10" s="44" t="str">
        <f t="array" ref="DQ10">LET(val, IFERROR(INDEX('Daily 쨈 raw'!$A:$Z, MATCH(DQ$3, 'Daily 쨈 raw'!$A:$A, 0), MATCH($A10, 'Daily 쨈 raw'!$1:$1, 0)), ""), IF(val=0, "", val))</f>
        <v/>
      </c>
      <c r="DR10" s="44" t="str">
        <f t="array" ref="DR10">LET(val, IFERROR(INDEX('Daily 쨈 raw'!$A:$Z, MATCH(DR$3, 'Daily 쨈 raw'!$A:$A, 0), MATCH($A10, 'Daily 쨈 raw'!$1:$1, 0)), ""), IF(val=0, "", val))</f>
        <v/>
      </c>
      <c r="DS10" s="44" t="str">
        <f t="array" ref="DS10">LET(val, IFERROR(INDEX('Daily 쨈 raw'!$A:$Z, MATCH(DS$3, 'Daily 쨈 raw'!$A:$A, 0), MATCH($A10, 'Daily 쨈 raw'!$1:$1, 0)), ""), IF(val=0, "", val))</f>
        <v/>
      </c>
      <c r="DT10" s="44" t="str">
        <f t="array" ref="DT10">LET(val, IFERROR(INDEX('Daily 쨈 raw'!$A:$Z, MATCH(DT$3, 'Daily 쨈 raw'!$A:$A, 0), MATCH($A10, 'Daily 쨈 raw'!$1:$1, 0)), ""), IF(val=0, "", val))</f>
        <v/>
      </c>
      <c r="DU10" s="44" t="str">
        <f t="array" ref="DU10">LET(val, IFERROR(INDEX('Daily 쨈 raw'!$A:$Z, MATCH(DU$3, 'Daily 쨈 raw'!$A:$A, 0), MATCH($A10, 'Daily 쨈 raw'!$1:$1, 0)), ""), IF(val=0, "", val))</f>
        <v/>
      </c>
      <c r="DV10" s="44" t="str">
        <f t="array" ref="DV10">LET(val, IFERROR(INDEX('Daily 쨈 raw'!$A:$Z, MATCH(DV$3, 'Daily 쨈 raw'!$A:$A, 0), MATCH($A10, 'Daily 쨈 raw'!$1:$1, 0)), ""), IF(val=0, "", val))</f>
        <v/>
      </c>
      <c r="DW10" s="44" t="str">
        <f t="array" ref="DW10">LET(val, IFERROR(INDEX('Daily 쨈 raw'!$A:$Z, MATCH(DW$3, 'Daily 쨈 raw'!$A:$A, 0), MATCH($A10, 'Daily 쨈 raw'!$1:$1, 0)), ""), IF(val=0, "", val))</f>
        <v/>
      </c>
      <c r="DX10" s="44" t="str">
        <f t="array" ref="DX10">LET(val, IFERROR(INDEX('Daily 쨈 raw'!$A:$Z, MATCH(DX$3, 'Daily 쨈 raw'!$A:$A, 0), MATCH($A10, 'Daily 쨈 raw'!$1:$1, 0)), ""), IF(val=0, "", val))</f>
        <v/>
      </c>
      <c r="DY10" s="44" t="str">
        <f t="array" ref="DY10">LET(val, IFERROR(INDEX('Daily 쨈 raw'!$A:$Z, MATCH(DY$3, 'Daily 쨈 raw'!$A:$A, 0), MATCH($A10, 'Daily 쨈 raw'!$1:$1, 0)), ""), IF(val=0, "", val))</f>
        <v/>
      </c>
      <c r="DZ10" s="44" t="str">
        <f t="array" ref="DZ10">LET(val, IFERROR(INDEX('Daily 쨈 raw'!$A:$Z, MATCH(DZ$3, 'Daily 쨈 raw'!$A:$A, 0), MATCH($A10, 'Daily 쨈 raw'!$1:$1, 0)), ""), IF(val=0, "", val))</f>
        <v/>
      </c>
    </row>
    <row r="11" ht="22.5" customHeight="1">
      <c r="A11" s="16" t="s">
        <v>70</v>
      </c>
      <c r="B11" s="48" t="s">
        <v>71</v>
      </c>
      <c r="C11" s="44" t="str">
        <f t="array" ref="C11">LET(val, IFERROR(INDEX('Daily 쨈 raw'!$A:$Z, MATCH(C$3, 'Daily 쨈 raw'!$A:$A, 0), MATCH($A11, 'Daily 쨈 raw'!$1:$1, 0)), ""), IF(val=0, "", val))</f>
        <v/>
      </c>
      <c r="D11" s="44" t="str">
        <f t="array" ref="D11">LET(val, IFERROR(INDEX('Daily 쨈 raw'!$A:$Z, MATCH(D$3, 'Daily 쨈 raw'!$A:$A, 0), MATCH($A11, 'Daily 쨈 raw'!$1:$1, 0)), ""), IF(val=0, "", val))</f>
        <v/>
      </c>
      <c r="E11" s="44" t="str">
        <f t="array" ref="E11">LET(val, IFERROR(INDEX('Daily 쨈 raw'!$A:$Z, MATCH(E$3, 'Daily 쨈 raw'!$A:$A, 0), MATCH($A11, 'Daily 쨈 raw'!$1:$1, 0)), ""), IF(val=0, "", val))</f>
        <v/>
      </c>
      <c r="F11" s="44" t="str">
        <f t="array" ref="F11">LET(val, IFERROR(INDEX('Daily 쨈 raw'!$A:$Z, MATCH(F$3, 'Daily 쨈 raw'!$A:$A, 0), MATCH($A11, 'Daily 쨈 raw'!$1:$1, 0)), ""), IF(val=0, "", val))</f>
        <v/>
      </c>
      <c r="G11" s="44" t="str">
        <f t="array" ref="G11">LET(val, IFERROR(INDEX('Daily 쨈 raw'!$A:$Z, MATCH(G$3, 'Daily 쨈 raw'!$A:$A, 0), MATCH($A11, 'Daily 쨈 raw'!$1:$1, 0)), ""), IF(val=0, "", val))</f>
        <v/>
      </c>
      <c r="H11" s="44" t="str">
        <f t="array" ref="H11">LET(val, IFERROR(INDEX('Daily 쨈 raw'!$A:$Z, MATCH(H$3, 'Daily 쨈 raw'!$A:$A, 0), MATCH($A11, 'Daily 쨈 raw'!$1:$1, 0)), ""), IF(val=0, "", val))</f>
        <v/>
      </c>
      <c r="I11" s="44" t="str">
        <f t="array" ref="I11">LET(val, IFERROR(INDEX('Daily 쨈 raw'!$A:$Z, MATCH(I$3, 'Daily 쨈 raw'!$A:$A, 0), MATCH($A11, 'Daily 쨈 raw'!$1:$1, 0)), ""), IF(val=0, "", val))</f>
        <v/>
      </c>
      <c r="J11" s="44" t="str">
        <f t="array" ref="J11">LET(val, IFERROR(INDEX('Daily 쨈 raw'!$A:$Z, MATCH(J$3, 'Daily 쨈 raw'!$A:$A, 0), MATCH($A11, 'Daily 쨈 raw'!$1:$1, 0)), ""), IF(val=0, "", val))</f>
        <v/>
      </c>
      <c r="K11" s="44" t="str">
        <f t="array" ref="K11">LET(val, IFERROR(INDEX('Daily 쨈 raw'!$A:$Z, MATCH(K$3, 'Daily 쨈 raw'!$A:$A, 0), MATCH($A11, 'Daily 쨈 raw'!$1:$1, 0)), ""), IF(val=0, "", val))</f>
        <v/>
      </c>
      <c r="L11" s="44" t="str">
        <f t="array" ref="L11">LET(val, IFERROR(INDEX('Daily 쨈 raw'!$A:$Z, MATCH(L$3, 'Daily 쨈 raw'!$A:$A, 0), MATCH($A11, 'Daily 쨈 raw'!$1:$1, 0)), ""), IF(val=0, "", val))</f>
        <v/>
      </c>
      <c r="M11" s="44" t="str">
        <f t="array" ref="M11">LET(val, IFERROR(INDEX('Daily 쨈 raw'!$A:$Z, MATCH(M$3, 'Daily 쨈 raw'!$A:$A, 0), MATCH($A11, 'Daily 쨈 raw'!$1:$1, 0)), ""), IF(val=0, "", val))</f>
        <v/>
      </c>
      <c r="N11" s="44" t="str">
        <f t="array" ref="N11">LET(val, IFERROR(INDEX('Daily 쨈 raw'!$A:$Z, MATCH(N$3, 'Daily 쨈 raw'!$A:$A, 0), MATCH($A11, 'Daily 쨈 raw'!$1:$1, 0)), ""), IF(val=0, "", val))</f>
        <v/>
      </c>
      <c r="O11" s="44" t="str">
        <f t="array" ref="O11">LET(val, IFERROR(INDEX('Daily 쨈 raw'!$A:$Z, MATCH(O$3, 'Daily 쨈 raw'!$A:$A, 0), MATCH($A11, 'Daily 쨈 raw'!$1:$1, 0)), ""), IF(val=0, "", val))</f>
        <v/>
      </c>
      <c r="P11" s="44" t="str">
        <f t="array" ref="P11">LET(val, IFERROR(INDEX('Daily 쨈 raw'!$A:$Z, MATCH(P$3, 'Daily 쨈 raw'!$A:$A, 0), MATCH($A11, 'Daily 쨈 raw'!$1:$1, 0)), ""), IF(val=0, "", val))</f>
        <v/>
      </c>
      <c r="Q11" s="44" t="str">
        <f t="array" ref="Q11">LET(val, IFERROR(INDEX('Daily 쨈 raw'!$A:$Z, MATCH(Q$3, 'Daily 쨈 raw'!$A:$A, 0), MATCH($A11, 'Daily 쨈 raw'!$1:$1, 0)), ""), IF(val=0, "", val))</f>
        <v/>
      </c>
      <c r="R11" s="44" t="str">
        <f t="array" ref="R11">LET(val, IFERROR(INDEX('Daily 쨈 raw'!$A:$Z, MATCH(R$3, 'Daily 쨈 raw'!$A:$A, 0), MATCH($A11, 'Daily 쨈 raw'!$1:$1, 0)), ""), IF(val=0, "", val))</f>
        <v/>
      </c>
      <c r="S11" s="44" t="str">
        <f t="array" ref="S11">LET(val, IFERROR(INDEX('Daily 쨈 raw'!$A:$Z, MATCH(S$3, 'Daily 쨈 raw'!$A:$A, 0), MATCH($A11, 'Daily 쨈 raw'!$1:$1, 0)), ""), IF(val=0, "", val))</f>
        <v/>
      </c>
      <c r="T11" s="44" t="str">
        <f t="array" ref="T11">LET(val, IFERROR(INDEX('Daily 쨈 raw'!$A:$Z, MATCH(T$3, 'Daily 쨈 raw'!$A:$A, 0), MATCH($A11, 'Daily 쨈 raw'!$1:$1, 0)), ""), IF(val=0, "", val))</f>
        <v/>
      </c>
      <c r="U11" s="44" t="str">
        <f t="array" ref="U11">LET(val, IFERROR(INDEX('Daily 쨈 raw'!$A:$Z, MATCH(U$3, 'Daily 쨈 raw'!$A:$A, 0), MATCH($A11, 'Daily 쨈 raw'!$1:$1, 0)), ""), IF(val=0, "", val))</f>
        <v/>
      </c>
      <c r="V11" s="44" t="str">
        <f t="array" ref="V11">LET(val, IFERROR(INDEX('Daily 쨈 raw'!$A:$Z, MATCH(V$3, 'Daily 쨈 raw'!$A:$A, 0), MATCH($A11, 'Daily 쨈 raw'!$1:$1, 0)), ""), IF(val=0, "", val))</f>
        <v/>
      </c>
      <c r="W11" s="44" t="str">
        <f t="array" ref="W11">LET(val, IFERROR(INDEX('Daily 쨈 raw'!$A:$Z, MATCH(W$3, 'Daily 쨈 raw'!$A:$A, 0), MATCH($A11, 'Daily 쨈 raw'!$1:$1, 0)), ""), IF(val=0, "", val))</f>
        <v/>
      </c>
      <c r="X11" s="44" t="str">
        <f t="array" ref="X11">LET(val, IFERROR(INDEX('Daily 쨈 raw'!$A:$Z, MATCH(X$3, 'Daily 쨈 raw'!$A:$A, 0), MATCH($A11, 'Daily 쨈 raw'!$1:$1, 0)), ""), IF(val=0, "", val))</f>
        <v/>
      </c>
      <c r="Y11" s="44" t="str">
        <f t="array" ref="Y11">LET(val, IFERROR(INDEX('Daily 쨈 raw'!$A:$Z, MATCH(Y$3, 'Daily 쨈 raw'!$A:$A, 0), MATCH($A11, 'Daily 쨈 raw'!$1:$1, 0)), ""), IF(val=0, "", val))</f>
        <v/>
      </c>
      <c r="Z11" s="44" t="str">
        <f t="array" ref="Z11">LET(val, IFERROR(INDEX('Daily 쨈 raw'!$A:$Z, MATCH(Z$3, 'Daily 쨈 raw'!$A:$A, 0), MATCH($A11, 'Daily 쨈 raw'!$1:$1, 0)), ""), IF(val=0, "", val))</f>
        <v/>
      </c>
      <c r="AA11" s="44" t="str">
        <f t="array" ref="AA11">LET(val, IFERROR(INDEX('Daily 쨈 raw'!$A:$Z, MATCH(AA$3, 'Daily 쨈 raw'!$A:$A, 0), MATCH($A11, 'Daily 쨈 raw'!$1:$1, 0)), ""), IF(val=0, "", val))</f>
        <v/>
      </c>
      <c r="AB11" s="44" t="str">
        <f t="array" ref="AB11">LET(val, IFERROR(INDEX('Daily 쨈 raw'!$A:$Z, MATCH(AB$3, 'Daily 쨈 raw'!$A:$A, 0), MATCH($A11, 'Daily 쨈 raw'!$1:$1, 0)), ""), IF(val=0, "", val))</f>
        <v/>
      </c>
      <c r="AC11" s="44" t="str">
        <f t="array" ref="AC11">LET(val, IFERROR(INDEX('Daily 쨈 raw'!$A:$Z, MATCH(AC$3, 'Daily 쨈 raw'!$A:$A, 0), MATCH($A11, 'Daily 쨈 raw'!$1:$1, 0)), ""), IF(val=0, "", val))</f>
        <v/>
      </c>
      <c r="AD11" s="44" t="str">
        <f t="array" ref="AD11">LET(val, IFERROR(INDEX('Daily 쨈 raw'!$A:$Z, MATCH(AD$3, 'Daily 쨈 raw'!$A:$A, 0), MATCH($A11, 'Daily 쨈 raw'!$1:$1, 0)), ""), IF(val=0, "", val))</f>
        <v/>
      </c>
      <c r="AE11" s="44" t="str">
        <f t="array" ref="AE11">LET(val, IFERROR(INDEX('Daily 쨈 raw'!$A:$Z, MATCH(AE$3, 'Daily 쨈 raw'!$A:$A, 0), MATCH($A11, 'Daily 쨈 raw'!$1:$1, 0)), ""), IF(val=0, "", val))</f>
        <v/>
      </c>
      <c r="AF11" s="44" t="str">
        <f t="array" ref="AF11">LET(val, IFERROR(INDEX('Daily 쨈 raw'!$A:$Z, MATCH(AF$3, 'Daily 쨈 raw'!$A:$A, 0), MATCH($A11, 'Daily 쨈 raw'!$1:$1, 0)), ""), IF(val=0, "", val))</f>
        <v/>
      </c>
      <c r="AG11" s="44" t="str">
        <f t="array" ref="AG11">LET(val, IFERROR(INDEX('Daily 쨈 raw'!$A:$Z, MATCH(AG$3, 'Daily 쨈 raw'!$A:$A, 0), MATCH($A11, 'Daily 쨈 raw'!$1:$1, 0)), ""), IF(val=0, "", val))</f>
        <v/>
      </c>
      <c r="AH11" s="44" t="str">
        <f t="array" ref="AH11">LET(val, IFERROR(INDEX('Daily 쨈 raw'!$A:$Z, MATCH(AH$3, 'Daily 쨈 raw'!$A:$A, 0), MATCH($A11, 'Daily 쨈 raw'!$1:$1, 0)), ""), IF(val=0, "", val))</f>
        <v/>
      </c>
      <c r="AI11" s="44" t="str">
        <f t="array" ref="AI11">LET(val, IFERROR(INDEX('Daily 쨈 raw'!$A:$Z, MATCH(AI$3, 'Daily 쨈 raw'!$A:$A, 0), MATCH($A11, 'Daily 쨈 raw'!$1:$1, 0)), ""), IF(val=0, "", val))</f>
        <v/>
      </c>
      <c r="AJ11" s="44" t="str">
        <f t="array" ref="AJ11">LET(val, IFERROR(INDEX('Daily 쨈 raw'!$A:$Z, MATCH(AJ$3, 'Daily 쨈 raw'!$A:$A, 0), MATCH($A11, 'Daily 쨈 raw'!$1:$1, 0)), ""), IF(val=0, "", val))</f>
        <v/>
      </c>
      <c r="AK11" s="44" t="str">
        <f t="array" ref="AK11">LET(val, IFERROR(INDEX('Daily 쨈 raw'!$A:$Z, MATCH(AK$3, 'Daily 쨈 raw'!$A:$A, 0), MATCH($A11, 'Daily 쨈 raw'!$1:$1, 0)), ""), IF(val=0, "", val))</f>
        <v/>
      </c>
      <c r="AL11" s="44" t="str">
        <f t="array" ref="AL11">LET(val, IFERROR(INDEX('Daily 쨈 raw'!$A:$Z, MATCH(AL$3, 'Daily 쨈 raw'!$A:$A, 0), MATCH($A11, 'Daily 쨈 raw'!$1:$1, 0)), ""), IF(val=0, "", val))</f>
        <v/>
      </c>
      <c r="AM11" s="44" t="str">
        <f t="array" ref="AM11">LET(val, IFERROR(INDEX('Daily 쨈 raw'!$A:$Z, MATCH(AM$3, 'Daily 쨈 raw'!$A:$A, 0), MATCH($A11, 'Daily 쨈 raw'!$1:$1, 0)), ""), IF(val=0, "", val))</f>
        <v/>
      </c>
      <c r="AN11" s="44" t="str">
        <f t="array" ref="AN11">LET(val, IFERROR(INDEX('Daily 쨈 raw'!$A:$Z, MATCH(AN$3, 'Daily 쨈 raw'!$A:$A, 0), MATCH($A11, 'Daily 쨈 raw'!$1:$1, 0)), ""), IF(val=0, "", val))</f>
        <v/>
      </c>
      <c r="AO11" s="44" t="str">
        <f t="array" ref="AO11">LET(val, IFERROR(INDEX('Daily 쨈 raw'!$A:$Z, MATCH(AO$3, 'Daily 쨈 raw'!$A:$A, 0), MATCH($A11, 'Daily 쨈 raw'!$1:$1, 0)), ""), IF(val=0, "", val))</f>
        <v/>
      </c>
      <c r="AP11" s="44" t="str">
        <f t="array" ref="AP11">LET(val, IFERROR(INDEX('Daily 쨈 raw'!$A:$Z, MATCH(AP$3, 'Daily 쨈 raw'!$A:$A, 0), MATCH($A11, 'Daily 쨈 raw'!$1:$1, 0)), ""), IF(val=0, "", val))</f>
        <v/>
      </c>
      <c r="AQ11" s="44" t="str">
        <f t="array" ref="AQ11">LET(val, IFERROR(INDEX('Daily 쨈 raw'!$A:$Z, MATCH(AQ$3, 'Daily 쨈 raw'!$A:$A, 0), MATCH($A11, 'Daily 쨈 raw'!$1:$1, 0)), ""), IF(val=0, "", val))</f>
        <v/>
      </c>
      <c r="AR11" s="44" t="str">
        <f t="array" ref="AR11">LET(val, IFERROR(INDEX('Daily 쨈 raw'!$A:$Z, MATCH(AR$3, 'Daily 쨈 raw'!$A:$A, 0), MATCH($A11, 'Daily 쨈 raw'!$1:$1, 0)), ""), IF(val=0, "", val))</f>
        <v/>
      </c>
      <c r="AS11" s="44" t="str">
        <f t="array" ref="AS11">LET(val, IFERROR(INDEX('Daily 쨈 raw'!$A:$Z, MATCH(AS$3, 'Daily 쨈 raw'!$A:$A, 0), MATCH($A11, 'Daily 쨈 raw'!$1:$1, 0)), ""), IF(val=0, "", val))</f>
        <v/>
      </c>
      <c r="AT11" s="44" t="str">
        <f t="array" ref="AT11">LET(val, IFERROR(INDEX('Daily 쨈 raw'!$A:$Z, MATCH(AT$3, 'Daily 쨈 raw'!$A:$A, 0), MATCH($A11, 'Daily 쨈 raw'!$1:$1, 0)), ""), IF(val=0, "", val))</f>
        <v/>
      </c>
      <c r="AU11" s="44" t="str">
        <f t="array" ref="AU11">LET(val, IFERROR(INDEX('Daily 쨈 raw'!$A:$Z, MATCH(AU$3, 'Daily 쨈 raw'!$A:$A, 0), MATCH($A11, 'Daily 쨈 raw'!$1:$1, 0)), ""), IF(val=0, "", val))</f>
        <v/>
      </c>
      <c r="AV11" s="44" t="str">
        <f t="array" ref="AV11">LET(val, IFERROR(INDEX('Daily 쨈 raw'!$A:$Z, MATCH(AV$3, 'Daily 쨈 raw'!$A:$A, 0), MATCH($A11, 'Daily 쨈 raw'!$1:$1, 0)), ""), IF(val=0, "", val))</f>
        <v/>
      </c>
      <c r="AW11" s="44" t="str">
        <f t="array" ref="AW11">LET(val, IFERROR(INDEX('Daily 쨈 raw'!$A:$Z, MATCH(AW$3, 'Daily 쨈 raw'!$A:$A, 0), MATCH($A11, 'Daily 쨈 raw'!$1:$1, 0)), ""), IF(val=0, "", val))</f>
        <v/>
      </c>
      <c r="AX11" s="44" t="str">
        <f t="array" ref="AX11">LET(val, IFERROR(INDEX('Daily 쨈 raw'!$A:$Z, MATCH(AX$3, 'Daily 쨈 raw'!$A:$A, 0), MATCH($A11, 'Daily 쨈 raw'!$1:$1, 0)), ""), IF(val=0, "", val))</f>
        <v/>
      </c>
      <c r="AY11" s="44" t="str">
        <f t="array" ref="AY11">LET(val, IFERROR(INDEX('Daily 쨈 raw'!$A:$Z, MATCH(AY$3, 'Daily 쨈 raw'!$A:$A, 0), MATCH($A11, 'Daily 쨈 raw'!$1:$1, 0)), ""), IF(val=0, "", val))</f>
        <v/>
      </c>
      <c r="AZ11" s="44" t="str">
        <f t="array" ref="AZ11">LET(val, IFERROR(INDEX('Daily 쨈 raw'!$A:$Z, MATCH(AZ$3, 'Daily 쨈 raw'!$A:$A, 0), MATCH($A11, 'Daily 쨈 raw'!$1:$1, 0)), ""), IF(val=0, "", val))</f>
        <v/>
      </c>
      <c r="BA11" s="44" t="str">
        <f t="array" ref="BA11">LET(val, IFERROR(INDEX('Daily 쨈 raw'!$A:$Z, MATCH(BA$3, 'Daily 쨈 raw'!$A:$A, 0), MATCH($A11, 'Daily 쨈 raw'!$1:$1, 0)), ""), IF(val=0, "", val))</f>
        <v/>
      </c>
      <c r="BB11" s="44" t="str">
        <f t="array" ref="BB11">LET(val, IFERROR(INDEX('Daily 쨈 raw'!$A:$Z, MATCH(BB$3, 'Daily 쨈 raw'!$A:$A, 0), MATCH($A11, 'Daily 쨈 raw'!$1:$1, 0)), ""), IF(val=0, "", val))</f>
        <v/>
      </c>
      <c r="BC11" s="44" t="str">
        <f t="array" ref="BC11">LET(val, IFERROR(INDEX('Daily 쨈 raw'!$A:$Z, MATCH(BC$3, 'Daily 쨈 raw'!$A:$A, 0), MATCH($A11, 'Daily 쨈 raw'!$1:$1, 0)), ""), IF(val=0, "", val))</f>
        <v/>
      </c>
      <c r="BD11" s="44" t="str">
        <f t="array" ref="BD11">LET(val, IFERROR(INDEX('Daily 쨈 raw'!$A:$Z, MATCH(BD$3, 'Daily 쨈 raw'!$A:$A, 0), MATCH($A11, 'Daily 쨈 raw'!$1:$1, 0)), ""), IF(val=0, "", val))</f>
        <v/>
      </c>
      <c r="BE11" s="44" t="str">
        <f t="array" ref="BE11">LET(val, IFERROR(INDEX('Daily 쨈 raw'!$A:$Z, MATCH(BE$3, 'Daily 쨈 raw'!$A:$A, 0), MATCH($A11, 'Daily 쨈 raw'!$1:$1, 0)), ""), IF(val=0, "", val))</f>
        <v/>
      </c>
      <c r="BF11" s="44" t="str">
        <f t="array" ref="BF11">LET(val, IFERROR(INDEX('Daily 쨈 raw'!$A:$Z, MATCH(BF$3, 'Daily 쨈 raw'!$A:$A, 0), MATCH($A11, 'Daily 쨈 raw'!$1:$1, 0)), ""), IF(val=0, "", val))</f>
        <v/>
      </c>
      <c r="BG11" s="44" t="str">
        <f t="array" ref="BG11">LET(val, IFERROR(INDEX('Daily 쨈 raw'!$A:$Z, MATCH(BG$3, 'Daily 쨈 raw'!$A:$A, 0), MATCH($A11, 'Daily 쨈 raw'!$1:$1, 0)), ""), IF(val=0, "", val))</f>
        <v/>
      </c>
      <c r="BH11" s="44" t="str">
        <f t="array" ref="BH11">LET(val, IFERROR(INDEX('Daily 쨈 raw'!$A:$Z, MATCH(BH$3, 'Daily 쨈 raw'!$A:$A, 0), MATCH($A11, 'Daily 쨈 raw'!$1:$1, 0)), ""), IF(val=0, "", val))</f>
        <v/>
      </c>
      <c r="BI11" s="44" t="str">
        <f t="array" ref="BI11">LET(val, IFERROR(INDEX('Daily 쨈 raw'!$A:$Z, MATCH(BI$3, 'Daily 쨈 raw'!$A:$A, 0), MATCH($A11, 'Daily 쨈 raw'!$1:$1, 0)), ""), IF(val=0, "", val))</f>
        <v/>
      </c>
      <c r="BJ11" s="44" t="str">
        <f t="array" ref="BJ11">LET(val, IFERROR(INDEX('Daily 쨈 raw'!$A:$Z, MATCH(BJ$3, 'Daily 쨈 raw'!$A:$A, 0), MATCH($A11, 'Daily 쨈 raw'!$1:$1, 0)), ""), IF(val=0, "", val))</f>
        <v/>
      </c>
      <c r="BK11" s="44" t="str">
        <f t="array" ref="BK11">LET(val, IFERROR(INDEX('Daily 쨈 raw'!$A:$Z, MATCH(BK$3, 'Daily 쨈 raw'!$A:$A, 0), MATCH($A11, 'Daily 쨈 raw'!$1:$1, 0)), ""), IF(val=0, "", val))</f>
        <v/>
      </c>
      <c r="BL11" s="44" t="str">
        <f t="array" ref="BL11">LET(val, IFERROR(INDEX('Daily 쨈 raw'!$A:$Z, MATCH(BL$3, 'Daily 쨈 raw'!$A:$A, 0), MATCH($A11, 'Daily 쨈 raw'!$1:$1, 0)), ""), IF(val=0, "", val))</f>
        <v/>
      </c>
      <c r="BM11" s="44" t="str">
        <f t="array" ref="BM11">LET(val, IFERROR(INDEX('Daily 쨈 raw'!$A:$Z, MATCH(BM$3, 'Daily 쨈 raw'!$A:$A, 0), MATCH($A11, 'Daily 쨈 raw'!$1:$1, 0)), ""), IF(val=0, "", val))</f>
        <v/>
      </c>
      <c r="BN11" s="44" t="str">
        <f t="array" ref="BN11">LET(val, IFERROR(INDEX('Daily 쨈 raw'!$A:$Z, MATCH(BN$3, 'Daily 쨈 raw'!$A:$A, 0), MATCH($A11, 'Daily 쨈 raw'!$1:$1, 0)), ""), IF(val=0, "", val))</f>
        <v/>
      </c>
      <c r="BO11" s="44" t="str">
        <f t="array" ref="BO11">LET(val, IFERROR(INDEX('Daily 쨈 raw'!$A:$Z, MATCH(BO$3, 'Daily 쨈 raw'!$A:$A, 0), MATCH($A11, 'Daily 쨈 raw'!$1:$1, 0)), ""), IF(val=0, "", val))</f>
        <v/>
      </c>
      <c r="BP11" s="44" t="str">
        <f t="array" ref="BP11">LET(val, IFERROR(INDEX('Daily 쨈 raw'!$A:$Z, MATCH(BP$3, 'Daily 쨈 raw'!$A:$A, 0), MATCH($A11, 'Daily 쨈 raw'!$1:$1, 0)), ""), IF(val=0, "", val))</f>
        <v/>
      </c>
      <c r="BQ11" s="44" t="str">
        <f t="array" ref="BQ11">LET(val, IFERROR(INDEX('Daily 쨈 raw'!$A:$Z, MATCH(BQ$3, 'Daily 쨈 raw'!$A:$A, 0), MATCH($A11, 'Daily 쨈 raw'!$1:$1, 0)), ""), IF(val=0, "", val))</f>
        <v/>
      </c>
      <c r="BR11" s="44" t="str">
        <f t="array" ref="BR11">LET(val, IFERROR(INDEX('Daily 쨈 raw'!$A:$Z, MATCH(BR$3, 'Daily 쨈 raw'!$A:$A, 0), MATCH($A11, 'Daily 쨈 raw'!$1:$1, 0)), ""), IF(val=0, "", val))</f>
        <v/>
      </c>
      <c r="BS11" s="44" t="str">
        <f t="array" ref="BS11">LET(val, IFERROR(INDEX('Daily 쨈 raw'!$A:$Z, MATCH(BS$3, 'Daily 쨈 raw'!$A:$A, 0), MATCH($A11, 'Daily 쨈 raw'!$1:$1, 0)), ""), IF(val=0, "", val))</f>
        <v/>
      </c>
      <c r="BT11" s="44" t="str">
        <f t="array" ref="BT11">LET(val, IFERROR(INDEX('Daily 쨈 raw'!$A:$Z, MATCH(BT$3, 'Daily 쨈 raw'!$A:$A, 0), MATCH($A11, 'Daily 쨈 raw'!$1:$1, 0)), ""), IF(val=0, "", val))</f>
        <v/>
      </c>
      <c r="BU11" s="44" t="str">
        <f t="array" ref="BU11">LET(val, IFERROR(INDEX('Daily 쨈 raw'!$A:$Z, MATCH(BU$3, 'Daily 쨈 raw'!$A:$A, 0), MATCH($A11, 'Daily 쨈 raw'!$1:$1, 0)), ""), IF(val=0, "", val))</f>
        <v/>
      </c>
      <c r="BV11" s="44" t="str">
        <f t="array" ref="BV11">LET(val, IFERROR(INDEX('Daily 쨈 raw'!$A:$Z, MATCH(BV$3, 'Daily 쨈 raw'!$A:$A, 0), MATCH($A11, 'Daily 쨈 raw'!$1:$1, 0)), ""), IF(val=0, "", val))</f>
        <v/>
      </c>
      <c r="BW11" s="44">
        <f t="array" ref="BW11">LET(val, IFERROR(INDEX('Daily 쨈 raw'!$A:$Z, MATCH(BW$3, 'Daily 쨈 raw'!$A:$A, 0), MATCH($A11, 'Daily 쨈 raw'!$1:$1, 0)), ""), IF(val=0, "", val))</f>
        <v>20</v>
      </c>
      <c r="BX11" s="44">
        <f t="array" ref="BX11">LET(val, IFERROR(INDEX('Daily 쨈 raw'!$A:$Z, MATCH(BX$3, 'Daily 쨈 raw'!$A:$A, 0), MATCH($A11, 'Daily 쨈 raw'!$1:$1, 0)), ""), IF(val=0, "", val))</f>
        <v>28</v>
      </c>
      <c r="BY11" s="44">
        <f t="array" ref="BY11">LET(val, IFERROR(INDEX('Daily 쨈 raw'!$A:$Z, MATCH(BY$3, 'Daily 쨈 raw'!$A:$A, 0), MATCH($A11, 'Daily 쨈 raw'!$1:$1, 0)), ""), IF(val=0, "", val))</f>
        <v>17</v>
      </c>
      <c r="BZ11" s="44">
        <f t="array" ref="BZ11">LET(val, IFERROR(INDEX('Daily 쨈 raw'!$A:$Z, MATCH(BZ$3, 'Daily 쨈 raw'!$A:$A, 0), MATCH($A11, 'Daily 쨈 raw'!$1:$1, 0)), ""), IF(val=0, "", val))</f>
        <v>24</v>
      </c>
      <c r="CA11" s="44">
        <f t="array" ref="CA11">LET(val, IFERROR(INDEX('Daily 쨈 raw'!$A:$Z, MATCH(CA$3, 'Daily 쨈 raw'!$A:$A, 0), MATCH($A11, 'Daily 쨈 raw'!$1:$1, 0)), ""), IF(val=0, "", val))</f>
        <v>31</v>
      </c>
      <c r="CB11" s="44">
        <f t="array" ref="CB11">LET(val, IFERROR(INDEX('Daily 쨈 raw'!$A:$Z, MATCH(CB$3, 'Daily 쨈 raw'!$A:$A, 0), MATCH($A11, 'Daily 쨈 raw'!$1:$1, 0)), ""), IF(val=0, "", val))</f>
        <v>42</v>
      </c>
      <c r="CC11" s="44">
        <f t="array" ref="CC11">LET(val, IFERROR(INDEX('Daily 쨈 raw'!$A:$Z, MATCH(CC$3, 'Daily 쨈 raw'!$A:$A, 0), MATCH($A11, 'Daily 쨈 raw'!$1:$1, 0)), ""), IF(val=0, "", val))</f>
        <v>49</v>
      </c>
      <c r="CD11" s="44">
        <f t="array" ref="CD11">LET(val, IFERROR(INDEX('Daily 쨈 raw'!$A:$Z, MATCH(CD$3, 'Daily 쨈 raw'!$A:$A, 0), MATCH($A11, 'Daily 쨈 raw'!$1:$1, 0)), ""), IF(val=0, "", val))</f>
        <v>75</v>
      </c>
      <c r="CE11" s="44">
        <f t="array" ref="CE11">LET(val, IFERROR(INDEX('Daily 쨈 raw'!$A:$Z, MATCH(CE$3, 'Daily 쨈 raw'!$A:$A, 0), MATCH($A11, 'Daily 쨈 raw'!$1:$1, 0)), ""), IF(val=0, "", val))</f>
        <v>49</v>
      </c>
      <c r="CF11" s="44">
        <f t="array" ref="CF11">LET(val, IFERROR(INDEX('Daily 쨈 raw'!$A:$Z, MATCH(CF$3, 'Daily 쨈 raw'!$A:$A, 0), MATCH($A11, 'Daily 쨈 raw'!$1:$1, 0)), ""), IF(val=0, "", val))</f>
        <v>50</v>
      </c>
      <c r="CG11" s="44">
        <f t="array" ref="CG11">LET(val, IFERROR(INDEX('Daily 쨈 raw'!$A:$Z, MATCH(CG$3, 'Daily 쨈 raw'!$A:$A, 0), MATCH($A11, 'Daily 쨈 raw'!$1:$1, 0)), ""), IF(val=0, "", val))</f>
        <v>65</v>
      </c>
      <c r="CH11" s="44">
        <f t="array" ref="CH11">LET(val, IFERROR(INDEX('Daily 쨈 raw'!$A:$Z, MATCH(CH$3, 'Daily 쨈 raw'!$A:$A, 0), MATCH($A11, 'Daily 쨈 raw'!$1:$1, 0)), ""), IF(val=0, "", val))</f>
        <v>88</v>
      </c>
      <c r="CI11" s="44">
        <f t="array" ref="CI11">LET(val, IFERROR(INDEX('Daily 쨈 raw'!$A:$Z, MATCH(CI$3, 'Daily 쨈 raw'!$A:$A, 0), MATCH($A11, 'Daily 쨈 raw'!$1:$1, 0)), ""), IF(val=0, "", val))</f>
        <v>82</v>
      </c>
      <c r="CJ11" s="44">
        <f t="array" ref="CJ11">LET(val, IFERROR(INDEX('Daily 쨈 raw'!$A:$Z, MATCH(CJ$3, 'Daily 쨈 raw'!$A:$A, 0), MATCH($A11, 'Daily 쨈 raw'!$1:$1, 0)), ""), IF(val=0, "", val))</f>
        <v>70</v>
      </c>
      <c r="CK11" s="44">
        <f t="array" ref="CK11">LET(val, IFERROR(INDEX('Daily 쨈 raw'!$A:$Z, MATCH(CK$3, 'Daily 쨈 raw'!$A:$A, 0), MATCH($A11, 'Daily 쨈 raw'!$1:$1, 0)), ""), IF(val=0, "", val))</f>
        <v>52</v>
      </c>
      <c r="CL11" s="44">
        <f t="array" ref="CL11">LET(val, IFERROR(INDEX('Daily 쨈 raw'!$A:$Z, MATCH(CL$3, 'Daily 쨈 raw'!$A:$A, 0), MATCH($A11, 'Daily 쨈 raw'!$1:$1, 0)), ""), IF(val=0, "", val))</f>
        <v>47</v>
      </c>
      <c r="CM11" s="44">
        <f t="array" ref="CM11">LET(val, IFERROR(INDEX('Daily 쨈 raw'!$A:$Z, MATCH(CM$3, 'Daily 쨈 raw'!$A:$A, 0), MATCH($A11, 'Daily 쨈 raw'!$1:$1, 0)), ""), IF(val=0, "", val))</f>
        <v>41</v>
      </c>
      <c r="CN11" s="44">
        <f t="array" ref="CN11">LET(val, IFERROR(INDEX('Daily 쨈 raw'!$A:$Z, MATCH(CN$3, 'Daily 쨈 raw'!$A:$A, 0), MATCH($A11, 'Daily 쨈 raw'!$1:$1, 0)), ""), IF(val=0, "", val))</f>
        <v>47</v>
      </c>
      <c r="CO11" s="44">
        <f t="array" ref="CO11">LET(val, IFERROR(INDEX('Daily 쨈 raw'!$A:$Z, MATCH(CO$3, 'Daily 쨈 raw'!$A:$A, 0), MATCH($A11, 'Daily 쨈 raw'!$1:$1, 0)), ""), IF(val=0, "", val))</f>
        <v>49</v>
      </c>
      <c r="CP11" s="44">
        <f t="array" ref="CP11">LET(val, IFERROR(INDEX('Daily 쨈 raw'!$A:$Z, MATCH(CP$3, 'Daily 쨈 raw'!$A:$A, 0), MATCH($A11, 'Daily 쨈 raw'!$1:$1, 0)), ""), IF(val=0, "", val))</f>
        <v>27</v>
      </c>
      <c r="CQ11" s="44" t="str">
        <f t="array" ref="CQ11">LET(val, IFERROR(INDEX('Daily 쨈 raw'!$A:$Z, MATCH(CQ$3, 'Daily 쨈 raw'!$A:$A, 0), MATCH($A11, 'Daily 쨈 raw'!$1:$1, 0)), ""), IF(val=0, "", val))</f>
        <v/>
      </c>
      <c r="CR11" s="44" t="str">
        <f t="array" ref="CR11">LET(val, IFERROR(INDEX('Daily 쨈 raw'!$A:$Z, MATCH(CR$3, 'Daily 쨈 raw'!$A:$A, 0), MATCH($A11, 'Daily 쨈 raw'!$1:$1, 0)), ""), IF(val=0, "", val))</f>
        <v/>
      </c>
      <c r="CS11" s="44" t="str">
        <f t="array" ref="CS11">LET(val, IFERROR(INDEX('Daily 쨈 raw'!$A:$Z, MATCH(CS$3, 'Daily 쨈 raw'!$A:$A, 0), MATCH($A11, 'Daily 쨈 raw'!$1:$1, 0)), ""), IF(val=0, "", val))</f>
        <v/>
      </c>
      <c r="CT11" s="44" t="str">
        <f t="array" ref="CT11">LET(val, IFERROR(INDEX('Daily 쨈 raw'!$A:$Z, MATCH(CT$3, 'Daily 쨈 raw'!$A:$A, 0), MATCH($A11, 'Daily 쨈 raw'!$1:$1, 0)), ""), IF(val=0, "", val))</f>
        <v/>
      </c>
      <c r="CU11" s="44" t="str">
        <f t="array" ref="CU11">LET(val, IFERROR(INDEX('Daily 쨈 raw'!$A:$Z, MATCH(CU$3, 'Daily 쨈 raw'!$A:$A, 0), MATCH($A11, 'Daily 쨈 raw'!$1:$1, 0)), ""), IF(val=0, "", val))</f>
        <v/>
      </c>
      <c r="CV11" s="44" t="str">
        <f t="array" ref="CV11">LET(val, IFERROR(INDEX('Daily 쨈 raw'!$A:$Z, MATCH(CV$3, 'Daily 쨈 raw'!$A:$A, 0), MATCH($A11, 'Daily 쨈 raw'!$1:$1, 0)), ""), IF(val=0, "", val))</f>
        <v/>
      </c>
      <c r="CW11" s="44" t="str">
        <f t="array" ref="CW11">LET(val, IFERROR(INDEX('Daily 쨈 raw'!$A:$Z, MATCH(CW$3, 'Daily 쨈 raw'!$A:$A, 0), MATCH($A11, 'Daily 쨈 raw'!$1:$1, 0)), ""), IF(val=0, "", val))</f>
        <v/>
      </c>
      <c r="CX11" s="44" t="str">
        <f t="array" ref="CX11">LET(val, IFERROR(INDEX('Daily 쨈 raw'!$A:$Z, MATCH(CX$3, 'Daily 쨈 raw'!$A:$A, 0), MATCH($A11, 'Daily 쨈 raw'!$1:$1, 0)), ""), IF(val=0, "", val))</f>
        <v/>
      </c>
      <c r="CY11" s="44" t="str">
        <f t="array" ref="CY11">LET(val, IFERROR(INDEX('Daily 쨈 raw'!$A:$Z, MATCH(CY$3, 'Daily 쨈 raw'!$A:$A, 0), MATCH($A11, 'Daily 쨈 raw'!$1:$1, 0)), ""), IF(val=0, "", val))</f>
        <v/>
      </c>
      <c r="CZ11" s="44" t="str">
        <f t="array" ref="CZ11">LET(val, IFERROR(INDEX('Daily 쨈 raw'!$A:$Z, MATCH(CZ$3, 'Daily 쨈 raw'!$A:$A, 0), MATCH($A11, 'Daily 쨈 raw'!$1:$1, 0)), ""), IF(val=0, "", val))</f>
        <v/>
      </c>
      <c r="DA11" s="44" t="str">
        <f t="array" ref="DA11">LET(val, IFERROR(INDEX('Daily 쨈 raw'!$A:$Z, MATCH(DA$3, 'Daily 쨈 raw'!$A:$A, 0), MATCH($A11, 'Daily 쨈 raw'!$1:$1, 0)), ""), IF(val=0, "", val))</f>
        <v/>
      </c>
      <c r="DB11" s="44" t="str">
        <f t="array" ref="DB11">LET(val, IFERROR(INDEX('Daily 쨈 raw'!$A:$Z, MATCH(DB$3, 'Daily 쨈 raw'!$A:$A, 0), MATCH($A11, 'Daily 쨈 raw'!$1:$1, 0)), ""), IF(val=0, "", val))</f>
        <v/>
      </c>
      <c r="DC11" s="44" t="str">
        <f t="array" ref="DC11">LET(val, IFERROR(INDEX('Daily 쨈 raw'!$A:$Z, MATCH(DC$3, 'Daily 쨈 raw'!$A:$A, 0), MATCH($A11, 'Daily 쨈 raw'!$1:$1, 0)), ""), IF(val=0, "", val))</f>
        <v/>
      </c>
      <c r="DD11" s="44" t="str">
        <f t="array" ref="DD11">LET(val, IFERROR(INDEX('Daily 쨈 raw'!$A:$Z, MATCH(DD$3, 'Daily 쨈 raw'!$A:$A, 0), MATCH($A11, 'Daily 쨈 raw'!$1:$1, 0)), ""), IF(val=0, "", val))</f>
        <v/>
      </c>
      <c r="DE11" s="44" t="str">
        <f t="array" ref="DE11">LET(val, IFERROR(INDEX('Daily 쨈 raw'!$A:$Z, MATCH(DE$3, 'Daily 쨈 raw'!$A:$A, 0), MATCH($A11, 'Daily 쨈 raw'!$1:$1, 0)), ""), IF(val=0, "", val))</f>
        <v/>
      </c>
      <c r="DF11" s="44" t="str">
        <f t="array" ref="DF11">LET(val, IFERROR(INDEX('Daily 쨈 raw'!$A:$Z, MATCH(DF$3, 'Daily 쨈 raw'!$A:$A, 0), MATCH($A11, 'Daily 쨈 raw'!$1:$1, 0)), ""), IF(val=0, "", val))</f>
        <v/>
      </c>
      <c r="DG11" s="44" t="str">
        <f t="array" ref="DG11">LET(val, IFERROR(INDEX('Daily 쨈 raw'!$A:$Z, MATCH(DG$3, 'Daily 쨈 raw'!$A:$A, 0), MATCH($A11, 'Daily 쨈 raw'!$1:$1, 0)), ""), IF(val=0, "", val))</f>
        <v/>
      </c>
      <c r="DH11" s="44" t="str">
        <f t="array" ref="DH11">LET(val, IFERROR(INDEX('Daily 쨈 raw'!$A:$Z, MATCH(DH$3, 'Daily 쨈 raw'!$A:$A, 0), MATCH($A11, 'Daily 쨈 raw'!$1:$1, 0)), ""), IF(val=0, "", val))</f>
        <v/>
      </c>
      <c r="DI11" s="44" t="str">
        <f t="array" ref="DI11">LET(val, IFERROR(INDEX('Daily 쨈 raw'!$A:$Z, MATCH(DI$3, 'Daily 쨈 raw'!$A:$A, 0), MATCH($A11, 'Daily 쨈 raw'!$1:$1, 0)), ""), IF(val=0, "", val))</f>
        <v/>
      </c>
      <c r="DJ11" s="44" t="str">
        <f t="array" ref="DJ11">LET(val, IFERROR(INDEX('Daily 쨈 raw'!$A:$Z, MATCH(DJ$3, 'Daily 쨈 raw'!$A:$A, 0), MATCH($A11, 'Daily 쨈 raw'!$1:$1, 0)), ""), IF(val=0, "", val))</f>
        <v/>
      </c>
      <c r="DK11" s="44" t="str">
        <f t="array" ref="DK11">LET(val, IFERROR(INDEX('Daily 쨈 raw'!$A:$Z, MATCH(DK$3, 'Daily 쨈 raw'!$A:$A, 0), MATCH($A11, 'Daily 쨈 raw'!$1:$1, 0)), ""), IF(val=0, "", val))</f>
        <v/>
      </c>
      <c r="DL11" s="44" t="str">
        <f t="array" ref="DL11">LET(val, IFERROR(INDEX('Daily 쨈 raw'!$A:$Z, MATCH(DL$3, 'Daily 쨈 raw'!$A:$A, 0), MATCH($A11, 'Daily 쨈 raw'!$1:$1, 0)), ""), IF(val=0, "", val))</f>
        <v/>
      </c>
      <c r="DM11" s="44" t="str">
        <f t="array" ref="DM11">LET(val, IFERROR(INDEX('Daily 쨈 raw'!$A:$Z, MATCH(DM$3, 'Daily 쨈 raw'!$A:$A, 0), MATCH($A11, 'Daily 쨈 raw'!$1:$1, 0)), ""), IF(val=0, "", val))</f>
        <v/>
      </c>
      <c r="DN11" s="44" t="str">
        <f t="array" ref="DN11">LET(val, IFERROR(INDEX('Daily 쨈 raw'!$A:$Z, MATCH(DN$3, 'Daily 쨈 raw'!$A:$A, 0), MATCH($A11, 'Daily 쨈 raw'!$1:$1, 0)), ""), IF(val=0, "", val))</f>
        <v/>
      </c>
      <c r="DO11" s="44" t="str">
        <f t="array" ref="DO11">LET(val, IFERROR(INDEX('Daily 쨈 raw'!$A:$Z, MATCH(DO$3, 'Daily 쨈 raw'!$A:$A, 0), MATCH($A11, 'Daily 쨈 raw'!$1:$1, 0)), ""), IF(val=0, "", val))</f>
        <v/>
      </c>
      <c r="DP11" s="44" t="str">
        <f t="array" ref="DP11">LET(val, IFERROR(INDEX('Daily 쨈 raw'!$A:$Z, MATCH(DP$3, 'Daily 쨈 raw'!$A:$A, 0), MATCH($A11, 'Daily 쨈 raw'!$1:$1, 0)), ""), IF(val=0, "", val))</f>
        <v/>
      </c>
      <c r="DQ11" s="44" t="str">
        <f t="array" ref="DQ11">LET(val, IFERROR(INDEX('Daily 쨈 raw'!$A:$Z, MATCH(DQ$3, 'Daily 쨈 raw'!$A:$A, 0), MATCH($A11, 'Daily 쨈 raw'!$1:$1, 0)), ""), IF(val=0, "", val))</f>
        <v/>
      </c>
      <c r="DR11" s="44" t="str">
        <f t="array" ref="DR11">LET(val, IFERROR(INDEX('Daily 쨈 raw'!$A:$Z, MATCH(DR$3, 'Daily 쨈 raw'!$A:$A, 0), MATCH($A11, 'Daily 쨈 raw'!$1:$1, 0)), ""), IF(val=0, "", val))</f>
        <v/>
      </c>
      <c r="DS11" s="44" t="str">
        <f t="array" ref="DS11">LET(val, IFERROR(INDEX('Daily 쨈 raw'!$A:$Z, MATCH(DS$3, 'Daily 쨈 raw'!$A:$A, 0), MATCH($A11, 'Daily 쨈 raw'!$1:$1, 0)), ""), IF(val=0, "", val))</f>
        <v/>
      </c>
      <c r="DT11" s="44" t="str">
        <f t="array" ref="DT11">LET(val, IFERROR(INDEX('Daily 쨈 raw'!$A:$Z, MATCH(DT$3, 'Daily 쨈 raw'!$A:$A, 0), MATCH($A11, 'Daily 쨈 raw'!$1:$1, 0)), ""), IF(val=0, "", val))</f>
        <v/>
      </c>
      <c r="DU11" s="44" t="str">
        <f t="array" ref="DU11">LET(val, IFERROR(INDEX('Daily 쨈 raw'!$A:$Z, MATCH(DU$3, 'Daily 쨈 raw'!$A:$A, 0), MATCH($A11, 'Daily 쨈 raw'!$1:$1, 0)), ""), IF(val=0, "", val))</f>
        <v/>
      </c>
      <c r="DV11" s="44" t="str">
        <f t="array" ref="DV11">LET(val, IFERROR(INDEX('Daily 쨈 raw'!$A:$Z, MATCH(DV$3, 'Daily 쨈 raw'!$A:$A, 0), MATCH($A11, 'Daily 쨈 raw'!$1:$1, 0)), ""), IF(val=0, "", val))</f>
        <v/>
      </c>
      <c r="DW11" s="44" t="str">
        <f t="array" ref="DW11">LET(val, IFERROR(INDEX('Daily 쨈 raw'!$A:$Z, MATCH(DW$3, 'Daily 쨈 raw'!$A:$A, 0), MATCH($A11, 'Daily 쨈 raw'!$1:$1, 0)), ""), IF(val=0, "", val))</f>
        <v/>
      </c>
      <c r="DX11" s="44" t="str">
        <f t="array" ref="DX11">LET(val, IFERROR(INDEX('Daily 쨈 raw'!$A:$Z, MATCH(DX$3, 'Daily 쨈 raw'!$A:$A, 0), MATCH($A11, 'Daily 쨈 raw'!$1:$1, 0)), ""), IF(val=0, "", val))</f>
        <v/>
      </c>
      <c r="DY11" s="44" t="str">
        <f t="array" ref="DY11">LET(val, IFERROR(INDEX('Daily 쨈 raw'!$A:$Z, MATCH(DY$3, 'Daily 쨈 raw'!$A:$A, 0), MATCH($A11, 'Daily 쨈 raw'!$1:$1, 0)), ""), IF(val=0, "", val))</f>
        <v/>
      </c>
      <c r="DZ11" s="44" t="str">
        <f t="array" ref="DZ11">LET(val, IFERROR(INDEX('Daily 쨈 raw'!$A:$Z, MATCH(DZ$3, 'Daily 쨈 raw'!$A:$A, 0), MATCH($A11, 'Daily 쨈 raw'!$1:$1, 0)), ""), IF(val=0, "", val))</f>
        <v/>
      </c>
    </row>
    <row r="12" ht="22.5" customHeight="1">
      <c r="A12" s="16"/>
      <c r="B12" s="48" t="s">
        <v>72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9">
        <f t="shared" ref="BW12:DZ12" si="3">iferror(BW11/BW10, "")</f>
        <v>0.03210272873</v>
      </c>
      <c r="BX12" s="49">
        <f t="shared" si="3"/>
        <v>0.04903677758</v>
      </c>
      <c r="BY12" s="49">
        <f t="shared" si="3"/>
        <v>0.02715654952</v>
      </c>
      <c r="BZ12" s="49">
        <f t="shared" si="3"/>
        <v>0.03409090909</v>
      </c>
      <c r="CA12" s="49">
        <f t="shared" si="3"/>
        <v>0.04317548747</v>
      </c>
      <c r="CB12" s="49">
        <f t="shared" si="3"/>
        <v>0.1031941032</v>
      </c>
      <c r="CC12" s="49">
        <f t="shared" si="3"/>
        <v>0.1147540984</v>
      </c>
      <c r="CD12" s="49">
        <f t="shared" si="3"/>
        <v>0.1720183486</v>
      </c>
      <c r="CE12" s="49">
        <f t="shared" si="3"/>
        <v>0.1084070796</v>
      </c>
      <c r="CF12" s="49">
        <f t="shared" si="3"/>
        <v>0.1052631579</v>
      </c>
      <c r="CG12" s="49">
        <f t="shared" si="3"/>
        <v>0.1323828921</v>
      </c>
      <c r="CH12" s="49">
        <f t="shared" si="3"/>
        <v>0.1763527054</v>
      </c>
      <c r="CI12" s="49">
        <f t="shared" si="3"/>
        <v>0.205</v>
      </c>
      <c r="CJ12" s="49">
        <f t="shared" si="3"/>
        <v>0.1204819277</v>
      </c>
      <c r="CK12" s="49">
        <f t="shared" si="3"/>
        <v>0.09369369369</v>
      </c>
      <c r="CL12" s="49">
        <f t="shared" si="3"/>
        <v>0.09853249476</v>
      </c>
      <c r="CM12" s="49">
        <f t="shared" si="3"/>
        <v>0.07295373665</v>
      </c>
      <c r="CN12" s="49">
        <f t="shared" si="3"/>
        <v>0.0951417004</v>
      </c>
      <c r="CO12" s="49">
        <f t="shared" si="3"/>
        <v>0.07680250784</v>
      </c>
      <c r="CP12" s="49">
        <f t="shared" si="3"/>
        <v>0.0756302521</v>
      </c>
      <c r="CQ12" s="49" t="str">
        <f t="shared" si="3"/>
        <v/>
      </c>
      <c r="CR12" s="49" t="str">
        <f t="shared" si="3"/>
        <v/>
      </c>
      <c r="CS12" s="49" t="str">
        <f t="shared" si="3"/>
        <v/>
      </c>
      <c r="CT12" s="49" t="str">
        <f t="shared" si="3"/>
        <v/>
      </c>
      <c r="CU12" s="49" t="str">
        <f t="shared" si="3"/>
        <v/>
      </c>
      <c r="CV12" s="49" t="str">
        <f t="shared" si="3"/>
        <v/>
      </c>
      <c r="CW12" s="49" t="str">
        <f t="shared" si="3"/>
        <v/>
      </c>
      <c r="CX12" s="49" t="str">
        <f t="shared" si="3"/>
        <v/>
      </c>
      <c r="CY12" s="49" t="str">
        <f t="shared" si="3"/>
        <v/>
      </c>
      <c r="CZ12" s="49" t="str">
        <f t="shared" si="3"/>
        <v/>
      </c>
      <c r="DA12" s="49" t="str">
        <f t="shared" si="3"/>
        <v/>
      </c>
      <c r="DB12" s="49" t="str">
        <f t="shared" si="3"/>
        <v/>
      </c>
      <c r="DC12" s="49" t="str">
        <f t="shared" si="3"/>
        <v/>
      </c>
      <c r="DD12" s="49" t="str">
        <f t="shared" si="3"/>
        <v/>
      </c>
      <c r="DE12" s="49" t="str">
        <f t="shared" si="3"/>
        <v/>
      </c>
      <c r="DF12" s="49" t="str">
        <f t="shared" si="3"/>
        <v/>
      </c>
      <c r="DG12" s="49" t="str">
        <f t="shared" si="3"/>
        <v/>
      </c>
      <c r="DH12" s="49" t="str">
        <f t="shared" si="3"/>
        <v/>
      </c>
      <c r="DI12" s="49" t="str">
        <f t="shared" si="3"/>
        <v/>
      </c>
      <c r="DJ12" s="49" t="str">
        <f t="shared" si="3"/>
        <v/>
      </c>
      <c r="DK12" s="49" t="str">
        <f t="shared" si="3"/>
        <v/>
      </c>
      <c r="DL12" s="49" t="str">
        <f t="shared" si="3"/>
        <v/>
      </c>
      <c r="DM12" s="49" t="str">
        <f t="shared" si="3"/>
        <v/>
      </c>
      <c r="DN12" s="49" t="str">
        <f t="shared" si="3"/>
        <v/>
      </c>
      <c r="DO12" s="49" t="str">
        <f t="shared" si="3"/>
        <v/>
      </c>
      <c r="DP12" s="49" t="str">
        <f t="shared" si="3"/>
        <v/>
      </c>
      <c r="DQ12" s="49" t="str">
        <f t="shared" si="3"/>
        <v/>
      </c>
      <c r="DR12" s="49" t="str">
        <f t="shared" si="3"/>
        <v/>
      </c>
      <c r="DS12" s="49" t="str">
        <f t="shared" si="3"/>
        <v/>
      </c>
      <c r="DT12" s="49" t="str">
        <f t="shared" si="3"/>
        <v/>
      </c>
      <c r="DU12" s="49" t="str">
        <f t="shared" si="3"/>
        <v/>
      </c>
      <c r="DV12" s="49" t="str">
        <f t="shared" si="3"/>
        <v/>
      </c>
      <c r="DW12" s="49" t="str">
        <f t="shared" si="3"/>
        <v/>
      </c>
      <c r="DX12" s="49" t="str">
        <f t="shared" si="3"/>
        <v/>
      </c>
      <c r="DY12" s="49" t="str">
        <f t="shared" si="3"/>
        <v/>
      </c>
      <c r="DZ12" s="49" t="str">
        <f t="shared" si="3"/>
        <v/>
      </c>
    </row>
    <row r="13" ht="22.5" customHeight="1">
      <c r="A13" s="23" t="s">
        <v>23</v>
      </c>
      <c r="B13" s="47" t="s">
        <v>73</v>
      </c>
      <c r="C13" s="44">
        <f t="array" ref="C13">LET(val, IFERROR(INDEX('Daily 쨈 raw'!$A:$Z, MATCH(C$3, 'Daily 쨈 raw'!$A:$A, 0), MATCH($A13, 'Daily 쨈 raw'!$1:$1, 0)), ""), IF(val=0, "", val))</f>
        <v>4286</v>
      </c>
      <c r="D13" s="44">
        <f t="array" ref="D13">LET(val, IFERROR(INDEX('Daily 쨈 raw'!$A:$Z, MATCH(D$3, 'Daily 쨈 raw'!$A:$A, 0), MATCH($A13, 'Daily 쨈 raw'!$1:$1, 0)), ""), IF(val=0, "", val))</f>
        <v>4843</v>
      </c>
      <c r="E13" s="44">
        <f t="array" ref="E13">LET(val, IFERROR(INDEX('Daily 쨈 raw'!$A:$Z, MATCH(E$3, 'Daily 쨈 raw'!$A:$A, 0), MATCH($A13, 'Daily 쨈 raw'!$1:$1, 0)), ""), IF(val=0, "", val))</f>
        <v>4329</v>
      </c>
      <c r="F13" s="44">
        <f t="array" ref="F13">LET(val, IFERROR(INDEX('Daily 쨈 raw'!$A:$Z, MATCH(F$3, 'Daily 쨈 raw'!$A:$A, 0), MATCH($A13, 'Daily 쨈 raw'!$1:$1, 0)), ""), IF(val=0, "", val))</f>
        <v>4289</v>
      </c>
      <c r="G13" s="44">
        <f t="array" ref="G13">LET(val, IFERROR(INDEX('Daily 쨈 raw'!$A:$Z, MATCH(G$3, 'Daily 쨈 raw'!$A:$A, 0), MATCH($A13, 'Daily 쨈 raw'!$1:$1, 0)), ""), IF(val=0, "", val))</f>
        <v>4324</v>
      </c>
      <c r="H13" s="44">
        <f t="array" ref="H13">LET(val, IFERROR(INDEX('Daily 쨈 raw'!$A:$Z, MATCH(H$3, 'Daily 쨈 raw'!$A:$A, 0), MATCH($A13, 'Daily 쨈 raw'!$1:$1, 0)), ""), IF(val=0, "", val))</f>
        <v>3556</v>
      </c>
      <c r="I13" s="44">
        <f t="array" ref="I13">LET(val, IFERROR(INDEX('Daily 쨈 raw'!$A:$Z, MATCH(I$3, 'Daily 쨈 raw'!$A:$A, 0), MATCH($A13, 'Daily 쨈 raw'!$1:$1, 0)), ""), IF(val=0, "", val))</f>
        <v>4113</v>
      </c>
      <c r="J13" s="44">
        <f t="array" ref="J13">LET(val, IFERROR(INDEX('Daily 쨈 raw'!$A:$Z, MATCH(J$3, 'Daily 쨈 raw'!$A:$A, 0), MATCH($A13, 'Daily 쨈 raw'!$1:$1, 0)), ""), IF(val=0, "", val))</f>
        <v>3398</v>
      </c>
      <c r="K13" s="44">
        <f t="array" ref="K13">LET(val, IFERROR(INDEX('Daily 쨈 raw'!$A:$Z, MATCH(K$3, 'Daily 쨈 raw'!$A:$A, 0), MATCH($A13, 'Daily 쨈 raw'!$1:$1, 0)), ""), IF(val=0, "", val))</f>
        <v>3436</v>
      </c>
      <c r="L13" s="44">
        <f t="array" ref="L13">LET(val, IFERROR(INDEX('Daily 쨈 raw'!$A:$Z, MATCH(L$3, 'Daily 쨈 raw'!$A:$A, 0), MATCH($A13, 'Daily 쨈 raw'!$1:$1, 0)), ""), IF(val=0, "", val))</f>
        <v>3025</v>
      </c>
      <c r="M13" s="44">
        <f t="array" ref="M13">LET(val, IFERROR(INDEX('Daily 쨈 raw'!$A:$Z, MATCH(M$3, 'Daily 쨈 raw'!$A:$A, 0), MATCH($A13, 'Daily 쨈 raw'!$1:$1, 0)), ""), IF(val=0, "", val))</f>
        <v>2642</v>
      </c>
      <c r="N13" s="44">
        <f t="array" ref="N13">LET(val, IFERROR(INDEX('Daily 쨈 raw'!$A:$Z, MATCH(N$3, 'Daily 쨈 raw'!$A:$A, 0), MATCH($A13, 'Daily 쨈 raw'!$1:$1, 0)), ""), IF(val=0, "", val))</f>
        <v>2609</v>
      </c>
      <c r="O13" s="44">
        <f t="array" ref="O13">LET(val, IFERROR(INDEX('Daily 쨈 raw'!$A:$Z, MATCH(O$3, 'Daily 쨈 raw'!$A:$A, 0), MATCH($A13, 'Daily 쨈 raw'!$1:$1, 0)), ""), IF(val=0, "", val))</f>
        <v>2298</v>
      </c>
      <c r="P13" s="44">
        <f t="array" ref="P13">LET(val, IFERROR(INDEX('Daily 쨈 raw'!$A:$Z, MATCH(P$3, 'Daily 쨈 raw'!$A:$A, 0), MATCH($A13, 'Daily 쨈 raw'!$1:$1, 0)), ""), IF(val=0, "", val))</f>
        <v>2552</v>
      </c>
      <c r="Q13" s="44">
        <f t="array" ref="Q13">LET(val, IFERROR(INDEX('Daily 쨈 raw'!$A:$Z, MATCH(Q$3, 'Daily 쨈 raw'!$A:$A, 0), MATCH($A13, 'Daily 쨈 raw'!$1:$1, 0)), ""), IF(val=0, "", val))</f>
        <v>1921</v>
      </c>
      <c r="R13" s="44">
        <f t="array" ref="R13">LET(val, IFERROR(INDEX('Daily 쨈 raw'!$A:$Z, MATCH(R$3, 'Daily 쨈 raw'!$A:$A, 0), MATCH($A13, 'Daily 쨈 raw'!$1:$1, 0)), ""), IF(val=0, "", val))</f>
        <v>2516</v>
      </c>
      <c r="S13" s="44">
        <f t="array" ref="S13">LET(val, IFERROR(INDEX('Daily 쨈 raw'!$A:$Z, MATCH(S$3, 'Daily 쨈 raw'!$A:$A, 0), MATCH($A13, 'Daily 쨈 raw'!$1:$1, 0)), ""), IF(val=0, "", val))</f>
        <v>2452</v>
      </c>
      <c r="T13" s="44">
        <f t="array" ref="T13">LET(val, IFERROR(INDEX('Daily 쨈 raw'!$A:$Z, MATCH(T$3, 'Daily 쨈 raw'!$A:$A, 0), MATCH($A13, 'Daily 쨈 raw'!$1:$1, 0)), ""), IF(val=0, "", val))</f>
        <v>2202</v>
      </c>
      <c r="U13" s="44">
        <f t="array" ref="U13">LET(val, IFERROR(INDEX('Daily 쨈 raw'!$A:$Z, MATCH(U$3, 'Daily 쨈 raw'!$A:$A, 0), MATCH($A13, 'Daily 쨈 raw'!$1:$1, 0)), ""), IF(val=0, "", val))</f>
        <v>2097</v>
      </c>
      <c r="V13" s="44">
        <f t="array" ref="V13">LET(val, IFERROR(INDEX('Daily 쨈 raw'!$A:$Z, MATCH(V$3, 'Daily 쨈 raw'!$A:$A, 0), MATCH($A13, 'Daily 쨈 raw'!$1:$1, 0)), ""), IF(val=0, "", val))</f>
        <v>1807</v>
      </c>
      <c r="W13" s="44">
        <f t="array" ref="W13">LET(val, IFERROR(INDEX('Daily 쨈 raw'!$A:$Z, MATCH(W$3, 'Daily 쨈 raw'!$A:$A, 0), MATCH($A13, 'Daily 쨈 raw'!$1:$1, 0)), ""), IF(val=0, "", val))</f>
        <v>2700</v>
      </c>
      <c r="X13" s="44">
        <f t="array" ref="X13">LET(val, IFERROR(INDEX('Daily 쨈 raw'!$A:$Z, MATCH(X$3, 'Daily 쨈 raw'!$A:$A, 0), MATCH($A13, 'Daily 쨈 raw'!$1:$1, 0)), ""), IF(val=0, "", val))</f>
        <v>2143</v>
      </c>
      <c r="Y13" s="44">
        <f t="array" ref="Y13">LET(val, IFERROR(INDEX('Daily 쨈 raw'!$A:$Z, MATCH(Y$3, 'Daily 쨈 raw'!$A:$A, 0), MATCH($A13, 'Daily 쨈 raw'!$1:$1, 0)), ""), IF(val=0, "", val))</f>
        <v>1648</v>
      </c>
      <c r="Z13" s="44">
        <f t="array" ref="Z13">LET(val, IFERROR(INDEX('Daily 쨈 raw'!$A:$Z, MATCH(Z$3, 'Daily 쨈 raw'!$A:$A, 0), MATCH($A13, 'Daily 쨈 raw'!$1:$1, 0)), ""), IF(val=0, "", val))</f>
        <v>1630</v>
      </c>
      <c r="AA13" s="44">
        <f t="array" ref="AA13">LET(val, IFERROR(INDEX('Daily 쨈 raw'!$A:$Z, MATCH(AA$3, 'Daily 쨈 raw'!$A:$A, 0), MATCH($A13, 'Daily 쨈 raw'!$1:$1, 0)), ""), IF(val=0, "", val))</f>
        <v>1506</v>
      </c>
      <c r="AB13" s="44">
        <f t="array" ref="AB13">LET(val, IFERROR(INDEX('Daily 쨈 raw'!$A:$Z, MATCH(AB$3, 'Daily 쨈 raw'!$A:$A, 0), MATCH($A13, 'Daily 쨈 raw'!$1:$1, 0)), ""), IF(val=0, "", val))</f>
        <v>1180</v>
      </c>
      <c r="AC13" s="44">
        <f t="array" ref="AC13">LET(val, IFERROR(INDEX('Daily 쨈 raw'!$A:$Z, MATCH(AC$3, 'Daily 쨈 raw'!$A:$A, 0), MATCH($A13, 'Daily 쨈 raw'!$1:$1, 0)), ""), IF(val=0, "", val))</f>
        <v>1361</v>
      </c>
      <c r="AD13" s="44">
        <f t="array" ref="AD13">LET(val, IFERROR(INDEX('Daily 쨈 raw'!$A:$Z, MATCH(AD$3, 'Daily 쨈 raw'!$A:$A, 0), MATCH($A13, 'Daily 쨈 raw'!$1:$1, 0)), ""), IF(val=0, "", val))</f>
        <v>1476</v>
      </c>
      <c r="AE13" s="44">
        <f t="array" ref="AE13">LET(val, IFERROR(INDEX('Daily 쨈 raw'!$A:$Z, MATCH(AE$3, 'Daily 쨈 raw'!$A:$A, 0), MATCH($A13, 'Daily 쨈 raw'!$1:$1, 0)), ""), IF(val=0, "", val))</f>
        <v>1485</v>
      </c>
      <c r="AF13" s="44">
        <f t="array" ref="AF13">LET(val, IFERROR(INDEX('Daily 쨈 raw'!$A:$Z, MATCH(AF$3, 'Daily 쨈 raw'!$A:$A, 0), MATCH($A13, 'Daily 쨈 raw'!$1:$1, 0)), ""), IF(val=0, "", val))</f>
        <v>1402</v>
      </c>
      <c r="AG13" s="44">
        <f t="array" ref="AG13">LET(val, IFERROR(INDEX('Daily 쨈 raw'!$A:$Z, MATCH(AG$3, 'Daily 쨈 raw'!$A:$A, 0), MATCH($A13, 'Daily 쨈 raw'!$1:$1, 0)), ""), IF(val=0, "", val))</f>
        <v>3108</v>
      </c>
      <c r="AH13" s="44">
        <f t="array" ref="AH13">LET(val, IFERROR(INDEX('Daily 쨈 raw'!$A:$Z, MATCH(AH$3, 'Daily 쨈 raw'!$A:$A, 0), MATCH($A13, 'Daily 쨈 raw'!$1:$1, 0)), ""), IF(val=0, "", val))</f>
        <v>3606</v>
      </c>
      <c r="AI13" s="44">
        <f t="array" ref="AI13">LET(val, IFERROR(INDEX('Daily 쨈 raw'!$A:$Z, MATCH(AI$3, 'Daily 쨈 raw'!$A:$A, 0), MATCH($A13, 'Daily 쨈 raw'!$1:$1, 0)), ""), IF(val=0, "", val))</f>
        <v>1752</v>
      </c>
      <c r="AJ13" s="44">
        <f t="array" ref="AJ13">LET(val, IFERROR(INDEX('Daily 쨈 raw'!$A:$Z, MATCH(AJ$3, 'Daily 쨈 raw'!$A:$A, 0), MATCH($A13, 'Daily 쨈 raw'!$1:$1, 0)), ""), IF(val=0, "", val))</f>
        <v>1710</v>
      </c>
      <c r="AK13" s="44">
        <f t="array" ref="AK13">LET(val, IFERROR(INDEX('Daily 쨈 raw'!$A:$Z, MATCH(AK$3, 'Daily 쨈 raw'!$A:$A, 0), MATCH($A13, 'Daily 쨈 raw'!$1:$1, 0)), ""), IF(val=0, "", val))</f>
        <v>1861</v>
      </c>
      <c r="AL13" s="44">
        <f t="array" ref="AL13">LET(val, IFERROR(INDEX('Daily 쨈 raw'!$A:$Z, MATCH(AL$3, 'Daily 쨈 raw'!$A:$A, 0), MATCH($A13, 'Daily 쨈 raw'!$1:$1, 0)), ""), IF(val=0, "", val))</f>
        <v>1648</v>
      </c>
      <c r="AM13" s="44">
        <f t="array" ref="AM13">LET(val, IFERROR(INDEX('Daily 쨈 raw'!$A:$Z, MATCH(AM$3, 'Daily 쨈 raw'!$A:$A, 0), MATCH($A13, 'Daily 쨈 raw'!$1:$1, 0)), ""), IF(val=0, "", val))</f>
        <v>1748</v>
      </c>
      <c r="AN13" s="44">
        <f t="array" ref="AN13">LET(val, IFERROR(INDEX('Daily 쨈 raw'!$A:$Z, MATCH(AN$3, 'Daily 쨈 raw'!$A:$A, 0), MATCH($A13, 'Daily 쨈 raw'!$1:$1, 0)), ""), IF(val=0, "", val))</f>
        <v>1774</v>
      </c>
      <c r="AO13" s="44">
        <f t="array" ref="AO13">LET(val, IFERROR(INDEX('Daily 쨈 raw'!$A:$Z, MATCH(AO$3, 'Daily 쨈 raw'!$A:$A, 0), MATCH($A13, 'Daily 쨈 raw'!$1:$1, 0)), ""), IF(val=0, "", val))</f>
        <v>2605</v>
      </c>
      <c r="AP13" s="44">
        <f t="array" ref="AP13">LET(val, IFERROR(INDEX('Daily 쨈 raw'!$A:$Z, MATCH(AP$3, 'Daily 쨈 raw'!$A:$A, 0), MATCH($A13, 'Daily 쨈 raw'!$1:$1, 0)), ""), IF(val=0, "", val))</f>
        <v>1373</v>
      </c>
      <c r="AQ13" s="44">
        <f t="array" ref="AQ13">LET(val, IFERROR(INDEX('Daily 쨈 raw'!$A:$Z, MATCH(AQ$3, 'Daily 쨈 raw'!$A:$A, 0), MATCH($A13, 'Daily 쨈 raw'!$1:$1, 0)), ""), IF(val=0, "", val))</f>
        <v>1976</v>
      </c>
      <c r="AR13" s="44">
        <f t="array" ref="AR13">LET(val, IFERROR(INDEX('Daily 쨈 raw'!$A:$Z, MATCH(AR$3, 'Daily 쨈 raw'!$A:$A, 0), MATCH($A13, 'Daily 쨈 raw'!$1:$1, 0)), ""), IF(val=0, "", val))</f>
        <v>1786</v>
      </c>
      <c r="AS13" s="44">
        <f t="array" ref="AS13">LET(val, IFERROR(INDEX('Daily 쨈 raw'!$A:$Z, MATCH(AS$3, 'Daily 쨈 raw'!$A:$A, 0), MATCH($A13, 'Daily 쨈 raw'!$1:$1, 0)), ""), IF(val=0, "", val))</f>
        <v>1347</v>
      </c>
      <c r="AT13" s="44">
        <f t="array" ref="AT13">LET(val, IFERROR(INDEX('Daily 쨈 raw'!$A:$Z, MATCH(AT$3, 'Daily 쨈 raw'!$A:$A, 0), MATCH($A13, 'Daily 쨈 raw'!$1:$1, 0)), ""), IF(val=0, "", val))</f>
        <v>1323</v>
      </c>
      <c r="AU13" s="44">
        <f t="array" ref="AU13">LET(val, IFERROR(INDEX('Daily 쨈 raw'!$A:$Z, MATCH(AU$3, 'Daily 쨈 raw'!$A:$A, 0), MATCH($A13, 'Daily 쨈 raw'!$1:$1, 0)), ""), IF(val=0, "", val))</f>
        <v>1387</v>
      </c>
      <c r="AV13" s="44">
        <f t="array" ref="AV13">LET(val, IFERROR(INDEX('Daily 쨈 raw'!$A:$Z, MATCH(AV$3, 'Daily 쨈 raw'!$A:$A, 0), MATCH($A13, 'Daily 쨈 raw'!$1:$1, 0)), ""), IF(val=0, "", val))</f>
        <v>1244</v>
      </c>
      <c r="AW13" s="44">
        <f t="array" ref="AW13">LET(val, IFERROR(INDEX('Daily 쨈 raw'!$A:$Z, MATCH(AW$3, 'Daily 쨈 raw'!$A:$A, 0), MATCH($A13, 'Daily 쨈 raw'!$1:$1, 0)), ""), IF(val=0, "", val))</f>
        <v>1128</v>
      </c>
      <c r="AX13" s="44">
        <f t="array" ref="AX13">LET(val, IFERROR(INDEX('Daily 쨈 raw'!$A:$Z, MATCH(AX$3, 'Daily 쨈 raw'!$A:$A, 0), MATCH($A13, 'Daily 쨈 raw'!$1:$1, 0)), ""), IF(val=0, "", val))</f>
        <v>1355</v>
      </c>
      <c r="AY13" s="44">
        <f t="array" ref="AY13">LET(val, IFERROR(INDEX('Daily 쨈 raw'!$A:$Z, MATCH(AY$3, 'Daily 쨈 raw'!$A:$A, 0), MATCH($A13, 'Daily 쨈 raw'!$1:$1, 0)), ""), IF(val=0, "", val))</f>
        <v>1420</v>
      </c>
      <c r="AZ13" s="44">
        <f t="array" ref="AZ13">LET(val, IFERROR(INDEX('Daily 쨈 raw'!$A:$Z, MATCH(AZ$3, 'Daily 쨈 raw'!$A:$A, 0), MATCH($A13, 'Daily 쨈 raw'!$1:$1, 0)), ""), IF(val=0, "", val))</f>
        <v>1294</v>
      </c>
      <c r="BA13" s="44">
        <f t="array" ref="BA13">LET(val, IFERROR(INDEX('Daily 쨈 raw'!$A:$Z, MATCH(BA$3, 'Daily 쨈 raw'!$A:$A, 0), MATCH($A13, 'Daily 쨈 raw'!$1:$1, 0)), ""), IF(val=0, "", val))</f>
        <v>1207</v>
      </c>
      <c r="BB13" s="44">
        <f t="array" ref="BB13">LET(val, IFERROR(INDEX('Daily 쨈 raw'!$A:$Z, MATCH(BB$3, 'Daily 쨈 raw'!$A:$A, 0), MATCH($A13, 'Daily 쨈 raw'!$1:$1, 0)), ""), IF(val=0, "", val))</f>
        <v>1122</v>
      </c>
      <c r="BC13" s="44">
        <f t="array" ref="BC13">LET(val, IFERROR(INDEX('Daily 쨈 raw'!$A:$Z, MATCH(BC$3, 'Daily 쨈 raw'!$A:$A, 0), MATCH($A13, 'Daily 쨈 raw'!$1:$1, 0)), ""), IF(val=0, "", val))</f>
        <v>773</v>
      </c>
      <c r="BD13" s="44">
        <f t="array" ref="BD13">LET(val, IFERROR(INDEX('Daily 쨈 raw'!$A:$Z, MATCH(BD$3, 'Daily 쨈 raw'!$A:$A, 0), MATCH($A13, 'Daily 쨈 raw'!$1:$1, 0)), ""), IF(val=0, "", val))</f>
        <v>896</v>
      </c>
      <c r="BE13" s="44">
        <f t="array" ref="BE13">LET(val, IFERROR(INDEX('Daily 쨈 raw'!$A:$Z, MATCH(BE$3, 'Daily 쨈 raw'!$A:$A, 0), MATCH($A13, 'Daily 쨈 raw'!$1:$1, 0)), ""), IF(val=0, "", val))</f>
        <v>1269</v>
      </c>
      <c r="BF13" s="44">
        <f t="array" ref="BF13">LET(val, IFERROR(INDEX('Daily 쨈 raw'!$A:$Z, MATCH(BF$3, 'Daily 쨈 raw'!$A:$A, 0), MATCH($A13, 'Daily 쨈 raw'!$1:$1, 0)), ""), IF(val=0, "", val))</f>
        <v>887</v>
      </c>
      <c r="BG13" s="44">
        <f t="array" ref="BG13">LET(val, IFERROR(INDEX('Daily 쨈 raw'!$A:$Z, MATCH(BG$3, 'Daily 쨈 raw'!$A:$A, 0), MATCH($A13, 'Daily 쨈 raw'!$1:$1, 0)), ""), IF(val=0, "", val))</f>
        <v>1017</v>
      </c>
      <c r="BH13" s="44">
        <f t="array" ref="BH13">LET(val, IFERROR(INDEX('Daily 쨈 raw'!$A:$Z, MATCH(BH$3, 'Daily 쨈 raw'!$A:$A, 0), MATCH($A13, 'Daily 쨈 raw'!$1:$1, 0)), ""), IF(val=0, "", val))</f>
        <v>993</v>
      </c>
      <c r="BI13" s="44">
        <f t="array" ref="BI13">LET(val, IFERROR(INDEX('Daily 쨈 raw'!$A:$Z, MATCH(BI$3, 'Daily 쨈 raw'!$A:$A, 0), MATCH($A13, 'Daily 쨈 raw'!$1:$1, 0)), ""), IF(val=0, "", val))</f>
        <v>988</v>
      </c>
      <c r="BJ13" s="44">
        <f t="array" ref="BJ13">LET(val, IFERROR(INDEX('Daily 쨈 raw'!$A:$Z, MATCH(BJ$3, 'Daily 쨈 raw'!$A:$A, 0), MATCH($A13, 'Daily 쨈 raw'!$1:$1, 0)), ""), IF(val=0, "", val))</f>
        <v>1114</v>
      </c>
      <c r="BK13" s="44">
        <f t="array" ref="BK13">LET(val, IFERROR(INDEX('Daily 쨈 raw'!$A:$Z, MATCH(BK$3, 'Daily 쨈 raw'!$A:$A, 0), MATCH($A13, 'Daily 쨈 raw'!$1:$1, 0)), ""), IF(val=0, "", val))</f>
        <v>1186</v>
      </c>
      <c r="BL13" s="44">
        <f t="array" ref="BL13">LET(val, IFERROR(INDEX('Daily 쨈 raw'!$A:$Z, MATCH(BL$3, 'Daily 쨈 raw'!$A:$A, 0), MATCH($A13, 'Daily 쨈 raw'!$1:$1, 0)), ""), IF(val=0, "", val))</f>
        <v>1262</v>
      </c>
      <c r="BM13" s="44">
        <f t="array" ref="BM13">LET(val, IFERROR(INDEX('Daily 쨈 raw'!$A:$Z, MATCH(BM$3, 'Daily 쨈 raw'!$A:$A, 0), MATCH($A13, 'Daily 쨈 raw'!$1:$1, 0)), ""), IF(val=0, "", val))</f>
        <v>1276</v>
      </c>
      <c r="BN13" s="44">
        <f t="array" ref="BN13">LET(val, IFERROR(INDEX('Daily 쨈 raw'!$A:$Z, MATCH(BN$3, 'Daily 쨈 raw'!$A:$A, 0), MATCH($A13, 'Daily 쨈 raw'!$1:$1, 0)), ""), IF(val=0, "", val))</f>
        <v>714</v>
      </c>
      <c r="BO13" s="44">
        <f t="array" ref="BO13">LET(val, IFERROR(INDEX('Daily 쨈 raw'!$A:$Z, MATCH(BO$3, 'Daily 쨈 raw'!$A:$A, 0), MATCH($A13, 'Daily 쨈 raw'!$1:$1, 0)), ""), IF(val=0, "", val))</f>
        <v>1354</v>
      </c>
      <c r="BP13" s="44">
        <f t="array" ref="BP13">LET(val, IFERROR(INDEX('Daily 쨈 raw'!$A:$Z, MATCH(BP$3, 'Daily 쨈 raw'!$A:$A, 0), MATCH($A13, 'Daily 쨈 raw'!$1:$1, 0)), ""), IF(val=0, "", val))</f>
        <v>1457</v>
      </c>
      <c r="BQ13" s="44">
        <f t="array" ref="BQ13">LET(val, IFERROR(INDEX('Daily 쨈 raw'!$A:$Z, MATCH(BQ$3, 'Daily 쨈 raw'!$A:$A, 0), MATCH($A13, 'Daily 쨈 raw'!$1:$1, 0)), ""), IF(val=0, "", val))</f>
        <v>1077</v>
      </c>
      <c r="BR13" s="44">
        <f t="array" ref="BR13">LET(val, IFERROR(INDEX('Daily 쨈 raw'!$A:$Z, MATCH(BR$3, 'Daily 쨈 raw'!$A:$A, 0), MATCH($A13, 'Daily 쨈 raw'!$1:$1, 0)), ""), IF(val=0, "", val))</f>
        <v>729</v>
      </c>
      <c r="BS13" s="44">
        <f t="array" ref="BS13">LET(val, IFERROR(INDEX('Daily 쨈 raw'!$A:$Z, MATCH(BS$3, 'Daily 쨈 raw'!$A:$A, 0), MATCH($A13, 'Daily 쨈 raw'!$1:$1, 0)), ""), IF(val=0, "", val))</f>
        <v>1225</v>
      </c>
      <c r="BT13" s="44">
        <f t="array" ref="BT13">LET(val, IFERROR(INDEX('Daily 쨈 raw'!$A:$Z, MATCH(BT$3, 'Daily 쨈 raw'!$A:$A, 0), MATCH($A13, 'Daily 쨈 raw'!$1:$1, 0)), ""), IF(val=0, "", val))</f>
        <v>1284</v>
      </c>
      <c r="BU13" s="44">
        <f t="array" ref="BU13">LET(val, IFERROR(INDEX('Daily 쨈 raw'!$A:$Z, MATCH(BU$3, 'Daily 쨈 raw'!$A:$A, 0), MATCH($A13, 'Daily 쨈 raw'!$1:$1, 0)), ""), IF(val=0, "", val))</f>
        <v>1169</v>
      </c>
      <c r="BV13" s="44">
        <f t="array" ref="BV13">LET(val, IFERROR(INDEX('Daily 쨈 raw'!$A:$Z, MATCH(BV$3, 'Daily 쨈 raw'!$A:$A, 0), MATCH($A13, 'Daily 쨈 raw'!$1:$1, 0)), ""), IF(val=0, "", val))</f>
        <v>1114</v>
      </c>
      <c r="BW13" s="44">
        <f t="array" ref="BW13">LET(val, IFERROR(INDEX('Daily 쨈 raw'!$A:$Z, MATCH(BW$3, 'Daily 쨈 raw'!$A:$A, 0), MATCH($A13, 'Daily 쨈 raw'!$1:$1, 0)), ""), IF(val=0, "", val))</f>
        <v>1043</v>
      </c>
      <c r="BX13" s="44">
        <f t="array" ref="BX13">LET(val, IFERROR(INDEX('Daily 쨈 raw'!$A:$Z, MATCH(BX$3, 'Daily 쨈 raw'!$A:$A, 0), MATCH($A13, 'Daily 쨈 raw'!$1:$1, 0)), ""), IF(val=0, "", val))</f>
        <v>996</v>
      </c>
      <c r="BY13" s="44">
        <f t="array" ref="BY13">LET(val, IFERROR(INDEX('Daily 쨈 raw'!$A:$Z, MATCH(BY$3, 'Daily 쨈 raw'!$A:$A, 0), MATCH($A13, 'Daily 쨈 raw'!$1:$1, 0)), ""), IF(val=0, "", val))</f>
        <v>1162</v>
      </c>
      <c r="BZ13" s="44">
        <f t="array" ref="BZ13">LET(val, IFERROR(INDEX('Daily 쨈 raw'!$A:$Z, MATCH(BZ$3, 'Daily 쨈 raw'!$A:$A, 0), MATCH($A13, 'Daily 쨈 raw'!$1:$1, 0)), ""), IF(val=0, "", val))</f>
        <v>1153</v>
      </c>
      <c r="CA13" s="44">
        <f t="array" ref="CA13">LET(val, IFERROR(INDEX('Daily 쨈 raw'!$A:$Z, MATCH(CA$3, 'Daily 쨈 raw'!$A:$A, 0), MATCH($A13, 'Daily 쨈 raw'!$1:$1, 0)), ""), IF(val=0, "", val))</f>
        <v>1205</v>
      </c>
      <c r="CB13" s="44">
        <f t="array" ref="CB13">LET(val, IFERROR(INDEX('Daily 쨈 raw'!$A:$Z, MATCH(CB$3, 'Daily 쨈 raw'!$A:$A, 0), MATCH($A13, 'Daily 쨈 raw'!$1:$1, 0)), ""), IF(val=0, "", val))</f>
        <v>838</v>
      </c>
      <c r="CC13" s="44">
        <f t="array" ref="CC13">LET(val, IFERROR(INDEX('Daily 쨈 raw'!$A:$Z, MATCH(CC$3, 'Daily 쨈 raw'!$A:$A, 0), MATCH($A13, 'Daily 쨈 raw'!$1:$1, 0)), ""), IF(val=0, "", val))</f>
        <v>1037</v>
      </c>
      <c r="CD13" s="44">
        <f t="array" ref="CD13">LET(val, IFERROR(INDEX('Daily 쨈 raw'!$A:$Z, MATCH(CD$3, 'Daily 쨈 raw'!$A:$A, 0), MATCH($A13, 'Daily 쨈 raw'!$1:$1, 0)), ""), IF(val=0, "", val))</f>
        <v>1079</v>
      </c>
      <c r="CE13" s="44">
        <f t="array" ref="CE13">LET(val, IFERROR(INDEX('Daily 쨈 raw'!$A:$Z, MATCH(CE$3, 'Daily 쨈 raw'!$A:$A, 0), MATCH($A13, 'Daily 쨈 raw'!$1:$1, 0)), ""), IF(val=0, "", val))</f>
        <v>1224</v>
      </c>
      <c r="CF13" s="44">
        <f t="array" ref="CF13">LET(val, IFERROR(INDEX('Daily 쨈 raw'!$A:$Z, MATCH(CF$3, 'Daily 쨈 raw'!$A:$A, 0), MATCH($A13, 'Daily 쨈 raw'!$1:$1, 0)), ""), IF(val=0, "", val))</f>
        <v>1123</v>
      </c>
      <c r="CG13" s="44">
        <f t="array" ref="CG13">LET(val, IFERROR(INDEX('Daily 쨈 raw'!$A:$Z, MATCH(CG$3, 'Daily 쨈 raw'!$A:$A, 0), MATCH($A13, 'Daily 쨈 raw'!$1:$1, 0)), ""), IF(val=0, "", val))</f>
        <v>1232</v>
      </c>
      <c r="CH13" s="44">
        <f t="array" ref="CH13">LET(val, IFERROR(INDEX('Daily 쨈 raw'!$A:$Z, MATCH(CH$3, 'Daily 쨈 raw'!$A:$A, 0), MATCH($A13, 'Daily 쨈 raw'!$1:$1, 0)), ""), IF(val=0, "", val))</f>
        <v>1206</v>
      </c>
      <c r="CI13" s="44">
        <f t="array" ref="CI13">LET(val, IFERROR(INDEX('Daily 쨈 raw'!$A:$Z, MATCH(CI$3, 'Daily 쨈 raw'!$A:$A, 0), MATCH($A13, 'Daily 쨈 raw'!$1:$1, 0)), ""), IF(val=0, "", val))</f>
        <v>1111</v>
      </c>
      <c r="CJ13" s="44">
        <f t="array" ref="CJ13">LET(val, IFERROR(INDEX('Daily 쨈 raw'!$A:$Z, MATCH(CJ$3, 'Daily 쨈 raw'!$A:$A, 0), MATCH($A13, 'Daily 쨈 raw'!$1:$1, 0)), ""), IF(val=0, "", val))</f>
        <v>1376</v>
      </c>
      <c r="CK13" s="44">
        <f t="array" ref="CK13">LET(val, IFERROR(INDEX('Daily 쨈 raw'!$A:$Z, MATCH(CK$3, 'Daily 쨈 raw'!$A:$A, 0), MATCH($A13, 'Daily 쨈 raw'!$1:$1, 0)), ""), IF(val=0, "", val))</f>
        <v>1479</v>
      </c>
      <c r="CL13" s="44">
        <f t="array" ref="CL13">LET(val, IFERROR(INDEX('Daily 쨈 raw'!$A:$Z, MATCH(CL$3, 'Daily 쨈 raw'!$A:$A, 0), MATCH($A13, 'Daily 쨈 raw'!$1:$1, 0)), ""), IF(val=0, "", val))</f>
        <v>1077</v>
      </c>
      <c r="CM13" s="44">
        <f t="array" ref="CM13">LET(val, IFERROR(INDEX('Daily 쨈 raw'!$A:$Z, MATCH(CM$3, 'Daily 쨈 raw'!$A:$A, 0), MATCH($A13, 'Daily 쨈 raw'!$1:$1, 0)), ""), IF(val=0, "", val))</f>
        <v>1292</v>
      </c>
      <c r="CN13" s="44">
        <f t="array" ref="CN13">LET(val, IFERROR(INDEX('Daily 쨈 raw'!$A:$Z, MATCH(CN$3, 'Daily 쨈 raw'!$A:$A, 0), MATCH($A13, 'Daily 쨈 raw'!$1:$1, 0)), ""), IF(val=0, "", val))</f>
        <v>1143</v>
      </c>
      <c r="CO13" s="44">
        <f t="array" ref="CO13">LET(val, IFERROR(INDEX('Daily 쨈 raw'!$A:$Z, MATCH(CO$3, 'Daily 쨈 raw'!$A:$A, 0), MATCH($A13, 'Daily 쨈 raw'!$1:$1, 0)), ""), IF(val=0, "", val))</f>
        <v>1473</v>
      </c>
      <c r="CP13" s="44">
        <f t="array" ref="CP13">LET(val, IFERROR(INDEX('Daily 쨈 raw'!$A:$Z, MATCH(CP$3, 'Daily 쨈 raw'!$A:$A, 0), MATCH($A13, 'Daily 쨈 raw'!$1:$1, 0)), ""), IF(val=0, "", val))</f>
        <v>691</v>
      </c>
      <c r="CQ13" s="44" t="str">
        <f t="array" ref="CQ13">LET(val, IFERROR(INDEX('Daily 쨈 raw'!$A:$Z, MATCH(CQ$3, 'Daily 쨈 raw'!$A:$A, 0), MATCH($A13, 'Daily 쨈 raw'!$1:$1, 0)), ""), IF(val=0, "", val))</f>
        <v/>
      </c>
      <c r="CR13" s="44" t="str">
        <f t="array" ref="CR13">LET(val, IFERROR(INDEX('Daily 쨈 raw'!$A:$Z, MATCH(CR$3, 'Daily 쨈 raw'!$A:$A, 0), MATCH($A13, 'Daily 쨈 raw'!$1:$1, 0)), ""), IF(val=0, "", val))</f>
        <v/>
      </c>
      <c r="CS13" s="44" t="str">
        <f t="array" ref="CS13">LET(val, IFERROR(INDEX('Daily 쨈 raw'!$A:$Z, MATCH(CS$3, 'Daily 쨈 raw'!$A:$A, 0), MATCH($A13, 'Daily 쨈 raw'!$1:$1, 0)), ""), IF(val=0, "", val))</f>
        <v/>
      </c>
      <c r="CT13" s="44" t="str">
        <f t="array" ref="CT13">LET(val, IFERROR(INDEX('Daily 쨈 raw'!$A:$Z, MATCH(CT$3, 'Daily 쨈 raw'!$A:$A, 0), MATCH($A13, 'Daily 쨈 raw'!$1:$1, 0)), ""), IF(val=0, "", val))</f>
        <v/>
      </c>
      <c r="CU13" s="44" t="str">
        <f t="array" ref="CU13">LET(val, IFERROR(INDEX('Daily 쨈 raw'!$A:$Z, MATCH(CU$3, 'Daily 쨈 raw'!$A:$A, 0), MATCH($A13, 'Daily 쨈 raw'!$1:$1, 0)), ""), IF(val=0, "", val))</f>
        <v/>
      </c>
      <c r="CV13" s="44" t="str">
        <f t="array" ref="CV13">LET(val, IFERROR(INDEX('Daily 쨈 raw'!$A:$Z, MATCH(CV$3, 'Daily 쨈 raw'!$A:$A, 0), MATCH($A13, 'Daily 쨈 raw'!$1:$1, 0)), ""), IF(val=0, "", val))</f>
        <v/>
      </c>
      <c r="CW13" s="44" t="str">
        <f t="array" ref="CW13">LET(val, IFERROR(INDEX('Daily 쨈 raw'!$A:$Z, MATCH(CW$3, 'Daily 쨈 raw'!$A:$A, 0), MATCH($A13, 'Daily 쨈 raw'!$1:$1, 0)), ""), IF(val=0, "", val))</f>
        <v/>
      </c>
      <c r="CX13" s="44" t="str">
        <f t="array" ref="CX13">LET(val, IFERROR(INDEX('Daily 쨈 raw'!$A:$Z, MATCH(CX$3, 'Daily 쨈 raw'!$A:$A, 0), MATCH($A13, 'Daily 쨈 raw'!$1:$1, 0)), ""), IF(val=0, "", val))</f>
        <v/>
      </c>
      <c r="CY13" s="44" t="str">
        <f t="array" ref="CY13">LET(val, IFERROR(INDEX('Daily 쨈 raw'!$A:$Z, MATCH(CY$3, 'Daily 쨈 raw'!$A:$A, 0), MATCH($A13, 'Daily 쨈 raw'!$1:$1, 0)), ""), IF(val=0, "", val))</f>
        <v/>
      </c>
      <c r="CZ13" s="44" t="str">
        <f t="array" ref="CZ13">LET(val, IFERROR(INDEX('Daily 쨈 raw'!$A:$Z, MATCH(CZ$3, 'Daily 쨈 raw'!$A:$A, 0), MATCH($A13, 'Daily 쨈 raw'!$1:$1, 0)), ""), IF(val=0, "", val))</f>
        <v/>
      </c>
      <c r="DA13" s="44" t="str">
        <f t="array" ref="DA13">LET(val, IFERROR(INDEX('Daily 쨈 raw'!$A:$Z, MATCH(DA$3, 'Daily 쨈 raw'!$A:$A, 0), MATCH($A13, 'Daily 쨈 raw'!$1:$1, 0)), ""), IF(val=0, "", val))</f>
        <v/>
      </c>
      <c r="DB13" s="44" t="str">
        <f t="array" ref="DB13">LET(val, IFERROR(INDEX('Daily 쨈 raw'!$A:$Z, MATCH(DB$3, 'Daily 쨈 raw'!$A:$A, 0), MATCH($A13, 'Daily 쨈 raw'!$1:$1, 0)), ""), IF(val=0, "", val))</f>
        <v/>
      </c>
      <c r="DC13" s="44" t="str">
        <f t="array" ref="DC13">LET(val, IFERROR(INDEX('Daily 쨈 raw'!$A:$Z, MATCH(DC$3, 'Daily 쨈 raw'!$A:$A, 0), MATCH($A13, 'Daily 쨈 raw'!$1:$1, 0)), ""), IF(val=0, "", val))</f>
        <v/>
      </c>
      <c r="DD13" s="44" t="str">
        <f t="array" ref="DD13">LET(val, IFERROR(INDEX('Daily 쨈 raw'!$A:$Z, MATCH(DD$3, 'Daily 쨈 raw'!$A:$A, 0), MATCH($A13, 'Daily 쨈 raw'!$1:$1, 0)), ""), IF(val=0, "", val))</f>
        <v/>
      </c>
      <c r="DE13" s="44" t="str">
        <f t="array" ref="DE13">LET(val, IFERROR(INDEX('Daily 쨈 raw'!$A:$Z, MATCH(DE$3, 'Daily 쨈 raw'!$A:$A, 0), MATCH($A13, 'Daily 쨈 raw'!$1:$1, 0)), ""), IF(val=0, "", val))</f>
        <v/>
      </c>
      <c r="DF13" s="44" t="str">
        <f t="array" ref="DF13">LET(val, IFERROR(INDEX('Daily 쨈 raw'!$A:$Z, MATCH(DF$3, 'Daily 쨈 raw'!$A:$A, 0), MATCH($A13, 'Daily 쨈 raw'!$1:$1, 0)), ""), IF(val=0, "", val))</f>
        <v/>
      </c>
      <c r="DG13" s="44" t="str">
        <f t="array" ref="DG13">LET(val, IFERROR(INDEX('Daily 쨈 raw'!$A:$Z, MATCH(DG$3, 'Daily 쨈 raw'!$A:$A, 0), MATCH($A13, 'Daily 쨈 raw'!$1:$1, 0)), ""), IF(val=0, "", val))</f>
        <v/>
      </c>
      <c r="DH13" s="44" t="str">
        <f t="array" ref="DH13">LET(val, IFERROR(INDEX('Daily 쨈 raw'!$A:$Z, MATCH(DH$3, 'Daily 쨈 raw'!$A:$A, 0), MATCH($A13, 'Daily 쨈 raw'!$1:$1, 0)), ""), IF(val=0, "", val))</f>
        <v/>
      </c>
      <c r="DI13" s="44" t="str">
        <f t="array" ref="DI13">LET(val, IFERROR(INDEX('Daily 쨈 raw'!$A:$Z, MATCH(DI$3, 'Daily 쨈 raw'!$A:$A, 0), MATCH($A13, 'Daily 쨈 raw'!$1:$1, 0)), ""), IF(val=0, "", val))</f>
        <v/>
      </c>
      <c r="DJ13" s="44" t="str">
        <f t="array" ref="DJ13">LET(val, IFERROR(INDEX('Daily 쨈 raw'!$A:$Z, MATCH(DJ$3, 'Daily 쨈 raw'!$A:$A, 0), MATCH($A13, 'Daily 쨈 raw'!$1:$1, 0)), ""), IF(val=0, "", val))</f>
        <v/>
      </c>
      <c r="DK13" s="44" t="str">
        <f t="array" ref="DK13">LET(val, IFERROR(INDEX('Daily 쨈 raw'!$A:$Z, MATCH(DK$3, 'Daily 쨈 raw'!$A:$A, 0), MATCH($A13, 'Daily 쨈 raw'!$1:$1, 0)), ""), IF(val=0, "", val))</f>
        <v/>
      </c>
      <c r="DL13" s="44" t="str">
        <f t="array" ref="DL13">LET(val, IFERROR(INDEX('Daily 쨈 raw'!$A:$Z, MATCH(DL$3, 'Daily 쨈 raw'!$A:$A, 0), MATCH($A13, 'Daily 쨈 raw'!$1:$1, 0)), ""), IF(val=0, "", val))</f>
        <v/>
      </c>
      <c r="DM13" s="44" t="str">
        <f t="array" ref="DM13">LET(val, IFERROR(INDEX('Daily 쨈 raw'!$A:$Z, MATCH(DM$3, 'Daily 쨈 raw'!$A:$A, 0), MATCH($A13, 'Daily 쨈 raw'!$1:$1, 0)), ""), IF(val=0, "", val))</f>
        <v/>
      </c>
      <c r="DN13" s="44" t="str">
        <f t="array" ref="DN13">LET(val, IFERROR(INDEX('Daily 쨈 raw'!$A:$Z, MATCH(DN$3, 'Daily 쨈 raw'!$A:$A, 0), MATCH($A13, 'Daily 쨈 raw'!$1:$1, 0)), ""), IF(val=0, "", val))</f>
        <v/>
      </c>
      <c r="DO13" s="44" t="str">
        <f t="array" ref="DO13">LET(val, IFERROR(INDEX('Daily 쨈 raw'!$A:$Z, MATCH(DO$3, 'Daily 쨈 raw'!$A:$A, 0), MATCH($A13, 'Daily 쨈 raw'!$1:$1, 0)), ""), IF(val=0, "", val))</f>
        <v/>
      </c>
      <c r="DP13" s="44" t="str">
        <f t="array" ref="DP13">LET(val, IFERROR(INDEX('Daily 쨈 raw'!$A:$Z, MATCH(DP$3, 'Daily 쨈 raw'!$A:$A, 0), MATCH($A13, 'Daily 쨈 raw'!$1:$1, 0)), ""), IF(val=0, "", val))</f>
        <v/>
      </c>
      <c r="DQ13" s="44" t="str">
        <f t="array" ref="DQ13">LET(val, IFERROR(INDEX('Daily 쨈 raw'!$A:$Z, MATCH(DQ$3, 'Daily 쨈 raw'!$A:$A, 0), MATCH($A13, 'Daily 쨈 raw'!$1:$1, 0)), ""), IF(val=0, "", val))</f>
        <v/>
      </c>
      <c r="DR13" s="44" t="str">
        <f t="array" ref="DR13">LET(val, IFERROR(INDEX('Daily 쨈 raw'!$A:$Z, MATCH(DR$3, 'Daily 쨈 raw'!$A:$A, 0), MATCH($A13, 'Daily 쨈 raw'!$1:$1, 0)), ""), IF(val=0, "", val))</f>
        <v/>
      </c>
      <c r="DS13" s="44" t="str">
        <f t="array" ref="DS13">LET(val, IFERROR(INDEX('Daily 쨈 raw'!$A:$Z, MATCH(DS$3, 'Daily 쨈 raw'!$A:$A, 0), MATCH($A13, 'Daily 쨈 raw'!$1:$1, 0)), ""), IF(val=0, "", val))</f>
        <v/>
      </c>
      <c r="DT13" s="44" t="str">
        <f t="array" ref="DT13">LET(val, IFERROR(INDEX('Daily 쨈 raw'!$A:$Z, MATCH(DT$3, 'Daily 쨈 raw'!$A:$A, 0), MATCH($A13, 'Daily 쨈 raw'!$1:$1, 0)), ""), IF(val=0, "", val))</f>
        <v/>
      </c>
      <c r="DU13" s="44" t="str">
        <f t="array" ref="DU13">LET(val, IFERROR(INDEX('Daily 쨈 raw'!$A:$Z, MATCH(DU$3, 'Daily 쨈 raw'!$A:$A, 0), MATCH($A13, 'Daily 쨈 raw'!$1:$1, 0)), ""), IF(val=0, "", val))</f>
        <v/>
      </c>
      <c r="DV13" s="44" t="str">
        <f t="array" ref="DV13">LET(val, IFERROR(INDEX('Daily 쨈 raw'!$A:$Z, MATCH(DV$3, 'Daily 쨈 raw'!$A:$A, 0), MATCH($A13, 'Daily 쨈 raw'!$1:$1, 0)), ""), IF(val=0, "", val))</f>
        <v/>
      </c>
      <c r="DW13" s="44" t="str">
        <f t="array" ref="DW13">LET(val, IFERROR(INDEX('Daily 쨈 raw'!$A:$Z, MATCH(DW$3, 'Daily 쨈 raw'!$A:$A, 0), MATCH($A13, 'Daily 쨈 raw'!$1:$1, 0)), ""), IF(val=0, "", val))</f>
        <v/>
      </c>
      <c r="DX13" s="44" t="str">
        <f t="array" ref="DX13">LET(val, IFERROR(INDEX('Daily 쨈 raw'!$A:$Z, MATCH(DX$3, 'Daily 쨈 raw'!$A:$A, 0), MATCH($A13, 'Daily 쨈 raw'!$1:$1, 0)), ""), IF(val=0, "", val))</f>
        <v/>
      </c>
      <c r="DY13" s="44" t="str">
        <f t="array" ref="DY13">LET(val, IFERROR(INDEX('Daily 쨈 raw'!$A:$Z, MATCH(DY$3, 'Daily 쨈 raw'!$A:$A, 0), MATCH($A13, 'Daily 쨈 raw'!$1:$1, 0)), ""), IF(val=0, "", val))</f>
        <v/>
      </c>
      <c r="DZ13" s="44" t="str">
        <f t="array" ref="DZ13">LET(val, IFERROR(INDEX('Daily 쨈 raw'!$A:$Z, MATCH(DZ$3, 'Daily 쨈 raw'!$A:$A, 0), MATCH($A13, 'Daily 쨈 raw'!$1:$1, 0)), ""), IF(val=0, "", val))</f>
        <v/>
      </c>
    </row>
    <row r="14" ht="22.5" customHeight="1">
      <c r="A14" s="16" t="s">
        <v>74</v>
      </c>
      <c r="B14" s="48" t="s">
        <v>75</v>
      </c>
      <c r="C14" s="44">
        <f t="array" ref="C14">LET(val, IFERROR(INDEX('Daily 쨈 raw'!$A:$Z, MATCH(C$3, 'Daily 쨈 raw'!$A:$A, 0), MATCH($A14, 'Daily 쨈 raw'!$1:$1, 0)), ""), IF(val=0, "", val))</f>
        <v>4286</v>
      </c>
      <c r="D14" s="44">
        <f t="array" ref="D14">LET(val, IFERROR(INDEX('Daily 쨈 raw'!$A:$Z, MATCH(D$3, 'Daily 쨈 raw'!$A:$A, 0), MATCH($A14, 'Daily 쨈 raw'!$1:$1, 0)), ""), IF(val=0, "", val))</f>
        <v>4843</v>
      </c>
      <c r="E14" s="44">
        <f t="array" ref="E14">LET(val, IFERROR(INDEX('Daily 쨈 raw'!$A:$Z, MATCH(E$3, 'Daily 쨈 raw'!$A:$A, 0), MATCH($A14, 'Daily 쨈 raw'!$1:$1, 0)), ""), IF(val=0, "", val))</f>
        <v>4329</v>
      </c>
      <c r="F14" s="44">
        <f t="array" ref="F14">LET(val, IFERROR(INDEX('Daily 쨈 raw'!$A:$Z, MATCH(F$3, 'Daily 쨈 raw'!$A:$A, 0), MATCH($A14, 'Daily 쨈 raw'!$1:$1, 0)), ""), IF(val=0, "", val))</f>
        <v>4289</v>
      </c>
      <c r="G14" s="44">
        <f t="array" ref="G14">LET(val, IFERROR(INDEX('Daily 쨈 raw'!$A:$Z, MATCH(G$3, 'Daily 쨈 raw'!$A:$A, 0), MATCH($A14, 'Daily 쨈 raw'!$1:$1, 0)), ""), IF(val=0, "", val))</f>
        <v>4324</v>
      </c>
      <c r="H14" s="44">
        <f t="array" ref="H14">LET(val, IFERROR(INDEX('Daily 쨈 raw'!$A:$Z, MATCH(H$3, 'Daily 쨈 raw'!$A:$A, 0), MATCH($A14, 'Daily 쨈 raw'!$1:$1, 0)), ""), IF(val=0, "", val))</f>
        <v>3556</v>
      </c>
      <c r="I14" s="44">
        <f t="array" ref="I14">LET(val, IFERROR(INDEX('Daily 쨈 raw'!$A:$Z, MATCH(I$3, 'Daily 쨈 raw'!$A:$A, 0), MATCH($A14, 'Daily 쨈 raw'!$1:$1, 0)), ""), IF(val=0, "", val))</f>
        <v>4113</v>
      </c>
      <c r="J14" s="44">
        <f t="array" ref="J14">LET(val, IFERROR(INDEX('Daily 쨈 raw'!$A:$Z, MATCH(J$3, 'Daily 쨈 raw'!$A:$A, 0), MATCH($A14, 'Daily 쨈 raw'!$1:$1, 0)), ""), IF(val=0, "", val))</f>
        <v>3398</v>
      </c>
      <c r="K14" s="44">
        <f t="array" ref="K14">LET(val, IFERROR(INDEX('Daily 쨈 raw'!$A:$Z, MATCH(K$3, 'Daily 쨈 raw'!$A:$A, 0), MATCH($A14, 'Daily 쨈 raw'!$1:$1, 0)), ""), IF(val=0, "", val))</f>
        <v>3436</v>
      </c>
      <c r="L14" s="44">
        <f t="array" ref="L14">LET(val, IFERROR(INDEX('Daily 쨈 raw'!$A:$Z, MATCH(L$3, 'Daily 쨈 raw'!$A:$A, 0), MATCH($A14, 'Daily 쨈 raw'!$1:$1, 0)), ""), IF(val=0, "", val))</f>
        <v>3025</v>
      </c>
      <c r="M14" s="44">
        <f t="array" ref="M14">LET(val, IFERROR(INDEX('Daily 쨈 raw'!$A:$Z, MATCH(M$3, 'Daily 쨈 raw'!$A:$A, 0), MATCH($A14, 'Daily 쨈 raw'!$1:$1, 0)), ""), IF(val=0, "", val))</f>
        <v>2642</v>
      </c>
      <c r="N14" s="44">
        <f t="array" ref="N14">LET(val, IFERROR(INDEX('Daily 쨈 raw'!$A:$Z, MATCH(N$3, 'Daily 쨈 raw'!$A:$A, 0), MATCH($A14, 'Daily 쨈 raw'!$1:$1, 0)), ""), IF(val=0, "", val))</f>
        <v>2609</v>
      </c>
      <c r="O14" s="44">
        <f t="array" ref="O14">LET(val, IFERROR(INDEX('Daily 쨈 raw'!$A:$Z, MATCH(O$3, 'Daily 쨈 raw'!$A:$A, 0), MATCH($A14, 'Daily 쨈 raw'!$1:$1, 0)), ""), IF(val=0, "", val))</f>
        <v>2298</v>
      </c>
      <c r="P14" s="44">
        <f t="array" ref="P14">LET(val, IFERROR(INDEX('Daily 쨈 raw'!$A:$Z, MATCH(P$3, 'Daily 쨈 raw'!$A:$A, 0), MATCH($A14, 'Daily 쨈 raw'!$1:$1, 0)), ""), IF(val=0, "", val))</f>
        <v>2552</v>
      </c>
      <c r="Q14" s="44">
        <f t="array" ref="Q14">LET(val, IFERROR(INDEX('Daily 쨈 raw'!$A:$Z, MATCH(Q$3, 'Daily 쨈 raw'!$A:$A, 0), MATCH($A14, 'Daily 쨈 raw'!$1:$1, 0)), ""), IF(val=0, "", val))</f>
        <v>1921</v>
      </c>
      <c r="R14" s="44">
        <f t="array" ref="R14">LET(val, IFERROR(INDEX('Daily 쨈 raw'!$A:$Z, MATCH(R$3, 'Daily 쨈 raw'!$A:$A, 0), MATCH($A14, 'Daily 쨈 raw'!$1:$1, 0)), ""), IF(val=0, "", val))</f>
        <v>2516</v>
      </c>
      <c r="S14" s="44">
        <f t="array" ref="S14">LET(val, IFERROR(INDEX('Daily 쨈 raw'!$A:$Z, MATCH(S$3, 'Daily 쨈 raw'!$A:$A, 0), MATCH($A14, 'Daily 쨈 raw'!$1:$1, 0)), ""), IF(val=0, "", val))</f>
        <v>2452</v>
      </c>
      <c r="T14" s="44">
        <f t="array" ref="T14">LET(val, IFERROR(INDEX('Daily 쨈 raw'!$A:$Z, MATCH(T$3, 'Daily 쨈 raw'!$A:$A, 0), MATCH($A14, 'Daily 쨈 raw'!$1:$1, 0)), ""), IF(val=0, "", val))</f>
        <v>2202</v>
      </c>
      <c r="U14" s="44">
        <f t="array" ref="U14">LET(val, IFERROR(INDEX('Daily 쨈 raw'!$A:$Z, MATCH(U$3, 'Daily 쨈 raw'!$A:$A, 0), MATCH($A14, 'Daily 쨈 raw'!$1:$1, 0)), ""), IF(val=0, "", val))</f>
        <v>2097</v>
      </c>
      <c r="V14" s="44">
        <f t="array" ref="V14">LET(val, IFERROR(INDEX('Daily 쨈 raw'!$A:$Z, MATCH(V$3, 'Daily 쨈 raw'!$A:$A, 0), MATCH($A14, 'Daily 쨈 raw'!$1:$1, 0)), ""), IF(val=0, "", val))</f>
        <v>1807</v>
      </c>
      <c r="W14" s="44">
        <f t="array" ref="W14">LET(val, IFERROR(INDEX('Daily 쨈 raw'!$A:$Z, MATCH(W$3, 'Daily 쨈 raw'!$A:$A, 0), MATCH($A14, 'Daily 쨈 raw'!$1:$1, 0)), ""), IF(val=0, "", val))</f>
        <v>2700</v>
      </c>
      <c r="X14" s="44">
        <f t="array" ref="X14">LET(val, IFERROR(INDEX('Daily 쨈 raw'!$A:$Z, MATCH(X$3, 'Daily 쨈 raw'!$A:$A, 0), MATCH($A14, 'Daily 쨈 raw'!$1:$1, 0)), ""), IF(val=0, "", val))</f>
        <v>2143</v>
      </c>
      <c r="Y14" s="44">
        <f t="array" ref="Y14">LET(val, IFERROR(INDEX('Daily 쨈 raw'!$A:$Z, MATCH(Y$3, 'Daily 쨈 raw'!$A:$A, 0), MATCH($A14, 'Daily 쨈 raw'!$1:$1, 0)), ""), IF(val=0, "", val))</f>
        <v>1648</v>
      </c>
      <c r="Z14" s="44">
        <f t="array" ref="Z14">LET(val, IFERROR(INDEX('Daily 쨈 raw'!$A:$Z, MATCH(Z$3, 'Daily 쨈 raw'!$A:$A, 0), MATCH($A14, 'Daily 쨈 raw'!$1:$1, 0)), ""), IF(val=0, "", val))</f>
        <v>1630</v>
      </c>
      <c r="AA14" s="44">
        <f t="array" ref="AA14">LET(val, IFERROR(INDEX('Daily 쨈 raw'!$A:$Z, MATCH(AA$3, 'Daily 쨈 raw'!$A:$A, 0), MATCH($A14, 'Daily 쨈 raw'!$1:$1, 0)), ""), IF(val=0, "", val))</f>
        <v>1506</v>
      </c>
      <c r="AB14" s="44">
        <f t="array" ref="AB14">LET(val, IFERROR(INDEX('Daily 쨈 raw'!$A:$Z, MATCH(AB$3, 'Daily 쨈 raw'!$A:$A, 0), MATCH($A14, 'Daily 쨈 raw'!$1:$1, 0)), ""), IF(val=0, "", val))</f>
        <v>1180</v>
      </c>
      <c r="AC14" s="44">
        <f t="array" ref="AC14">LET(val, IFERROR(INDEX('Daily 쨈 raw'!$A:$Z, MATCH(AC$3, 'Daily 쨈 raw'!$A:$A, 0), MATCH($A14, 'Daily 쨈 raw'!$1:$1, 0)), ""), IF(val=0, "", val))</f>
        <v>1361</v>
      </c>
      <c r="AD14" s="44">
        <f t="array" ref="AD14">LET(val, IFERROR(INDEX('Daily 쨈 raw'!$A:$Z, MATCH(AD$3, 'Daily 쨈 raw'!$A:$A, 0), MATCH($A14, 'Daily 쨈 raw'!$1:$1, 0)), ""), IF(val=0, "", val))</f>
        <v>1476</v>
      </c>
      <c r="AE14" s="44">
        <f t="array" ref="AE14">LET(val, IFERROR(INDEX('Daily 쨈 raw'!$A:$Z, MATCH(AE$3, 'Daily 쨈 raw'!$A:$A, 0), MATCH($A14, 'Daily 쨈 raw'!$1:$1, 0)), ""), IF(val=0, "", val))</f>
        <v>1485</v>
      </c>
      <c r="AF14" s="44">
        <f t="array" ref="AF14">LET(val, IFERROR(INDEX('Daily 쨈 raw'!$A:$Z, MATCH(AF$3, 'Daily 쨈 raw'!$A:$A, 0), MATCH($A14, 'Daily 쨈 raw'!$1:$1, 0)), ""), IF(val=0, "", val))</f>
        <v>1402</v>
      </c>
      <c r="AG14" s="44">
        <f t="array" ref="AG14">LET(val, IFERROR(INDEX('Daily 쨈 raw'!$A:$Z, MATCH(AG$3, 'Daily 쨈 raw'!$A:$A, 0), MATCH($A14, 'Daily 쨈 raw'!$1:$1, 0)), ""), IF(val=0, "", val))</f>
        <v>3108</v>
      </c>
      <c r="AH14" s="44">
        <f t="array" ref="AH14">LET(val, IFERROR(INDEX('Daily 쨈 raw'!$A:$Z, MATCH(AH$3, 'Daily 쨈 raw'!$A:$A, 0), MATCH($A14, 'Daily 쨈 raw'!$1:$1, 0)), ""), IF(val=0, "", val))</f>
        <v>3606</v>
      </c>
      <c r="AI14" s="44">
        <f t="array" ref="AI14">LET(val, IFERROR(INDEX('Daily 쨈 raw'!$A:$Z, MATCH(AI$3, 'Daily 쨈 raw'!$A:$A, 0), MATCH($A14, 'Daily 쨈 raw'!$1:$1, 0)), ""), IF(val=0, "", val))</f>
        <v>1752</v>
      </c>
      <c r="AJ14" s="44">
        <f t="array" ref="AJ14">LET(val, IFERROR(INDEX('Daily 쨈 raw'!$A:$Z, MATCH(AJ$3, 'Daily 쨈 raw'!$A:$A, 0), MATCH($A14, 'Daily 쨈 raw'!$1:$1, 0)), ""), IF(val=0, "", val))</f>
        <v>1710</v>
      </c>
      <c r="AK14" s="44">
        <f t="array" ref="AK14">LET(val, IFERROR(INDEX('Daily 쨈 raw'!$A:$Z, MATCH(AK$3, 'Daily 쨈 raw'!$A:$A, 0), MATCH($A14, 'Daily 쨈 raw'!$1:$1, 0)), ""), IF(val=0, "", val))</f>
        <v>1861</v>
      </c>
      <c r="AL14" s="44">
        <f t="array" ref="AL14">LET(val, IFERROR(INDEX('Daily 쨈 raw'!$A:$Z, MATCH(AL$3, 'Daily 쨈 raw'!$A:$A, 0), MATCH($A14, 'Daily 쨈 raw'!$1:$1, 0)), ""), IF(val=0, "", val))</f>
        <v>1648</v>
      </c>
      <c r="AM14" s="44">
        <f t="array" ref="AM14">LET(val, IFERROR(INDEX('Daily 쨈 raw'!$A:$Z, MATCH(AM$3, 'Daily 쨈 raw'!$A:$A, 0), MATCH($A14, 'Daily 쨈 raw'!$1:$1, 0)), ""), IF(val=0, "", val))</f>
        <v>1748</v>
      </c>
      <c r="AN14" s="44">
        <f t="array" ref="AN14">LET(val, IFERROR(INDEX('Daily 쨈 raw'!$A:$Z, MATCH(AN$3, 'Daily 쨈 raw'!$A:$A, 0), MATCH($A14, 'Daily 쨈 raw'!$1:$1, 0)), ""), IF(val=0, "", val))</f>
        <v>1774</v>
      </c>
      <c r="AO14" s="44">
        <f t="array" ref="AO14">LET(val, IFERROR(INDEX('Daily 쨈 raw'!$A:$Z, MATCH(AO$3, 'Daily 쨈 raw'!$A:$A, 0), MATCH($A14, 'Daily 쨈 raw'!$1:$1, 0)), ""), IF(val=0, "", val))</f>
        <v>2605</v>
      </c>
      <c r="AP14" s="44">
        <f t="array" ref="AP14">LET(val, IFERROR(INDEX('Daily 쨈 raw'!$A:$Z, MATCH(AP$3, 'Daily 쨈 raw'!$A:$A, 0), MATCH($A14, 'Daily 쨈 raw'!$1:$1, 0)), ""), IF(val=0, "", val))</f>
        <v>1373</v>
      </c>
      <c r="AQ14" s="44">
        <f t="array" ref="AQ14">LET(val, IFERROR(INDEX('Daily 쨈 raw'!$A:$Z, MATCH(AQ$3, 'Daily 쨈 raw'!$A:$A, 0), MATCH($A14, 'Daily 쨈 raw'!$1:$1, 0)), ""), IF(val=0, "", val))</f>
        <v>1976</v>
      </c>
      <c r="AR14" s="44">
        <f t="array" ref="AR14">LET(val, IFERROR(INDEX('Daily 쨈 raw'!$A:$Z, MATCH(AR$3, 'Daily 쨈 raw'!$A:$A, 0), MATCH($A14, 'Daily 쨈 raw'!$1:$1, 0)), ""), IF(val=0, "", val))</f>
        <v>1786</v>
      </c>
      <c r="AS14" s="44">
        <f t="array" ref="AS14">LET(val, IFERROR(INDEX('Daily 쨈 raw'!$A:$Z, MATCH(AS$3, 'Daily 쨈 raw'!$A:$A, 0), MATCH($A14, 'Daily 쨈 raw'!$1:$1, 0)), ""), IF(val=0, "", val))</f>
        <v>1347</v>
      </c>
      <c r="AT14" s="44">
        <f t="array" ref="AT14">LET(val, IFERROR(INDEX('Daily 쨈 raw'!$A:$Z, MATCH(AT$3, 'Daily 쨈 raw'!$A:$A, 0), MATCH($A14, 'Daily 쨈 raw'!$1:$1, 0)), ""), IF(val=0, "", val))</f>
        <v>1323</v>
      </c>
      <c r="AU14" s="44">
        <f t="array" ref="AU14">LET(val, IFERROR(INDEX('Daily 쨈 raw'!$A:$Z, MATCH(AU$3, 'Daily 쨈 raw'!$A:$A, 0), MATCH($A14, 'Daily 쨈 raw'!$1:$1, 0)), ""), IF(val=0, "", val))</f>
        <v>1387</v>
      </c>
      <c r="AV14" s="44">
        <f t="array" ref="AV14">LET(val, IFERROR(INDEX('Daily 쨈 raw'!$A:$Z, MATCH(AV$3, 'Daily 쨈 raw'!$A:$A, 0), MATCH($A14, 'Daily 쨈 raw'!$1:$1, 0)), ""), IF(val=0, "", val))</f>
        <v>1244</v>
      </c>
      <c r="AW14" s="44">
        <f t="array" ref="AW14">LET(val, IFERROR(INDEX('Daily 쨈 raw'!$A:$Z, MATCH(AW$3, 'Daily 쨈 raw'!$A:$A, 0), MATCH($A14, 'Daily 쨈 raw'!$1:$1, 0)), ""), IF(val=0, "", val))</f>
        <v>1128</v>
      </c>
      <c r="AX14" s="44">
        <f t="array" ref="AX14">LET(val, IFERROR(INDEX('Daily 쨈 raw'!$A:$Z, MATCH(AX$3, 'Daily 쨈 raw'!$A:$A, 0), MATCH($A14, 'Daily 쨈 raw'!$1:$1, 0)), ""), IF(val=0, "", val))</f>
        <v>1355</v>
      </c>
      <c r="AY14" s="44">
        <f t="array" ref="AY14">LET(val, IFERROR(INDEX('Daily 쨈 raw'!$A:$Z, MATCH(AY$3, 'Daily 쨈 raw'!$A:$A, 0), MATCH($A14, 'Daily 쨈 raw'!$1:$1, 0)), ""), IF(val=0, "", val))</f>
        <v>1420</v>
      </c>
      <c r="AZ14" s="44">
        <f t="array" ref="AZ14">LET(val, IFERROR(INDEX('Daily 쨈 raw'!$A:$Z, MATCH(AZ$3, 'Daily 쨈 raw'!$A:$A, 0), MATCH($A14, 'Daily 쨈 raw'!$1:$1, 0)), ""), IF(val=0, "", val))</f>
        <v>1294</v>
      </c>
      <c r="BA14" s="44">
        <f t="array" ref="BA14">LET(val, IFERROR(INDEX('Daily 쨈 raw'!$A:$Z, MATCH(BA$3, 'Daily 쨈 raw'!$A:$A, 0), MATCH($A14, 'Daily 쨈 raw'!$1:$1, 0)), ""), IF(val=0, "", val))</f>
        <v>1207</v>
      </c>
      <c r="BB14" s="44">
        <f t="array" ref="BB14">LET(val, IFERROR(INDEX('Daily 쨈 raw'!$A:$Z, MATCH(BB$3, 'Daily 쨈 raw'!$A:$A, 0), MATCH($A14, 'Daily 쨈 raw'!$1:$1, 0)), ""), IF(val=0, "", val))</f>
        <v>1122</v>
      </c>
      <c r="BC14" s="44">
        <f t="array" ref="BC14">LET(val, IFERROR(INDEX('Daily 쨈 raw'!$A:$Z, MATCH(BC$3, 'Daily 쨈 raw'!$A:$A, 0), MATCH($A14, 'Daily 쨈 raw'!$1:$1, 0)), ""), IF(val=0, "", val))</f>
        <v>773</v>
      </c>
      <c r="BD14" s="44">
        <f t="array" ref="BD14">LET(val, IFERROR(INDEX('Daily 쨈 raw'!$A:$Z, MATCH(BD$3, 'Daily 쨈 raw'!$A:$A, 0), MATCH($A14, 'Daily 쨈 raw'!$1:$1, 0)), ""), IF(val=0, "", val))</f>
        <v>896</v>
      </c>
      <c r="BE14" s="44">
        <f t="array" ref="BE14">LET(val, IFERROR(INDEX('Daily 쨈 raw'!$A:$Z, MATCH(BE$3, 'Daily 쨈 raw'!$A:$A, 0), MATCH($A14, 'Daily 쨈 raw'!$1:$1, 0)), ""), IF(val=0, "", val))</f>
        <v>1269</v>
      </c>
      <c r="BF14" s="44">
        <f t="array" ref="BF14">LET(val, IFERROR(INDEX('Daily 쨈 raw'!$A:$Z, MATCH(BF$3, 'Daily 쨈 raw'!$A:$A, 0), MATCH($A14, 'Daily 쨈 raw'!$1:$1, 0)), ""), IF(val=0, "", val))</f>
        <v>887</v>
      </c>
      <c r="BG14" s="44">
        <f t="array" ref="BG14">LET(val, IFERROR(INDEX('Daily 쨈 raw'!$A:$Z, MATCH(BG$3, 'Daily 쨈 raw'!$A:$A, 0), MATCH($A14, 'Daily 쨈 raw'!$1:$1, 0)), ""), IF(val=0, "", val))</f>
        <v>1017</v>
      </c>
      <c r="BH14" s="44">
        <f t="array" ref="BH14">LET(val, IFERROR(INDEX('Daily 쨈 raw'!$A:$Z, MATCH(BH$3, 'Daily 쨈 raw'!$A:$A, 0), MATCH($A14, 'Daily 쨈 raw'!$1:$1, 0)), ""), IF(val=0, "", val))</f>
        <v>993</v>
      </c>
      <c r="BI14" s="44">
        <f t="array" ref="BI14">LET(val, IFERROR(INDEX('Daily 쨈 raw'!$A:$Z, MATCH(BI$3, 'Daily 쨈 raw'!$A:$A, 0), MATCH($A14, 'Daily 쨈 raw'!$1:$1, 0)), ""), IF(val=0, "", val))</f>
        <v>988</v>
      </c>
      <c r="BJ14" s="44">
        <f t="array" ref="BJ14">LET(val, IFERROR(INDEX('Daily 쨈 raw'!$A:$Z, MATCH(BJ$3, 'Daily 쨈 raw'!$A:$A, 0), MATCH($A14, 'Daily 쨈 raw'!$1:$1, 0)), ""), IF(val=0, "", val))</f>
        <v>1114</v>
      </c>
      <c r="BK14" s="44">
        <f t="array" ref="BK14">LET(val, IFERROR(INDEX('Daily 쨈 raw'!$A:$Z, MATCH(BK$3, 'Daily 쨈 raw'!$A:$A, 0), MATCH($A14, 'Daily 쨈 raw'!$1:$1, 0)), ""), IF(val=0, "", val))</f>
        <v>1186</v>
      </c>
      <c r="BL14" s="44">
        <f t="array" ref="BL14">LET(val, IFERROR(INDEX('Daily 쨈 raw'!$A:$Z, MATCH(BL$3, 'Daily 쨈 raw'!$A:$A, 0), MATCH($A14, 'Daily 쨈 raw'!$1:$1, 0)), ""), IF(val=0, "", val))</f>
        <v>1262</v>
      </c>
      <c r="BM14" s="44">
        <f t="array" ref="BM14">LET(val, IFERROR(INDEX('Daily 쨈 raw'!$A:$Z, MATCH(BM$3, 'Daily 쨈 raw'!$A:$A, 0), MATCH($A14, 'Daily 쨈 raw'!$1:$1, 0)), ""), IF(val=0, "", val))</f>
        <v>1276</v>
      </c>
      <c r="BN14" s="44">
        <f t="array" ref="BN14">LET(val, IFERROR(INDEX('Daily 쨈 raw'!$A:$Z, MATCH(BN$3, 'Daily 쨈 raw'!$A:$A, 0), MATCH($A14, 'Daily 쨈 raw'!$1:$1, 0)), ""), IF(val=0, "", val))</f>
        <v>714</v>
      </c>
      <c r="BO14" s="44">
        <f t="array" ref="BO14">LET(val, IFERROR(INDEX('Daily 쨈 raw'!$A:$Z, MATCH(BO$3, 'Daily 쨈 raw'!$A:$A, 0), MATCH($A14, 'Daily 쨈 raw'!$1:$1, 0)), ""), IF(val=0, "", val))</f>
        <v>1354</v>
      </c>
      <c r="BP14" s="44">
        <f t="array" ref="BP14">LET(val, IFERROR(INDEX('Daily 쨈 raw'!$A:$Z, MATCH(BP$3, 'Daily 쨈 raw'!$A:$A, 0), MATCH($A14, 'Daily 쨈 raw'!$1:$1, 0)), ""), IF(val=0, "", val))</f>
        <v>1457</v>
      </c>
      <c r="BQ14" s="44">
        <f t="array" ref="BQ14">LET(val, IFERROR(INDEX('Daily 쨈 raw'!$A:$Z, MATCH(BQ$3, 'Daily 쨈 raw'!$A:$A, 0), MATCH($A14, 'Daily 쨈 raw'!$1:$1, 0)), ""), IF(val=0, "", val))</f>
        <v>1077</v>
      </c>
      <c r="BR14" s="44">
        <f t="array" ref="BR14">LET(val, IFERROR(INDEX('Daily 쨈 raw'!$A:$Z, MATCH(BR$3, 'Daily 쨈 raw'!$A:$A, 0), MATCH($A14, 'Daily 쨈 raw'!$1:$1, 0)), ""), IF(val=0, "", val))</f>
        <v>729</v>
      </c>
      <c r="BS14" s="44">
        <f t="array" ref="BS14">LET(val, IFERROR(INDEX('Daily 쨈 raw'!$A:$Z, MATCH(BS$3, 'Daily 쨈 raw'!$A:$A, 0), MATCH($A14, 'Daily 쨈 raw'!$1:$1, 0)), ""), IF(val=0, "", val))</f>
        <v>1225</v>
      </c>
      <c r="BT14" s="44">
        <f t="array" ref="BT14">LET(val, IFERROR(INDEX('Daily 쨈 raw'!$A:$Z, MATCH(BT$3, 'Daily 쨈 raw'!$A:$A, 0), MATCH($A14, 'Daily 쨈 raw'!$1:$1, 0)), ""), IF(val=0, "", val))</f>
        <v>1284</v>
      </c>
      <c r="BU14" s="44">
        <f t="array" ref="BU14">LET(val, IFERROR(INDEX('Daily 쨈 raw'!$A:$Z, MATCH(BU$3, 'Daily 쨈 raw'!$A:$A, 0), MATCH($A14, 'Daily 쨈 raw'!$1:$1, 0)), ""), IF(val=0, "", val))</f>
        <v>1169</v>
      </c>
      <c r="BV14" s="44">
        <f t="array" ref="BV14">LET(val, IFERROR(INDEX('Daily 쨈 raw'!$A:$Z, MATCH(BV$3, 'Daily 쨈 raw'!$A:$A, 0), MATCH($A14, 'Daily 쨈 raw'!$1:$1, 0)), ""), IF(val=0, "", val))</f>
        <v>1114</v>
      </c>
      <c r="BW14" s="44">
        <f t="array" ref="BW14">LET(val, IFERROR(INDEX('Daily 쨈 raw'!$A:$Z, MATCH(BW$3, 'Daily 쨈 raw'!$A:$A, 0), MATCH($A14, 'Daily 쨈 raw'!$1:$1, 0)), ""), IF(val=0, "", val))</f>
        <v>971</v>
      </c>
      <c r="BX14" s="44">
        <f t="array" ref="BX14">LET(val, IFERROR(INDEX('Daily 쨈 raw'!$A:$Z, MATCH(BX$3, 'Daily 쨈 raw'!$A:$A, 0), MATCH($A14, 'Daily 쨈 raw'!$1:$1, 0)), ""), IF(val=0, "", val))</f>
        <v>931</v>
      </c>
      <c r="BY14" s="44">
        <f t="array" ref="BY14">LET(val, IFERROR(INDEX('Daily 쨈 raw'!$A:$Z, MATCH(BY$3, 'Daily 쨈 raw'!$A:$A, 0), MATCH($A14, 'Daily 쨈 raw'!$1:$1, 0)), ""), IF(val=0, "", val))</f>
        <v>1130</v>
      </c>
      <c r="BZ14" s="44">
        <f t="array" ref="BZ14">LET(val, IFERROR(INDEX('Daily 쨈 raw'!$A:$Z, MATCH(BZ$3, 'Daily 쨈 raw'!$A:$A, 0), MATCH($A14, 'Daily 쨈 raw'!$1:$1, 0)), ""), IF(val=0, "", val))</f>
        <v>1105</v>
      </c>
      <c r="CA14" s="44">
        <f t="array" ref="CA14">LET(val, IFERROR(INDEX('Daily 쨈 raw'!$A:$Z, MATCH(CA$3, 'Daily 쨈 raw'!$A:$A, 0), MATCH($A14, 'Daily 쨈 raw'!$1:$1, 0)), ""), IF(val=0, "", val))</f>
        <v>1142</v>
      </c>
      <c r="CB14" s="44">
        <f t="array" ref="CB14">LET(val, IFERROR(INDEX('Daily 쨈 raw'!$A:$Z, MATCH(CB$3, 'Daily 쨈 raw'!$A:$A, 0), MATCH($A14, 'Daily 쨈 raw'!$1:$1, 0)), ""), IF(val=0, "", val))</f>
        <v>763</v>
      </c>
      <c r="CC14" s="44">
        <f t="array" ref="CC14">LET(val, IFERROR(INDEX('Daily 쨈 raw'!$A:$Z, MATCH(CC$3, 'Daily 쨈 raw'!$A:$A, 0), MATCH($A14, 'Daily 쨈 raw'!$1:$1, 0)), ""), IF(val=0, "", val))</f>
        <v>936</v>
      </c>
      <c r="CD14" s="44">
        <f t="array" ref="CD14">LET(val, IFERROR(INDEX('Daily 쨈 raw'!$A:$Z, MATCH(CD$3, 'Daily 쨈 raw'!$A:$A, 0), MATCH($A14, 'Daily 쨈 raw'!$1:$1, 0)), ""), IF(val=0, "", val))</f>
        <v>929</v>
      </c>
      <c r="CE14" s="44">
        <f t="array" ref="CE14">LET(val, IFERROR(INDEX('Daily 쨈 raw'!$A:$Z, MATCH(CE$3, 'Daily 쨈 raw'!$A:$A, 0), MATCH($A14, 'Daily 쨈 raw'!$1:$1, 0)), ""), IF(val=0, "", val))</f>
        <v>1001</v>
      </c>
      <c r="CF14" s="44">
        <f t="array" ref="CF14">LET(val, IFERROR(INDEX('Daily 쨈 raw'!$A:$Z, MATCH(CF$3, 'Daily 쨈 raw'!$A:$A, 0), MATCH($A14, 'Daily 쨈 raw'!$1:$1, 0)), ""), IF(val=0, "", val))</f>
        <v>999</v>
      </c>
      <c r="CG14" s="44">
        <f t="array" ref="CG14">LET(val, IFERROR(INDEX('Daily 쨈 raw'!$A:$Z, MATCH(CG$3, 'Daily 쨈 raw'!$A:$A, 0), MATCH($A14, 'Daily 쨈 raw'!$1:$1, 0)), ""), IF(val=0, "", val))</f>
        <v>1060</v>
      </c>
      <c r="CH14" s="44">
        <f t="array" ref="CH14">LET(val, IFERROR(INDEX('Daily 쨈 raw'!$A:$Z, MATCH(CH$3, 'Daily 쨈 raw'!$A:$A, 0), MATCH($A14, 'Daily 쨈 raw'!$1:$1, 0)), ""), IF(val=0, "", val))</f>
        <v>938</v>
      </c>
      <c r="CI14" s="44">
        <f t="array" ref="CI14">LET(val, IFERROR(INDEX('Daily 쨈 raw'!$A:$Z, MATCH(CI$3, 'Daily 쨈 raw'!$A:$A, 0), MATCH($A14, 'Daily 쨈 raw'!$1:$1, 0)), ""), IF(val=0, "", val))</f>
        <v>922</v>
      </c>
      <c r="CJ14" s="44">
        <f t="array" ref="CJ14">LET(val, IFERROR(INDEX('Daily 쨈 raw'!$A:$Z, MATCH(CJ$3, 'Daily 쨈 raw'!$A:$A, 0), MATCH($A14, 'Daily 쨈 raw'!$1:$1, 0)), ""), IF(val=0, "", val))</f>
        <v>1173</v>
      </c>
      <c r="CK14" s="44">
        <f t="array" ref="CK14">LET(val, IFERROR(INDEX('Daily 쨈 raw'!$A:$Z, MATCH(CK$3, 'Daily 쨈 raw'!$A:$A, 0), MATCH($A14, 'Daily 쨈 raw'!$1:$1, 0)), ""), IF(val=0, "", val))</f>
        <v>1335</v>
      </c>
      <c r="CL14" s="44">
        <f t="array" ref="CL14">LET(val, IFERROR(INDEX('Daily 쨈 raw'!$A:$Z, MATCH(CL$3, 'Daily 쨈 raw'!$A:$A, 0), MATCH($A14, 'Daily 쨈 raw'!$1:$1, 0)), ""), IF(val=0, "", val))</f>
        <v>968</v>
      </c>
      <c r="CM14" s="44">
        <f t="array" ref="CM14">LET(val, IFERROR(INDEX('Daily 쨈 raw'!$A:$Z, MATCH(CM$3, 'Daily 쨈 raw'!$A:$A, 0), MATCH($A14, 'Daily 쨈 raw'!$1:$1, 0)), ""), IF(val=0, "", val))</f>
        <v>1187</v>
      </c>
      <c r="CN14" s="44">
        <f t="array" ref="CN14">LET(val, IFERROR(INDEX('Daily 쨈 raw'!$A:$Z, MATCH(CN$3, 'Daily 쨈 raw'!$A:$A, 0), MATCH($A14, 'Daily 쨈 raw'!$1:$1, 0)), ""), IF(val=0, "", val))</f>
        <v>1046</v>
      </c>
      <c r="CO14" s="44">
        <f t="array" ref="CO14">LET(val, IFERROR(INDEX('Daily 쨈 raw'!$A:$Z, MATCH(CO$3, 'Daily 쨈 raw'!$A:$A, 0), MATCH($A14, 'Daily 쨈 raw'!$1:$1, 0)), ""), IF(val=0, "", val))</f>
        <v>1333</v>
      </c>
      <c r="CP14" s="44">
        <f t="array" ref="CP14">LET(val, IFERROR(INDEX('Daily 쨈 raw'!$A:$Z, MATCH(CP$3, 'Daily 쨈 raw'!$A:$A, 0), MATCH($A14, 'Daily 쨈 raw'!$1:$1, 0)), ""), IF(val=0, "", val))</f>
        <v>634</v>
      </c>
      <c r="CQ14" s="44" t="str">
        <f t="array" ref="CQ14">LET(val, IFERROR(INDEX('Daily 쨈 raw'!$A:$Z, MATCH(CQ$3, 'Daily 쨈 raw'!$A:$A, 0), MATCH($A14, 'Daily 쨈 raw'!$1:$1, 0)), ""), IF(val=0, "", val))</f>
        <v/>
      </c>
      <c r="CR14" s="44" t="str">
        <f t="array" ref="CR14">LET(val, IFERROR(INDEX('Daily 쨈 raw'!$A:$Z, MATCH(CR$3, 'Daily 쨈 raw'!$A:$A, 0), MATCH($A14, 'Daily 쨈 raw'!$1:$1, 0)), ""), IF(val=0, "", val))</f>
        <v/>
      </c>
      <c r="CS14" s="44" t="str">
        <f t="array" ref="CS14">LET(val, IFERROR(INDEX('Daily 쨈 raw'!$A:$Z, MATCH(CS$3, 'Daily 쨈 raw'!$A:$A, 0), MATCH($A14, 'Daily 쨈 raw'!$1:$1, 0)), ""), IF(val=0, "", val))</f>
        <v/>
      </c>
      <c r="CT14" s="44" t="str">
        <f t="array" ref="CT14">LET(val, IFERROR(INDEX('Daily 쨈 raw'!$A:$Z, MATCH(CT$3, 'Daily 쨈 raw'!$A:$A, 0), MATCH($A14, 'Daily 쨈 raw'!$1:$1, 0)), ""), IF(val=0, "", val))</f>
        <v/>
      </c>
      <c r="CU14" s="44" t="str">
        <f t="array" ref="CU14">LET(val, IFERROR(INDEX('Daily 쨈 raw'!$A:$Z, MATCH(CU$3, 'Daily 쨈 raw'!$A:$A, 0), MATCH($A14, 'Daily 쨈 raw'!$1:$1, 0)), ""), IF(val=0, "", val))</f>
        <v/>
      </c>
      <c r="CV14" s="44" t="str">
        <f t="array" ref="CV14">LET(val, IFERROR(INDEX('Daily 쨈 raw'!$A:$Z, MATCH(CV$3, 'Daily 쨈 raw'!$A:$A, 0), MATCH($A14, 'Daily 쨈 raw'!$1:$1, 0)), ""), IF(val=0, "", val))</f>
        <v/>
      </c>
      <c r="CW14" s="44" t="str">
        <f t="array" ref="CW14">LET(val, IFERROR(INDEX('Daily 쨈 raw'!$A:$Z, MATCH(CW$3, 'Daily 쨈 raw'!$A:$A, 0), MATCH($A14, 'Daily 쨈 raw'!$1:$1, 0)), ""), IF(val=0, "", val))</f>
        <v/>
      </c>
      <c r="CX14" s="44" t="str">
        <f t="array" ref="CX14">LET(val, IFERROR(INDEX('Daily 쨈 raw'!$A:$Z, MATCH(CX$3, 'Daily 쨈 raw'!$A:$A, 0), MATCH($A14, 'Daily 쨈 raw'!$1:$1, 0)), ""), IF(val=0, "", val))</f>
        <v/>
      </c>
      <c r="CY14" s="44" t="str">
        <f t="array" ref="CY14">LET(val, IFERROR(INDEX('Daily 쨈 raw'!$A:$Z, MATCH(CY$3, 'Daily 쨈 raw'!$A:$A, 0), MATCH($A14, 'Daily 쨈 raw'!$1:$1, 0)), ""), IF(val=0, "", val))</f>
        <v/>
      </c>
      <c r="CZ14" s="44" t="str">
        <f t="array" ref="CZ14">LET(val, IFERROR(INDEX('Daily 쨈 raw'!$A:$Z, MATCH(CZ$3, 'Daily 쨈 raw'!$A:$A, 0), MATCH($A14, 'Daily 쨈 raw'!$1:$1, 0)), ""), IF(val=0, "", val))</f>
        <v/>
      </c>
      <c r="DA14" s="44" t="str">
        <f t="array" ref="DA14">LET(val, IFERROR(INDEX('Daily 쨈 raw'!$A:$Z, MATCH(DA$3, 'Daily 쨈 raw'!$A:$A, 0), MATCH($A14, 'Daily 쨈 raw'!$1:$1, 0)), ""), IF(val=0, "", val))</f>
        <v/>
      </c>
      <c r="DB14" s="44" t="str">
        <f t="array" ref="DB14">LET(val, IFERROR(INDEX('Daily 쨈 raw'!$A:$Z, MATCH(DB$3, 'Daily 쨈 raw'!$A:$A, 0), MATCH($A14, 'Daily 쨈 raw'!$1:$1, 0)), ""), IF(val=0, "", val))</f>
        <v/>
      </c>
      <c r="DC14" s="44" t="str">
        <f t="array" ref="DC14">LET(val, IFERROR(INDEX('Daily 쨈 raw'!$A:$Z, MATCH(DC$3, 'Daily 쨈 raw'!$A:$A, 0), MATCH($A14, 'Daily 쨈 raw'!$1:$1, 0)), ""), IF(val=0, "", val))</f>
        <v/>
      </c>
      <c r="DD14" s="44" t="str">
        <f t="array" ref="DD14">LET(val, IFERROR(INDEX('Daily 쨈 raw'!$A:$Z, MATCH(DD$3, 'Daily 쨈 raw'!$A:$A, 0), MATCH($A14, 'Daily 쨈 raw'!$1:$1, 0)), ""), IF(val=0, "", val))</f>
        <v/>
      </c>
      <c r="DE14" s="44" t="str">
        <f t="array" ref="DE14">LET(val, IFERROR(INDEX('Daily 쨈 raw'!$A:$Z, MATCH(DE$3, 'Daily 쨈 raw'!$A:$A, 0), MATCH($A14, 'Daily 쨈 raw'!$1:$1, 0)), ""), IF(val=0, "", val))</f>
        <v/>
      </c>
      <c r="DF14" s="44" t="str">
        <f t="array" ref="DF14">LET(val, IFERROR(INDEX('Daily 쨈 raw'!$A:$Z, MATCH(DF$3, 'Daily 쨈 raw'!$A:$A, 0), MATCH($A14, 'Daily 쨈 raw'!$1:$1, 0)), ""), IF(val=0, "", val))</f>
        <v/>
      </c>
      <c r="DG14" s="44" t="str">
        <f t="array" ref="DG14">LET(val, IFERROR(INDEX('Daily 쨈 raw'!$A:$Z, MATCH(DG$3, 'Daily 쨈 raw'!$A:$A, 0), MATCH($A14, 'Daily 쨈 raw'!$1:$1, 0)), ""), IF(val=0, "", val))</f>
        <v/>
      </c>
      <c r="DH14" s="44" t="str">
        <f t="array" ref="DH14">LET(val, IFERROR(INDEX('Daily 쨈 raw'!$A:$Z, MATCH(DH$3, 'Daily 쨈 raw'!$A:$A, 0), MATCH($A14, 'Daily 쨈 raw'!$1:$1, 0)), ""), IF(val=0, "", val))</f>
        <v/>
      </c>
      <c r="DI14" s="44" t="str">
        <f t="array" ref="DI14">LET(val, IFERROR(INDEX('Daily 쨈 raw'!$A:$Z, MATCH(DI$3, 'Daily 쨈 raw'!$A:$A, 0), MATCH($A14, 'Daily 쨈 raw'!$1:$1, 0)), ""), IF(val=0, "", val))</f>
        <v/>
      </c>
      <c r="DJ14" s="44" t="str">
        <f t="array" ref="DJ14">LET(val, IFERROR(INDEX('Daily 쨈 raw'!$A:$Z, MATCH(DJ$3, 'Daily 쨈 raw'!$A:$A, 0), MATCH($A14, 'Daily 쨈 raw'!$1:$1, 0)), ""), IF(val=0, "", val))</f>
        <v/>
      </c>
      <c r="DK14" s="44" t="str">
        <f t="array" ref="DK14">LET(val, IFERROR(INDEX('Daily 쨈 raw'!$A:$Z, MATCH(DK$3, 'Daily 쨈 raw'!$A:$A, 0), MATCH($A14, 'Daily 쨈 raw'!$1:$1, 0)), ""), IF(val=0, "", val))</f>
        <v/>
      </c>
      <c r="DL14" s="44" t="str">
        <f t="array" ref="DL14">LET(val, IFERROR(INDEX('Daily 쨈 raw'!$A:$Z, MATCH(DL$3, 'Daily 쨈 raw'!$A:$A, 0), MATCH($A14, 'Daily 쨈 raw'!$1:$1, 0)), ""), IF(val=0, "", val))</f>
        <v/>
      </c>
      <c r="DM14" s="44" t="str">
        <f t="array" ref="DM14">LET(val, IFERROR(INDEX('Daily 쨈 raw'!$A:$Z, MATCH(DM$3, 'Daily 쨈 raw'!$A:$A, 0), MATCH($A14, 'Daily 쨈 raw'!$1:$1, 0)), ""), IF(val=0, "", val))</f>
        <v/>
      </c>
      <c r="DN14" s="44" t="str">
        <f t="array" ref="DN14">LET(val, IFERROR(INDEX('Daily 쨈 raw'!$A:$Z, MATCH(DN$3, 'Daily 쨈 raw'!$A:$A, 0), MATCH($A14, 'Daily 쨈 raw'!$1:$1, 0)), ""), IF(val=0, "", val))</f>
        <v/>
      </c>
      <c r="DO14" s="44" t="str">
        <f t="array" ref="DO14">LET(val, IFERROR(INDEX('Daily 쨈 raw'!$A:$Z, MATCH(DO$3, 'Daily 쨈 raw'!$A:$A, 0), MATCH($A14, 'Daily 쨈 raw'!$1:$1, 0)), ""), IF(val=0, "", val))</f>
        <v/>
      </c>
      <c r="DP14" s="44" t="str">
        <f t="array" ref="DP14">LET(val, IFERROR(INDEX('Daily 쨈 raw'!$A:$Z, MATCH(DP$3, 'Daily 쨈 raw'!$A:$A, 0), MATCH($A14, 'Daily 쨈 raw'!$1:$1, 0)), ""), IF(val=0, "", val))</f>
        <v/>
      </c>
      <c r="DQ14" s="44" t="str">
        <f t="array" ref="DQ14">LET(val, IFERROR(INDEX('Daily 쨈 raw'!$A:$Z, MATCH(DQ$3, 'Daily 쨈 raw'!$A:$A, 0), MATCH($A14, 'Daily 쨈 raw'!$1:$1, 0)), ""), IF(val=0, "", val))</f>
        <v/>
      </c>
      <c r="DR14" s="44" t="str">
        <f t="array" ref="DR14">LET(val, IFERROR(INDEX('Daily 쨈 raw'!$A:$Z, MATCH(DR$3, 'Daily 쨈 raw'!$A:$A, 0), MATCH($A14, 'Daily 쨈 raw'!$1:$1, 0)), ""), IF(val=0, "", val))</f>
        <v/>
      </c>
      <c r="DS14" s="44" t="str">
        <f t="array" ref="DS14">LET(val, IFERROR(INDEX('Daily 쨈 raw'!$A:$Z, MATCH(DS$3, 'Daily 쨈 raw'!$A:$A, 0), MATCH($A14, 'Daily 쨈 raw'!$1:$1, 0)), ""), IF(val=0, "", val))</f>
        <v/>
      </c>
      <c r="DT14" s="44" t="str">
        <f t="array" ref="DT14">LET(val, IFERROR(INDEX('Daily 쨈 raw'!$A:$Z, MATCH(DT$3, 'Daily 쨈 raw'!$A:$A, 0), MATCH($A14, 'Daily 쨈 raw'!$1:$1, 0)), ""), IF(val=0, "", val))</f>
        <v/>
      </c>
      <c r="DU14" s="44" t="str">
        <f t="array" ref="DU14">LET(val, IFERROR(INDEX('Daily 쨈 raw'!$A:$Z, MATCH(DU$3, 'Daily 쨈 raw'!$A:$A, 0), MATCH($A14, 'Daily 쨈 raw'!$1:$1, 0)), ""), IF(val=0, "", val))</f>
        <v/>
      </c>
      <c r="DV14" s="44" t="str">
        <f t="array" ref="DV14">LET(val, IFERROR(INDEX('Daily 쨈 raw'!$A:$Z, MATCH(DV$3, 'Daily 쨈 raw'!$A:$A, 0), MATCH($A14, 'Daily 쨈 raw'!$1:$1, 0)), ""), IF(val=0, "", val))</f>
        <v/>
      </c>
      <c r="DW14" s="44" t="str">
        <f t="array" ref="DW14">LET(val, IFERROR(INDEX('Daily 쨈 raw'!$A:$Z, MATCH(DW$3, 'Daily 쨈 raw'!$A:$A, 0), MATCH($A14, 'Daily 쨈 raw'!$1:$1, 0)), ""), IF(val=0, "", val))</f>
        <v/>
      </c>
      <c r="DX14" s="44" t="str">
        <f t="array" ref="DX14">LET(val, IFERROR(INDEX('Daily 쨈 raw'!$A:$Z, MATCH(DX$3, 'Daily 쨈 raw'!$A:$A, 0), MATCH($A14, 'Daily 쨈 raw'!$1:$1, 0)), ""), IF(val=0, "", val))</f>
        <v/>
      </c>
      <c r="DY14" s="44" t="str">
        <f t="array" ref="DY14">LET(val, IFERROR(INDEX('Daily 쨈 raw'!$A:$Z, MATCH(DY$3, 'Daily 쨈 raw'!$A:$A, 0), MATCH($A14, 'Daily 쨈 raw'!$1:$1, 0)), ""), IF(val=0, "", val))</f>
        <v/>
      </c>
      <c r="DZ14" s="44" t="str">
        <f t="array" ref="DZ14">LET(val, IFERROR(INDEX('Daily 쨈 raw'!$A:$Z, MATCH(DZ$3, 'Daily 쨈 raw'!$A:$A, 0), MATCH($A14, 'Daily 쨈 raw'!$1:$1, 0)), ""), IF(val=0, "", val))</f>
        <v/>
      </c>
    </row>
    <row r="15" ht="22.5" customHeight="1">
      <c r="A15" s="16" t="s">
        <v>76</v>
      </c>
      <c r="B15" s="48" t="s">
        <v>77</v>
      </c>
      <c r="C15" s="44" t="str">
        <f t="array" ref="C15">LET(val, IFERROR(INDEX('Daily 쨈 raw'!$A:$Z, MATCH(C$3, 'Daily 쨈 raw'!$A:$A, 0), MATCH($A15, 'Daily 쨈 raw'!$1:$1, 0)), ""), IF(val=0, "", val))</f>
        <v/>
      </c>
      <c r="D15" s="44" t="str">
        <f t="array" ref="D15">LET(val, IFERROR(INDEX('Daily 쨈 raw'!$A:$Z, MATCH(D$3, 'Daily 쨈 raw'!$A:$A, 0), MATCH($A15, 'Daily 쨈 raw'!$1:$1, 0)), ""), IF(val=0, "", val))</f>
        <v/>
      </c>
      <c r="E15" s="44" t="str">
        <f t="array" ref="E15">LET(val, IFERROR(INDEX('Daily 쨈 raw'!$A:$Z, MATCH(E$3, 'Daily 쨈 raw'!$A:$A, 0), MATCH($A15, 'Daily 쨈 raw'!$1:$1, 0)), ""), IF(val=0, "", val))</f>
        <v/>
      </c>
      <c r="F15" s="44" t="str">
        <f t="array" ref="F15">LET(val, IFERROR(INDEX('Daily 쨈 raw'!$A:$Z, MATCH(F$3, 'Daily 쨈 raw'!$A:$A, 0), MATCH($A15, 'Daily 쨈 raw'!$1:$1, 0)), ""), IF(val=0, "", val))</f>
        <v/>
      </c>
      <c r="G15" s="44" t="str">
        <f t="array" ref="G15">LET(val, IFERROR(INDEX('Daily 쨈 raw'!$A:$Z, MATCH(G$3, 'Daily 쨈 raw'!$A:$A, 0), MATCH($A15, 'Daily 쨈 raw'!$1:$1, 0)), ""), IF(val=0, "", val))</f>
        <v/>
      </c>
      <c r="H15" s="44" t="str">
        <f t="array" ref="H15">LET(val, IFERROR(INDEX('Daily 쨈 raw'!$A:$Z, MATCH(H$3, 'Daily 쨈 raw'!$A:$A, 0), MATCH($A15, 'Daily 쨈 raw'!$1:$1, 0)), ""), IF(val=0, "", val))</f>
        <v/>
      </c>
      <c r="I15" s="44" t="str">
        <f t="array" ref="I15">LET(val, IFERROR(INDEX('Daily 쨈 raw'!$A:$Z, MATCH(I$3, 'Daily 쨈 raw'!$A:$A, 0), MATCH($A15, 'Daily 쨈 raw'!$1:$1, 0)), ""), IF(val=0, "", val))</f>
        <v/>
      </c>
      <c r="J15" s="44" t="str">
        <f t="array" ref="J15">LET(val, IFERROR(INDEX('Daily 쨈 raw'!$A:$Z, MATCH(J$3, 'Daily 쨈 raw'!$A:$A, 0), MATCH($A15, 'Daily 쨈 raw'!$1:$1, 0)), ""), IF(val=0, "", val))</f>
        <v/>
      </c>
      <c r="K15" s="44" t="str">
        <f t="array" ref="K15">LET(val, IFERROR(INDEX('Daily 쨈 raw'!$A:$Z, MATCH(K$3, 'Daily 쨈 raw'!$A:$A, 0), MATCH($A15, 'Daily 쨈 raw'!$1:$1, 0)), ""), IF(val=0, "", val))</f>
        <v/>
      </c>
      <c r="L15" s="44" t="str">
        <f t="array" ref="L15">LET(val, IFERROR(INDEX('Daily 쨈 raw'!$A:$Z, MATCH(L$3, 'Daily 쨈 raw'!$A:$A, 0), MATCH($A15, 'Daily 쨈 raw'!$1:$1, 0)), ""), IF(val=0, "", val))</f>
        <v/>
      </c>
      <c r="M15" s="44" t="str">
        <f t="array" ref="M15">LET(val, IFERROR(INDEX('Daily 쨈 raw'!$A:$Z, MATCH(M$3, 'Daily 쨈 raw'!$A:$A, 0), MATCH($A15, 'Daily 쨈 raw'!$1:$1, 0)), ""), IF(val=0, "", val))</f>
        <v/>
      </c>
      <c r="N15" s="44" t="str">
        <f t="array" ref="N15">LET(val, IFERROR(INDEX('Daily 쨈 raw'!$A:$Z, MATCH(N$3, 'Daily 쨈 raw'!$A:$A, 0), MATCH($A15, 'Daily 쨈 raw'!$1:$1, 0)), ""), IF(val=0, "", val))</f>
        <v/>
      </c>
      <c r="O15" s="44" t="str">
        <f t="array" ref="O15">LET(val, IFERROR(INDEX('Daily 쨈 raw'!$A:$Z, MATCH(O$3, 'Daily 쨈 raw'!$A:$A, 0), MATCH($A15, 'Daily 쨈 raw'!$1:$1, 0)), ""), IF(val=0, "", val))</f>
        <v/>
      </c>
      <c r="P15" s="44" t="str">
        <f t="array" ref="P15">LET(val, IFERROR(INDEX('Daily 쨈 raw'!$A:$Z, MATCH(P$3, 'Daily 쨈 raw'!$A:$A, 0), MATCH($A15, 'Daily 쨈 raw'!$1:$1, 0)), ""), IF(val=0, "", val))</f>
        <v/>
      </c>
      <c r="Q15" s="44" t="str">
        <f t="array" ref="Q15">LET(val, IFERROR(INDEX('Daily 쨈 raw'!$A:$Z, MATCH(Q$3, 'Daily 쨈 raw'!$A:$A, 0), MATCH($A15, 'Daily 쨈 raw'!$1:$1, 0)), ""), IF(val=0, "", val))</f>
        <v/>
      </c>
      <c r="R15" s="44" t="str">
        <f t="array" ref="R15">LET(val, IFERROR(INDEX('Daily 쨈 raw'!$A:$Z, MATCH(R$3, 'Daily 쨈 raw'!$A:$A, 0), MATCH($A15, 'Daily 쨈 raw'!$1:$1, 0)), ""), IF(val=0, "", val))</f>
        <v/>
      </c>
      <c r="S15" s="44" t="str">
        <f t="array" ref="S15">LET(val, IFERROR(INDEX('Daily 쨈 raw'!$A:$Z, MATCH(S$3, 'Daily 쨈 raw'!$A:$A, 0), MATCH($A15, 'Daily 쨈 raw'!$1:$1, 0)), ""), IF(val=0, "", val))</f>
        <v/>
      </c>
      <c r="T15" s="44" t="str">
        <f t="array" ref="T15">LET(val, IFERROR(INDEX('Daily 쨈 raw'!$A:$Z, MATCH(T$3, 'Daily 쨈 raw'!$A:$A, 0), MATCH($A15, 'Daily 쨈 raw'!$1:$1, 0)), ""), IF(val=0, "", val))</f>
        <v/>
      </c>
      <c r="U15" s="44" t="str">
        <f t="array" ref="U15">LET(val, IFERROR(INDEX('Daily 쨈 raw'!$A:$Z, MATCH(U$3, 'Daily 쨈 raw'!$A:$A, 0), MATCH($A15, 'Daily 쨈 raw'!$1:$1, 0)), ""), IF(val=0, "", val))</f>
        <v/>
      </c>
      <c r="V15" s="44" t="str">
        <f t="array" ref="V15">LET(val, IFERROR(INDEX('Daily 쨈 raw'!$A:$Z, MATCH(V$3, 'Daily 쨈 raw'!$A:$A, 0), MATCH($A15, 'Daily 쨈 raw'!$1:$1, 0)), ""), IF(val=0, "", val))</f>
        <v/>
      </c>
      <c r="W15" s="44" t="str">
        <f t="array" ref="W15">LET(val, IFERROR(INDEX('Daily 쨈 raw'!$A:$Z, MATCH(W$3, 'Daily 쨈 raw'!$A:$A, 0), MATCH($A15, 'Daily 쨈 raw'!$1:$1, 0)), ""), IF(val=0, "", val))</f>
        <v/>
      </c>
      <c r="X15" s="44" t="str">
        <f t="array" ref="X15">LET(val, IFERROR(INDEX('Daily 쨈 raw'!$A:$Z, MATCH(X$3, 'Daily 쨈 raw'!$A:$A, 0), MATCH($A15, 'Daily 쨈 raw'!$1:$1, 0)), ""), IF(val=0, "", val))</f>
        <v/>
      </c>
      <c r="Y15" s="44" t="str">
        <f t="array" ref="Y15">LET(val, IFERROR(INDEX('Daily 쨈 raw'!$A:$Z, MATCH(Y$3, 'Daily 쨈 raw'!$A:$A, 0), MATCH($A15, 'Daily 쨈 raw'!$1:$1, 0)), ""), IF(val=0, "", val))</f>
        <v/>
      </c>
      <c r="Z15" s="44" t="str">
        <f t="array" ref="Z15">LET(val, IFERROR(INDEX('Daily 쨈 raw'!$A:$Z, MATCH(Z$3, 'Daily 쨈 raw'!$A:$A, 0), MATCH($A15, 'Daily 쨈 raw'!$1:$1, 0)), ""), IF(val=0, "", val))</f>
        <v/>
      </c>
      <c r="AA15" s="44" t="str">
        <f t="array" ref="AA15">LET(val, IFERROR(INDEX('Daily 쨈 raw'!$A:$Z, MATCH(AA$3, 'Daily 쨈 raw'!$A:$A, 0), MATCH($A15, 'Daily 쨈 raw'!$1:$1, 0)), ""), IF(val=0, "", val))</f>
        <v/>
      </c>
      <c r="AB15" s="44" t="str">
        <f t="array" ref="AB15">LET(val, IFERROR(INDEX('Daily 쨈 raw'!$A:$Z, MATCH(AB$3, 'Daily 쨈 raw'!$A:$A, 0), MATCH($A15, 'Daily 쨈 raw'!$1:$1, 0)), ""), IF(val=0, "", val))</f>
        <v/>
      </c>
      <c r="AC15" s="44" t="str">
        <f t="array" ref="AC15">LET(val, IFERROR(INDEX('Daily 쨈 raw'!$A:$Z, MATCH(AC$3, 'Daily 쨈 raw'!$A:$A, 0), MATCH($A15, 'Daily 쨈 raw'!$1:$1, 0)), ""), IF(val=0, "", val))</f>
        <v/>
      </c>
      <c r="AD15" s="44" t="str">
        <f t="array" ref="AD15">LET(val, IFERROR(INDEX('Daily 쨈 raw'!$A:$Z, MATCH(AD$3, 'Daily 쨈 raw'!$A:$A, 0), MATCH($A15, 'Daily 쨈 raw'!$1:$1, 0)), ""), IF(val=0, "", val))</f>
        <v/>
      </c>
      <c r="AE15" s="44" t="str">
        <f t="array" ref="AE15">LET(val, IFERROR(INDEX('Daily 쨈 raw'!$A:$Z, MATCH(AE$3, 'Daily 쨈 raw'!$A:$A, 0), MATCH($A15, 'Daily 쨈 raw'!$1:$1, 0)), ""), IF(val=0, "", val))</f>
        <v/>
      </c>
      <c r="AF15" s="44" t="str">
        <f t="array" ref="AF15">LET(val, IFERROR(INDEX('Daily 쨈 raw'!$A:$Z, MATCH(AF$3, 'Daily 쨈 raw'!$A:$A, 0), MATCH($A15, 'Daily 쨈 raw'!$1:$1, 0)), ""), IF(val=0, "", val))</f>
        <v/>
      </c>
      <c r="AG15" s="44" t="str">
        <f t="array" ref="AG15">LET(val, IFERROR(INDEX('Daily 쨈 raw'!$A:$Z, MATCH(AG$3, 'Daily 쨈 raw'!$A:$A, 0), MATCH($A15, 'Daily 쨈 raw'!$1:$1, 0)), ""), IF(val=0, "", val))</f>
        <v/>
      </c>
      <c r="AH15" s="44" t="str">
        <f t="array" ref="AH15">LET(val, IFERROR(INDEX('Daily 쨈 raw'!$A:$Z, MATCH(AH$3, 'Daily 쨈 raw'!$A:$A, 0), MATCH($A15, 'Daily 쨈 raw'!$1:$1, 0)), ""), IF(val=0, "", val))</f>
        <v/>
      </c>
      <c r="AI15" s="44" t="str">
        <f t="array" ref="AI15">LET(val, IFERROR(INDEX('Daily 쨈 raw'!$A:$Z, MATCH(AI$3, 'Daily 쨈 raw'!$A:$A, 0), MATCH($A15, 'Daily 쨈 raw'!$1:$1, 0)), ""), IF(val=0, "", val))</f>
        <v/>
      </c>
      <c r="AJ15" s="44" t="str">
        <f t="array" ref="AJ15">LET(val, IFERROR(INDEX('Daily 쨈 raw'!$A:$Z, MATCH(AJ$3, 'Daily 쨈 raw'!$A:$A, 0), MATCH($A15, 'Daily 쨈 raw'!$1:$1, 0)), ""), IF(val=0, "", val))</f>
        <v/>
      </c>
      <c r="AK15" s="44" t="str">
        <f t="array" ref="AK15">LET(val, IFERROR(INDEX('Daily 쨈 raw'!$A:$Z, MATCH(AK$3, 'Daily 쨈 raw'!$A:$A, 0), MATCH($A15, 'Daily 쨈 raw'!$1:$1, 0)), ""), IF(val=0, "", val))</f>
        <v/>
      </c>
      <c r="AL15" s="44" t="str">
        <f t="array" ref="AL15">LET(val, IFERROR(INDEX('Daily 쨈 raw'!$A:$Z, MATCH(AL$3, 'Daily 쨈 raw'!$A:$A, 0), MATCH($A15, 'Daily 쨈 raw'!$1:$1, 0)), ""), IF(val=0, "", val))</f>
        <v/>
      </c>
      <c r="AM15" s="44" t="str">
        <f t="array" ref="AM15">LET(val, IFERROR(INDEX('Daily 쨈 raw'!$A:$Z, MATCH(AM$3, 'Daily 쨈 raw'!$A:$A, 0), MATCH($A15, 'Daily 쨈 raw'!$1:$1, 0)), ""), IF(val=0, "", val))</f>
        <v/>
      </c>
      <c r="AN15" s="44" t="str">
        <f t="array" ref="AN15">LET(val, IFERROR(INDEX('Daily 쨈 raw'!$A:$Z, MATCH(AN$3, 'Daily 쨈 raw'!$A:$A, 0), MATCH($A15, 'Daily 쨈 raw'!$1:$1, 0)), ""), IF(val=0, "", val))</f>
        <v/>
      </c>
      <c r="AO15" s="44" t="str">
        <f t="array" ref="AO15">LET(val, IFERROR(INDEX('Daily 쨈 raw'!$A:$Z, MATCH(AO$3, 'Daily 쨈 raw'!$A:$A, 0), MATCH($A15, 'Daily 쨈 raw'!$1:$1, 0)), ""), IF(val=0, "", val))</f>
        <v/>
      </c>
      <c r="AP15" s="44" t="str">
        <f t="array" ref="AP15">LET(val, IFERROR(INDEX('Daily 쨈 raw'!$A:$Z, MATCH(AP$3, 'Daily 쨈 raw'!$A:$A, 0), MATCH($A15, 'Daily 쨈 raw'!$1:$1, 0)), ""), IF(val=0, "", val))</f>
        <v/>
      </c>
      <c r="AQ15" s="44" t="str">
        <f t="array" ref="AQ15">LET(val, IFERROR(INDEX('Daily 쨈 raw'!$A:$Z, MATCH(AQ$3, 'Daily 쨈 raw'!$A:$A, 0), MATCH($A15, 'Daily 쨈 raw'!$1:$1, 0)), ""), IF(val=0, "", val))</f>
        <v/>
      </c>
      <c r="AR15" s="44" t="str">
        <f t="array" ref="AR15">LET(val, IFERROR(INDEX('Daily 쨈 raw'!$A:$Z, MATCH(AR$3, 'Daily 쨈 raw'!$A:$A, 0), MATCH($A15, 'Daily 쨈 raw'!$1:$1, 0)), ""), IF(val=0, "", val))</f>
        <v/>
      </c>
      <c r="AS15" s="44" t="str">
        <f t="array" ref="AS15">LET(val, IFERROR(INDEX('Daily 쨈 raw'!$A:$Z, MATCH(AS$3, 'Daily 쨈 raw'!$A:$A, 0), MATCH($A15, 'Daily 쨈 raw'!$1:$1, 0)), ""), IF(val=0, "", val))</f>
        <v/>
      </c>
      <c r="AT15" s="44" t="str">
        <f t="array" ref="AT15">LET(val, IFERROR(INDEX('Daily 쨈 raw'!$A:$Z, MATCH(AT$3, 'Daily 쨈 raw'!$A:$A, 0), MATCH($A15, 'Daily 쨈 raw'!$1:$1, 0)), ""), IF(val=0, "", val))</f>
        <v/>
      </c>
      <c r="AU15" s="44" t="str">
        <f t="array" ref="AU15">LET(val, IFERROR(INDEX('Daily 쨈 raw'!$A:$Z, MATCH(AU$3, 'Daily 쨈 raw'!$A:$A, 0), MATCH($A15, 'Daily 쨈 raw'!$1:$1, 0)), ""), IF(val=0, "", val))</f>
        <v/>
      </c>
      <c r="AV15" s="44" t="str">
        <f t="array" ref="AV15">LET(val, IFERROR(INDEX('Daily 쨈 raw'!$A:$Z, MATCH(AV$3, 'Daily 쨈 raw'!$A:$A, 0), MATCH($A15, 'Daily 쨈 raw'!$1:$1, 0)), ""), IF(val=0, "", val))</f>
        <v/>
      </c>
      <c r="AW15" s="44" t="str">
        <f t="array" ref="AW15">LET(val, IFERROR(INDEX('Daily 쨈 raw'!$A:$Z, MATCH(AW$3, 'Daily 쨈 raw'!$A:$A, 0), MATCH($A15, 'Daily 쨈 raw'!$1:$1, 0)), ""), IF(val=0, "", val))</f>
        <v/>
      </c>
      <c r="AX15" s="44" t="str">
        <f t="array" ref="AX15">LET(val, IFERROR(INDEX('Daily 쨈 raw'!$A:$Z, MATCH(AX$3, 'Daily 쨈 raw'!$A:$A, 0), MATCH($A15, 'Daily 쨈 raw'!$1:$1, 0)), ""), IF(val=0, "", val))</f>
        <v/>
      </c>
      <c r="AY15" s="44" t="str">
        <f t="array" ref="AY15">LET(val, IFERROR(INDEX('Daily 쨈 raw'!$A:$Z, MATCH(AY$3, 'Daily 쨈 raw'!$A:$A, 0), MATCH($A15, 'Daily 쨈 raw'!$1:$1, 0)), ""), IF(val=0, "", val))</f>
        <v/>
      </c>
      <c r="AZ15" s="44" t="str">
        <f t="array" ref="AZ15">LET(val, IFERROR(INDEX('Daily 쨈 raw'!$A:$Z, MATCH(AZ$3, 'Daily 쨈 raw'!$A:$A, 0), MATCH($A15, 'Daily 쨈 raw'!$1:$1, 0)), ""), IF(val=0, "", val))</f>
        <v/>
      </c>
      <c r="BA15" s="44" t="str">
        <f t="array" ref="BA15">LET(val, IFERROR(INDEX('Daily 쨈 raw'!$A:$Z, MATCH(BA$3, 'Daily 쨈 raw'!$A:$A, 0), MATCH($A15, 'Daily 쨈 raw'!$1:$1, 0)), ""), IF(val=0, "", val))</f>
        <v/>
      </c>
      <c r="BB15" s="44" t="str">
        <f t="array" ref="BB15">LET(val, IFERROR(INDEX('Daily 쨈 raw'!$A:$Z, MATCH(BB$3, 'Daily 쨈 raw'!$A:$A, 0), MATCH($A15, 'Daily 쨈 raw'!$1:$1, 0)), ""), IF(val=0, "", val))</f>
        <v/>
      </c>
      <c r="BC15" s="44" t="str">
        <f t="array" ref="BC15">LET(val, IFERROR(INDEX('Daily 쨈 raw'!$A:$Z, MATCH(BC$3, 'Daily 쨈 raw'!$A:$A, 0), MATCH($A15, 'Daily 쨈 raw'!$1:$1, 0)), ""), IF(val=0, "", val))</f>
        <v/>
      </c>
      <c r="BD15" s="44" t="str">
        <f t="array" ref="BD15">LET(val, IFERROR(INDEX('Daily 쨈 raw'!$A:$Z, MATCH(BD$3, 'Daily 쨈 raw'!$A:$A, 0), MATCH($A15, 'Daily 쨈 raw'!$1:$1, 0)), ""), IF(val=0, "", val))</f>
        <v/>
      </c>
      <c r="BE15" s="44" t="str">
        <f t="array" ref="BE15">LET(val, IFERROR(INDEX('Daily 쨈 raw'!$A:$Z, MATCH(BE$3, 'Daily 쨈 raw'!$A:$A, 0), MATCH($A15, 'Daily 쨈 raw'!$1:$1, 0)), ""), IF(val=0, "", val))</f>
        <v/>
      </c>
      <c r="BF15" s="44" t="str">
        <f t="array" ref="BF15">LET(val, IFERROR(INDEX('Daily 쨈 raw'!$A:$Z, MATCH(BF$3, 'Daily 쨈 raw'!$A:$A, 0), MATCH($A15, 'Daily 쨈 raw'!$1:$1, 0)), ""), IF(val=0, "", val))</f>
        <v/>
      </c>
      <c r="BG15" s="44" t="str">
        <f t="array" ref="BG15">LET(val, IFERROR(INDEX('Daily 쨈 raw'!$A:$Z, MATCH(BG$3, 'Daily 쨈 raw'!$A:$A, 0), MATCH($A15, 'Daily 쨈 raw'!$1:$1, 0)), ""), IF(val=0, "", val))</f>
        <v/>
      </c>
      <c r="BH15" s="44" t="str">
        <f t="array" ref="BH15">LET(val, IFERROR(INDEX('Daily 쨈 raw'!$A:$Z, MATCH(BH$3, 'Daily 쨈 raw'!$A:$A, 0), MATCH($A15, 'Daily 쨈 raw'!$1:$1, 0)), ""), IF(val=0, "", val))</f>
        <v/>
      </c>
      <c r="BI15" s="44" t="str">
        <f t="array" ref="BI15">LET(val, IFERROR(INDEX('Daily 쨈 raw'!$A:$Z, MATCH(BI$3, 'Daily 쨈 raw'!$A:$A, 0), MATCH($A15, 'Daily 쨈 raw'!$1:$1, 0)), ""), IF(val=0, "", val))</f>
        <v/>
      </c>
      <c r="BJ15" s="44" t="str">
        <f t="array" ref="BJ15">LET(val, IFERROR(INDEX('Daily 쨈 raw'!$A:$Z, MATCH(BJ$3, 'Daily 쨈 raw'!$A:$A, 0), MATCH($A15, 'Daily 쨈 raw'!$1:$1, 0)), ""), IF(val=0, "", val))</f>
        <v/>
      </c>
      <c r="BK15" s="44" t="str">
        <f t="array" ref="BK15">LET(val, IFERROR(INDEX('Daily 쨈 raw'!$A:$Z, MATCH(BK$3, 'Daily 쨈 raw'!$A:$A, 0), MATCH($A15, 'Daily 쨈 raw'!$1:$1, 0)), ""), IF(val=0, "", val))</f>
        <v/>
      </c>
      <c r="BL15" s="44" t="str">
        <f t="array" ref="BL15">LET(val, IFERROR(INDEX('Daily 쨈 raw'!$A:$Z, MATCH(BL$3, 'Daily 쨈 raw'!$A:$A, 0), MATCH($A15, 'Daily 쨈 raw'!$1:$1, 0)), ""), IF(val=0, "", val))</f>
        <v/>
      </c>
      <c r="BM15" s="44" t="str">
        <f t="array" ref="BM15">LET(val, IFERROR(INDEX('Daily 쨈 raw'!$A:$Z, MATCH(BM$3, 'Daily 쨈 raw'!$A:$A, 0), MATCH($A15, 'Daily 쨈 raw'!$1:$1, 0)), ""), IF(val=0, "", val))</f>
        <v/>
      </c>
      <c r="BN15" s="44" t="str">
        <f t="array" ref="BN15">LET(val, IFERROR(INDEX('Daily 쨈 raw'!$A:$Z, MATCH(BN$3, 'Daily 쨈 raw'!$A:$A, 0), MATCH($A15, 'Daily 쨈 raw'!$1:$1, 0)), ""), IF(val=0, "", val))</f>
        <v/>
      </c>
      <c r="BO15" s="44" t="str">
        <f t="array" ref="BO15">LET(val, IFERROR(INDEX('Daily 쨈 raw'!$A:$Z, MATCH(BO$3, 'Daily 쨈 raw'!$A:$A, 0), MATCH($A15, 'Daily 쨈 raw'!$1:$1, 0)), ""), IF(val=0, "", val))</f>
        <v/>
      </c>
      <c r="BP15" s="44" t="str">
        <f t="array" ref="BP15">LET(val, IFERROR(INDEX('Daily 쨈 raw'!$A:$Z, MATCH(BP$3, 'Daily 쨈 raw'!$A:$A, 0), MATCH($A15, 'Daily 쨈 raw'!$1:$1, 0)), ""), IF(val=0, "", val))</f>
        <v/>
      </c>
      <c r="BQ15" s="44" t="str">
        <f t="array" ref="BQ15">LET(val, IFERROR(INDEX('Daily 쨈 raw'!$A:$Z, MATCH(BQ$3, 'Daily 쨈 raw'!$A:$A, 0), MATCH($A15, 'Daily 쨈 raw'!$1:$1, 0)), ""), IF(val=0, "", val))</f>
        <v/>
      </c>
      <c r="BR15" s="44" t="str">
        <f t="array" ref="BR15">LET(val, IFERROR(INDEX('Daily 쨈 raw'!$A:$Z, MATCH(BR$3, 'Daily 쨈 raw'!$A:$A, 0), MATCH($A15, 'Daily 쨈 raw'!$1:$1, 0)), ""), IF(val=0, "", val))</f>
        <v/>
      </c>
      <c r="BS15" s="44" t="str">
        <f t="array" ref="BS15">LET(val, IFERROR(INDEX('Daily 쨈 raw'!$A:$Z, MATCH(BS$3, 'Daily 쨈 raw'!$A:$A, 0), MATCH($A15, 'Daily 쨈 raw'!$1:$1, 0)), ""), IF(val=0, "", val))</f>
        <v/>
      </c>
      <c r="BT15" s="44" t="str">
        <f t="array" ref="BT15">LET(val, IFERROR(INDEX('Daily 쨈 raw'!$A:$Z, MATCH(BT$3, 'Daily 쨈 raw'!$A:$A, 0), MATCH($A15, 'Daily 쨈 raw'!$1:$1, 0)), ""), IF(val=0, "", val))</f>
        <v/>
      </c>
      <c r="BU15" s="44" t="str">
        <f t="array" ref="BU15">LET(val, IFERROR(INDEX('Daily 쨈 raw'!$A:$Z, MATCH(BU$3, 'Daily 쨈 raw'!$A:$A, 0), MATCH($A15, 'Daily 쨈 raw'!$1:$1, 0)), ""), IF(val=0, "", val))</f>
        <v/>
      </c>
      <c r="BV15" s="44" t="str">
        <f t="array" ref="BV15">LET(val, IFERROR(INDEX('Daily 쨈 raw'!$A:$Z, MATCH(BV$3, 'Daily 쨈 raw'!$A:$A, 0), MATCH($A15, 'Daily 쨈 raw'!$1:$1, 0)), ""), IF(val=0, "", val))</f>
        <v/>
      </c>
      <c r="BW15" s="44">
        <f t="array" ref="BW15">LET(val, IFERROR(INDEX('Daily 쨈 raw'!$A:$Z, MATCH(BW$3, 'Daily 쨈 raw'!$A:$A, 0), MATCH($A15, 'Daily 쨈 raw'!$1:$1, 0)), ""), IF(val=0, "", val))</f>
        <v>72</v>
      </c>
      <c r="BX15" s="44">
        <f t="array" ref="BX15">LET(val, IFERROR(INDEX('Daily 쨈 raw'!$A:$Z, MATCH(BX$3, 'Daily 쨈 raw'!$A:$A, 0), MATCH($A15, 'Daily 쨈 raw'!$1:$1, 0)), ""), IF(val=0, "", val))</f>
        <v>65</v>
      </c>
      <c r="BY15" s="44">
        <f t="array" ref="BY15">LET(val, IFERROR(INDEX('Daily 쨈 raw'!$A:$Z, MATCH(BY$3, 'Daily 쨈 raw'!$A:$A, 0), MATCH($A15, 'Daily 쨈 raw'!$1:$1, 0)), ""), IF(val=0, "", val))</f>
        <v>32</v>
      </c>
      <c r="BZ15" s="44">
        <f t="array" ref="BZ15">LET(val, IFERROR(INDEX('Daily 쨈 raw'!$A:$Z, MATCH(BZ$3, 'Daily 쨈 raw'!$A:$A, 0), MATCH($A15, 'Daily 쨈 raw'!$1:$1, 0)), ""), IF(val=0, "", val))</f>
        <v>48</v>
      </c>
      <c r="CA15" s="44">
        <f t="array" ref="CA15">LET(val, IFERROR(INDEX('Daily 쨈 raw'!$A:$Z, MATCH(CA$3, 'Daily 쨈 raw'!$A:$A, 0), MATCH($A15, 'Daily 쨈 raw'!$1:$1, 0)), ""), IF(val=0, "", val))</f>
        <v>63</v>
      </c>
      <c r="CB15" s="44">
        <f t="array" ref="CB15">LET(val, IFERROR(INDEX('Daily 쨈 raw'!$A:$Z, MATCH(CB$3, 'Daily 쨈 raw'!$A:$A, 0), MATCH($A15, 'Daily 쨈 raw'!$1:$1, 0)), ""), IF(val=0, "", val))</f>
        <v>75</v>
      </c>
      <c r="CC15" s="44">
        <f t="array" ref="CC15">LET(val, IFERROR(INDEX('Daily 쨈 raw'!$A:$Z, MATCH(CC$3, 'Daily 쨈 raw'!$A:$A, 0), MATCH($A15, 'Daily 쨈 raw'!$1:$1, 0)), ""), IF(val=0, "", val))</f>
        <v>101</v>
      </c>
      <c r="CD15" s="44">
        <f t="array" ref="CD15">LET(val, IFERROR(INDEX('Daily 쨈 raw'!$A:$Z, MATCH(CD$3, 'Daily 쨈 raw'!$A:$A, 0), MATCH($A15, 'Daily 쨈 raw'!$1:$1, 0)), ""), IF(val=0, "", val))</f>
        <v>150</v>
      </c>
      <c r="CE15" s="44">
        <f t="array" ref="CE15">LET(val, IFERROR(INDEX('Daily 쨈 raw'!$A:$Z, MATCH(CE$3, 'Daily 쨈 raw'!$A:$A, 0), MATCH($A15, 'Daily 쨈 raw'!$1:$1, 0)), ""), IF(val=0, "", val))</f>
        <v>223</v>
      </c>
      <c r="CF15" s="44">
        <f t="array" ref="CF15">LET(val, IFERROR(INDEX('Daily 쨈 raw'!$A:$Z, MATCH(CF$3, 'Daily 쨈 raw'!$A:$A, 0), MATCH($A15, 'Daily 쨈 raw'!$1:$1, 0)), ""), IF(val=0, "", val))</f>
        <v>124</v>
      </c>
      <c r="CG15" s="44">
        <f t="array" ref="CG15">LET(val, IFERROR(INDEX('Daily 쨈 raw'!$A:$Z, MATCH(CG$3, 'Daily 쨈 raw'!$A:$A, 0), MATCH($A15, 'Daily 쨈 raw'!$1:$1, 0)), ""), IF(val=0, "", val))</f>
        <v>172</v>
      </c>
      <c r="CH15" s="44">
        <f t="array" ref="CH15">LET(val, IFERROR(INDEX('Daily 쨈 raw'!$A:$Z, MATCH(CH$3, 'Daily 쨈 raw'!$A:$A, 0), MATCH($A15, 'Daily 쨈 raw'!$1:$1, 0)), ""), IF(val=0, "", val))</f>
        <v>268</v>
      </c>
      <c r="CI15" s="44">
        <f t="array" ref="CI15">LET(val, IFERROR(INDEX('Daily 쨈 raw'!$A:$Z, MATCH(CI$3, 'Daily 쨈 raw'!$A:$A, 0), MATCH($A15, 'Daily 쨈 raw'!$1:$1, 0)), ""), IF(val=0, "", val))</f>
        <v>189</v>
      </c>
      <c r="CJ15" s="44">
        <f t="array" ref="CJ15">LET(val, IFERROR(INDEX('Daily 쨈 raw'!$A:$Z, MATCH(CJ$3, 'Daily 쨈 raw'!$A:$A, 0), MATCH($A15, 'Daily 쨈 raw'!$1:$1, 0)), ""), IF(val=0, "", val))</f>
        <v>203</v>
      </c>
      <c r="CK15" s="44">
        <f t="array" ref="CK15">LET(val, IFERROR(INDEX('Daily 쨈 raw'!$A:$Z, MATCH(CK$3, 'Daily 쨈 raw'!$A:$A, 0), MATCH($A15, 'Daily 쨈 raw'!$1:$1, 0)), ""), IF(val=0, "", val))</f>
        <v>144</v>
      </c>
      <c r="CL15" s="44">
        <f t="array" ref="CL15">LET(val, IFERROR(INDEX('Daily 쨈 raw'!$A:$Z, MATCH(CL$3, 'Daily 쨈 raw'!$A:$A, 0), MATCH($A15, 'Daily 쨈 raw'!$1:$1, 0)), ""), IF(val=0, "", val))</f>
        <v>109</v>
      </c>
      <c r="CM15" s="44">
        <f t="array" ref="CM15">LET(val, IFERROR(INDEX('Daily 쨈 raw'!$A:$Z, MATCH(CM$3, 'Daily 쨈 raw'!$A:$A, 0), MATCH($A15, 'Daily 쨈 raw'!$1:$1, 0)), ""), IF(val=0, "", val))</f>
        <v>105</v>
      </c>
      <c r="CN15" s="44">
        <f t="array" ref="CN15">LET(val, IFERROR(INDEX('Daily 쨈 raw'!$A:$Z, MATCH(CN$3, 'Daily 쨈 raw'!$A:$A, 0), MATCH($A15, 'Daily 쨈 raw'!$1:$1, 0)), ""), IF(val=0, "", val))</f>
        <v>97</v>
      </c>
      <c r="CO15" s="44">
        <f t="array" ref="CO15">LET(val, IFERROR(INDEX('Daily 쨈 raw'!$A:$Z, MATCH(CO$3, 'Daily 쨈 raw'!$A:$A, 0), MATCH($A15, 'Daily 쨈 raw'!$1:$1, 0)), ""), IF(val=0, "", val))</f>
        <v>140</v>
      </c>
      <c r="CP15" s="44">
        <f t="array" ref="CP15">LET(val, IFERROR(INDEX('Daily 쨈 raw'!$A:$Z, MATCH(CP$3, 'Daily 쨈 raw'!$A:$A, 0), MATCH($A15, 'Daily 쨈 raw'!$1:$1, 0)), ""), IF(val=0, "", val))</f>
        <v>57</v>
      </c>
      <c r="CQ15" s="44" t="str">
        <f t="array" ref="CQ15">LET(val, IFERROR(INDEX('Daily 쨈 raw'!$A:$Z, MATCH(CQ$3, 'Daily 쨈 raw'!$A:$A, 0), MATCH($A15, 'Daily 쨈 raw'!$1:$1, 0)), ""), IF(val=0, "", val))</f>
        <v/>
      </c>
      <c r="CR15" s="44" t="str">
        <f t="array" ref="CR15">LET(val, IFERROR(INDEX('Daily 쨈 raw'!$A:$Z, MATCH(CR$3, 'Daily 쨈 raw'!$A:$A, 0), MATCH($A15, 'Daily 쨈 raw'!$1:$1, 0)), ""), IF(val=0, "", val))</f>
        <v/>
      </c>
      <c r="CS15" s="44" t="str">
        <f t="array" ref="CS15">LET(val, IFERROR(INDEX('Daily 쨈 raw'!$A:$Z, MATCH(CS$3, 'Daily 쨈 raw'!$A:$A, 0), MATCH($A15, 'Daily 쨈 raw'!$1:$1, 0)), ""), IF(val=0, "", val))</f>
        <v/>
      </c>
      <c r="CT15" s="44" t="str">
        <f t="array" ref="CT15">LET(val, IFERROR(INDEX('Daily 쨈 raw'!$A:$Z, MATCH(CT$3, 'Daily 쨈 raw'!$A:$A, 0), MATCH($A15, 'Daily 쨈 raw'!$1:$1, 0)), ""), IF(val=0, "", val))</f>
        <v/>
      </c>
      <c r="CU15" s="44" t="str">
        <f t="array" ref="CU15">LET(val, IFERROR(INDEX('Daily 쨈 raw'!$A:$Z, MATCH(CU$3, 'Daily 쨈 raw'!$A:$A, 0), MATCH($A15, 'Daily 쨈 raw'!$1:$1, 0)), ""), IF(val=0, "", val))</f>
        <v/>
      </c>
      <c r="CV15" s="44" t="str">
        <f t="array" ref="CV15">LET(val, IFERROR(INDEX('Daily 쨈 raw'!$A:$Z, MATCH(CV$3, 'Daily 쨈 raw'!$A:$A, 0), MATCH($A15, 'Daily 쨈 raw'!$1:$1, 0)), ""), IF(val=0, "", val))</f>
        <v/>
      </c>
      <c r="CW15" s="44" t="str">
        <f t="array" ref="CW15">LET(val, IFERROR(INDEX('Daily 쨈 raw'!$A:$Z, MATCH(CW$3, 'Daily 쨈 raw'!$A:$A, 0), MATCH($A15, 'Daily 쨈 raw'!$1:$1, 0)), ""), IF(val=0, "", val))</f>
        <v/>
      </c>
      <c r="CX15" s="44" t="str">
        <f t="array" ref="CX15">LET(val, IFERROR(INDEX('Daily 쨈 raw'!$A:$Z, MATCH(CX$3, 'Daily 쨈 raw'!$A:$A, 0), MATCH($A15, 'Daily 쨈 raw'!$1:$1, 0)), ""), IF(val=0, "", val))</f>
        <v/>
      </c>
      <c r="CY15" s="44" t="str">
        <f t="array" ref="CY15">LET(val, IFERROR(INDEX('Daily 쨈 raw'!$A:$Z, MATCH(CY$3, 'Daily 쨈 raw'!$A:$A, 0), MATCH($A15, 'Daily 쨈 raw'!$1:$1, 0)), ""), IF(val=0, "", val))</f>
        <v/>
      </c>
      <c r="CZ15" s="44" t="str">
        <f t="array" ref="CZ15">LET(val, IFERROR(INDEX('Daily 쨈 raw'!$A:$Z, MATCH(CZ$3, 'Daily 쨈 raw'!$A:$A, 0), MATCH($A15, 'Daily 쨈 raw'!$1:$1, 0)), ""), IF(val=0, "", val))</f>
        <v/>
      </c>
      <c r="DA15" s="44" t="str">
        <f t="array" ref="DA15">LET(val, IFERROR(INDEX('Daily 쨈 raw'!$A:$Z, MATCH(DA$3, 'Daily 쨈 raw'!$A:$A, 0), MATCH($A15, 'Daily 쨈 raw'!$1:$1, 0)), ""), IF(val=0, "", val))</f>
        <v/>
      </c>
      <c r="DB15" s="44" t="str">
        <f t="array" ref="DB15">LET(val, IFERROR(INDEX('Daily 쨈 raw'!$A:$Z, MATCH(DB$3, 'Daily 쨈 raw'!$A:$A, 0), MATCH($A15, 'Daily 쨈 raw'!$1:$1, 0)), ""), IF(val=0, "", val))</f>
        <v/>
      </c>
      <c r="DC15" s="44" t="str">
        <f t="array" ref="DC15">LET(val, IFERROR(INDEX('Daily 쨈 raw'!$A:$Z, MATCH(DC$3, 'Daily 쨈 raw'!$A:$A, 0), MATCH($A15, 'Daily 쨈 raw'!$1:$1, 0)), ""), IF(val=0, "", val))</f>
        <v/>
      </c>
      <c r="DD15" s="44" t="str">
        <f t="array" ref="DD15">LET(val, IFERROR(INDEX('Daily 쨈 raw'!$A:$Z, MATCH(DD$3, 'Daily 쨈 raw'!$A:$A, 0), MATCH($A15, 'Daily 쨈 raw'!$1:$1, 0)), ""), IF(val=0, "", val))</f>
        <v/>
      </c>
      <c r="DE15" s="44" t="str">
        <f t="array" ref="DE15">LET(val, IFERROR(INDEX('Daily 쨈 raw'!$A:$Z, MATCH(DE$3, 'Daily 쨈 raw'!$A:$A, 0), MATCH($A15, 'Daily 쨈 raw'!$1:$1, 0)), ""), IF(val=0, "", val))</f>
        <v/>
      </c>
      <c r="DF15" s="44" t="str">
        <f t="array" ref="DF15">LET(val, IFERROR(INDEX('Daily 쨈 raw'!$A:$Z, MATCH(DF$3, 'Daily 쨈 raw'!$A:$A, 0), MATCH($A15, 'Daily 쨈 raw'!$1:$1, 0)), ""), IF(val=0, "", val))</f>
        <v/>
      </c>
      <c r="DG15" s="44" t="str">
        <f t="array" ref="DG15">LET(val, IFERROR(INDEX('Daily 쨈 raw'!$A:$Z, MATCH(DG$3, 'Daily 쨈 raw'!$A:$A, 0), MATCH($A15, 'Daily 쨈 raw'!$1:$1, 0)), ""), IF(val=0, "", val))</f>
        <v/>
      </c>
      <c r="DH15" s="44" t="str">
        <f t="array" ref="DH15">LET(val, IFERROR(INDEX('Daily 쨈 raw'!$A:$Z, MATCH(DH$3, 'Daily 쨈 raw'!$A:$A, 0), MATCH($A15, 'Daily 쨈 raw'!$1:$1, 0)), ""), IF(val=0, "", val))</f>
        <v/>
      </c>
      <c r="DI15" s="44" t="str">
        <f t="array" ref="DI15">LET(val, IFERROR(INDEX('Daily 쨈 raw'!$A:$Z, MATCH(DI$3, 'Daily 쨈 raw'!$A:$A, 0), MATCH($A15, 'Daily 쨈 raw'!$1:$1, 0)), ""), IF(val=0, "", val))</f>
        <v/>
      </c>
      <c r="DJ15" s="44" t="str">
        <f t="array" ref="DJ15">LET(val, IFERROR(INDEX('Daily 쨈 raw'!$A:$Z, MATCH(DJ$3, 'Daily 쨈 raw'!$A:$A, 0), MATCH($A15, 'Daily 쨈 raw'!$1:$1, 0)), ""), IF(val=0, "", val))</f>
        <v/>
      </c>
      <c r="DK15" s="44" t="str">
        <f t="array" ref="DK15">LET(val, IFERROR(INDEX('Daily 쨈 raw'!$A:$Z, MATCH(DK$3, 'Daily 쨈 raw'!$A:$A, 0), MATCH($A15, 'Daily 쨈 raw'!$1:$1, 0)), ""), IF(val=0, "", val))</f>
        <v/>
      </c>
      <c r="DL15" s="44" t="str">
        <f t="array" ref="DL15">LET(val, IFERROR(INDEX('Daily 쨈 raw'!$A:$Z, MATCH(DL$3, 'Daily 쨈 raw'!$A:$A, 0), MATCH($A15, 'Daily 쨈 raw'!$1:$1, 0)), ""), IF(val=0, "", val))</f>
        <v/>
      </c>
      <c r="DM15" s="44" t="str">
        <f t="array" ref="DM15">LET(val, IFERROR(INDEX('Daily 쨈 raw'!$A:$Z, MATCH(DM$3, 'Daily 쨈 raw'!$A:$A, 0), MATCH($A15, 'Daily 쨈 raw'!$1:$1, 0)), ""), IF(val=0, "", val))</f>
        <v/>
      </c>
      <c r="DN15" s="44" t="str">
        <f t="array" ref="DN15">LET(val, IFERROR(INDEX('Daily 쨈 raw'!$A:$Z, MATCH(DN$3, 'Daily 쨈 raw'!$A:$A, 0), MATCH($A15, 'Daily 쨈 raw'!$1:$1, 0)), ""), IF(val=0, "", val))</f>
        <v/>
      </c>
      <c r="DO15" s="44" t="str">
        <f t="array" ref="DO15">LET(val, IFERROR(INDEX('Daily 쨈 raw'!$A:$Z, MATCH(DO$3, 'Daily 쨈 raw'!$A:$A, 0), MATCH($A15, 'Daily 쨈 raw'!$1:$1, 0)), ""), IF(val=0, "", val))</f>
        <v/>
      </c>
      <c r="DP15" s="44" t="str">
        <f t="array" ref="DP15">LET(val, IFERROR(INDEX('Daily 쨈 raw'!$A:$Z, MATCH(DP$3, 'Daily 쨈 raw'!$A:$A, 0), MATCH($A15, 'Daily 쨈 raw'!$1:$1, 0)), ""), IF(val=0, "", val))</f>
        <v/>
      </c>
      <c r="DQ15" s="44" t="str">
        <f t="array" ref="DQ15">LET(val, IFERROR(INDEX('Daily 쨈 raw'!$A:$Z, MATCH(DQ$3, 'Daily 쨈 raw'!$A:$A, 0), MATCH($A15, 'Daily 쨈 raw'!$1:$1, 0)), ""), IF(val=0, "", val))</f>
        <v/>
      </c>
      <c r="DR15" s="44" t="str">
        <f t="array" ref="DR15">LET(val, IFERROR(INDEX('Daily 쨈 raw'!$A:$Z, MATCH(DR$3, 'Daily 쨈 raw'!$A:$A, 0), MATCH($A15, 'Daily 쨈 raw'!$1:$1, 0)), ""), IF(val=0, "", val))</f>
        <v/>
      </c>
      <c r="DS15" s="44" t="str">
        <f t="array" ref="DS15">LET(val, IFERROR(INDEX('Daily 쨈 raw'!$A:$Z, MATCH(DS$3, 'Daily 쨈 raw'!$A:$A, 0), MATCH($A15, 'Daily 쨈 raw'!$1:$1, 0)), ""), IF(val=0, "", val))</f>
        <v/>
      </c>
      <c r="DT15" s="44" t="str">
        <f t="array" ref="DT15">LET(val, IFERROR(INDEX('Daily 쨈 raw'!$A:$Z, MATCH(DT$3, 'Daily 쨈 raw'!$A:$A, 0), MATCH($A15, 'Daily 쨈 raw'!$1:$1, 0)), ""), IF(val=0, "", val))</f>
        <v/>
      </c>
      <c r="DU15" s="44" t="str">
        <f t="array" ref="DU15">LET(val, IFERROR(INDEX('Daily 쨈 raw'!$A:$Z, MATCH(DU$3, 'Daily 쨈 raw'!$A:$A, 0), MATCH($A15, 'Daily 쨈 raw'!$1:$1, 0)), ""), IF(val=0, "", val))</f>
        <v/>
      </c>
      <c r="DV15" s="44" t="str">
        <f t="array" ref="DV15">LET(val, IFERROR(INDEX('Daily 쨈 raw'!$A:$Z, MATCH(DV$3, 'Daily 쨈 raw'!$A:$A, 0), MATCH($A15, 'Daily 쨈 raw'!$1:$1, 0)), ""), IF(val=0, "", val))</f>
        <v/>
      </c>
      <c r="DW15" s="44" t="str">
        <f t="array" ref="DW15">LET(val, IFERROR(INDEX('Daily 쨈 raw'!$A:$Z, MATCH(DW$3, 'Daily 쨈 raw'!$A:$A, 0), MATCH($A15, 'Daily 쨈 raw'!$1:$1, 0)), ""), IF(val=0, "", val))</f>
        <v/>
      </c>
      <c r="DX15" s="44" t="str">
        <f t="array" ref="DX15">LET(val, IFERROR(INDEX('Daily 쨈 raw'!$A:$Z, MATCH(DX$3, 'Daily 쨈 raw'!$A:$A, 0), MATCH($A15, 'Daily 쨈 raw'!$1:$1, 0)), ""), IF(val=0, "", val))</f>
        <v/>
      </c>
      <c r="DY15" s="44" t="str">
        <f t="array" ref="DY15">LET(val, IFERROR(INDEX('Daily 쨈 raw'!$A:$Z, MATCH(DY$3, 'Daily 쨈 raw'!$A:$A, 0), MATCH($A15, 'Daily 쨈 raw'!$1:$1, 0)), ""), IF(val=0, "", val))</f>
        <v/>
      </c>
      <c r="DZ15" s="44" t="str">
        <f t="array" ref="DZ15">LET(val, IFERROR(INDEX('Daily 쨈 raw'!$A:$Z, MATCH(DZ$3, 'Daily 쨈 raw'!$A:$A, 0), MATCH($A15, 'Daily 쨈 raw'!$1:$1, 0)), ""), IF(val=0, "", val))</f>
        <v/>
      </c>
    </row>
    <row r="16" ht="22.5" customHeight="1">
      <c r="A16" s="16"/>
      <c r="B16" s="48" t="s">
        <v>78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9">
        <f t="shared" ref="BW16:DZ16" si="4">iferror(BW15/BW14, "")</f>
        <v>0.07415036045</v>
      </c>
      <c r="BX16" s="49">
        <f t="shared" si="4"/>
        <v>0.06981740064</v>
      </c>
      <c r="BY16" s="49">
        <f t="shared" si="4"/>
        <v>0.02831858407</v>
      </c>
      <c r="BZ16" s="49">
        <f t="shared" si="4"/>
        <v>0.04343891403</v>
      </c>
      <c r="CA16" s="49">
        <f t="shared" si="4"/>
        <v>0.05516637478</v>
      </c>
      <c r="CB16" s="49">
        <f t="shared" si="4"/>
        <v>0.09829619921</v>
      </c>
      <c r="CC16" s="49">
        <f t="shared" si="4"/>
        <v>0.1079059829</v>
      </c>
      <c r="CD16" s="49">
        <f t="shared" si="4"/>
        <v>0.1614639397</v>
      </c>
      <c r="CE16" s="49">
        <f t="shared" si="4"/>
        <v>0.2227772228</v>
      </c>
      <c r="CF16" s="49">
        <f t="shared" si="4"/>
        <v>0.1241241241</v>
      </c>
      <c r="CG16" s="49">
        <f t="shared" si="4"/>
        <v>0.1622641509</v>
      </c>
      <c r="CH16" s="49">
        <f t="shared" si="4"/>
        <v>0.2857142857</v>
      </c>
      <c r="CI16" s="49">
        <f t="shared" si="4"/>
        <v>0.204989154</v>
      </c>
      <c r="CJ16" s="49">
        <f t="shared" si="4"/>
        <v>0.1730605286</v>
      </c>
      <c r="CK16" s="49">
        <f t="shared" si="4"/>
        <v>0.1078651685</v>
      </c>
      <c r="CL16" s="49">
        <f t="shared" si="4"/>
        <v>0.1126033058</v>
      </c>
      <c r="CM16" s="49">
        <f t="shared" si="4"/>
        <v>0.08845829823</v>
      </c>
      <c r="CN16" s="49">
        <f t="shared" si="4"/>
        <v>0.09273422562</v>
      </c>
      <c r="CO16" s="49">
        <f t="shared" si="4"/>
        <v>0.1050262566</v>
      </c>
      <c r="CP16" s="49">
        <f t="shared" si="4"/>
        <v>0.08990536278</v>
      </c>
      <c r="CQ16" s="49" t="str">
        <f t="shared" si="4"/>
        <v/>
      </c>
      <c r="CR16" s="49" t="str">
        <f t="shared" si="4"/>
        <v/>
      </c>
      <c r="CS16" s="49" t="str">
        <f t="shared" si="4"/>
        <v/>
      </c>
      <c r="CT16" s="49" t="str">
        <f t="shared" si="4"/>
        <v/>
      </c>
      <c r="CU16" s="49" t="str">
        <f t="shared" si="4"/>
        <v/>
      </c>
      <c r="CV16" s="49" t="str">
        <f t="shared" si="4"/>
        <v/>
      </c>
      <c r="CW16" s="49" t="str">
        <f t="shared" si="4"/>
        <v/>
      </c>
      <c r="CX16" s="49" t="str">
        <f t="shared" si="4"/>
        <v/>
      </c>
      <c r="CY16" s="49" t="str">
        <f t="shared" si="4"/>
        <v/>
      </c>
      <c r="CZ16" s="49" t="str">
        <f t="shared" si="4"/>
        <v/>
      </c>
      <c r="DA16" s="49" t="str">
        <f t="shared" si="4"/>
        <v/>
      </c>
      <c r="DB16" s="49" t="str">
        <f t="shared" si="4"/>
        <v/>
      </c>
      <c r="DC16" s="49" t="str">
        <f t="shared" si="4"/>
        <v/>
      </c>
      <c r="DD16" s="49" t="str">
        <f t="shared" si="4"/>
        <v/>
      </c>
      <c r="DE16" s="49" t="str">
        <f t="shared" si="4"/>
        <v/>
      </c>
      <c r="DF16" s="49" t="str">
        <f t="shared" si="4"/>
        <v/>
      </c>
      <c r="DG16" s="49" t="str">
        <f t="shared" si="4"/>
        <v/>
      </c>
      <c r="DH16" s="49" t="str">
        <f t="shared" si="4"/>
        <v/>
      </c>
      <c r="DI16" s="49" t="str">
        <f t="shared" si="4"/>
        <v/>
      </c>
      <c r="DJ16" s="49" t="str">
        <f t="shared" si="4"/>
        <v/>
      </c>
      <c r="DK16" s="49" t="str">
        <f t="shared" si="4"/>
        <v/>
      </c>
      <c r="DL16" s="49" t="str">
        <f t="shared" si="4"/>
        <v/>
      </c>
      <c r="DM16" s="49" t="str">
        <f t="shared" si="4"/>
        <v/>
      </c>
      <c r="DN16" s="49" t="str">
        <f t="shared" si="4"/>
        <v/>
      </c>
      <c r="DO16" s="49" t="str">
        <f t="shared" si="4"/>
        <v/>
      </c>
      <c r="DP16" s="49" t="str">
        <f t="shared" si="4"/>
        <v/>
      </c>
      <c r="DQ16" s="49" t="str">
        <f t="shared" si="4"/>
        <v/>
      </c>
      <c r="DR16" s="49" t="str">
        <f t="shared" si="4"/>
        <v/>
      </c>
      <c r="DS16" s="49" t="str">
        <f t="shared" si="4"/>
        <v/>
      </c>
      <c r="DT16" s="49" t="str">
        <f t="shared" si="4"/>
        <v/>
      </c>
      <c r="DU16" s="49" t="str">
        <f t="shared" si="4"/>
        <v/>
      </c>
      <c r="DV16" s="49" t="str">
        <f t="shared" si="4"/>
        <v/>
      </c>
      <c r="DW16" s="49" t="str">
        <f t="shared" si="4"/>
        <v/>
      </c>
      <c r="DX16" s="49" t="str">
        <f t="shared" si="4"/>
        <v/>
      </c>
      <c r="DY16" s="49" t="str">
        <f t="shared" si="4"/>
        <v/>
      </c>
      <c r="DZ16" s="49" t="str">
        <f t="shared" si="4"/>
        <v/>
      </c>
    </row>
    <row r="17" ht="22.5" customHeight="1">
      <c r="A17" s="16" t="s">
        <v>79</v>
      </c>
      <c r="B17" s="48" t="s">
        <v>80</v>
      </c>
      <c r="C17" s="50">
        <f t="array" ref="C17">LET(val, IFERROR(INDEX('Daily 쨈 raw'!$A:$Z, MATCH(C$3, 'Daily 쨈 raw'!$A:$A, 0), MATCH($A17, 'Daily 쨈 raw'!$1:$1, 0)), ""), IF(val=0, "", val))</f>
        <v>1.30551325</v>
      </c>
      <c r="D17" s="50">
        <f t="array" ref="D17">LET(val, IFERROR(INDEX('Daily 쨈 raw'!$A:$Z, MATCH(D$3, 'Daily 쨈 raw'!$A:$A, 0), MATCH($A17, 'Daily 쨈 raw'!$1:$1, 0)), ""), IF(val=0, "", val))</f>
        <v>1.428613569</v>
      </c>
      <c r="E17" s="50">
        <f t="array" ref="E17">LET(val, IFERROR(INDEX('Daily 쨈 raw'!$A:$Z, MATCH(E$3, 'Daily 쨈 raw'!$A:$A, 0), MATCH($A17, 'Daily 쨈 raw'!$1:$1, 0)), ""), IF(val=0, "", val))</f>
        <v>1.348178138</v>
      </c>
      <c r="F17" s="50">
        <f t="array" ref="F17">LET(val, IFERROR(INDEX('Daily 쨈 raw'!$A:$Z, MATCH(F$3, 'Daily 쨈 raw'!$A:$A, 0), MATCH($A17, 'Daily 쨈 raw'!$1:$1, 0)), ""), IF(val=0, "", val))</f>
        <v>1.450456544</v>
      </c>
      <c r="G17" s="50">
        <f t="array" ref="G17">LET(val, IFERROR(INDEX('Daily 쨈 raw'!$A:$Z, MATCH(G$3, 'Daily 쨈 raw'!$A:$A, 0), MATCH($A17, 'Daily 쨈 raw'!$1:$1, 0)), ""), IF(val=0, "", val))</f>
        <v>1.483870968</v>
      </c>
      <c r="H17" s="50">
        <f t="array" ref="H17">LET(val, IFERROR(INDEX('Daily 쨈 raw'!$A:$Z, MATCH(H$3, 'Daily 쨈 raw'!$A:$A, 0), MATCH($A17, 'Daily 쨈 raw'!$1:$1, 0)), ""), IF(val=0, "", val))</f>
        <v>1.921123717</v>
      </c>
      <c r="I17" s="50">
        <f t="array" ref="I17">LET(val, IFERROR(INDEX('Daily 쨈 raw'!$A:$Z, MATCH(I$3, 'Daily 쨈 raw'!$A:$A, 0), MATCH($A17, 'Daily 쨈 raw'!$1:$1, 0)), ""), IF(val=0, "", val))</f>
        <v>1.811894273</v>
      </c>
      <c r="J17" s="50">
        <f t="array" ref="J17">LET(val, IFERROR(INDEX('Daily 쨈 raw'!$A:$Z, MATCH(J$3, 'Daily 쨈 raw'!$A:$A, 0), MATCH($A17, 'Daily 쨈 raw'!$1:$1, 0)), ""), IF(val=0, "", val))</f>
        <v>1.752449716</v>
      </c>
      <c r="K17" s="50">
        <f t="array" ref="K17">LET(val, IFERROR(INDEX('Daily 쨈 raw'!$A:$Z, MATCH(K$3, 'Daily 쨈 raw'!$A:$A, 0), MATCH($A17, 'Daily 쨈 raw'!$1:$1, 0)), ""), IF(val=0, "", val))</f>
        <v>3.184430028</v>
      </c>
      <c r="L17" s="50">
        <f t="array" ref="L17">LET(val, IFERROR(INDEX('Daily 쨈 raw'!$A:$Z, MATCH(L$3, 'Daily 쨈 raw'!$A:$A, 0), MATCH($A17, 'Daily 쨈 raw'!$1:$1, 0)), ""), IF(val=0, "", val))</f>
        <v>3.157620042</v>
      </c>
      <c r="M17" s="50">
        <f t="array" ref="M17">LET(val, IFERROR(INDEX('Daily 쨈 raw'!$A:$Z, MATCH(M$3, 'Daily 쨈 raw'!$A:$A, 0), MATCH($A17, 'Daily 쨈 raw'!$1:$1, 0)), ""), IF(val=0, "", val))</f>
        <v>2.87173913</v>
      </c>
      <c r="N17" s="50">
        <f t="array" ref="N17">LET(val, IFERROR(INDEX('Daily 쨈 raw'!$A:$Z, MATCH(N$3, 'Daily 쨈 raw'!$A:$A, 0), MATCH($A17, 'Daily 쨈 raw'!$1:$1, 0)), ""), IF(val=0, "", val))</f>
        <v>3.132052821</v>
      </c>
      <c r="O17" s="50">
        <f t="array" ref="O17">LET(val, IFERROR(INDEX('Daily 쨈 raw'!$A:$Z, MATCH(O$3, 'Daily 쨈 raw'!$A:$A, 0), MATCH($A17, 'Daily 쨈 raw'!$1:$1, 0)), ""), IF(val=0, "", val))</f>
        <v>3.369501466</v>
      </c>
      <c r="P17" s="50">
        <f t="array" ref="P17">LET(val, IFERROR(INDEX('Daily 쨈 raw'!$A:$Z, MATCH(P$3, 'Daily 쨈 raw'!$A:$A, 0), MATCH($A17, 'Daily 쨈 raw'!$1:$1, 0)), ""), IF(val=0, "", val))</f>
        <v>3.896183206</v>
      </c>
      <c r="Q17" s="50">
        <f t="array" ref="Q17">LET(val, IFERROR(INDEX('Daily 쨈 raw'!$A:$Z, MATCH(Q$3, 'Daily 쨈 raw'!$A:$A, 0), MATCH($A17, 'Daily 쨈 raw'!$1:$1, 0)), ""), IF(val=0, "", val))</f>
        <v>3.261460102</v>
      </c>
      <c r="R17" s="50">
        <f t="array" ref="R17">LET(val, IFERROR(INDEX('Daily 쨈 raw'!$A:$Z, MATCH(R$3, 'Daily 쨈 raw'!$A:$A, 0), MATCH($A17, 'Daily 쨈 raw'!$1:$1, 0)), ""), IF(val=0, "", val))</f>
        <v>3.306176084</v>
      </c>
      <c r="S17" s="50">
        <f t="array" ref="S17">LET(val, IFERROR(INDEX('Daily 쨈 raw'!$A:$Z, MATCH(S$3, 'Daily 쨈 raw'!$A:$A, 0), MATCH($A17, 'Daily 쨈 raw'!$1:$1, 0)), ""), IF(val=0, "", val))</f>
        <v>2.742729306</v>
      </c>
      <c r="T17" s="50">
        <f t="array" ref="T17">LET(val, IFERROR(INDEX('Daily 쨈 raw'!$A:$Z, MATCH(T$3, 'Daily 쨈 raw'!$A:$A, 0), MATCH($A17, 'Daily 쨈 raw'!$1:$1, 0)), ""), IF(val=0, "", val))</f>
        <v>3.045643154</v>
      </c>
      <c r="U17" s="50">
        <f t="array" ref="U17">LET(val, IFERROR(INDEX('Daily 쨈 raw'!$A:$Z, MATCH(U$3, 'Daily 쨈 raw'!$A:$A, 0), MATCH($A17, 'Daily 쨈 raw'!$1:$1, 0)), ""), IF(val=0, "", val))</f>
        <v>2.849184783</v>
      </c>
      <c r="V17" s="50">
        <f t="array" ref="V17">LET(val, IFERROR(INDEX('Daily 쨈 raw'!$A:$Z, MATCH(V$3, 'Daily 쨈 raw'!$A:$A, 0), MATCH($A17, 'Daily 쨈 raw'!$1:$1, 0)), ""), IF(val=0, "", val))</f>
        <v>2.328608247</v>
      </c>
      <c r="W17" s="50">
        <f t="array" ref="W17">LET(val, IFERROR(INDEX('Daily 쨈 raw'!$A:$Z, MATCH(W$3, 'Daily 쨈 raw'!$A:$A, 0), MATCH($A17, 'Daily 쨈 raw'!$1:$1, 0)), ""), IF(val=0, "", val))</f>
        <v>2.912621359</v>
      </c>
      <c r="X17" s="50">
        <f t="array" ref="X17">LET(val, IFERROR(INDEX('Daily 쨈 raw'!$A:$Z, MATCH(X$3, 'Daily 쨈 raw'!$A:$A, 0), MATCH($A17, 'Daily 쨈 raw'!$1:$1, 0)), ""), IF(val=0, "", val))</f>
        <v>2.716096324</v>
      </c>
      <c r="Y17" s="50">
        <f t="array" ref="Y17">LET(val, IFERROR(INDEX('Daily 쨈 raw'!$A:$Z, MATCH(Y$3, 'Daily 쨈 raw'!$A:$A, 0), MATCH($A17, 'Daily 쨈 raw'!$1:$1, 0)), ""), IF(val=0, "", val))</f>
        <v>2.203208556</v>
      </c>
      <c r="Z17" s="50">
        <f t="array" ref="Z17">LET(val, IFERROR(INDEX('Daily 쨈 raw'!$A:$Z, MATCH(Z$3, 'Daily 쨈 raw'!$A:$A, 0), MATCH($A17, 'Daily 쨈 raw'!$1:$1, 0)), ""), IF(val=0, "", val))</f>
        <v>2.229822161</v>
      </c>
      <c r="AA17" s="50">
        <f t="array" ref="AA17">LET(val, IFERROR(INDEX('Daily 쨈 raw'!$A:$Z, MATCH(AA$3, 'Daily 쨈 raw'!$A:$A, 0), MATCH($A17, 'Daily 쨈 raw'!$1:$1, 0)), ""), IF(val=0, "", val))</f>
        <v>2.208211144</v>
      </c>
      <c r="AB17" s="50">
        <f t="array" ref="AB17">LET(val, IFERROR(INDEX('Daily 쨈 raw'!$A:$Z, MATCH(AB$3, 'Daily 쨈 raw'!$A:$A, 0), MATCH($A17, 'Daily 쨈 raw'!$1:$1, 0)), ""), IF(val=0, "", val))</f>
        <v>2.173112339</v>
      </c>
      <c r="AC17" s="50">
        <f t="array" ref="AC17">LET(val, IFERROR(INDEX('Daily 쨈 raw'!$A:$Z, MATCH(AC$3, 'Daily 쨈 raw'!$A:$A, 0), MATCH($A17, 'Daily 쨈 raw'!$1:$1, 0)), ""), IF(val=0, "", val))</f>
        <v>2.167197452</v>
      </c>
      <c r="AD17" s="50">
        <f t="array" ref="AD17">LET(val, IFERROR(INDEX('Daily 쨈 raw'!$A:$Z, MATCH(AD$3, 'Daily 쨈 raw'!$A:$A, 0), MATCH($A17, 'Daily 쨈 raw'!$1:$1, 0)), ""), IF(val=0, "", val))</f>
        <v>2.226244344</v>
      </c>
      <c r="AE17" s="50">
        <f t="array" ref="AE17">LET(val, IFERROR(INDEX('Daily 쨈 raw'!$A:$Z, MATCH(AE$3, 'Daily 쨈 raw'!$A:$A, 0), MATCH($A17, 'Daily 쨈 raw'!$1:$1, 0)), ""), IF(val=0, "", val))</f>
        <v>2.082748948</v>
      </c>
      <c r="AF17" s="50">
        <f t="array" ref="AF17">LET(val, IFERROR(INDEX('Daily 쨈 raw'!$A:$Z, MATCH(AF$3, 'Daily 쨈 raw'!$A:$A, 0), MATCH($A17, 'Daily 쨈 raw'!$1:$1, 0)), ""), IF(val=0, "", val))</f>
        <v>2.183800623</v>
      </c>
      <c r="AG17" s="50">
        <f t="array" ref="AG17">LET(val, IFERROR(INDEX('Daily 쨈 raw'!$A:$Z, MATCH(AG$3, 'Daily 쨈 raw'!$A:$A, 0), MATCH($A17, 'Daily 쨈 raw'!$1:$1, 0)), ""), IF(val=0, "", val))</f>
        <v>2.198019802</v>
      </c>
      <c r="AH17" s="50">
        <f t="array" ref="AH17">LET(val, IFERROR(INDEX('Daily 쨈 raw'!$A:$Z, MATCH(AH$3, 'Daily 쨈 raw'!$A:$A, 0), MATCH($A17, 'Daily 쨈 raw'!$1:$1, 0)), ""), IF(val=0, "", val))</f>
        <v>2.22044335</v>
      </c>
      <c r="AI17" s="50">
        <f t="array" ref="AI17">LET(val, IFERROR(INDEX('Daily 쨈 raw'!$A:$Z, MATCH(AI$3, 'Daily 쨈 raw'!$A:$A, 0), MATCH($A17, 'Daily 쨈 raw'!$1:$1, 0)), ""), IF(val=0, "", val))</f>
        <v>1.914754098</v>
      </c>
      <c r="AJ17" s="50">
        <f t="array" ref="AJ17">LET(val, IFERROR(INDEX('Daily 쨈 raw'!$A:$Z, MATCH(AJ$3, 'Daily 쨈 raw'!$A:$A, 0), MATCH($A17, 'Daily 쨈 raw'!$1:$1, 0)), ""), IF(val=0, "", val))</f>
        <v>2.023668639</v>
      </c>
      <c r="AK17" s="50">
        <f t="array" ref="AK17">LET(val, IFERROR(INDEX('Daily 쨈 raw'!$A:$Z, MATCH(AK$3, 'Daily 쨈 raw'!$A:$A, 0), MATCH($A17, 'Daily 쨈 raw'!$1:$1, 0)), ""), IF(val=0, "", val))</f>
        <v>1.805043647</v>
      </c>
      <c r="AL17" s="50">
        <f t="array" ref="AL17">LET(val, IFERROR(INDEX('Daily 쨈 raw'!$A:$Z, MATCH(AL$3, 'Daily 쨈 raw'!$A:$A, 0), MATCH($A17, 'Daily 쨈 raw'!$1:$1, 0)), ""), IF(val=0, "", val))</f>
        <v>1.82300885</v>
      </c>
      <c r="AM17" s="50">
        <f t="array" ref="AM17">LET(val, IFERROR(INDEX('Daily 쨈 raw'!$A:$Z, MATCH(AM$3, 'Daily 쨈 raw'!$A:$A, 0), MATCH($A17, 'Daily 쨈 raw'!$1:$1, 0)), ""), IF(val=0, "", val))</f>
        <v>1.832285115</v>
      </c>
      <c r="AN17" s="50">
        <f t="array" ref="AN17">LET(val, IFERROR(INDEX('Daily 쨈 raw'!$A:$Z, MATCH(AN$3, 'Daily 쨈 raw'!$A:$A, 0), MATCH($A17, 'Daily 쨈 raw'!$1:$1, 0)), ""), IF(val=0, "", val))</f>
        <v>1.883227176</v>
      </c>
      <c r="AO17" s="50">
        <f t="array" ref="AO17">LET(val, IFERROR(INDEX('Daily 쨈 raw'!$A:$Z, MATCH(AO$3, 'Daily 쨈 raw'!$A:$A, 0), MATCH($A17, 'Daily 쨈 raw'!$1:$1, 0)), ""), IF(val=0, "", val))</f>
        <v>1.864710093</v>
      </c>
      <c r="AP17" s="50">
        <f t="array" ref="AP17">LET(val, IFERROR(INDEX('Daily 쨈 raw'!$A:$Z, MATCH(AP$3, 'Daily 쨈 raw'!$A:$A, 0), MATCH($A17, 'Daily 쨈 raw'!$1:$1, 0)), ""), IF(val=0, "", val))</f>
        <v>1.818543046</v>
      </c>
      <c r="AQ17" s="50">
        <f t="array" ref="AQ17">LET(val, IFERROR(INDEX('Daily 쨈 raw'!$A:$Z, MATCH(AQ$3, 'Daily 쨈 raw'!$A:$A, 0), MATCH($A17, 'Daily 쨈 raw'!$1:$1, 0)), ""), IF(val=0, "", val))</f>
        <v>1.831325301</v>
      </c>
      <c r="AR17" s="50">
        <f t="array" ref="AR17">LET(val, IFERROR(INDEX('Daily 쨈 raw'!$A:$Z, MATCH(AR$3, 'Daily 쨈 raw'!$A:$A, 0), MATCH($A17, 'Daily 쨈 raw'!$1:$1, 0)), ""), IF(val=0, "", val))</f>
        <v>2.038812785</v>
      </c>
      <c r="AS17" s="50">
        <f t="array" ref="AS17">LET(val, IFERROR(INDEX('Daily 쨈 raw'!$A:$Z, MATCH(AS$3, 'Daily 쨈 raw'!$A:$A, 0), MATCH($A17, 'Daily 쨈 raw'!$1:$1, 0)), ""), IF(val=0, "", val))</f>
        <v>1.690087829</v>
      </c>
      <c r="AT17" s="50">
        <f t="array" ref="AT17">LET(val, IFERROR(INDEX('Daily 쨈 raw'!$A:$Z, MATCH(AT$3, 'Daily 쨈 raw'!$A:$A, 0), MATCH($A17, 'Daily 쨈 raw'!$1:$1, 0)), ""), IF(val=0, "", val))</f>
        <v>1.761651132</v>
      </c>
      <c r="AU17" s="50">
        <f t="array" ref="AU17">LET(val, IFERROR(INDEX('Daily 쨈 raw'!$A:$Z, MATCH(AU$3, 'Daily 쨈 raw'!$A:$A, 0), MATCH($A17, 'Daily 쨈 raw'!$1:$1, 0)), ""), IF(val=0, "", val))</f>
        <v>1.675120773</v>
      </c>
      <c r="AV17" s="50">
        <f t="array" ref="AV17">LET(val, IFERROR(INDEX('Daily 쨈 raw'!$A:$Z, MATCH(AV$3, 'Daily 쨈 raw'!$A:$A, 0), MATCH($A17, 'Daily 쨈 raw'!$1:$1, 0)), ""), IF(val=0, "", val))</f>
        <v>1.663101604</v>
      </c>
      <c r="AW17" s="50">
        <f t="array" ref="AW17">LET(val, IFERROR(INDEX('Daily 쨈 raw'!$A:$Z, MATCH(AW$3, 'Daily 쨈 raw'!$A:$A, 0), MATCH($A17, 'Daily 쨈 raw'!$1:$1, 0)), ""), IF(val=0, "", val))</f>
        <v>1.606837607</v>
      </c>
      <c r="AX17" s="50">
        <f t="array" ref="AX17">LET(val, IFERROR(INDEX('Daily 쨈 raw'!$A:$Z, MATCH(AX$3, 'Daily 쨈 raw'!$A:$A, 0), MATCH($A17, 'Daily 쨈 raw'!$1:$1, 0)), ""), IF(val=0, "", val))</f>
        <v>1.685323383</v>
      </c>
      <c r="AY17" s="50">
        <f t="array" ref="AY17">LET(val, IFERROR(INDEX('Daily 쨈 raw'!$A:$Z, MATCH(AY$3, 'Daily 쨈 raw'!$A:$A, 0), MATCH($A17, 'Daily 쨈 raw'!$1:$1, 0)), ""), IF(val=0, "", val))</f>
        <v>1.615472127</v>
      </c>
      <c r="AZ17" s="50">
        <f t="array" ref="AZ17">LET(val, IFERROR(INDEX('Daily 쨈 raw'!$A:$Z, MATCH(AZ$3, 'Daily 쨈 raw'!$A:$A, 0), MATCH($A17, 'Daily 쨈 raw'!$1:$1, 0)), ""), IF(val=0, "", val))</f>
        <v>1.689295039</v>
      </c>
      <c r="BA17" s="50">
        <f t="array" ref="BA17">LET(val, IFERROR(INDEX('Daily 쨈 raw'!$A:$Z, MATCH(BA$3, 'Daily 쨈 raw'!$A:$A, 0), MATCH($A17, 'Daily 쨈 raw'!$1:$1, 0)), ""), IF(val=0, "", val))</f>
        <v>1.831562974</v>
      </c>
      <c r="BB17" s="50">
        <f t="array" ref="BB17">LET(val, IFERROR(INDEX('Daily 쨈 raw'!$A:$Z, MATCH(BB$3, 'Daily 쨈 raw'!$A:$A, 0), MATCH($A17, 'Daily 쨈 raw'!$1:$1, 0)), ""), IF(val=0, "", val))</f>
        <v>1.682158921</v>
      </c>
      <c r="BC17" s="50">
        <f t="array" ref="BC17">LET(val, IFERROR(INDEX('Daily 쨈 raw'!$A:$Z, MATCH(BC$3, 'Daily 쨈 raw'!$A:$A, 0), MATCH($A17, 'Daily 쨈 raw'!$1:$1, 0)), ""), IF(val=0, "", val))</f>
        <v>1.620545073</v>
      </c>
      <c r="BD17" s="50">
        <f t="array" ref="BD17">LET(val, IFERROR(INDEX('Daily 쨈 raw'!$A:$Z, MATCH(BD$3, 'Daily 쨈 raw'!$A:$A, 0), MATCH($A17, 'Daily 쨈 raw'!$1:$1, 0)), ""), IF(val=0, "", val))</f>
        <v>1.591474245</v>
      </c>
      <c r="BE17" s="50">
        <f t="array" ref="BE17">LET(val, IFERROR(INDEX('Daily 쨈 raw'!$A:$Z, MATCH(BE$3, 'Daily 쨈 raw'!$A:$A, 0), MATCH($A17, 'Daily 쨈 raw'!$1:$1, 0)), ""), IF(val=0, "", val))</f>
        <v>1.536319613</v>
      </c>
      <c r="BF17" s="50">
        <f t="array" ref="BF17">LET(val, IFERROR(INDEX('Daily 쨈 raw'!$A:$Z, MATCH(BF$3, 'Daily 쨈 raw'!$A:$A, 0), MATCH($A17, 'Daily 쨈 raw'!$1:$1, 0)), ""), IF(val=0, "", val))</f>
        <v>1.749506903</v>
      </c>
      <c r="BG17" s="50">
        <f t="array" ref="BG17">LET(val, IFERROR(INDEX('Daily 쨈 raw'!$A:$Z, MATCH(BG$3, 'Daily 쨈 raw'!$A:$A, 0), MATCH($A17, 'Daily 쨈 raw'!$1:$1, 0)), ""), IF(val=0, "", val))</f>
        <v>1.486842105</v>
      </c>
      <c r="BH17" s="50">
        <f t="array" ref="BH17">LET(val, IFERROR(INDEX('Daily 쨈 raw'!$A:$Z, MATCH(BH$3, 'Daily 쨈 raw'!$A:$A, 0), MATCH($A17, 'Daily 쨈 raw'!$1:$1, 0)), ""), IF(val=0, "", val))</f>
        <v>1.541925466</v>
      </c>
      <c r="BI17" s="50">
        <f t="array" ref="BI17">LET(val, IFERROR(INDEX('Daily 쨈 raw'!$A:$Z, MATCH(BI$3, 'Daily 쨈 raw'!$A:$A, 0), MATCH($A17, 'Daily 쨈 raw'!$1:$1, 0)), ""), IF(val=0, "", val))</f>
        <v>1.513016845</v>
      </c>
      <c r="BJ17" s="50">
        <f t="array" ref="BJ17">LET(val, IFERROR(INDEX('Daily 쨈 raw'!$A:$Z, MATCH(BJ$3, 'Daily 쨈 raw'!$A:$A, 0), MATCH($A17, 'Daily 쨈 raw'!$1:$1, 0)), ""), IF(val=0, "", val))</f>
        <v>1.475496689</v>
      </c>
      <c r="BK17" s="50">
        <f t="array" ref="BK17">LET(val, IFERROR(INDEX('Daily 쨈 raw'!$A:$Z, MATCH(BK$3, 'Daily 쨈 raw'!$A:$A, 0), MATCH($A17, 'Daily 쨈 raw'!$1:$1, 0)), ""), IF(val=0, "", val))</f>
        <v>1.615803815</v>
      </c>
      <c r="BL17" s="50">
        <f t="array" ref="BL17">LET(val, IFERROR(INDEX('Daily 쨈 raw'!$A:$Z, MATCH(BL$3, 'Daily 쨈 raw'!$A:$A, 0), MATCH($A17, 'Daily 쨈 raw'!$1:$1, 0)), ""), IF(val=0, "", val))</f>
        <v>1.585427136</v>
      </c>
      <c r="BM17" s="50">
        <f t="array" ref="BM17">LET(val, IFERROR(INDEX('Daily 쨈 raw'!$A:$Z, MATCH(BM$3, 'Daily 쨈 raw'!$A:$A, 0), MATCH($A17, 'Daily 쨈 raw'!$1:$1, 0)), ""), IF(val=0, "", val))</f>
        <v>1.67674113</v>
      </c>
      <c r="BN17" s="50">
        <f t="array" ref="BN17">LET(val, IFERROR(INDEX('Daily 쨈 raw'!$A:$Z, MATCH(BN$3, 'Daily 쨈 raw'!$A:$A, 0), MATCH($A17, 'Daily 쨈 raw'!$1:$1, 0)), ""), IF(val=0, "", val))</f>
        <v>1.608108108</v>
      </c>
      <c r="BO17" s="50">
        <f t="array" ref="BO17">LET(val, IFERROR(INDEX('Daily 쨈 raw'!$A:$Z, MATCH(BO$3, 'Daily 쨈 raw'!$A:$A, 0), MATCH($A17, 'Daily 쨈 raw'!$1:$1, 0)), ""), IF(val=0, "", val))</f>
        <v>1.896358543</v>
      </c>
      <c r="BP17" s="50">
        <f t="array" ref="BP17">LET(val, IFERROR(INDEX('Daily 쨈 raw'!$A:$Z, MATCH(BP$3, 'Daily 쨈 raw'!$A:$A, 0), MATCH($A17, 'Daily 쨈 raw'!$1:$1, 0)), ""), IF(val=0, "", val))</f>
        <v>1.924702774</v>
      </c>
      <c r="BQ17" s="50">
        <f t="array" ref="BQ17">LET(val, IFERROR(INDEX('Daily 쨈 raw'!$A:$Z, MATCH(BQ$3, 'Daily 쨈 raw'!$A:$A, 0), MATCH($A17, 'Daily 쨈 raw'!$1:$1, 0)), ""), IF(val=0, "", val))</f>
        <v>1.801003344</v>
      </c>
      <c r="BR17" s="50">
        <f t="array" ref="BR17">LET(val, IFERROR(INDEX('Daily 쨈 raw'!$A:$Z, MATCH(BR$3, 'Daily 쨈 raw'!$A:$A, 0), MATCH($A17, 'Daily 쨈 raw'!$1:$1, 0)), ""), IF(val=0, "", val))</f>
        <v>1.949197861</v>
      </c>
      <c r="BS17" s="50">
        <f t="array" ref="BS17">LET(val, IFERROR(INDEX('Daily 쨈 raw'!$A:$Z, MATCH(BS$3, 'Daily 쨈 raw'!$A:$A, 0), MATCH($A17, 'Daily 쨈 raw'!$1:$1, 0)), ""), IF(val=0, "", val))</f>
        <v>1.780523256</v>
      </c>
      <c r="BT17" s="50">
        <f t="array" ref="BT17">LET(val, IFERROR(INDEX('Daily 쨈 raw'!$A:$Z, MATCH(BT$3, 'Daily 쨈 raw'!$A:$A, 0), MATCH($A17, 'Daily 쨈 raw'!$1:$1, 0)), ""), IF(val=0, "", val))</f>
        <v>1.644046095</v>
      </c>
      <c r="BU17" s="50">
        <f t="array" ref="BU17">LET(val, IFERROR(INDEX('Daily 쨈 raw'!$A:$Z, MATCH(BU$3, 'Daily 쨈 raw'!$A:$A, 0), MATCH($A17, 'Daily 쨈 raw'!$1:$1, 0)), ""), IF(val=0, "", val))</f>
        <v>1.658156028</v>
      </c>
      <c r="BV17" s="50">
        <f t="array" ref="BV17">LET(val, IFERROR(INDEX('Daily 쨈 raw'!$A:$Z, MATCH(BV$3, 'Daily 쨈 raw'!$A:$A, 0), MATCH($A17, 'Daily 쨈 raw'!$1:$1, 0)), ""), IF(val=0, "", val))</f>
        <v>1.698170732</v>
      </c>
      <c r="BW17" s="50">
        <f t="array" ref="BW17">LET(val, IFERROR(INDEX('Daily 쨈 raw'!$A:$Z, MATCH(BW$3, 'Daily 쨈 raw'!$A:$A, 0), MATCH($A17, 'Daily 쨈 raw'!$1:$1, 0)), ""), IF(val=0, "", val))</f>
        <v>1.64511041</v>
      </c>
      <c r="BX17" s="50">
        <f t="array" ref="BX17">LET(val, IFERROR(INDEX('Daily 쨈 raw'!$A:$Z, MATCH(BX$3, 'Daily 쨈 raw'!$A:$A, 0), MATCH($A17, 'Daily 쨈 raw'!$1:$1, 0)), ""), IF(val=0, "", val))</f>
        <v>1.691001698</v>
      </c>
      <c r="BY17" s="50">
        <f t="array" ref="BY17">LET(val, IFERROR(INDEX('Daily 쨈 raw'!$A:$Z, MATCH(BY$3, 'Daily 쨈 raw'!$A:$A, 0), MATCH($A17, 'Daily 쨈 raw'!$1:$1, 0)), ""), IF(val=0, "", val))</f>
        <v>1.827044025</v>
      </c>
      <c r="BZ17" s="50">
        <f t="array" ref="BZ17">LET(val, IFERROR(INDEX('Daily 쨈 raw'!$A:$Z, MATCH(BZ$3, 'Daily 쨈 raw'!$A:$A, 0), MATCH($A17, 'Daily 쨈 raw'!$1:$1, 0)), ""), IF(val=0, "", val))</f>
        <v>1.612587413</v>
      </c>
      <c r="CA17" s="50">
        <f t="array" ref="CA17">LET(val, IFERROR(INDEX('Daily 쨈 raw'!$A:$Z, MATCH(CA$3, 'Daily 쨈 raw'!$A:$A, 0), MATCH($A17, 'Daily 쨈 raw'!$1:$1, 0)), ""), IF(val=0, "", val))</f>
        <v>1.626180837</v>
      </c>
      <c r="CB17" s="50">
        <f t="array" ref="CB17">LET(val, IFERROR(INDEX('Daily 쨈 raw'!$A:$Z, MATCH(CB$3, 'Daily 쨈 raw'!$A:$A, 0), MATCH($A17, 'Daily 쨈 raw'!$1:$1, 0)), ""), IF(val=0, "", val))</f>
        <v>1.917620137</v>
      </c>
      <c r="CC17" s="50">
        <f t="array" ref="CC17">LET(val, IFERROR(INDEX('Daily 쨈 raw'!$A:$Z, MATCH(CC$3, 'Daily 쨈 raw'!$A:$A, 0), MATCH($A17, 'Daily 쨈 raw'!$1:$1, 0)), ""), IF(val=0, "", val))</f>
        <v>2.249457701</v>
      </c>
      <c r="CD17" s="50">
        <f t="array" ref="CD17">LET(val, IFERROR(INDEX('Daily 쨈 raw'!$A:$Z, MATCH(CD$3, 'Daily 쨈 raw'!$A:$A, 0), MATCH($A17, 'Daily 쨈 raw'!$1:$1, 0)), ""), IF(val=0, "", val))</f>
        <v>2.215605749</v>
      </c>
      <c r="CE17" s="50">
        <f t="array" ref="CE17">LET(val, IFERROR(INDEX('Daily 쨈 raw'!$A:$Z, MATCH(CE$3, 'Daily 쨈 raw'!$A:$A, 0), MATCH($A17, 'Daily 쨈 raw'!$1:$1, 0)), ""), IF(val=0, "", val))</f>
        <v>2.534161491</v>
      </c>
      <c r="CF17" s="50">
        <f t="array" ref="CF17">LET(val, IFERROR(INDEX('Daily 쨈 raw'!$A:$Z, MATCH(CF$3, 'Daily 쨈 raw'!$A:$A, 0), MATCH($A17, 'Daily 쨈 raw'!$1:$1, 0)), ""), IF(val=0, "", val))</f>
        <v>2.206286837</v>
      </c>
      <c r="CG17" s="50">
        <f t="array" ref="CG17">LET(val, IFERROR(INDEX('Daily 쨈 raw'!$A:$Z, MATCH(CG$3, 'Daily 쨈 raw'!$A:$A, 0), MATCH($A17, 'Daily 쨈 raw'!$1:$1, 0)), ""), IF(val=0, "", val))</f>
        <v>2.315789474</v>
      </c>
      <c r="CH17" s="50">
        <f t="array" ref="CH17">LET(val, IFERROR(INDEX('Daily 쨈 raw'!$A:$Z, MATCH(CH$3, 'Daily 쨈 raw'!$A:$A, 0), MATCH($A17, 'Daily 쨈 raw'!$1:$1, 0)), ""), IF(val=0, "", val))</f>
        <v>2.153571429</v>
      </c>
      <c r="CI17" s="50">
        <f t="array" ref="CI17">LET(val, IFERROR(INDEX('Daily 쨈 raw'!$A:$Z, MATCH(CI$3, 'Daily 쨈 raw'!$A:$A, 0), MATCH($A17, 'Daily 쨈 raw'!$1:$1, 0)), ""), IF(val=0, "", val))</f>
        <v>2.404761905</v>
      </c>
      <c r="CJ17" s="50">
        <f t="array" ref="CJ17">LET(val, IFERROR(INDEX('Daily 쨈 raw'!$A:$Z, MATCH(CJ$3, 'Daily 쨈 raw'!$A:$A, 0), MATCH($A17, 'Daily 쨈 raw'!$1:$1, 0)), ""), IF(val=0, "", val))</f>
        <v>2.2016</v>
      </c>
      <c r="CK17" s="50">
        <f t="array" ref="CK17">LET(val, IFERROR(INDEX('Daily 쨈 raw'!$A:$Z, MATCH(CK$3, 'Daily 쨈 raw'!$A:$A, 0), MATCH($A17, 'Daily 쨈 raw'!$1:$1, 0)), ""), IF(val=0, "", val))</f>
        <v>2.519591141</v>
      </c>
      <c r="CL17" s="50">
        <f t="array" ref="CL17">LET(val, IFERROR(INDEX('Daily 쨈 raw'!$A:$Z, MATCH(CL$3, 'Daily 쨈 raw'!$A:$A, 0), MATCH($A17, 'Daily 쨈 raw'!$1:$1, 0)), ""), IF(val=0, "", val))</f>
        <v>2.115913556</v>
      </c>
      <c r="CM17" s="50">
        <f t="array" ref="CM17">LET(val, IFERROR(INDEX('Daily 쨈 raw'!$A:$Z, MATCH(CM$3, 'Daily 쨈 raw'!$A:$A, 0), MATCH($A17, 'Daily 쨈 raw'!$1:$1, 0)), ""), IF(val=0, "", val))</f>
        <v>2.216123499</v>
      </c>
      <c r="CN17" s="50">
        <f t="array" ref="CN17">LET(val, IFERROR(INDEX('Daily 쨈 raw'!$A:$Z, MATCH(CN$3, 'Daily 쨈 raw'!$A:$A, 0), MATCH($A17, 'Daily 쨈 raw'!$1:$1, 0)), ""), IF(val=0, "", val))</f>
        <v>2.177142857</v>
      </c>
      <c r="CO17" s="50">
        <f t="array" ref="CO17">LET(val, IFERROR(INDEX('Daily 쨈 raw'!$A:$Z, MATCH(CO$3, 'Daily 쨈 raw'!$A:$A, 0), MATCH($A17, 'Daily 쨈 raw'!$1:$1, 0)), ""), IF(val=0, "", val))</f>
        <v>2.20508982</v>
      </c>
      <c r="CP17" s="50">
        <f t="array" ref="CP17">LET(val, IFERROR(INDEX('Daily 쨈 raw'!$A:$Z, MATCH(CP$3, 'Daily 쨈 raw'!$A:$A, 0), MATCH($A17, 'Daily 쨈 raw'!$1:$1, 0)), ""), IF(val=0, "", val))</f>
        <v>1.847593583</v>
      </c>
      <c r="CQ17" s="50" t="str">
        <f t="array" ref="CQ17">LET(val, IFERROR(INDEX('Daily 쨈 raw'!$A:$Z, MATCH(CQ$3, 'Daily 쨈 raw'!$A:$A, 0), MATCH($A17, 'Daily 쨈 raw'!$1:$1, 0)), ""), IF(val=0, "", val))</f>
        <v/>
      </c>
      <c r="CR17" s="50" t="str">
        <f t="array" ref="CR17">LET(val, IFERROR(INDEX('Daily 쨈 raw'!$A:$Z, MATCH(CR$3, 'Daily 쨈 raw'!$A:$A, 0), MATCH($A17, 'Daily 쨈 raw'!$1:$1, 0)), ""), IF(val=0, "", val))</f>
        <v/>
      </c>
      <c r="CS17" s="50" t="str">
        <f t="array" ref="CS17">LET(val, IFERROR(INDEX('Daily 쨈 raw'!$A:$Z, MATCH(CS$3, 'Daily 쨈 raw'!$A:$A, 0), MATCH($A17, 'Daily 쨈 raw'!$1:$1, 0)), ""), IF(val=0, "", val))</f>
        <v/>
      </c>
      <c r="CT17" s="50" t="str">
        <f t="array" ref="CT17">LET(val, IFERROR(INDEX('Daily 쨈 raw'!$A:$Z, MATCH(CT$3, 'Daily 쨈 raw'!$A:$A, 0), MATCH($A17, 'Daily 쨈 raw'!$1:$1, 0)), ""), IF(val=0, "", val))</f>
        <v/>
      </c>
      <c r="CU17" s="50" t="str">
        <f t="array" ref="CU17">LET(val, IFERROR(INDEX('Daily 쨈 raw'!$A:$Z, MATCH(CU$3, 'Daily 쨈 raw'!$A:$A, 0), MATCH($A17, 'Daily 쨈 raw'!$1:$1, 0)), ""), IF(val=0, "", val))</f>
        <v/>
      </c>
      <c r="CV17" s="50" t="str">
        <f t="array" ref="CV17">LET(val, IFERROR(INDEX('Daily 쨈 raw'!$A:$Z, MATCH(CV$3, 'Daily 쨈 raw'!$A:$A, 0), MATCH($A17, 'Daily 쨈 raw'!$1:$1, 0)), ""), IF(val=0, "", val))</f>
        <v/>
      </c>
      <c r="CW17" s="50" t="str">
        <f t="array" ref="CW17">LET(val, IFERROR(INDEX('Daily 쨈 raw'!$A:$Z, MATCH(CW$3, 'Daily 쨈 raw'!$A:$A, 0), MATCH($A17, 'Daily 쨈 raw'!$1:$1, 0)), ""), IF(val=0, "", val))</f>
        <v/>
      </c>
      <c r="CX17" s="50" t="str">
        <f t="array" ref="CX17">LET(val, IFERROR(INDEX('Daily 쨈 raw'!$A:$Z, MATCH(CX$3, 'Daily 쨈 raw'!$A:$A, 0), MATCH($A17, 'Daily 쨈 raw'!$1:$1, 0)), ""), IF(val=0, "", val))</f>
        <v/>
      </c>
      <c r="CY17" s="50" t="str">
        <f t="array" ref="CY17">LET(val, IFERROR(INDEX('Daily 쨈 raw'!$A:$Z, MATCH(CY$3, 'Daily 쨈 raw'!$A:$A, 0), MATCH($A17, 'Daily 쨈 raw'!$1:$1, 0)), ""), IF(val=0, "", val))</f>
        <v/>
      </c>
      <c r="CZ17" s="50" t="str">
        <f t="array" ref="CZ17">LET(val, IFERROR(INDEX('Daily 쨈 raw'!$A:$Z, MATCH(CZ$3, 'Daily 쨈 raw'!$A:$A, 0), MATCH($A17, 'Daily 쨈 raw'!$1:$1, 0)), ""), IF(val=0, "", val))</f>
        <v/>
      </c>
      <c r="DA17" s="50" t="str">
        <f t="array" ref="DA17">LET(val, IFERROR(INDEX('Daily 쨈 raw'!$A:$Z, MATCH(DA$3, 'Daily 쨈 raw'!$A:$A, 0), MATCH($A17, 'Daily 쨈 raw'!$1:$1, 0)), ""), IF(val=0, "", val))</f>
        <v/>
      </c>
      <c r="DB17" s="50" t="str">
        <f t="array" ref="DB17">LET(val, IFERROR(INDEX('Daily 쨈 raw'!$A:$Z, MATCH(DB$3, 'Daily 쨈 raw'!$A:$A, 0), MATCH($A17, 'Daily 쨈 raw'!$1:$1, 0)), ""), IF(val=0, "", val))</f>
        <v/>
      </c>
      <c r="DC17" s="50" t="str">
        <f t="array" ref="DC17">LET(val, IFERROR(INDEX('Daily 쨈 raw'!$A:$Z, MATCH(DC$3, 'Daily 쨈 raw'!$A:$A, 0), MATCH($A17, 'Daily 쨈 raw'!$1:$1, 0)), ""), IF(val=0, "", val))</f>
        <v/>
      </c>
      <c r="DD17" s="50" t="str">
        <f t="array" ref="DD17">LET(val, IFERROR(INDEX('Daily 쨈 raw'!$A:$Z, MATCH(DD$3, 'Daily 쨈 raw'!$A:$A, 0), MATCH($A17, 'Daily 쨈 raw'!$1:$1, 0)), ""), IF(val=0, "", val))</f>
        <v/>
      </c>
      <c r="DE17" s="50" t="str">
        <f t="array" ref="DE17">LET(val, IFERROR(INDEX('Daily 쨈 raw'!$A:$Z, MATCH(DE$3, 'Daily 쨈 raw'!$A:$A, 0), MATCH($A17, 'Daily 쨈 raw'!$1:$1, 0)), ""), IF(val=0, "", val))</f>
        <v/>
      </c>
      <c r="DF17" s="50" t="str">
        <f t="array" ref="DF17">LET(val, IFERROR(INDEX('Daily 쨈 raw'!$A:$Z, MATCH(DF$3, 'Daily 쨈 raw'!$A:$A, 0), MATCH($A17, 'Daily 쨈 raw'!$1:$1, 0)), ""), IF(val=0, "", val))</f>
        <v/>
      </c>
      <c r="DG17" s="50" t="str">
        <f t="array" ref="DG17">LET(val, IFERROR(INDEX('Daily 쨈 raw'!$A:$Z, MATCH(DG$3, 'Daily 쨈 raw'!$A:$A, 0), MATCH($A17, 'Daily 쨈 raw'!$1:$1, 0)), ""), IF(val=0, "", val))</f>
        <v/>
      </c>
      <c r="DH17" s="50" t="str">
        <f t="array" ref="DH17">LET(val, IFERROR(INDEX('Daily 쨈 raw'!$A:$Z, MATCH(DH$3, 'Daily 쨈 raw'!$A:$A, 0), MATCH($A17, 'Daily 쨈 raw'!$1:$1, 0)), ""), IF(val=0, "", val))</f>
        <v/>
      </c>
      <c r="DI17" s="50" t="str">
        <f t="array" ref="DI17">LET(val, IFERROR(INDEX('Daily 쨈 raw'!$A:$Z, MATCH(DI$3, 'Daily 쨈 raw'!$A:$A, 0), MATCH($A17, 'Daily 쨈 raw'!$1:$1, 0)), ""), IF(val=0, "", val))</f>
        <v/>
      </c>
      <c r="DJ17" s="50" t="str">
        <f t="array" ref="DJ17">LET(val, IFERROR(INDEX('Daily 쨈 raw'!$A:$Z, MATCH(DJ$3, 'Daily 쨈 raw'!$A:$A, 0), MATCH($A17, 'Daily 쨈 raw'!$1:$1, 0)), ""), IF(val=0, "", val))</f>
        <v/>
      </c>
      <c r="DK17" s="50" t="str">
        <f t="array" ref="DK17">LET(val, IFERROR(INDEX('Daily 쨈 raw'!$A:$Z, MATCH(DK$3, 'Daily 쨈 raw'!$A:$A, 0), MATCH($A17, 'Daily 쨈 raw'!$1:$1, 0)), ""), IF(val=0, "", val))</f>
        <v/>
      </c>
      <c r="DL17" s="50" t="str">
        <f t="array" ref="DL17">LET(val, IFERROR(INDEX('Daily 쨈 raw'!$A:$Z, MATCH(DL$3, 'Daily 쨈 raw'!$A:$A, 0), MATCH($A17, 'Daily 쨈 raw'!$1:$1, 0)), ""), IF(val=0, "", val))</f>
        <v/>
      </c>
      <c r="DM17" s="50" t="str">
        <f t="array" ref="DM17">LET(val, IFERROR(INDEX('Daily 쨈 raw'!$A:$Z, MATCH(DM$3, 'Daily 쨈 raw'!$A:$A, 0), MATCH($A17, 'Daily 쨈 raw'!$1:$1, 0)), ""), IF(val=0, "", val))</f>
        <v/>
      </c>
      <c r="DN17" s="50" t="str">
        <f t="array" ref="DN17">LET(val, IFERROR(INDEX('Daily 쨈 raw'!$A:$Z, MATCH(DN$3, 'Daily 쨈 raw'!$A:$A, 0), MATCH($A17, 'Daily 쨈 raw'!$1:$1, 0)), ""), IF(val=0, "", val))</f>
        <v/>
      </c>
      <c r="DO17" s="50" t="str">
        <f t="array" ref="DO17">LET(val, IFERROR(INDEX('Daily 쨈 raw'!$A:$Z, MATCH(DO$3, 'Daily 쨈 raw'!$A:$A, 0), MATCH($A17, 'Daily 쨈 raw'!$1:$1, 0)), ""), IF(val=0, "", val))</f>
        <v/>
      </c>
      <c r="DP17" s="50" t="str">
        <f t="array" ref="DP17">LET(val, IFERROR(INDEX('Daily 쨈 raw'!$A:$Z, MATCH(DP$3, 'Daily 쨈 raw'!$A:$A, 0), MATCH($A17, 'Daily 쨈 raw'!$1:$1, 0)), ""), IF(val=0, "", val))</f>
        <v/>
      </c>
      <c r="DQ17" s="50" t="str">
        <f t="array" ref="DQ17">LET(val, IFERROR(INDEX('Daily 쨈 raw'!$A:$Z, MATCH(DQ$3, 'Daily 쨈 raw'!$A:$A, 0), MATCH($A17, 'Daily 쨈 raw'!$1:$1, 0)), ""), IF(val=0, "", val))</f>
        <v/>
      </c>
      <c r="DR17" s="50" t="str">
        <f t="array" ref="DR17">LET(val, IFERROR(INDEX('Daily 쨈 raw'!$A:$Z, MATCH(DR$3, 'Daily 쨈 raw'!$A:$A, 0), MATCH($A17, 'Daily 쨈 raw'!$1:$1, 0)), ""), IF(val=0, "", val))</f>
        <v/>
      </c>
      <c r="DS17" s="50" t="str">
        <f t="array" ref="DS17">LET(val, IFERROR(INDEX('Daily 쨈 raw'!$A:$Z, MATCH(DS$3, 'Daily 쨈 raw'!$A:$A, 0), MATCH($A17, 'Daily 쨈 raw'!$1:$1, 0)), ""), IF(val=0, "", val))</f>
        <v/>
      </c>
      <c r="DT17" s="50" t="str">
        <f t="array" ref="DT17">LET(val, IFERROR(INDEX('Daily 쨈 raw'!$A:$Z, MATCH(DT$3, 'Daily 쨈 raw'!$A:$A, 0), MATCH($A17, 'Daily 쨈 raw'!$1:$1, 0)), ""), IF(val=0, "", val))</f>
        <v/>
      </c>
      <c r="DU17" s="50" t="str">
        <f t="array" ref="DU17">LET(val, IFERROR(INDEX('Daily 쨈 raw'!$A:$Z, MATCH(DU$3, 'Daily 쨈 raw'!$A:$A, 0), MATCH($A17, 'Daily 쨈 raw'!$1:$1, 0)), ""), IF(val=0, "", val))</f>
        <v/>
      </c>
      <c r="DV17" s="50" t="str">
        <f t="array" ref="DV17">LET(val, IFERROR(INDEX('Daily 쨈 raw'!$A:$Z, MATCH(DV$3, 'Daily 쨈 raw'!$A:$A, 0), MATCH($A17, 'Daily 쨈 raw'!$1:$1, 0)), ""), IF(val=0, "", val))</f>
        <v/>
      </c>
      <c r="DW17" s="50" t="str">
        <f t="array" ref="DW17">LET(val, IFERROR(INDEX('Daily 쨈 raw'!$A:$Z, MATCH(DW$3, 'Daily 쨈 raw'!$A:$A, 0), MATCH($A17, 'Daily 쨈 raw'!$1:$1, 0)), ""), IF(val=0, "", val))</f>
        <v/>
      </c>
      <c r="DX17" s="50" t="str">
        <f t="array" ref="DX17">LET(val, IFERROR(INDEX('Daily 쨈 raw'!$A:$Z, MATCH(DX$3, 'Daily 쨈 raw'!$A:$A, 0), MATCH($A17, 'Daily 쨈 raw'!$1:$1, 0)), ""), IF(val=0, "", val))</f>
        <v/>
      </c>
      <c r="DY17" s="50" t="str">
        <f t="array" ref="DY17">LET(val, IFERROR(INDEX('Daily 쨈 raw'!$A:$Z, MATCH(DY$3, 'Daily 쨈 raw'!$A:$A, 0), MATCH($A17, 'Daily 쨈 raw'!$1:$1, 0)), ""), IF(val=0, "", val))</f>
        <v/>
      </c>
      <c r="DZ17" s="50" t="str">
        <f t="array" ref="DZ17">LET(val, IFERROR(INDEX('Daily 쨈 raw'!$A:$Z, MATCH(DZ$3, 'Daily 쨈 raw'!$A:$A, 0), MATCH($A17, 'Daily 쨈 raw'!$1:$1, 0)), ""), IF(val=0, "", val))</f>
        <v/>
      </c>
    </row>
    <row r="18" ht="22.5" customHeight="1">
      <c r="A18" s="16" t="s">
        <v>81</v>
      </c>
      <c r="B18" s="48" t="s">
        <v>82</v>
      </c>
      <c r="C18" s="50">
        <f t="array" ref="C18">LET(val, IFERROR(INDEX('Daily 쨈 raw'!$A:$Z, MATCH(C$3, 'Daily 쨈 raw'!$A:$A, 0), MATCH($A18, 'Daily 쨈 raw'!$1:$1, 0)), ""), IF(val=0, "", val))</f>
        <v>1.30551325</v>
      </c>
      <c r="D18" s="50">
        <f t="array" ref="D18">LET(val, IFERROR(INDEX('Daily 쨈 raw'!$A:$Z, MATCH(D$3, 'Daily 쨈 raw'!$A:$A, 0), MATCH($A18, 'Daily 쨈 raw'!$1:$1, 0)), ""), IF(val=0, "", val))</f>
        <v>1.428613569</v>
      </c>
      <c r="E18" s="50">
        <f t="array" ref="E18">LET(val, IFERROR(INDEX('Daily 쨈 raw'!$A:$Z, MATCH(E$3, 'Daily 쨈 raw'!$A:$A, 0), MATCH($A18, 'Daily 쨈 raw'!$1:$1, 0)), ""), IF(val=0, "", val))</f>
        <v>1.348178138</v>
      </c>
      <c r="F18" s="50">
        <f t="array" ref="F18">LET(val, IFERROR(INDEX('Daily 쨈 raw'!$A:$Z, MATCH(F$3, 'Daily 쨈 raw'!$A:$A, 0), MATCH($A18, 'Daily 쨈 raw'!$1:$1, 0)), ""), IF(val=0, "", val))</f>
        <v>1.450456544</v>
      </c>
      <c r="G18" s="50">
        <f t="array" ref="G18">LET(val, IFERROR(INDEX('Daily 쨈 raw'!$A:$Z, MATCH(G$3, 'Daily 쨈 raw'!$A:$A, 0), MATCH($A18, 'Daily 쨈 raw'!$1:$1, 0)), ""), IF(val=0, "", val))</f>
        <v>1.483870968</v>
      </c>
      <c r="H18" s="50">
        <f t="array" ref="H18">LET(val, IFERROR(INDEX('Daily 쨈 raw'!$A:$Z, MATCH(H$3, 'Daily 쨈 raw'!$A:$A, 0), MATCH($A18, 'Daily 쨈 raw'!$1:$1, 0)), ""), IF(val=0, "", val))</f>
        <v>1.921123717</v>
      </c>
      <c r="I18" s="50">
        <f t="array" ref="I18">LET(val, IFERROR(INDEX('Daily 쨈 raw'!$A:$Z, MATCH(I$3, 'Daily 쨈 raw'!$A:$A, 0), MATCH($A18, 'Daily 쨈 raw'!$1:$1, 0)), ""), IF(val=0, "", val))</f>
        <v>1.811894273</v>
      </c>
      <c r="J18" s="50">
        <f t="array" ref="J18">LET(val, IFERROR(INDEX('Daily 쨈 raw'!$A:$Z, MATCH(J$3, 'Daily 쨈 raw'!$A:$A, 0), MATCH($A18, 'Daily 쨈 raw'!$1:$1, 0)), ""), IF(val=0, "", val))</f>
        <v>1.752449716</v>
      </c>
      <c r="K18" s="50">
        <f t="array" ref="K18">LET(val, IFERROR(INDEX('Daily 쨈 raw'!$A:$Z, MATCH(K$3, 'Daily 쨈 raw'!$A:$A, 0), MATCH($A18, 'Daily 쨈 raw'!$1:$1, 0)), ""), IF(val=0, "", val))</f>
        <v>3.184430028</v>
      </c>
      <c r="L18" s="50">
        <f t="array" ref="L18">LET(val, IFERROR(INDEX('Daily 쨈 raw'!$A:$Z, MATCH(L$3, 'Daily 쨈 raw'!$A:$A, 0), MATCH($A18, 'Daily 쨈 raw'!$1:$1, 0)), ""), IF(val=0, "", val))</f>
        <v>3.157620042</v>
      </c>
      <c r="M18" s="50">
        <f t="array" ref="M18">LET(val, IFERROR(INDEX('Daily 쨈 raw'!$A:$Z, MATCH(M$3, 'Daily 쨈 raw'!$A:$A, 0), MATCH($A18, 'Daily 쨈 raw'!$1:$1, 0)), ""), IF(val=0, "", val))</f>
        <v>2.87173913</v>
      </c>
      <c r="N18" s="50">
        <f t="array" ref="N18">LET(val, IFERROR(INDEX('Daily 쨈 raw'!$A:$Z, MATCH(N$3, 'Daily 쨈 raw'!$A:$A, 0), MATCH($A18, 'Daily 쨈 raw'!$1:$1, 0)), ""), IF(val=0, "", val))</f>
        <v>3.132052821</v>
      </c>
      <c r="O18" s="50">
        <f t="array" ref="O18">LET(val, IFERROR(INDEX('Daily 쨈 raw'!$A:$Z, MATCH(O$3, 'Daily 쨈 raw'!$A:$A, 0), MATCH($A18, 'Daily 쨈 raw'!$1:$1, 0)), ""), IF(val=0, "", val))</f>
        <v>3.369501466</v>
      </c>
      <c r="P18" s="50">
        <f t="array" ref="P18">LET(val, IFERROR(INDEX('Daily 쨈 raw'!$A:$Z, MATCH(P$3, 'Daily 쨈 raw'!$A:$A, 0), MATCH($A18, 'Daily 쨈 raw'!$1:$1, 0)), ""), IF(val=0, "", val))</f>
        <v>3.896183206</v>
      </c>
      <c r="Q18" s="50">
        <f t="array" ref="Q18">LET(val, IFERROR(INDEX('Daily 쨈 raw'!$A:$Z, MATCH(Q$3, 'Daily 쨈 raw'!$A:$A, 0), MATCH($A18, 'Daily 쨈 raw'!$1:$1, 0)), ""), IF(val=0, "", val))</f>
        <v>3.261460102</v>
      </c>
      <c r="R18" s="50">
        <f t="array" ref="R18">LET(val, IFERROR(INDEX('Daily 쨈 raw'!$A:$Z, MATCH(R$3, 'Daily 쨈 raw'!$A:$A, 0), MATCH($A18, 'Daily 쨈 raw'!$1:$1, 0)), ""), IF(val=0, "", val))</f>
        <v>3.306176084</v>
      </c>
      <c r="S18" s="50">
        <f t="array" ref="S18">LET(val, IFERROR(INDEX('Daily 쨈 raw'!$A:$Z, MATCH(S$3, 'Daily 쨈 raw'!$A:$A, 0), MATCH($A18, 'Daily 쨈 raw'!$1:$1, 0)), ""), IF(val=0, "", val))</f>
        <v>2.742729306</v>
      </c>
      <c r="T18" s="50">
        <f t="array" ref="T18">LET(val, IFERROR(INDEX('Daily 쨈 raw'!$A:$Z, MATCH(T$3, 'Daily 쨈 raw'!$A:$A, 0), MATCH($A18, 'Daily 쨈 raw'!$1:$1, 0)), ""), IF(val=0, "", val))</f>
        <v>3.045643154</v>
      </c>
      <c r="U18" s="50">
        <f t="array" ref="U18">LET(val, IFERROR(INDEX('Daily 쨈 raw'!$A:$Z, MATCH(U$3, 'Daily 쨈 raw'!$A:$A, 0), MATCH($A18, 'Daily 쨈 raw'!$1:$1, 0)), ""), IF(val=0, "", val))</f>
        <v>2.849184783</v>
      </c>
      <c r="V18" s="50">
        <f t="array" ref="V18">LET(val, IFERROR(INDEX('Daily 쨈 raw'!$A:$Z, MATCH(V$3, 'Daily 쨈 raw'!$A:$A, 0), MATCH($A18, 'Daily 쨈 raw'!$1:$1, 0)), ""), IF(val=0, "", val))</f>
        <v>2.328608247</v>
      </c>
      <c r="W18" s="50">
        <f t="array" ref="W18">LET(val, IFERROR(INDEX('Daily 쨈 raw'!$A:$Z, MATCH(W$3, 'Daily 쨈 raw'!$A:$A, 0), MATCH($A18, 'Daily 쨈 raw'!$1:$1, 0)), ""), IF(val=0, "", val))</f>
        <v>2.912621359</v>
      </c>
      <c r="X18" s="50">
        <f t="array" ref="X18">LET(val, IFERROR(INDEX('Daily 쨈 raw'!$A:$Z, MATCH(X$3, 'Daily 쨈 raw'!$A:$A, 0), MATCH($A18, 'Daily 쨈 raw'!$1:$1, 0)), ""), IF(val=0, "", val))</f>
        <v>2.716096324</v>
      </c>
      <c r="Y18" s="50">
        <f t="array" ref="Y18">LET(val, IFERROR(INDEX('Daily 쨈 raw'!$A:$Z, MATCH(Y$3, 'Daily 쨈 raw'!$A:$A, 0), MATCH($A18, 'Daily 쨈 raw'!$1:$1, 0)), ""), IF(val=0, "", val))</f>
        <v>2.203208556</v>
      </c>
      <c r="Z18" s="50">
        <f t="array" ref="Z18">LET(val, IFERROR(INDEX('Daily 쨈 raw'!$A:$Z, MATCH(Z$3, 'Daily 쨈 raw'!$A:$A, 0), MATCH($A18, 'Daily 쨈 raw'!$1:$1, 0)), ""), IF(val=0, "", val))</f>
        <v>2.229822161</v>
      </c>
      <c r="AA18" s="50">
        <f t="array" ref="AA18">LET(val, IFERROR(INDEX('Daily 쨈 raw'!$A:$Z, MATCH(AA$3, 'Daily 쨈 raw'!$A:$A, 0), MATCH($A18, 'Daily 쨈 raw'!$1:$1, 0)), ""), IF(val=0, "", val))</f>
        <v>2.208211144</v>
      </c>
      <c r="AB18" s="50">
        <f t="array" ref="AB18">LET(val, IFERROR(INDEX('Daily 쨈 raw'!$A:$Z, MATCH(AB$3, 'Daily 쨈 raw'!$A:$A, 0), MATCH($A18, 'Daily 쨈 raw'!$1:$1, 0)), ""), IF(val=0, "", val))</f>
        <v>2.173112339</v>
      </c>
      <c r="AC18" s="50">
        <f t="array" ref="AC18">LET(val, IFERROR(INDEX('Daily 쨈 raw'!$A:$Z, MATCH(AC$3, 'Daily 쨈 raw'!$A:$A, 0), MATCH($A18, 'Daily 쨈 raw'!$1:$1, 0)), ""), IF(val=0, "", val))</f>
        <v>2.167197452</v>
      </c>
      <c r="AD18" s="50">
        <f t="array" ref="AD18">LET(val, IFERROR(INDEX('Daily 쨈 raw'!$A:$Z, MATCH(AD$3, 'Daily 쨈 raw'!$A:$A, 0), MATCH($A18, 'Daily 쨈 raw'!$1:$1, 0)), ""), IF(val=0, "", val))</f>
        <v>2.226244344</v>
      </c>
      <c r="AE18" s="50">
        <f t="array" ref="AE18">LET(val, IFERROR(INDEX('Daily 쨈 raw'!$A:$Z, MATCH(AE$3, 'Daily 쨈 raw'!$A:$A, 0), MATCH($A18, 'Daily 쨈 raw'!$1:$1, 0)), ""), IF(val=0, "", val))</f>
        <v>2.082748948</v>
      </c>
      <c r="AF18" s="50">
        <f t="array" ref="AF18">LET(val, IFERROR(INDEX('Daily 쨈 raw'!$A:$Z, MATCH(AF$3, 'Daily 쨈 raw'!$A:$A, 0), MATCH($A18, 'Daily 쨈 raw'!$1:$1, 0)), ""), IF(val=0, "", val))</f>
        <v>2.183800623</v>
      </c>
      <c r="AG18" s="50">
        <f t="array" ref="AG18">LET(val, IFERROR(INDEX('Daily 쨈 raw'!$A:$Z, MATCH(AG$3, 'Daily 쨈 raw'!$A:$A, 0), MATCH($A18, 'Daily 쨈 raw'!$1:$1, 0)), ""), IF(val=0, "", val))</f>
        <v>2.198019802</v>
      </c>
      <c r="AH18" s="50">
        <f t="array" ref="AH18">LET(val, IFERROR(INDEX('Daily 쨈 raw'!$A:$Z, MATCH(AH$3, 'Daily 쨈 raw'!$A:$A, 0), MATCH($A18, 'Daily 쨈 raw'!$1:$1, 0)), ""), IF(val=0, "", val))</f>
        <v>2.22044335</v>
      </c>
      <c r="AI18" s="50">
        <f t="array" ref="AI18">LET(val, IFERROR(INDEX('Daily 쨈 raw'!$A:$Z, MATCH(AI$3, 'Daily 쨈 raw'!$A:$A, 0), MATCH($A18, 'Daily 쨈 raw'!$1:$1, 0)), ""), IF(val=0, "", val))</f>
        <v>1.914754098</v>
      </c>
      <c r="AJ18" s="50">
        <f t="array" ref="AJ18">LET(val, IFERROR(INDEX('Daily 쨈 raw'!$A:$Z, MATCH(AJ$3, 'Daily 쨈 raw'!$A:$A, 0), MATCH($A18, 'Daily 쨈 raw'!$1:$1, 0)), ""), IF(val=0, "", val))</f>
        <v>2.023668639</v>
      </c>
      <c r="AK18" s="50">
        <f t="array" ref="AK18">LET(val, IFERROR(INDEX('Daily 쨈 raw'!$A:$Z, MATCH(AK$3, 'Daily 쨈 raw'!$A:$A, 0), MATCH($A18, 'Daily 쨈 raw'!$1:$1, 0)), ""), IF(val=0, "", val))</f>
        <v>1.805043647</v>
      </c>
      <c r="AL18" s="50">
        <f t="array" ref="AL18">LET(val, IFERROR(INDEX('Daily 쨈 raw'!$A:$Z, MATCH(AL$3, 'Daily 쨈 raw'!$A:$A, 0), MATCH($A18, 'Daily 쨈 raw'!$1:$1, 0)), ""), IF(val=0, "", val))</f>
        <v>1.82300885</v>
      </c>
      <c r="AM18" s="50">
        <f t="array" ref="AM18">LET(val, IFERROR(INDEX('Daily 쨈 raw'!$A:$Z, MATCH(AM$3, 'Daily 쨈 raw'!$A:$A, 0), MATCH($A18, 'Daily 쨈 raw'!$1:$1, 0)), ""), IF(val=0, "", val))</f>
        <v>1.832285115</v>
      </c>
      <c r="AN18" s="50">
        <f t="array" ref="AN18">LET(val, IFERROR(INDEX('Daily 쨈 raw'!$A:$Z, MATCH(AN$3, 'Daily 쨈 raw'!$A:$A, 0), MATCH($A18, 'Daily 쨈 raw'!$1:$1, 0)), ""), IF(val=0, "", val))</f>
        <v>1.883227176</v>
      </c>
      <c r="AO18" s="50">
        <f t="array" ref="AO18">LET(val, IFERROR(INDEX('Daily 쨈 raw'!$A:$Z, MATCH(AO$3, 'Daily 쨈 raw'!$A:$A, 0), MATCH($A18, 'Daily 쨈 raw'!$1:$1, 0)), ""), IF(val=0, "", val))</f>
        <v>1.864710093</v>
      </c>
      <c r="AP18" s="50">
        <f t="array" ref="AP18">LET(val, IFERROR(INDEX('Daily 쨈 raw'!$A:$Z, MATCH(AP$3, 'Daily 쨈 raw'!$A:$A, 0), MATCH($A18, 'Daily 쨈 raw'!$1:$1, 0)), ""), IF(val=0, "", val))</f>
        <v>1.818543046</v>
      </c>
      <c r="AQ18" s="50">
        <f t="array" ref="AQ18">LET(val, IFERROR(INDEX('Daily 쨈 raw'!$A:$Z, MATCH(AQ$3, 'Daily 쨈 raw'!$A:$A, 0), MATCH($A18, 'Daily 쨈 raw'!$1:$1, 0)), ""), IF(val=0, "", val))</f>
        <v>1.831325301</v>
      </c>
      <c r="AR18" s="50">
        <f t="array" ref="AR18">LET(val, IFERROR(INDEX('Daily 쨈 raw'!$A:$Z, MATCH(AR$3, 'Daily 쨈 raw'!$A:$A, 0), MATCH($A18, 'Daily 쨈 raw'!$1:$1, 0)), ""), IF(val=0, "", val))</f>
        <v>2.038812785</v>
      </c>
      <c r="AS18" s="50">
        <f t="array" ref="AS18">LET(val, IFERROR(INDEX('Daily 쨈 raw'!$A:$Z, MATCH(AS$3, 'Daily 쨈 raw'!$A:$A, 0), MATCH($A18, 'Daily 쨈 raw'!$1:$1, 0)), ""), IF(val=0, "", val))</f>
        <v>1.690087829</v>
      </c>
      <c r="AT18" s="50">
        <f t="array" ref="AT18">LET(val, IFERROR(INDEX('Daily 쨈 raw'!$A:$Z, MATCH(AT$3, 'Daily 쨈 raw'!$A:$A, 0), MATCH($A18, 'Daily 쨈 raw'!$1:$1, 0)), ""), IF(val=0, "", val))</f>
        <v>1.761651132</v>
      </c>
      <c r="AU18" s="50">
        <f t="array" ref="AU18">LET(val, IFERROR(INDEX('Daily 쨈 raw'!$A:$Z, MATCH(AU$3, 'Daily 쨈 raw'!$A:$A, 0), MATCH($A18, 'Daily 쨈 raw'!$1:$1, 0)), ""), IF(val=0, "", val))</f>
        <v>1.675120773</v>
      </c>
      <c r="AV18" s="50">
        <f t="array" ref="AV18">LET(val, IFERROR(INDEX('Daily 쨈 raw'!$A:$Z, MATCH(AV$3, 'Daily 쨈 raw'!$A:$A, 0), MATCH($A18, 'Daily 쨈 raw'!$1:$1, 0)), ""), IF(val=0, "", val))</f>
        <v>1.663101604</v>
      </c>
      <c r="AW18" s="50">
        <f t="array" ref="AW18">LET(val, IFERROR(INDEX('Daily 쨈 raw'!$A:$Z, MATCH(AW$3, 'Daily 쨈 raw'!$A:$A, 0), MATCH($A18, 'Daily 쨈 raw'!$1:$1, 0)), ""), IF(val=0, "", val))</f>
        <v>1.606837607</v>
      </c>
      <c r="AX18" s="50">
        <f t="array" ref="AX18">LET(val, IFERROR(INDEX('Daily 쨈 raw'!$A:$Z, MATCH(AX$3, 'Daily 쨈 raw'!$A:$A, 0), MATCH($A18, 'Daily 쨈 raw'!$1:$1, 0)), ""), IF(val=0, "", val))</f>
        <v>1.685323383</v>
      </c>
      <c r="AY18" s="50">
        <f t="array" ref="AY18">LET(val, IFERROR(INDEX('Daily 쨈 raw'!$A:$Z, MATCH(AY$3, 'Daily 쨈 raw'!$A:$A, 0), MATCH($A18, 'Daily 쨈 raw'!$1:$1, 0)), ""), IF(val=0, "", val))</f>
        <v>1.615472127</v>
      </c>
      <c r="AZ18" s="50">
        <f t="array" ref="AZ18">LET(val, IFERROR(INDEX('Daily 쨈 raw'!$A:$Z, MATCH(AZ$3, 'Daily 쨈 raw'!$A:$A, 0), MATCH($A18, 'Daily 쨈 raw'!$1:$1, 0)), ""), IF(val=0, "", val))</f>
        <v>1.689295039</v>
      </c>
      <c r="BA18" s="50">
        <f t="array" ref="BA18">LET(val, IFERROR(INDEX('Daily 쨈 raw'!$A:$Z, MATCH(BA$3, 'Daily 쨈 raw'!$A:$A, 0), MATCH($A18, 'Daily 쨈 raw'!$1:$1, 0)), ""), IF(val=0, "", val))</f>
        <v>1.831562974</v>
      </c>
      <c r="BB18" s="50">
        <f t="array" ref="BB18">LET(val, IFERROR(INDEX('Daily 쨈 raw'!$A:$Z, MATCH(BB$3, 'Daily 쨈 raw'!$A:$A, 0), MATCH($A18, 'Daily 쨈 raw'!$1:$1, 0)), ""), IF(val=0, "", val))</f>
        <v>1.682158921</v>
      </c>
      <c r="BC18" s="50">
        <f t="array" ref="BC18">LET(val, IFERROR(INDEX('Daily 쨈 raw'!$A:$Z, MATCH(BC$3, 'Daily 쨈 raw'!$A:$A, 0), MATCH($A18, 'Daily 쨈 raw'!$1:$1, 0)), ""), IF(val=0, "", val))</f>
        <v>1.620545073</v>
      </c>
      <c r="BD18" s="50">
        <f t="array" ref="BD18">LET(val, IFERROR(INDEX('Daily 쨈 raw'!$A:$Z, MATCH(BD$3, 'Daily 쨈 raw'!$A:$A, 0), MATCH($A18, 'Daily 쨈 raw'!$1:$1, 0)), ""), IF(val=0, "", val))</f>
        <v>1.591474245</v>
      </c>
      <c r="BE18" s="50">
        <f t="array" ref="BE18">LET(val, IFERROR(INDEX('Daily 쨈 raw'!$A:$Z, MATCH(BE$3, 'Daily 쨈 raw'!$A:$A, 0), MATCH($A18, 'Daily 쨈 raw'!$1:$1, 0)), ""), IF(val=0, "", val))</f>
        <v>1.536319613</v>
      </c>
      <c r="BF18" s="50">
        <f t="array" ref="BF18">LET(val, IFERROR(INDEX('Daily 쨈 raw'!$A:$Z, MATCH(BF$3, 'Daily 쨈 raw'!$A:$A, 0), MATCH($A18, 'Daily 쨈 raw'!$1:$1, 0)), ""), IF(val=0, "", val))</f>
        <v>1.749506903</v>
      </c>
      <c r="BG18" s="50">
        <f t="array" ref="BG18">LET(val, IFERROR(INDEX('Daily 쨈 raw'!$A:$Z, MATCH(BG$3, 'Daily 쨈 raw'!$A:$A, 0), MATCH($A18, 'Daily 쨈 raw'!$1:$1, 0)), ""), IF(val=0, "", val))</f>
        <v>1.486842105</v>
      </c>
      <c r="BH18" s="50">
        <f t="array" ref="BH18">LET(val, IFERROR(INDEX('Daily 쨈 raw'!$A:$Z, MATCH(BH$3, 'Daily 쨈 raw'!$A:$A, 0), MATCH($A18, 'Daily 쨈 raw'!$1:$1, 0)), ""), IF(val=0, "", val))</f>
        <v>1.541925466</v>
      </c>
      <c r="BI18" s="50">
        <f t="array" ref="BI18">LET(val, IFERROR(INDEX('Daily 쨈 raw'!$A:$Z, MATCH(BI$3, 'Daily 쨈 raw'!$A:$A, 0), MATCH($A18, 'Daily 쨈 raw'!$1:$1, 0)), ""), IF(val=0, "", val))</f>
        <v>1.513016845</v>
      </c>
      <c r="BJ18" s="50">
        <f t="array" ref="BJ18">LET(val, IFERROR(INDEX('Daily 쨈 raw'!$A:$Z, MATCH(BJ$3, 'Daily 쨈 raw'!$A:$A, 0), MATCH($A18, 'Daily 쨈 raw'!$1:$1, 0)), ""), IF(val=0, "", val))</f>
        <v>1.475496689</v>
      </c>
      <c r="BK18" s="50">
        <f t="array" ref="BK18">LET(val, IFERROR(INDEX('Daily 쨈 raw'!$A:$Z, MATCH(BK$3, 'Daily 쨈 raw'!$A:$A, 0), MATCH($A18, 'Daily 쨈 raw'!$1:$1, 0)), ""), IF(val=0, "", val))</f>
        <v>1.615803815</v>
      </c>
      <c r="BL18" s="50">
        <f t="array" ref="BL18">LET(val, IFERROR(INDEX('Daily 쨈 raw'!$A:$Z, MATCH(BL$3, 'Daily 쨈 raw'!$A:$A, 0), MATCH($A18, 'Daily 쨈 raw'!$1:$1, 0)), ""), IF(val=0, "", val))</f>
        <v>1.585427136</v>
      </c>
      <c r="BM18" s="50">
        <f t="array" ref="BM18">LET(val, IFERROR(INDEX('Daily 쨈 raw'!$A:$Z, MATCH(BM$3, 'Daily 쨈 raw'!$A:$A, 0), MATCH($A18, 'Daily 쨈 raw'!$1:$1, 0)), ""), IF(val=0, "", val))</f>
        <v>1.67674113</v>
      </c>
      <c r="BN18" s="50">
        <f t="array" ref="BN18">LET(val, IFERROR(INDEX('Daily 쨈 raw'!$A:$Z, MATCH(BN$3, 'Daily 쨈 raw'!$A:$A, 0), MATCH($A18, 'Daily 쨈 raw'!$1:$1, 0)), ""), IF(val=0, "", val))</f>
        <v>1.608108108</v>
      </c>
      <c r="BO18" s="50">
        <f t="array" ref="BO18">LET(val, IFERROR(INDEX('Daily 쨈 raw'!$A:$Z, MATCH(BO$3, 'Daily 쨈 raw'!$A:$A, 0), MATCH($A18, 'Daily 쨈 raw'!$1:$1, 0)), ""), IF(val=0, "", val))</f>
        <v>1.896358543</v>
      </c>
      <c r="BP18" s="50">
        <f t="array" ref="BP18">LET(val, IFERROR(INDEX('Daily 쨈 raw'!$A:$Z, MATCH(BP$3, 'Daily 쨈 raw'!$A:$A, 0), MATCH($A18, 'Daily 쨈 raw'!$1:$1, 0)), ""), IF(val=0, "", val))</f>
        <v>1.924702774</v>
      </c>
      <c r="BQ18" s="50">
        <f t="array" ref="BQ18">LET(val, IFERROR(INDEX('Daily 쨈 raw'!$A:$Z, MATCH(BQ$3, 'Daily 쨈 raw'!$A:$A, 0), MATCH($A18, 'Daily 쨈 raw'!$1:$1, 0)), ""), IF(val=0, "", val))</f>
        <v>1.801003344</v>
      </c>
      <c r="BR18" s="50">
        <f t="array" ref="BR18">LET(val, IFERROR(INDEX('Daily 쨈 raw'!$A:$Z, MATCH(BR$3, 'Daily 쨈 raw'!$A:$A, 0), MATCH($A18, 'Daily 쨈 raw'!$1:$1, 0)), ""), IF(val=0, "", val))</f>
        <v>1.949197861</v>
      </c>
      <c r="BS18" s="50">
        <f t="array" ref="BS18">LET(val, IFERROR(INDEX('Daily 쨈 raw'!$A:$Z, MATCH(BS$3, 'Daily 쨈 raw'!$A:$A, 0), MATCH($A18, 'Daily 쨈 raw'!$1:$1, 0)), ""), IF(val=0, "", val))</f>
        <v>1.780523256</v>
      </c>
      <c r="BT18" s="50">
        <f t="array" ref="BT18">LET(val, IFERROR(INDEX('Daily 쨈 raw'!$A:$Z, MATCH(BT$3, 'Daily 쨈 raw'!$A:$A, 0), MATCH($A18, 'Daily 쨈 raw'!$1:$1, 0)), ""), IF(val=0, "", val))</f>
        <v>1.644046095</v>
      </c>
      <c r="BU18" s="50">
        <f t="array" ref="BU18">LET(val, IFERROR(INDEX('Daily 쨈 raw'!$A:$Z, MATCH(BU$3, 'Daily 쨈 raw'!$A:$A, 0), MATCH($A18, 'Daily 쨈 raw'!$1:$1, 0)), ""), IF(val=0, "", val))</f>
        <v>1.658156028</v>
      </c>
      <c r="BV18" s="50">
        <f t="array" ref="BV18">LET(val, IFERROR(INDEX('Daily 쨈 raw'!$A:$Z, MATCH(BV$3, 'Daily 쨈 raw'!$A:$A, 0), MATCH($A18, 'Daily 쨈 raw'!$1:$1, 0)), ""), IF(val=0, "", val))</f>
        <v>1.698170732</v>
      </c>
      <c r="BW18" s="50">
        <f t="array" ref="BW18">LET(val, IFERROR(INDEX('Daily 쨈 raw'!$A:$Z, MATCH(BW$3, 'Daily 쨈 raw'!$A:$A, 0), MATCH($A18, 'Daily 쨈 raw'!$1:$1, 0)), ""), IF(val=0, "", val))</f>
        <v>1.531545741</v>
      </c>
      <c r="BX18" s="50">
        <f t="array" ref="BX18">LET(val, IFERROR(INDEX('Daily 쨈 raw'!$A:$Z, MATCH(BX$3, 'Daily 쨈 raw'!$A:$A, 0), MATCH($A18, 'Daily 쨈 raw'!$1:$1, 0)), ""), IF(val=0, "", val))</f>
        <v>1.580645161</v>
      </c>
      <c r="BY18" s="50">
        <f t="array" ref="BY18">LET(val, IFERROR(INDEX('Daily 쨈 raw'!$A:$Z, MATCH(BY$3, 'Daily 쨈 raw'!$A:$A, 0), MATCH($A18, 'Daily 쨈 raw'!$1:$1, 0)), ""), IF(val=0, "", val))</f>
        <v>1.77672956</v>
      </c>
      <c r="BZ18" s="50">
        <f t="array" ref="BZ18">LET(val, IFERROR(INDEX('Daily 쨈 raw'!$A:$Z, MATCH(BZ$3, 'Daily 쨈 raw'!$A:$A, 0), MATCH($A18, 'Daily 쨈 raw'!$1:$1, 0)), ""), IF(val=0, "", val))</f>
        <v>1.545454545</v>
      </c>
      <c r="CA18" s="50">
        <f t="array" ref="CA18">LET(val, IFERROR(INDEX('Daily 쨈 raw'!$A:$Z, MATCH(CA$3, 'Daily 쨈 raw'!$A:$A, 0), MATCH($A18, 'Daily 쨈 raw'!$1:$1, 0)), ""), IF(val=0, "", val))</f>
        <v>1.541160594</v>
      </c>
      <c r="CB18" s="50">
        <f t="array" ref="CB18">LET(val, IFERROR(INDEX('Daily 쨈 raw'!$A:$Z, MATCH(CB$3, 'Daily 쨈 raw'!$A:$A, 0), MATCH($A18, 'Daily 쨈 raw'!$1:$1, 0)), ""), IF(val=0, "", val))</f>
        <v>1.745995423</v>
      </c>
      <c r="CC18" s="50">
        <f t="array" ref="CC18">LET(val, IFERROR(INDEX('Daily 쨈 raw'!$A:$Z, MATCH(CC$3, 'Daily 쨈 raw'!$A:$A, 0), MATCH($A18, 'Daily 쨈 raw'!$1:$1, 0)), ""), IF(val=0, "", val))</f>
        <v>2.030368764</v>
      </c>
      <c r="CD18" s="50">
        <f t="array" ref="CD18">LET(val, IFERROR(INDEX('Daily 쨈 raw'!$A:$Z, MATCH(CD$3, 'Daily 쨈 raw'!$A:$A, 0), MATCH($A18, 'Daily 쨈 raw'!$1:$1, 0)), ""), IF(val=0, "", val))</f>
        <v>1.907597536</v>
      </c>
      <c r="CE18" s="50">
        <f t="array" ref="CE18">LET(val, IFERROR(INDEX('Daily 쨈 raw'!$A:$Z, MATCH(CE$3, 'Daily 쨈 raw'!$A:$A, 0), MATCH($A18, 'Daily 쨈 raw'!$1:$1, 0)), ""), IF(val=0, "", val))</f>
        <v>2.072463768</v>
      </c>
      <c r="CF18" s="50">
        <f t="array" ref="CF18">LET(val, IFERROR(INDEX('Daily 쨈 raw'!$A:$Z, MATCH(CF$3, 'Daily 쨈 raw'!$A:$A, 0), MATCH($A18, 'Daily 쨈 raw'!$1:$1, 0)), ""), IF(val=0, "", val))</f>
        <v>1.962671906</v>
      </c>
      <c r="CG18" s="50">
        <f t="array" ref="CG18">LET(val, IFERROR(INDEX('Daily 쨈 raw'!$A:$Z, MATCH(CG$3, 'Daily 쨈 raw'!$A:$A, 0), MATCH($A18, 'Daily 쨈 raw'!$1:$1, 0)), ""), IF(val=0, "", val))</f>
        <v>1.992481203</v>
      </c>
      <c r="CH18" s="50">
        <f t="array" ref="CH18">LET(val, IFERROR(INDEX('Daily 쨈 raw'!$A:$Z, MATCH(CH$3, 'Daily 쨈 raw'!$A:$A, 0), MATCH($A18, 'Daily 쨈 raw'!$1:$1, 0)), ""), IF(val=0, "", val))</f>
        <v>1.675</v>
      </c>
      <c r="CI18" s="50">
        <f t="array" ref="CI18">LET(val, IFERROR(INDEX('Daily 쨈 raw'!$A:$Z, MATCH(CI$3, 'Daily 쨈 raw'!$A:$A, 0), MATCH($A18, 'Daily 쨈 raw'!$1:$1, 0)), ""), IF(val=0, "", val))</f>
        <v>1.995670996</v>
      </c>
      <c r="CJ18" s="50">
        <f t="array" ref="CJ18">LET(val, IFERROR(INDEX('Daily 쨈 raw'!$A:$Z, MATCH(CJ$3, 'Daily 쨈 raw'!$A:$A, 0), MATCH($A18, 'Daily 쨈 raw'!$1:$1, 0)), ""), IF(val=0, "", val))</f>
        <v>1.8768</v>
      </c>
      <c r="CK18" s="50">
        <f t="array" ref="CK18">LET(val, IFERROR(INDEX('Daily 쨈 raw'!$A:$Z, MATCH(CK$3, 'Daily 쨈 raw'!$A:$A, 0), MATCH($A18, 'Daily 쨈 raw'!$1:$1, 0)), ""), IF(val=0, "", val))</f>
        <v>2.27427598</v>
      </c>
      <c r="CL18" s="50">
        <f t="array" ref="CL18">LET(val, IFERROR(INDEX('Daily 쨈 raw'!$A:$Z, MATCH(CL$3, 'Daily 쨈 raw'!$A:$A, 0), MATCH($A18, 'Daily 쨈 raw'!$1:$1, 0)), ""), IF(val=0, "", val))</f>
        <v>1.901768173</v>
      </c>
      <c r="CM18" s="50">
        <f t="array" ref="CM18">LET(val, IFERROR(INDEX('Daily 쨈 raw'!$A:$Z, MATCH(CM$3, 'Daily 쨈 raw'!$A:$A, 0), MATCH($A18, 'Daily 쨈 raw'!$1:$1, 0)), ""), IF(val=0, "", val))</f>
        <v>2.036020583</v>
      </c>
      <c r="CN18" s="50">
        <f t="array" ref="CN18">LET(val, IFERROR(INDEX('Daily 쨈 raw'!$A:$Z, MATCH(CN$3, 'Daily 쨈 raw'!$A:$A, 0), MATCH($A18, 'Daily 쨈 raw'!$1:$1, 0)), ""), IF(val=0, "", val))</f>
        <v>1.992380952</v>
      </c>
      <c r="CO18" s="50">
        <f t="array" ref="CO18">LET(val, IFERROR(INDEX('Daily 쨈 raw'!$A:$Z, MATCH(CO$3, 'Daily 쨈 raw'!$A:$A, 0), MATCH($A18, 'Daily 쨈 raw'!$1:$1, 0)), ""), IF(val=0, "", val))</f>
        <v>1.995508982</v>
      </c>
      <c r="CP18" s="50">
        <f t="array" ref="CP18">LET(val, IFERROR(INDEX('Daily 쨈 raw'!$A:$Z, MATCH(CP$3, 'Daily 쨈 raw'!$A:$A, 0), MATCH($A18, 'Daily 쨈 raw'!$1:$1, 0)), ""), IF(val=0, "", val))</f>
        <v>1.695187166</v>
      </c>
      <c r="CQ18" s="50" t="str">
        <f t="array" ref="CQ18">LET(val, IFERROR(INDEX('Daily 쨈 raw'!$A:$Z, MATCH(CQ$3, 'Daily 쨈 raw'!$A:$A, 0), MATCH($A18, 'Daily 쨈 raw'!$1:$1, 0)), ""), IF(val=0, "", val))</f>
        <v/>
      </c>
      <c r="CR18" s="50" t="str">
        <f t="array" ref="CR18">LET(val, IFERROR(INDEX('Daily 쨈 raw'!$A:$Z, MATCH(CR$3, 'Daily 쨈 raw'!$A:$A, 0), MATCH($A18, 'Daily 쨈 raw'!$1:$1, 0)), ""), IF(val=0, "", val))</f>
        <v/>
      </c>
      <c r="CS18" s="50" t="str">
        <f t="array" ref="CS18">LET(val, IFERROR(INDEX('Daily 쨈 raw'!$A:$Z, MATCH(CS$3, 'Daily 쨈 raw'!$A:$A, 0), MATCH($A18, 'Daily 쨈 raw'!$1:$1, 0)), ""), IF(val=0, "", val))</f>
        <v/>
      </c>
      <c r="CT18" s="50" t="str">
        <f t="array" ref="CT18">LET(val, IFERROR(INDEX('Daily 쨈 raw'!$A:$Z, MATCH(CT$3, 'Daily 쨈 raw'!$A:$A, 0), MATCH($A18, 'Daily 쨈 raw'!$1:$1, 0)), ""), IF(val=0, "", val))</f>
        <v/>
      </c>
      <c r="CU18" s="50" t="str">
        <f t="array" ref="CU18">LET(val, IFERROR(INDEX('Daily 쨈 raw'!$A:$Z, MATCH(CU$3, 'Daily 쨈 raw'!$A:$A, 0), MATCH($A18, 'Daily 쨈 raw'!$1:$1, 0)), ""), IF(val=0, "", val))</f>
        <v/>
      </c>
      <c r="CV18" s="50" t="str">
        <f t="array" ref="CV18">LET(val, IFERROR(INDEX('Daily 쨈 raw'!$A:$Z, MATCH(CV$3, 'Daily 쨈 raw'!$A:$A, 0), MATCH($A18, 'Daily 쨈 raw'!$1:$1, 0)), ""), IF(val=0, "", val))</f>
        <v/>
      </c>
      <c r="CW18" s="50" t="str">
        <f t="array" ref="CW18">LET(val, IFERROR(INDEX('Daily 쨈 raw'!$A:$Z, MATCH(CW$3, 'Daily 쨈 raw'!$A:$A, 0), MATCH($A18, 'Daily 쨈 raw'!$1:$1, 0)), ""), IF(val=0, "", val))</f>
        <v/>
      </c>
      <c r="CX18" s="50" t="str">
        <f t="array" ref="CX18">LET(val, IFERROR(INDEX('Daily 쨈 raw'!$A:$Z, MATCH(CX$3, 'Daily 쨈 raw'!$A:$A, 0), MATCH($A18, 'Daily 쨈 raw'!$1:$1, 0)), ""), IF(val=0, "", val))</f>
        <v/>
      </c>
      <c r="CY18" s="50" t="str">
        <f t="array" ref="CY18">LET(val, IFERROR(INDEX('Daily 쨈 raw'!$A:$Z, MATCH(CY$3, 'Daily 쨈 raw'!$A:$A, 0), MATCH($A18, 'Daily 쨈 raw'!$1:$1, 0)), ""), IF(val=0, "", val))</f>
        <v/>
      </c>
      <c r="CZ18" s="50" t="str">
        <f t="array" ref="CZ18">LET(val, IFERROR(INDEX('Daily 쨈 raw'!$A:$Z, MATCH(CZ$3, 'Daily 쨈 raw'!$A:$A, 0), MATCH($A18, 'Daily 쨈 raw'!$1:$1, 0)), ""), IF(val=0, "", val))</f>
        <v/>
      </c>
      <c r="DA18" s="50" t="str">
        <f t="array" ref="DA18">LET(val, IFERROR(INDEX('Daily 쨈 raw'!$A:$Z, MATCH(DA$3, 'Daily 쨈 raw'!$A:$A, 0), MATCH($A18, 'Daily 쨈 raw'!$1:$1, 0)), ""), IF(val=0, "", val))</f>
        <v/>
      </c>
      <c r="DB18" s="50" t="str">
        <f t="array" ref="DB18">LET(val, IFERROR(INDEX('Daily 쨈 raw'!$A:$Z, MATCH(DB$3, 'Daily 쨈 raw'!$A:$A, 0), MATCH($A18, 'Daily 쨈 raw'!$1:$1, 0)), ""), IF(val=0, "", val))</f>
        <v/>
      </c>
      <c r="DC18" s="50" t="str">
        <f t="array" ref="DC18">LET(val, IFERROR(INDEX('Daily 쨈 raw'!$A:$Z, MATCH(DC$3, 'Daily 쨈 raw'!$A:$A, 0), MATCH($A18, 'Daily 쨈 raw'!$1:$1, 0)), ""), IF(val=0, "", val))</f>
        <v/>
      </c>
      <c r="DD18" s="50" t="str">
        <f t="array" ref="DD18">LET(val, IFERROR(INDEX('Daily 쨈 raw'!$A:$Z, MATCH(DD$3, 'Daily 쨈 raw'!$A:$A, 0), MATCH($A18, 'Daily 쨈 raw'!$1:$1, 0)), ""), IF(val=0, "", val))</f>
        <v/>
      </c>
      <c r="DE18" s="50" t="str">
        <f t="array" ref="DE18">LET(val, IFERROR(INDEX('Daily 쨈 raw'!$A:$Z, MATCH(DE$3, 'Daily 쨈 raw'!$A:$A, 0), MATCH($A18, 'Daily 쨈 raw'!$1:$1, 0)), ""), IF(val=0, "", val))</f>
        <v/>
      </c>
      <c r="DF18" s="50" t="str">
        <f t="array" ref="DF18">LET(val, IFERROR(INDEX('Daily 쨈 raw'!$A:$Z, MATCH(DF$3, 'Daily 쨈 raw'!$A:$A, 0), MATCH($A18, 'Daily 쨈 raw'!$1:$1, 0)), ""), IF(val=0, "", val))</f>
        <v/>
      </c>
      <c r="DG18" s="50" t="str">
        <f t="array" ref="DG18">LET(val, IFERROR(INDEX('Daily 쨈 raw'!$A:$Z, MATCH(DG$3, 'Daily 쨈 raw'!$A:$A, 0), MATCH($A18, 'Daily 쨈 raw'!$1:$1, 0)), ""), IF(val=0, "", val))</f>
        <v/>
      </c>
      <c r="DH18" s="50" t="str">
        <f t="array" ref="DH18">LET(val, IFERROR(INDEX('Daily 쨈 raw'!$A:$Z, MATCH(DH$3, 'Daily 쨈 raw'!$A:$A, 0), MATCH($A18, 'Daily 쨈 raw'!$1:$1, 0)), ""), IF(val=0, "", val))</f>
        <v/>
      </c>
      <c r="DI18" s="50" t="str">
        <f t="array" ref="DI18">LET(val, IFERROR(INDEX('Daily 쨈 raw'!$A:$Z, MATCH(DI$3, 'Daily 쨈 raw'!$A:$A, 0), MATCH($A18, 'Daily 쨈 raw'!$1:$1, 0)), ""), IF(val=0, "", val))</f>
        <v/>
      </c>
      <c r="DJ18" s="50" t="str">
        <f t="array" ref="DJ18">LET(val, IFERROR(INDEX('Daily 쨈 raw'!$A:$Z, MATCH(DJ$3, 'Daily 쨈 raw'!$A:$A, 0), MATCH($A18, 'Daily 쨈 raw'!$1:$1, 0)), ""), IF(val=0, "", val))</f>
        <v/>
      </c>
      <c r="DK18" s="50" t="str">
        <f t="array" ref="DK18">LET(val, IFERROR(INDEX('Daily 쨈 raw'!$A:$Z, MATCH(DK$3, 'Daily 쨈 raw'!$A:$A, 0), MATCH($A18, 'Daily 쨈 raw'!$1:$1, 0)), ""), IF(val=0, "", val))</f>
        <v/>
      </c>
      <c r="DL18" s="50" t="str">
        <f t="array" ref="DL18">LET(val, IFERROR(INDEX('Daily 쨈 raw'!$A:$Z, MATCH(DL$3, 'Daily 쨈 raw'!$A:$A, 0), MATCH($A18, 'Daily 쨈 raw'!$1:$1, 0)), ""), IF(val=0, "", val))</f>
        <v/>
      </c>
      <c r="DM18" s="50" t="str">
        <f t="array" ref="DM18">LET(val, IFERROR(INDEX('Daily 쨈 raw'!$A:$Z, MATCH(DM$3, 'Daily 쨈 raw'!$A:$A, 0), MATCH($A18, 'Daily 쨈 raw'!$1:$1, 0)), ""), IF(val=0, "", val))</f>
        <v/>
      </c>
      <c r="DN18" s="50" t="str">
        <f t="array" ref="DN18">LET(val, IFERROR(INDEX('Daily 쨈 raw'!$A:$Z, MATCH(DN$3, 'Daily 쨈 raw'!$A:$A, 0), MATCH($A18, 'Daily 쨈 raw'!$1:$1, 0)), ""), IF(val=0, "", val))</f>
        <v/>
      </c>
      <c r="DO18" s="50" t="str">
        <f t="array" ref="DO18">LET(val, IFERROR(INDEX('Daily 쨈 raw'!$A:$Z, MATCH(DO$3, 'Daily 쨈 raw'!$A:$A, 0), MATCH($A18, 'Daily 쨈 raw'!$1:$1, 0)), ""), IF(val=0, "", val))</f>
        <v/>
      </c>
      <c r="DP18" s="50" t="str">
        <f t="array" ref="DP18">LET(val, IFERROR(INDEX('Daily 쨈 raw'!$A:$Z, MATCH(DP$3, 'Daily 쨈 raw'!$A:$A, 0), MATCH($A18, 'Daily 쨈 raw'!$1:$1, 0)), ""), IF(val=0, "", val))</f>
        <v/>
      </c>
      <c r="DQ18" s="50" t="str">
        <f t="array" ref="DQ18">LET(val, IFERROR(INDEX('Daily 쨈 raw'!$A:$Z, MATCH(DQ$3, 'Daily 쨈 raw'!$A:$A, 0), MATCH($A18, 'Daily 쨈 raw'!$1:$1, 0)), ""), IF(val=0, "", val))</f>
        <v/>
      </c>
      <c r="DR18" s="50" t="str">
        <f t="array" ref="DR18">LET(val, IFERROR(INDEX('Daily 쨈 raw'!$A:$Z, MATCH(DR$3, 'Daily 쨈 raw'!$A:$A, 0), MATCH($A18, 'Daily 쨈 raw'!$1:$1, 0)), ""), IF(val=0, "", val))</f>
        <v/>
      </c>
      <c r="DS18" s="50" t="str">
        <f t="array" ref="DS18">LET(val, IFERROR(INDEX('Daily 쨈 raw'!$A:$Z, MATCH(DS$3, 'Daily 쨈 raw'!$A:$A, 0), MATCH($A18, 'Daily 쨈 raw'!$1:$1, 0)), ""), IF(val=0, "", val))</f>
        <v/>
      </c>
      <c r="DT18" s="50" t="str">
        <f t="array" ref="DT18">LET(val, IFERROR(INDEX('Daily 쨈 raw'!$A:$Z, MATCH(DT$3, 'Daily 쨈 raw'!$A:$A, 0), MATCH($A18, 'Daily 쨈 raw'!$1:$1, 0)), ""), IF(val=0, "", val))</f>
        <v/>
      </c>
      <c r="DU18" s="50" t="str">
        <f t="array" ref="DU18">LET(val, IFERROR(INDEX('Daily 쨈 raw'!$A:$Z, MATCH(DU$3, 'Daily 쨈 raw'!$A:$A, 0), MATCH($A18, 'Daily 쨈 raw'!$1:$1, 0)), ""), IF(val=0, "", val))</f>
        <v/>
      </c>
      <c r="DV18" s="50" t="str">
        <f t="array" ref="DV18">LET(val, IFERROR(INDEX('Daily 쨈 raw'!$A:$Z, MATCH(DV$3, 'Daily 쨈 raw'!$A:$A, 0), MATCH($A18, 'Daily 쨈 raw'!$1:$1, 0)), ""), IF(val=0, "", val))</f>
        <v/>
      </c>
      <c r="DW18" s="50" t="str">
        <f t="array" ref="DW18">LET(val, IFERROR(INDEX('Daily 쨈 raw'!$A:$Z, MATCH(DW$3, 'Daily 쨈 raw'!$A:$A, 0), MATCH($A18, 'Daily 쨈 raw'!$1:$1, 0)), ""), IF(val=0, "", val))</f>
        <v/>
      </c>
      <c r="DX18" s="50" t="str">
        <f t="array" ref="DX18">LET(val, IFERROR(INDEX('Daily 쨈 raw'!$A:$Z, MATCH(DX$3, 'Daily 쨈 raw'!$A:$A, 0), MATCH($A18, 'Daily 쨈 raw'!$1:$1, 0)), ""), IF(val=0, "", val))</f>
        <v/>
      </c>
      <c r="DY18" s="50" t="str">
        <f t="array" ref="DY18">LET(val, IFERROR(INDEX('Daily 쨈 raw'!$A:$Z, MATCH(DY$3, 'Daily 쨈 raw'!$A:$A, 0), MATCH($A18, 'Daily 쨈 raw'!$1:$1, 0)), ""), IF(val=0, "", val))</f>
        <v/>
      </c>
      <c r="DZ18" s="50" t="str">
        <f t="array" ref="DZ18">LET(val, IFERROR(INDEX('Daily 쨈 raw'!$A:$Z, MATCH(DZ$3, 'Daily 쨈 raw'!$A:$A, 0), MATCH($A18, 'Daily 쨈 raw'!$1:$1, 0)), ""), IF(val=0, "", val))</f>
        <v/>
      </c>
    </row>
    <row r="19" ht="22.5" customHeight="1">
      <c r="A19" s="51" t="s">
        <v>83</v>
      </c>
      <c r="B19" s="52" t="s">
        <v>84</v>
      </c>
      <c r="C19" s="53" t="str">
        <f t="array" ref="C19">LET(val, IFERROR(INDEX('Daily 쨈 raw'!$A:$Z, MATCH(C$3, 'Daily 쨈 raw'!$A:$A, 0), MATCH($A19, 'Daily 쨈 raw'!$1:$1, 0)), ""), IF(val=0, "", val))</f>
        <v/>
      </c>
      <c r="D19" s="53" t="str">
        <f t="array" ref="D19">LET(val, IFERROR(INDEX('Daily 쨈 raw'!$A:$Z, MATCH(D$3, 'Daily 쨈 raw'!$A:$A, 0), MATCH($A19, 'Daily 쨈 raw'!$1:$1, 0)), ""), IF(val=0, "", val))</f>
        <v/>
      </c>
      <c r="E19" s="53" t="str">
        <f t="array" ref="E19">LET(val, IFERROR(INDEX('Daily 쨈 raw'!$A:$Z, MATCH(E$3, 'Daily 쨈 raw'!$A:$A, 0), MATCH($A19, 'Daily 쨈 raw'!$1:$1, 0)), ""), IF(val=0, "", val))</f>
        <v/>
      </c>
      <c r="F19" s="53" t="str">
        <f t="array" ref="F19">LET(val, IFERROR(INDEX('Daily 쨈 raw'!$A:$Z, MATCH(F$3, 'Daily 쨈 raw'!$A:$A, 0), MATCH($A19, 'Daily 쨈 raw'!$1:$1, 0)), ""), IF(val=0, "", val))</f>
        <v/>
      </c>
      <c r="G19" s="53" t="str">
        <f t="array" ref="G19">LET(val, IFERROR(INDEX('Daily 쨈 raw'!$A:$Z, MATCH(G$3, 'Daily 쨈 raw'!$A:$A, 0), MATCH($A19, 'Daily 쨈 raw'!$1:$1, 0)), ""), IF(val=0, "", val))</f>
        <v/>
      </c>
      <c r="H19" s="53" t="str">
        <f t="array" ref="H19">LET(val, IFERROR(INDEX('Daily 쨈 raw'!$A:$Z, MATCH(H$3, 'Daily 쨈 raw'!$A:$A, 0), MATCH($A19, 'Daily 쨈 raw'!$1:$1, 0)), ""), IF(val=0, "", val))</f>
        <v/>
      </c>
      <c r="I19" s="53" t="str">
        <f t="array" ref="I19">LET(val, IFERROR(INDEX('Daily 쨈 raw'!$A:$Z, MATCH(I$3, 'Daily 쨈 raw'!$A:$A, 0), MATCH($A19, 'Daily 쨈 raw'!$1:$1, 0)), ""), IF(val=0, "", val))</f>
        <v/>
      </c>
      <c r="J19" s="53" t="str">
        <f t="array" ref="J19">LET(val, IFERROR(INDEX('Daily 쨈 raw'!$A:$Z, MATCH(J$3, 'Daily 쨈 raw'!$A:$A, 0), MATCH($A19, 'Daily 쨈 raw'!$1:$1, 0)), ""), IF(val=0, "", val))</f>
        <v/>
      </c>
      <c r="K19" s="53" t="str">
        <f t="array" ref="K19">LET(val, IFERROR(INDEX('Daily 쨈 raw'!$A:$Z, MATCH(K$3, 'Daily 쨈 raw'!$A:$A, 0), MATCH($A19, 'Daily 쨈 raw'!$1:$1, 0)), ""), IF(val=0, "", val))</f>
        <v/>
      </c>
      <c r="L19" s="53" t="str">
        <f t="array" ref="L19">LET(val, IFERROR(INDEX('Daily 쨈 raw'!$A:$Z, MATCH(L$3, 'Daily 쨈 raw'!$A:$A, 0), MATCH($A19, 'Daily 쨈 raw'!$1:$1, 0)), ""), IF(val=0, "", val))</f>
        <v/>
      </c>
      <c r="M19" s="53" t="str">
        <f t="array" ref="M19">LET(val, IFERROR(INDEX('Daily 쨈 raw'!$A:$Z, MATCH(M$3, 'Daily 쨈 raw'!$A:$A, 0), MATCH($A19, 'Daily 쨈 raw'!$1:$1, 0)), ""), IF(val=0, "", val))</f>
        <v/>
      </c>
      <c r="N19" s="53" t="str">
        <f t="array" ref="N19">LET(val, IFERROR(INDEX('Daily 쨈 raw'!$A:$Z, MATCH(N$3, 'Daily 쨈 raw'!$A:$A, 0), MATCH($A19, 'Daily 쨈 raw'!$1:$1, 0)), ""), IF(val=0, "", val))</f>
        <v/>
      </c>
      <c r="O19" s="53" t="str">
        <f t="array" ref="O19">LET(val, IFERROR(INDEX('Daily 쨈 raw'!$A:$Z, MATCH(O$3, 'Daily 쨈 raw'!$A:$A, 0), MATCH($A19, 'Daily 쨈 raw'!$1:$1, 0)), ""), IF(val=0, "", val))</f>
        <v/>
      </c>
      <c r="P19" s="53" t="str">
        <f t="array" ref="P19">LET(val, IFERROR(INDEX('Daily 쨈 raw'!$A:$Z, MATCH(P$3, 'Daily 쨈 raw'!$A:$A, 0), MATCH($A19, 'Daily 쨈 raw'!$1:$1, 0)), ""), IF(val=0, "", val))</f>
        <v/>
      </c>
      <c r="Q19" s="53" t="str">
        <f t="array" ref="Q19">LET(val, IFERROR(INDEX('Daily 쨈 raw'!$A:$Z, MATCH(Q$3, 'Daily 쨈 raw'!$A:$A, 0), MATCH($A19, 'Daily 쨈 raw'!$1:$1, 0)), ""), IF(val=0, "", val))</f>
        <v/>
      </c>
      <c r="R19" s="53" t="str">
        <f t="array" ref="R19">LET(val, IFERROR(INDEX('Daily 쨈 raw'!$A:$Z, MATCH(R$3, 'Daily 쨈 raw'!$A:$A, 0), MATCH($A19, 'Daily 쨈 raw'!$1:$1, 0)), ""), IF(val=0, "", val))</f>
        <v/>
      </c>
      <c r="S19" s="53" t="str">
        <f t="array" ref="S19">LET(val, IFERROR(INDEX('Daily 쨈 raw'!$A:$Z, MATCH(S$3, 'Daily 쨈 raw'!$A:$A, 0), MATCH($A19, 'Daily 쨈 raw'!$1:$1, 0)), ""), IF(val=0, "", val))</f>
        <v/>
      </c>
      <c r="T19" s="53" t="str">
        <f t="array" ref="T19">LET(val, IFERROR(INDEX('Daily 쨈 raw'!$A:$Z, MATCH(T$3, 'Daily 쨈 raw'!$A:$A, 0), MATCH($A19, 'Daily 쨈 raw'!$1:$1, 0)), ""), IF(val=0, "", val))</f>
        <v/>
      </c>
      <c r="U19" s="53" t="str">
        <f t="array" ref="U19">LET(val, IFERROR(INDEX('Daily 쨈 raw'!$A:$Z, MATCH(U$3, 'Daily 쨈 raw'!$A:$A, 0), MATCH($A19, 'Daily 쨈 raw'!$1:$1, 0)), ""), IF(val=0, "", val))</f>
        <v/>
      </c>
      <c r="V19" s="53" t="str">
        <f t="array" ref="V19">LET(val, IFERROR(INDEX('Daily 쨈 raw'!$A:$Z, MATCH(V$3, 'Daily 쨈 raw'!$A:$A, 0), MATCH($A19, 'Daily 쨈 raw'!$1:$1, 0)), ""), IF(val=0, "", val))</f>
        <v/>
      </c>
      <c r="W19" s="53" t="str">
        <f t="array" ref="W19">LET(val, IFERROR(INDEX('Daily 쨈 raw'!$A:$Z, MATCH(W$3, 'Daily 쨈 raw'!$A:$A, 0), MATCH($A19, 'Daily 쨈 raw'!$1:$1, 0)), ""), IF(val=0, "", val))</f>
        <v/>
      </c>
      <c r="X19" s="53" t="str">
        <f t="array" ref="X19">LET(val, IFERROR(INDEX('Daily 쨈 raw'!$A:$Z, MATCH(X$3, 'Daily 쨈 raw'!$A:$A, 0), MATCH($A19, 'Daily 쨈 raw'!$1:$1, 0)), ""), IF(val=0, "", val))</f>
        <v/>
      </c>
      <c r="Y19" s="53" t="str">
        <f t="array" ref="Y19">LET(val, IFERROR(INDEX('Daily 쨈 raw'!$A:$Z, MATCH(Y$3, 'Daily 쨈 raw'!$A:$A, 0), MATCH($A19, 'Daily 쨈 raw'!$1:$1, 0)), ""), IF(val=0, "", val))</f>
        <v/>
      </c>
      <c r="Z19" s="53" t="str">
        <f t="array" ref="Z19">LET(val, IFERROR(INDEX('Daily 쨈 raw'!$A:$Z, MATCH(Z$3, 'Daily 쨈 raw'!$A:$A, 0), MATCH($A19, 'Daily 쨈 raw'!$1:$1, 0)), ""), IF(val=0, "", val))</f>
        <v/>
      </c>
      <c r="AA19" s="53" t="str">
        <f t="array" ref="AA19">LET(val, IFERROR(INDEX('Daily 쨈 raw'!$A:$Z, MATCH(AA$3, 'Daily 쨈 raw'!$A:$A, 0), MATCH($A19, 'Daily 쨈 raw'!$1:$1, 0)), ""), IF(val=0, "", val))</f>
        <v/>
      </c>
      <c r="AB19" s="53" t="str">
        <f t="array" ref="AB19">LET(val, IFERROR(INDEX('Daily 쨈 raw'!$A:$Z, MATCH(AB$3, 'Daily 쨈 raw'!$A:$A, 0), MATCH($A19, 'Daily 쨈 raw'!$1:$1, 0)), ""), IF(val=0, "", val))</f>
        <v/>
      </c>
      <c r="AC19" s="53" t="str">
        <f t="array" ref="AC19">LET(val, IFERROR(INDEX('Daily 쨈 raw'!$A:$Z, MATCH(AC$3, 'Daily 쨈 raw'!$A:$A, 0), MATCH($A19, 'Daily 쨈 raw'!$1:$1, 0)), ""), IF(val=0, "", val))</f>
        <v/>
      </c>
      <c r="AD19" s="53" t="str">
        <f t="array" ref="AD19">LET(val, IFERROR(INDEX('Daily 쨈 raw'!$A:$Z, MATCH(AD$3, 'Daily 쨈 raw'!$A:$A, 0), MATCH($A19, 'Daily 쨈 raw'!$1:$1, 0)), ""), IF(val=0, "", val))</f>
        <v/>
      </c>
      <c r="AE19" s="53" t="str">
        <f t="array" ref="AE19">LET(val, IFERROR(INDEX('Daily 쨈 raw'!$A:$Z, MATCH(AE$3, 'Daily 쨈 raw'!$A:$A, 0), MATCH($A19, 'Daily 쨈 raw'!$1:$1, 0)), ""), IF(val=0, "", val))</f>
        <v/>
      </c>
      <c r="AF19" s="53" t="str">
        <f t="array" ref="AF19">LET(val, IFERROR(INDEX('Daily 쨈 raw'!$A:$Z, MATCH(AF$3, 'Daily 쨈 raw'!$A:$A, 0), MATCH($A19, 'Daily 쨈 raw'!$1:$1, 0)), ""), IF(val=0, "", val))</f>
        <v/>
      </c>
      <c r="AG19" s="53" t="str">
        <f t="array" ref="AG19">LET(val, IFERROR(INDEX('Daily 쨈 raw'!$A:$Z, MATCH(AG$3, 'Daily 쨈 raw'!$A:$A, 0), MATCH($A19, 'Daily 쨈 raw'!$1:$1, 0)), ""), IF(val=0, "", val))</f>
        <v/>
      </c>
      <c r="AH19" s="53" t="str">
        <f t="array" ref="AH19">LET(val, IFERROR(INDEX('Daily 쨈 raw'!$A:$Z, MATCH(AH$3, 'Daily 쨈 raw'!$A:$A, 0), MATCH($A19, 'Daily 쨈 raw'!$1:$1, 0)), ""), IF(val=0, "", val))</f>
        <v/>
      </c>
      <c r="AI19" s="53" t="str">
        <f t="array" ref="AI19">LET(val, IFERROR(INDEX('Daily 쨈 raw'!$A:$Z, MATCH(AI$3, 'Daily 쨈 raw'!$A:$A, 0), MATCH($A19, 'Daily 쨈 raw'!$1:$1, 0)), ""), IF(val=0, "", val))</f>
        <v/>
      </c>
      <c r="AJ19" s="53" t="str">
        <f t="array" ref="AJ19">LET(val, IFERROR(INDEX('Daily 쨈 raw'!$A:$Z, MATCH(AJ$3, 'Daily 쨈 raw'!$A:$A, 0), MATCH($A19, 'Daily 쨈 raw'!$1:$1, 0)), ""), IF(val=0, "", val))</f>
        <v/>
      </c>
      <c r="AK19" s="53" t="str">
        <f t="array" ref="AK19">LET(val, IFERROR(INDEX('Daily 쨈 raw'!$A:$Z, MATCH(AK$3, 'Daily 쨈 raw'!$A:$A, 0), MATCH($A19, 'Daily 쨈 raw'!$1:$1, 0)), ""), IF(val=0, "", val))</f>
        <v/>
      </c>
      <c r="AL19" s="53" t="str">
        <f t="array" ref="AL19">LET(val, IFERROR(INDEX('Daily 쨈 raw'!$A:$Z, MATCH(AL$3, 'Daily 쨈 raw'!$A:$A, 0), MATCH($A19, 'Daily 쨈 raw'!$1:$1, 0)), ""), IF(val=0, "", val))</f>
        <v/>
      </c>
      <c r="AM19" s="53" t="str">
        <f t="array" ref="AM19">LET(val, IFERROR(INDEX('Daily 쨈 raw'!$A:$Z, MATCH(AM$3, 'Daily 쨈 raw'!$A:$A, 0), MATCH($A19, 'Daily 쨈 raw'!$1:$1, 0)), ""), IF(val=0, "", val))</f>
        <v/>
      </c>
      <c r="AN19" s="53" t="str">
        <f t="array" ref="AN19">LET(val, IFERROR(INDEX('Daily 쨈 raw'!$A:$Z, MATCH(AN$3, 'Daily 쨈 raw'!$A:$A, 0), MATCH($A19, 'Daily 쨈 raw'!$1:$1, 0)), ""), IF(val=0, "", val))</f>
        <v/>
      </c>
      <c r="AO19" s="53" t="str">
        <f t="array" ref="AO19">LET(val, IFERROR(INDEX('Daily 쨈 raw'!$A:$Z, MATCH(AO$3, 'Daily 쨈 raw'!$A:$A, 0), MATCH($A19, 'Daily 쨈 raw'!$1:$1, 0)), ""), IF(val=0, "", val))</f>
        <v/>
      </c>
      <c r="AP19" s="53" t="str">
        <f t="array" ref="AP19">LET(val, IFERROR(INDEX('Daily 쨈 raw'!$A:$Z, MATCH(AP$3, 'Daily 쨈 raw'!$A:$A, 0), MATCH($A19, 'Daily 쨈 raw'!$1:$1, 0)), ""), IF(val=0, "", val))</f>
        <v/>
      </c>
      <c r="AQ19" s="53" t="str">
        <f t="array" ref="AQ19">LET(val, IFERROR(INDEX('Daily 쨈 raw'!$A:$Z, MATCH(AQ$3, 'Daily 쨈 raw'!$A:$A, 0), MATCH($A19, 'Daily 쨈 raw'!$1:$1, 0)), ""), IF(val=0, "", val))</f>
        <v/>
      </c>
      <c r="AR19" s="53" t="str">
        <f t="array" ref="AR19">LET(val, IFERROR(INDEX('Daily 쨈 raw'!$A:$Z, MATCH(AR$3, 'Daily 쨈 raw'!$A:$A, 0), MATCH($A19, 'Daily 쨈 raw'!$1:$1, 0)), ""), IF(val=0, "", val))</f>
        <v/>
      </c>
      <c r="AS19" s="53" t="str">
        <f t="array" ref="AS19">LET(val, IFERROR(INDEX('Daily 쨈 raw'!$A:$Z, MATCH(AS$3, 'Daily 쨈 raw'!$A:$A, 0), MATCH($A19, 'Daily 쨈 raw'!$1:$1, 0)), ""), IF(val=0, "", val))</f>
        <v/>
      </c>
      <c r="AT19" s="53" t="str">
        <f t="array" ref="AT19">LET(val, IFERROR(INDEX('Daily 쨈 raw'!$A:$Z, MATCH(AT$3, 'Daily 쨈 raw'!$A:$A, 0), MATCH($A19, 'Daily 쨈 raw'!$1:$1, 0)), ""), IF(val=0, "", val))</f>
        <v/>
      </c>
      <c r="AU19" s="53" t="str">
        <f t="array" ref="AU19">LET(val, IFERROR(INDEX('Daily 쨈 raw'!$A:$Z, MATCH(AU$3, 'Daily 쨈 raw'!$A:$A, 0), MATCH($A19, 'Daily 쨈 raw'!$1:$1, 0)), ""), IF(val=0, "", val))</f>
        <v/>
      </c>
      <c r="AV19" s="53" t="str">
        <f t="array" ref="AV19">LET(val, IFERROR(INDEX('Daily 쨈 raw'!$A:$Z, MATCH(AV$3, 'Daily 쨈 raw'!$A:$A, 0), MATCH($A19, 'Daily 쨈 raw'!$1:$1, 0)), ""), IF(val=0, "", val))</f>
        <v/>
      </c>
      <c r="AW19" s="53" t="str">
        <f t="array" ref="AW19">LET(val, IFERROR(INDEX('Daily 쨈 raw'!$A:$Z, MATCH(AW$3, 'Daily 쨈 raw'!$A:$A, 0), MATCH($A19, 'Daily 쨈 raw'!$1:$1, 0)), ""), IF(val=0, "", val))</f>
        <v/>
      </c>
      <c r="AX19" s="53" t="str">
        <f t="array" ref="AX19">LET(val, IFERROR(INDEX('Daily 쨈 raw'!$A:$Z, MATCH(AX$3, 'Daily 쨈 raw'!$A:$A, 0), MATCH($A19, 'Daily 쨈 raw'!$1:$1, 0)), ""), IF(val=0, "", val))</f>
        <v/>
      </c>
      <c r="AY19" s="53" t="str">
        <f t="array" ref="AY19">LET(val, IFERROR(INDEX('Daily 쨈 raw'!$A:$Z, MATCH(AY$3, 'Daily 쨈 raw'!$A:$A, 0), MATCH($A19, 'Daily 쨈 raw'!$1:$1, 0)), ""), IF(val=0, "", val))</f>
        <v/>
      </c>
      <c r="AZ19" s="53" t="str">
        <f t="array" ref="AZ19">LET(val, IFERROR(INDEX('Daily 쨈 raw'!$A:$Z, MATCH(AZ$3, 'Daily 쨈 raw'!$A:$A, 0), MATCH($A19, 'Daily 쨈 raw'!$1:$1, 0)), ""), IF(val=0, "", val))</f>
        <v/>
      </c>
      <c r="BA19" s="53" t="str">
        <f t="array" ref="BA19">LET(val, IFERROR(INDEX('Daily 쨈 raw'!$A:$Z, MATCH(BA$3, 'Daily 쨈 raw'!$A:$A, 0), MATCH($A19, 'Daily 쨈 raw'!$1:$1, 0)), ""), IF(val=0, "", val))</f>
        <v/>
      </c>
      <c r="BB19" s="53" t="str">
        <f t="array" ref="BB19">LET(val, IFERROR(INDEX('Daily 쨈 raw'!$A:$Z, MATCH(BB$3, 'Daily 쨈 raw'!$A:$A, 0), MATCH($A19, 'Daily 쨈 raw'!$1:$1, 0)), ""), IF(val=0, "", val))</f>
        <v/>
      </c>
      <c r="BC19" s="53" t="str">
        <f t="array" ref="BC19">LET(val, IFERROR(INDEX('Daily 쨈 raw'!$A:$Z, MATCH(BC$3, 'Daily 쨈 raw'!$A:$A, 0), MATCH($A19, 'Daily 쨈 raw'!$1:$1, 0)), ""), IF(val=0, "", val))</f>
        <v/>
      </c>
      <c r="BD19" s="53" t="str">
        <f t="array" ref="BD19">LET(val, IFERROR(INDEX('Daily 쨈 raw'!$A:$Z, MATCH(BD$3, 'Daily 쨈 raw'!$A:$A, 0), MATCH($A19, 'Daily 쨈 raw'!$1:$1, 0)), ""), IF(val=0, "", val))</f>
        <v/>
      </c>
      <c r="BE19" s="53" t="str">
        <f t="array" ref="BE19">LET(val, IFERROR(INDEX('Daily 쨈 raw'!$A:$Z, MATCH(BE$3, 'Daily 쨈 raw'!$A:$A, 0), MATCH($A19, 'Daily 쨈 raw'!$1:$1, 0)), ""), IF(val=0, "", val))</f>
        <v/>
      </c>
      <c r="BF19" s="53" t="str">
        <f t="array" ref="BF19">LET(val, IFERROR(INDEX('Daily 쨈 raw'!$A:$Z, MATCH(BF$3, 'Daily 쨈 raw'!$A:$A, 0), MATCH($A19, 'Daily 쨈 raw'!$1:$1, 0)), ""), IF(val=0, "", val))</f>
        <v/>
      </c>
      <c r="BG19" s="53" t="str">
        <f t="array" ref="BG19">LET(val, IFERROR(INDEX('Daily 쨈 raw'!$A:$Z, MATCH(BG$3, 'Daily 쨈 raw'!$A:$A, 0), MATCH($A19, 'Daily 쨈 raw'!$1:$1, 0)), ""), IF(val=0, "", val))</f>
        <v/>
      </c>
      <c r="BH19" s="53" t="str">
        <f t="array" ref="BH19">LET(val, IFERROR(INDEX('Daily 쨈 raw'!$A:$Z, MATCH(BH$3, 'Daily 쨈 raw'!$A:$A, 0), MATCH($A19, 'Daily 쨈 raw'!$1:$1, 0)), ""), IF(val=0, "", val))</f>
        <v/>
      </c>
      <c r="BI19" s="53" t="str">
        <f t="array" ref="BI19">LET(val, IFERROR(INDEX('Daily 쨈 raw'!$A:$Z, MATCH(BI$3, 'Daily 쨈 raw'!$A:$A, 0), MATCH($A19, 'Daily 쨈 raw'!$1:$1, 0)), ""), IF(val=0, "", val))</f>
        <v/>
      </c>
      <c r="BJ19" s="53" t="str">
        <f t="array" ref="BJ19">LET(val, IFERROR(INDEX('Daily 쨈 raw'!$A:$Z, MATCH(BJ$3, 'Daily 쨈 raw'!$A:$A, 0), MATCH($A19, 'Daily 쨈 raw'!$1:$1, 0)), ""), IF(val=0, "", val))</f>
        <v/>
      </c>
      <c r="BK19" s="53" t="str">
        <f t="array" ref="BK19">LET(val, IFERROR(INDEX('Daily 쨈 raw'!$A:$Z, MATCH(BK$3, 'Daily 쨈 raw'!$A:$A, 0), MATCH($A19, 'Daily 쨈 raw'!$1:$1, 0)), ""), IF(val=0, "", val))</f>
        <v/>
      </c>
      <c r="BL19" s="53" t="str">
        <f t="array" ref="BL19">LET(val, IFERROR(INDEX('Daily 쨈 raw'!$A:$Z, MATCH(BL$3, 'Daily 쨈 raw'!$A:$A, 0), MATCH($A19, 'Daily 쨈 raw'!$1:$1, 0)), ""), IF(val=0, "", val))</f>
        <v/>
      </c>
      <c r="BM19" s="53" t="str">
        <f t="array" ref="BM19">LET(val, IFERROR(INDEX('Daily 쨈 raw'!$A:$Z, MATCH(BM$3, 'Daily 쨈 raw'!$A:$A, 0), MATCH($A19, 'Daily 쨈 raw'!$1:$1, 0)), ""), IF(val=0, "", val))</f>
        <v/>
      </c>
      <c r="BN19" s="53" t="str">
        <f t="array" ref="BN19">LET(val, IFERROR(INDEX('Daily 쨈 raw'!$A:$Z, MATCH(BN$3, 'Daily 쨈 raw'!$A:$A, 0), MATCH($A19, 'Daily 쨈 raw'!$1:$1, 0)), ""), IF(val=0, "", val))</f>
        <v/>
      </c>
      <c r="BO19" s="53" t="str">
        <f t="array" ref="BO19">LET(val, IFERROR(INDEX('Daily 쨈 raw'!$A:$Z, MATCH(BO$3, 'Daily 쨈 raw'!$A:$A, 0), MATCH($A19, 'Daily 쨈 raw'!$1:$1, 0)), ""), IF(val=0, "", val))</f>
        <v/>
      </c>
      <c r="BP19" s="53" t="str">
        <f t="array" ref="BP19">LET(val, IFERROR(INDEX('Daily 쨈 raw'!$A:$Z, MATCH(BP$3, 'Daily 쨈 raw'!$A:$A, 0), MATCH($A19, 'Daily 쨈 raw'!$1:$1, 0)), ""), IF(val=0, "", val))</f>
        <v/>
      </c>
      <c r="BQ19" s="53" t="str">
        <f t="array" ref="BQ19">LET(val, IFERROR(INDEX('Daily 쨈 raw'!$A:$Z, MATCH(BQ$3, 'Daily 쨈 raw'!$A:$A, 0), MATCH($A19, 'Daily 쨈 raw'!$1:$1, 0)), ""), IF(val=0, "", val))</f>
        <v/>
      </c>
      <c r="BR19" s="53" t="str">
        <f t="array" ref="BR19">LET(val, IFERROR(INDEX('Daily 쨈 raw'!$A:$Z, MATCH(BR$3, 'Daily 쨈 raw'!$A:$A, 0), MATCH($A19, 'Daily 쨈 raw'!$1:$1, 0)), ""), IF(val=0, "", val))</f>
        <v/>
      </c>
      <c r="BS19" s="53" t="str">
        <f t="array" ref="BS19">LET(val, IFERROR(INDEX('Daily 쨈 raw'!$A:$Z, MATCH(BS$3, 'Daily 쨈 raw'!$A:$A, 0), MATCH($A19, 'Daily 쨈 raw'!$1:$1, 0)), ""), IF(val=0, "", val))</f>
        <v/>
      </c>
      <c r="BT19" s="53" t="str">
        <f t="array" ref="BT19">LET(val, IFERROR(INDEX('Daily 쨈 raw'!$A:$Z, MATCH(BT$3, 'Daily 쨈 raw'!$A:$A, 0), MATCH($A19, 'Daily 쨈 raw'!$1:$1, 0)), ""), IF(val=0, "", val))</f>
        <v/>
      </c>
      <c r="BU19" s="53" t="str">
        <f t="array" ref="BU19">LET(val, IFERROR(INDEX('Daily 쨈 raw'!$A:$Z, MATCH(BU$3, 'Daily 쨈 raw'!$A:$A, 0), MATCH($A19, 'Daily 쨈 raw'!$1:$1, 0)), ""), IF(val=0, "", val))</f>
        <v/>
      </c>
      <c r="BV19" s="53" t="str">
        <f t="array" ref="BV19">LET(val, IFERROR(INDEX('Daily 쨈 raw'!$A:$Z, MATCH(BV$3, 'Daily 쨈 raw'!$A:$A, 0), MATCH($A19, 'Daily 쨈 raw'!$1:$1, 0)), ""), IF(val=0, "", val))</f>
        <v/>
      </c>
      <c r="BW19" s="53">
        <f t="array" ref="BW19">LET(val, IFERROR(INDEX('Daily 쨈 raw'!$A:$Z, MATCH(BW$3, 'Daily 쨈 raw'!$A:$A, 0), MATCH($A19, 'Daily 쨈 raw'!$1:$1, 0)), ""), IF(val=0, "", val))</f>
        <v>0.1135646688</v>
      </c>
      <c r="BX19" s="53">
        <f t="array" ref="BX19">LET(val, IFERROR(INDEX('Daily 쨈 raw'!$A:$Z, MATCH(BX$3, 'Daily 쨈 raw'!$A:$A, 0), MATCH($A19, 'Daily 쨈 raw'!$1:$1, 0)), ""), IF(val=0, "", val))</f>
        <v>0.1103565365</v>
      </c>
      <c r="BY19" s="53">
        <f t="array" ref="BY19">LET(val, IFERROR(INDEX('Daily 쨈 raw'!$A:$Z, MATCH(BY$3, 'Daily 쨈 raw'!$A:$A, 0), MATCH($A19, 'Daily 쨈 raw'!$1:$1, 0)), ""), IF(val=0, "", val))</f>
        <v>0.05031446541</v>
      </c>
      <c r="BZ19" s="53">
        <f t="array" ref="BZ19">LET(val, IFERROR(INDEX('Daily 쨈 raw'!$A:$Z, MATCH(BZ$3, 'Daily 쨈 raw'!$A:$A, 0), MATCH($A19, 'Daily 쨈 raw'!$1:$1, 0)), ""), IF(val=0, "", val))</f>
        <v>0.06713286713</v>
      </c>
      <c r="CA19" s="53">
        <f t="array" ref="CA19">LET(val, IFERROR(INDEX('Daily 쨈 raw'!$A:$Z, MATCH(CA$3, 'Daily 쨈 raw'!$A:$A, 0), MATCH($A19, 'Daily 쨈 raw'!$1:$1, 0)), ""), IF(val=0, "", val))</f>
        <v>0.08502024291</v>
      </c>
      <c r="CB19" s="53">
        <f t="array" ref="CB19">LET(val, IFERROR(INDEX('Daily 쨈 raw'!$A:$Z, MATCH(CB$3, 'Daily 쨈 raw'!$A:$A, 0), MATCH($A19, 'Daily 쨈 raw'!$1:$1, 0)), ""), IF(val=0, "", val))</f>
        <v>0.171624714</v>
      </c>
      <c r="CC19" s="53">
        <f t="array" ref="CC19">LET(val, IFERROR(INDEX('Daily 쨈 raw'!$A:$Z, MATCH(CC$3, 'Daily 쨈 raw'!$A:$A, 0), MATCH($A19, 'Daily 쨈 raw'!$1:$1, 0)), ""), IF(val=0, "", val))</f>
        <v>0.2190889371</v>
      </c>
      <c r="CD19" s="53">
        <f t="array" ref="CD19">LET(val, IFERROR(INDEX('Daily 쨈 raw'!$A:$Z, MATCH(CD$3, 'Daily 쨈 raw'!$A:$A, 0), MATCH($A19, 'Daily 쨈 raw'!$1:$1, 0)), ""), IF(val=0, "", val))</f>
        <v>0.3080082136</v>
      </c>
      <c r="CE19" s="53">
        <f t="array" ref="CE19">LET(val, IFERROR(INDEX('Daily 쨈 raw'!$A:$Z, MATCH(CE$3, 'Daily 쨈 raw'!$A:$A, 0), MATCH($A19, 'Daily 쨈 raw'!$1:$1, 0)), ""), IF(val=0, "", val))</f>
        <v>0.4616977226</v>
      </c>
      <c r="CF19" s="53">
        <f t="array" ref="CF19">LET(val, IFERROR(INDEX('Daily 쨈 raw'!$A:$Z, MATCH(CF$3, 'Daily 쨈 raw'!$A:$A, 0), MATCH($A19, 'Daily 쨈 raw'!$1:$1, 0)), ""), IF(val=0, "", val))</f>
        <v>0.2436149312</v>
      </c>
      <c r="CG19" s="53">
        <f t="array" ref="CG19">LET(val, IFERROR(INDEX('Daily 쨈 raw'!$A:$Z, MATCH(CG$3, 'Daily 쨈 raw'!$A:$A, 0), MATCH($A19, 'Daily 쨈 raw'!$1:$1, 0)), ""), IF(val=0, "", val))</f>
        <v>0.3233082707</v>
      </c>
      <c r="CH19" s="53">
        <f t="array" ref="CH19">LET(val, IFERROR(INDEX('Daily 쨈 raw'!$A:$Z, MATCH(CH$3, 'Daily 쨈 raw'!$A:$A, 0), MATCH($A19, 'Daily 쨈 raw'!$1:$1, 0)), ""), IF(val=0, "", val))</f>
        <v>0.4785714286</v>
      </c>
      <c r="CI19" s="53">
        <f t="array" ref="CI19">LET(val, IFERROR(INDEX('Daily 쨈 raw'!$A:$Z, MATCH(CI$3, 'Daily 쨈 raw'!$A:$A, 0), MATCH($A19, 'Daily 쨈 raw'!$1:$1, 0)), ""), IF(val=0, "", val))</f>
        <v>0.4090909091</v>
      </c>
      <c r="CJ19" s="53">
        <f t="array" ref="CJ19">LET(val, IFERROR(INDEX('Daily 쨈 raw'!$A:$Z, MATCH(CJ$3, 'Daily 쨈 raw'!$A:$A, 0), MATCH($A19, 'Daily 쨈 raw'!$1:$1, 0)), ""), IF(val=0, "", val))</f>
        <v>0.3248</v>
      </c>
      <c r="CK19" s="53">
        <f t="array" ref="CK19">LET(val, IFERROR(INDEX('Daily 쨈 raw'!$A:$Z, MATCH(CK$3, 'Daily 쨈 raw'!$A:$A, 0), MATCH($A19, 'Daily 쨈 raw'!$1:$1, 0)), ""), IF(val=0, "", val))</f>
        <v>0.2453151618</v>
      </c>
      <c r="CL19" s="53">
        <f t="array" ref="CL19">LET(val, IFERROR(INDEX('Daily 쨈 raw'!$A:$Z, MATCH(CL$3, 'Daily 쨈 raw'!$A:$A, 0), MATCH($A19, 'Daily 쨈 raw'!$1:$1, 0)), ""), IF(val=0, "", val))</f>
        <v>0.2141453831</v>
      </c>
      <c r="CM19" s="53">
        <f t="array" ref="CM19">LET(val, IFERROR(INDEX('Daily 쨈 raw'!$A:$Z, MATCH(CM$3, 'Daily 쨈 raw'!$A:$A, 0), MATCH($A19, 'Daily 쨈 raw'!$1:$1, 0)), ""), IF(val=0, "", val))</f>
        <v>0.180102916</v>
      </c>
      <c r="CN19" s="53">
        <f t="array" ref="CN19">LET(val, IFERROR(INDEX('Daily 쨈 raw'!$A:$Z, MATCH(CN$3, 'Daily 쨈 raw'!$A:$A, 0), MATCH($A19, 'Daily 쨈 raw'!$1:$1, 0)), ""), IF(val=0, "", val))</f>
        <v>0.1847619048</v>
      </c>
      <c r="CO19" s="53">
        <f t="array" ref="CO19">LET(val, IFERROR(INDEX('Daily 쨈 raw'!$A:$Z, MATCH(CO$3, 'Daily 쨈 raw'!$A:$A, 0), MATCH($A19, 'Daily 쨈 raw'!$1:$1, 0)), ""), IF(val=0, "", val))</f>
        <v>0.2095808383</v>
      </c>
      <c r="CP19" s="53">
        <f t="array" ref="CP19">LET(val, IFERROR(INDEX('Daily 쨈 raw'!$A:$Z, MATCH(CP$3, 'Daily 쨈 raw'!$A:$A, 0), MATCH($A19, 'Daily 쨈 raw'!$1:$1, 0)), ""), IF(val=0, "", val))</f>
        <v>0.1524064171</v>
      </c>
      <c r="CQ19" s="53" t="str">
        <f t="array" ref="CQ19">LET(val, IFERROR(INDEX('Daily 쨈 raw'!$A:$Z, MATCH(CQ$3, 'Daily 쨈 raw'!$A:$A, 0), MATCH($A19, 'Daily 쨈 raw'!$1:$1, 0)), ""), IF(val=0, "", val))</f>
        <v/>
      </c>
      <c r="CR19" s="53" t="str">
        <f t="array" ref="CR19">LET(val, IFERROR(INDEX('Daily 쨈 raw'!$A:$Z, MATCH(CR$3, 'Daily 쨈 raw'!$A:$A, 0), MATCH($A19, 'Daily 쨈 raw'!$1:$1, 0)), ""), IF(val=0, "", val))</f>
        <v/>
      </c>
      <c r="CS19" s="53" t="str">
        <f t="array" ref="CS19">LET(val, IFERROR(INDEX('Daily 쨈 raw'!$A:$Z, MATCH(CS$3, 'Daily 쨈 raw'!$A:$A, 0), MATCH($A19, 'Daily 쨈 raw'!$1:$1, 0)), ""), IF(val=0, "", val))</f>
        <v/>
      </c>
      <c r="CT19" s="53" t="str">
        <f t="array" ref="CT19">LET(val, IFERROR(INDEX('Daily 쨈 raw'!$A:$Z, MATCH(CT$3, 'Daily 쨈 raw'!$A:$A, 0), MATCH($A19, 'Daily 쨈 raw'!$1:$1, 0)), ""), IF(val=0, "", val))</f>
        <v/>
      </c>
      <c r="CU19" s="53" t="str">
        <f t="array" ref="CU19">LET(val, IFERROR(INDEX('Daily 쨈 raw'!$A:$Z, MATCH(CU$3, 'Daily 쨈 raw'!$A:$A, 0), MATCH($A19, 'Daily 쨈 raw'!$1:$1, 0)), ""), IF(val=0, "", val))</f>
        <v/>
      </c>
      <c r="CV19" s="53" t="str">
        <f t="array" ref="CV19">LET(val, IFERROR(INDEX('Daily 쨈 raw'!$A:$Z, MATCH(CV$3, 'Daily 쨈 raw'!$A:$A, 0), MATCH($A19, 'Daily 쨈 raw'!$1:$1, 0)), ""), IF(val=0, "", val))</f>
        <v/>
      </c>
      <c r="CW19" s="53" t="str">
        <f t="array" ref="CW19">LET(val, IFERROR(INDEX('Daily 쨈 raw'!$A:$Z, MATCH(CW$3, 'Daily 쨈 raw'!$A:$A, 0), MATCH($A19, 'Daily 쨈 raw'!$1:$1, 0)), ""), IF(val=0, "", val))</f>
        <v/>
      </c>
      <c r="CX19" s="53" t="str">
        <f t="array" ref="CX19">LET(val, IFERROR(INDEX('Daily 쨈 raw'!$A:$Z, MATCH(CX$3, 'Daily 쨈 raw'!$A:$A, 0), MATCH($A19, 'Daily 쨈 raw'!$1:$1, 0)), ""), IF(val=0, "", val))</f>
        <v/>
      </c>
      <c r="CY19" s="53" t="str">
        <f t="array" ref="CY19">LET(val, IFERROR(INDEX('Daily 쨈 raw'!$A:$Z, MATCH(CY$3, 'Daily 쨈 raw'!$A:$A, 0), MATCH($A19, 'Daily 쨈 raw'!$1:$1, 0)), ""), IF(val=0, "", val))</f>
        <v/>
      </c>
      <c r="CZ19" s="53" t="str">
        <f t="array" ref="CZ19">LET(val, IFERROR(INDEX('Daily 쨈 raw'!$A:$Z, MATCH(CZ$3, 'Daily 쨈 raw'!$A:$A, 0), MATCH($A19, 'Daily 쨈 raw'!$1:$1, 0)), ""), IF(val=0, "", val))</f>
        <v/>
      </c>
      <c r="DA19" s="53" t="str">
        <f t="array" ref="DA19">LET(val, IFERROR(INDEX('Daily 쨈 raw'!$A:$Z, MATCH(DA$3, 'Daily 쨈 raw'!$A:$A, 0), MATCH($A19, 'Daily 쨈 raw'!$1:$1, 0)), ""), IF(val=0, "", val))</f>
        <v/>
      </c>
      <c r="DB19" s="53" t="str">
        <f t="array" ref="DB19">LET(val, IFERROR(INDEX('Daily 쨈 raw'!$A:$Z, MATCH(DB$3, 'Daily 쨈 raw'!$A:$A, 0), MATCH($A19, 'Daily 쨈 raw'!$1:$1, 0)), ""), IF(val=0, "", val))</f>
        <v/>
      </c>
      <c r="DC19" s="53" t="str">
        <f t="array" ref="DC19">LET(val, IFERROR(INDEX('Daily 쨈 raw'!$A:$Z, MATCH(DC$3, 'Daily 쨈 raw'!$A:$A, 0), MATCH($A19, 'Daily 쨈 raw'!$1:$1, 0)), ""), IF(val=0, "", val))</f>
        <v/>
      </c>
      <c r="DD19" s="53" t="str">
        <f t="array" ref="DD19">LET(val, IFERROR(INDEX('Daily 쨈 raw'!$A:$Z, MATCH(DD$3, 'Daily 쨈 raw'!$A:$A, 0), MATCH($A19, 'Daily 쨈 raw'!$1:$1, 0)), ""), IF(val=0, "", val))</f>
        <v/>
      </c>
      <c r="DE19" s="53" t="str">
        <f t="array" ref="DE19">LET(val, IFERROR(INDEX('Daily 쨈 raw'!$A:$Z, MATCH(DE$3, 'Daily 쨈 raw'!$A:$A, 0), MATCH($A19, 'Daily 쨈 raw'!$1:$1, 0)), ""), IF(val=0, "", val))</f>
        <v/>
      </c>
      <c r="DF19" s="53" t="str">
        <f t="array" ref="DF19">LET(val, IFERROR(INDEX('Daily 쨈 raw'!$A:$Z, MATCH(DF$3, 'Daily 쨈 raw'!$A:$A, 0), MATCH($A19, 'Daily 쨈 raw'!$1:$1, 0)), ""), IF(val=0, "", val))</f>
        <v/>
      </c>
      <c r="DG19" s="53" t="str">
        <f t="array" ref="DG19">LET(val, IFERROR(INDEX('Daily 쨈 raw'!$A:$Z, MATCH(DG$3, 'Daily 쨈 raw'!$A:$A, 0), MATCH($A19, 'Daily 쨈 raw'!$1:$1, 0)), ""), IF(val=0, "", val))</f>
        <v/>
      </c>
      <c r="DH19" s="53" t="str">
        <f t="array" ref="DH19">LET(val, IFERROR(INDEX('Daily 쨈 raw'!$A:$Z, MATCH(DH$3, 'Daily 쨈 raw'!$A:$A, 0), MATCH($A19, 'Daily 쨈 raw'!$1:$1, 0)), ""), IF(val=0, "", val))</f>
        <v/>
      </c>
      <c r="DI19" s="53" t="str">
        <f t="array" ref="DI19">LET(val, IFERROR(INDEX('Daily 쨈 raw'!$A:$Z, MATCH(DI$3, 'Daily 쨈 raw'!$A:$A, 0), MATCH($A19, 'Daily 쨈 raw'!$1:$1, 0)), ""), IF(val=0, "", val))</f>
        <v/>
      </c>
      <c r="DJ19" s="53" t="str">
        <f t="array" ref="DJ19">LET(val, IFERROR(INDEX('Daily 쨈 raw'!$A:$Z, MATCH(DJ$3, 'Daily 쨈 raw'!$A:$A, 0), MATCH($A19, 'Daily 쨈 raw'!$1:$1, 0)), ""), IF(val=0, "", val))</f>
        <v/>
      </c>
      <c r="DK19" s="53" t="str">
        <f t="array" ref="DK19">LET(val, IFERROR(INDEX('Daily 쨈 raw'!$A:$Z, MATCH(DK$3, 'Daily 쨈 raw'!$A:$A, 0), MATCH($A19, 'Daily 쨈 raw'!$1:$1, 0)), ""), IF(val=0, "", val))</f>
        <v/>
      </c>
      <c r="DL19" s="53" t="str">
        <f t="array" ref="DL19">LET(val, IFERROR(INDEX('Daily 쨈 raw'!$A:$Z, MATCH(DL$3, 'Daily 쨈 raw'!$A:$A, 0), MATCH($A19, 'Daily 쨈 raw'!$1:$1, 0)), ""), IF(val=0, "", val))</f>
        <v/>
      </c>
      <c r="DM19" s="53" t="str">
        <f t="array" ref="DM19">LET(val, IFERROR(INDEX('Daily 쨈 raw'!$A:$Z, MATCH(DM$3, 'Daily 쨈 raw'!$A:$A, 0), MATCH($A19, 'Daily 쨈 raw'!$1:$1, 0)), ""), IF(val=0, "", val))</f>
        <v/>
      </c>
      <c r="DN19" s="53" t="str">
        <f t="array" ref="DN19">LET(val, IFERROR(INDEX('Daily 쨈 raw'!$A:$Z, MATCH(DN$3, 'Daily 쨈 raw'!$A:$A, 0), MATCH($A19, 'Daily 쨈 raw'!$1:$1, 0)), ""), IF(val=0, "", val))</f>
        <v/>
      </c>
      <c r="DO19" s="53" t="str">
        <f t="array" ref="DO19">LET(val, IFERROR(INDEX('Daily 쨈 raw'!$A:$Z, MATCH(DO$3, 'Daily 쨈 raw'!$A:$A, 0), MATCH($A19, 'Daily 쨈 raw'!$1:$1, 0)), ""), IF(val=0, "", val))</f>
        <v/>
      </c>
      <c r="DP19" s="53" t="str">
        <f t="array" ref="DP19">LET(val, IFERROR(INDEX('Daily 쨈 raw'!$A:$Z, MATCH(DP$3, 'Daily 쨈 raw'!$A:$A, 0), MATCH($A19, 'Daily 쨈 raw'!$1:$1, 0)), ""), IF(val=0, "", val))</f>
        <v/>
      </c>
      <c r="DQ19" s="53" t="str">
        <f t="array" ref="DQ19">LET(val, IFERROR(INDEX('Daily 쨈 raw'!$A:$Z, MATCH(DQ$3, 'Daily 쨈 raw'!$A:$A, 0), MATCH($A19, 'Daily 쨈 raw'!$1:$1, 0)), ""), IF(val=0, "", val))</f>
        <v/>
      </c>
      <c r="DR19" s="53" t="str">
        <f t="array" ref="DR19">LET(val, IFERROR(INDEX('Daily 쨈 raw'!$A:$Z, MATCH(DR$3, 'Daily 쨈 raw'!$A:$A, 0), MATCH($A19, 'Daily 쨈 raw'!$1:$1, 0)), ""), IF(val=0, "", val))</f>
        <v/>
      </c>
      <c r="DS19" s="53" t="str">
        <f t="array" ref="DS19">LET(val, IFERROR(INDEX('Daily 쨈 raw'!$A:$Z, MATCH(DS$3, 'Daily 쨈 raw'!$A:$A, 0), MATCH($A19, 'Daily 쨈 raw'!$1:$1, 0)), ""), IF(val=0, "", val))</f>
        <v/>
      </c>
      <c r="DT19" s="53" t="str">
        <f t="array" ref="DT19">LET(val, IFERROR(INDEX('Daily 쨈 raw'!$A:$Z, MATCH(DT$3, 'Daily 쨈 raw'!$A:$A, 0), MATCH($A19, 'Daily 쨈 raw'!$1:$1, 0)), ""), IF(val=0, "", val))</f>
        <v/>
      </c>
      <c r="DU19" s="53" t="str">
        <f t="array" ref="DU19">LET(val, IFERROR(INDEX('Daily 쨈 raw'!$A:$Z, MATCH(DU$3, 'Daily 쨈 raw'!$A:$A, 0), MATCH($A19, 'Daily 쨈 raw'!$1:$1, 0)), ""), IF(val=0, "", val))</f>
        <v/>
      </c>
      <c r="DV19" s="53" t="str">
        <f t="array" ref="DV19">LET(val, IFERROR(INDEX('Daily 쨈 raw'!$A:$Z, MATCH(DV$3, 'Daily 쨈 raw'!$A:$A, 0), MATCH($A19, 'Daily 쨈 raw'!$1:$1, 0)), ""), IF(val=0, "", val))</f>
        <v/>
      </c>
      <c r="DW19" s="53" t="str">
        <f t="array" ref="DW19">LET(val, IFERROR(INDEX('Daily 쨈 raw'!$A:$Z, MATCH(DW$3, 'Daily 쨈 raw'!$A:$A, 0), MATCH($A19, 'Daily 쨈 raw'!$1:$1, 0)), ""), IF(val=0, "", val))</f>
        <v/>
      </c>
      <c r="DX19" s="53" t="str">
        <f t="array" ref="DX19">LET(val, IFERROR(INDEX('Daily 쨈 raw'!$A:$Z, MATCH(DX$3, 'Daily 쨈 raw'!$A:$A, 0), MATCH($A19, 'Daily 쨈 raw'!$1:$1, 0)), ""), IF(val=0, "", val))</f>
        <v/>
      </c>
      <c r="DY19" s="53" t="str">
        <f t="array" ref="DY19">LET(val, IFERROR(INDEX('Daily 쨈 raw'!$A:$Z, MATCH(DY$3, 'Daily 쨈 raw'!$A:$A, 0), MATCH($A19, 'Daily 쨈 raw'!$1:$1, 0)), ""), IF(val=0, "", val))</f>
        <v/>
      </c>
      <c r="DZ19" s="53" t="str">
        <f t="array" ref="DZ19">LET(val, IFERROR(INDEX('Daily 쨈 raw'!$A:$Z, MATCH(DZ$3, 'Daily 쨈 raw'!$A:$A, 0), MATCH($A19, 'Daily 쨈 raw'!$1:$1, 0)), ""), IF(val=0, "", val))</f>
        <v/>
      </c>
    </row>
    <row r="20" ht="22.5" customHeight="1">
      <c r="A20" s="23" t="s">
        <v>25</v>
      </c>
      <c r="B20" s="45" t="s">
        <v>25</v>
      </c>
      <c r="C20" s="54">
        <f t="array" ref="C20">LET(val, IFERROR(INDEX('Daily 쨈 raw'!$A:$Z, MATCH(C$3, 'Daily 쨈 raw'!$A:$A, 0), MATCH($A20, 'Daily 쨈 raw'!$1:$1, 0)), ""), IF(val=0, "", val))</f>
        <v>5637.5</v>
      </c>
      <c r="D20" s="54">
        <f t="array" ref="D20">LET(val, IFERROR(INDEX('Daily 쨈 raw'!$A:$Z, MATCH(D$3, 'Daily 쨈 raw'!$A:$A, 0), MATCH($A20, 'Daily 쨈 raw'!$1:$1, 0)), ""), IF(val=0, "", val))</f>
        <v>6452.439024</v>
      </c>
      <c r="E20" s="54">
        <f t="array" ref="E20">LET(val, IFERROR(INDEX('Daily 쨈 raw'!$A:$Z, MATCH(E$3, 'Daily 쨈 raw'!$A:$A, 0), MATCH($A20, 'Daily 쨈 raw'!$1:$1, 0)), ""), IF(val=0, "", val))</f>
        <v>6172.222222</v>
      </c>
      <c r="F20" s="54">
        <f t="array" ref="F20">LET(val, IFERROR(INDEX('Daily 쨈 raw'!$A:$Z, MATCH(F$3, 'Daily 쨈 raw'!$A:$A, 0), MATCH($A20, 'Daily 쨈 raw'!$1:$1, 0)), ""), IF(val=0, "", val))</f>
        <v>5683.333333</v>
      </c>
      <c r="G20" s="54">
        <f t="array" ref="G20">LET(val, IFERROR(INDEX('Daily 쨈 raw'!$A:$Z, MATCH(G$3, 'Daily 쨈 raw'!$A:$A, 0), MATCH($A20, 'Daily 쨈 raw'!$1:$1, 0)), ""), IF(val=0, "", val))</f>
        <v>6313.043478</v>
      </c>
      <c r="H20" s="54">
        <f t="array" ref="H20">LET(val, IFERROR(INDEX('Daily 쨈 raw'!$A:$Z, MATCH(H$3, 'Daily 쨈 raw'!$A:$A, 0), MATCH($A20, 'Daily 쨈 raw'!$1:$1, 0)), ""), IF(val=0, "", val))</f>
        <v>6037.5</v>
      </c>
      <c r="I20" s="54">
        <f t="array" ref="I20">LET(val, IFERROR(INDEX('Daily 쨈 raw'!$A:$Z, MATCH(I$3, 'Daily 쨈 raw'!$A:$A, 0), MATCH($A20, 'Daily 쨈 raw'!$1:$1, 0)), ""), IF(val=0, "", val))</f>
        <v>6279.166667</v>
      </c>
      <c r="J20" s="54">
        <f t="array" ref="J20">LET(val, IFERROR(INDEX('Daily 쨈 raw'!$A:$Z, MATCH(J$3, 'Daily 쨈 raw'!$A:$A, 0), MATCH($A20, 'Daily 쨈 raw'!$1:$1, 0)), ""), IF(val=0, "", val))</f>
        <v>6464.912281</v>
      </c>
      <c r="K20" s="54">
        <f t="array" ref="K20">LET(val, IFERROR(INDEX('Daily 쨈 raw'!$A:$Z, MATCH(K$3, 'Daily 쨈 raw'!$A:$A, 0), MATCH($A20, 'Daily 쨈 raw'!$1:$1, 0)), ""), IF(val=0, "", val))</f>
        <v>5964.948454</v>
      </c>
      <c r="L20" s="54">
        <f t="array" ref="L20">LET(val, IFERROR(INDEX('Daily 쨈 raw'!$A:$Z, MATCH(L$3, 'Daily 쨈 raw'!$A:$A, 0), MATCH($A20, 'Daily 쨈 raw'!$1:$1, 0)), ""), IF(val=0, "", val))</f>
        <v>6956.190476</v>
      </c>
      <c r="M20" s="54">
        <f t="array" ref="M20">LET(val, IFERROR(INDEX('Daily 쨈 raw'!$A:$Z, MATCH(M$3, 'Daily 쨈 raw'!$A:$A, 0), MATCH($A20, 'Daily 쨈 raw'!$1:$1, 0)), ""), IF(val=0, "", val))</f>
        <v>6365.333333</v>
      </c>
      <c r="N20" s="54">
        <f t="array" ref="N20">LET(val, IFERROR(INDEX('Daily 쨈 raw'!$A:$Z, MATCH(N$3, 'Daily 쨈 raw'!$A:$A, 0), MATCH($A20, 'Daily 쨈 raw'!$1:$1, 0)), ""), IF(val=0, "", val))</f>
        <v>6233.333333</v>
      </c>
      <c r="O20" s="54">
        <f t="array" ref="O20">LET(val, IFERROR(INDEX('Daily 쨈 raw'!$A:$Z, MATCH(O$3, 'Daily 쨈 raw'!$A:$A, 0), MATCH($A20, 'Daily 쨈 raw'!$1:$1, 0)), ""), IF(val=0, "", val))</f>
        <v>6433.72093</v>
      </c>
      <c r="P20" s="54">
        <f t="array" ref="P20">LET(val, IFERROR(INDEX('Daily 쨈 raw'!$A:$Z, MATCH(P$3, 'Daily 쨈 raw'!$A:$A, 0), MATCH($A20, 'Daily 쨈 raw'!$1:$1, 0)), ""), IF(val=0, "", val))</f>
        <v>6444.705882</v>
      </c>
      <c r="Q20" s="54">
        <f t="array" ref="Q20">LET(val, IFERROR(INDEX('Daily 쨈 raw'!$A:$Z, MATCH(Q$3, 'Daily 쨈 raw'!$A:$A, 0), MATCH($A20, 'Daily 쨈 raw'!$1:$1, 0)), ""), IF(val=0, "", val))</f>
        <v>5811.940299</v>
      </c>
      <c r="R20" s="54">
        <f t="array" ref="R20">LET(val, IFERROR(INDEX('Daily 쨈 raw'!$A:$Z, MATCH(R$3, 'Daily 쨈 raw'!$A:$A, 0), MATCH($A20, 'Daily 쨈 raw'!$1:$1, 0)), ""), IF(val=0, "", val))</f>
        <v>6156.716418</v>
      </c>
      <c r="S20" s="54">
        <f t="array" ref="S20">LET(val, IFERROR(INDEX('Daily 쨈 raw'!$A:$Z, MATCH(S$3, 'Daily 쨈 raw'!$A:$A, 0), MATCH($A20, 'Daily 쨈 raw'!$1:$1, 0)), ""), IF(val=0, "", val))</f>
        <v>5885.964912</v>
      </c>
      <c r="T20" s="54">
        <f t="array" ref="T20">LET(val, IFERROR(INDEX('Daily 쨈 raw'!$A:$Z, MATCH(T$3, 'Daily 쨈 raw'!$A:$A, 0), MATCH($A20, 'Daily 쨈 raw'!$1:$1, 0)), ""), IF(val=0, "", val))</f>
        <v>5421.428571</v>
      </c>
      <c r="U20" s="54">
        <f t="array" ref="U20">LET(val, IFERROR(INDEX('Daily 쨈 raw'!$A:$Z, MATCH(U$3, 'Daily 쨈 raw'!$A:$A, 0), MATCH($A20, 'Daily 쨈 raw'!$1:$1, 0)), ""), IF(val=0, "", val))</f>
        <v>5520</v>
      </c>
      <c r="V20" s="54">
        <f t="array" ref="V20">LET(val, IFERROR(INDEX('Daily 쨈 raw'!$A:$Z, MATCH(V$3, 'Daily 쨈 raw'!$A:$A, 0), MATCH($A20, 'Daily 쨈 raw'!$1:$1, 0)), ""), IF(val=0, "", val))</f>
        <v>5379.6875</v>
      </c>
      <c r="W20" s="54">
        <f t="array" ref="W20">LET(val, IFERROR(INDEX('Daily 쨈 raw'!$A:$Z, MATCH(W$3, 'Daily 쨈 raw'!$A:$A, 0), MATCH($A20, 'Daily 쨈 raw'!$1:$1, 0)), ""), IF(val=0, "", val))</f>
        <v>5973.611111</v>
      </c>
      <c r="X20" s="54">
        <f t="array" ref="X20">LET(val, IFERROR(INDEX('Daily 쨈 raw'!$A:$Z, MATCH(X$3, 'Daily 쨈 raw'!$A:$A, 0), MATCH($A20, 'Daily 쨈 raw'!$1:$1, 0)), ""), IF(val=0, "", val))</f>
        <v>5500</v>
      </c>
      <c r="Y20" s="54">
        <f t="array" ref="Y20">LET(val, IFERROR(INDEX('Daily 쨈 raw'!$A:$Z, MATCH(Y$3, 'Daily 쨈 raw'!$A:$A, 0), MATCH($A20, 'Daily 쨈 raw'!$1:$1, 0)), ""), IF(val=0, "", val))</f>
        <v>5960</v>
      </c>
      <c r="Z20" s="54">
        <f t="array" ref="Z20">LET(val, IFERROR(INDEX('Daily 쨈 raw'!$A:$Z, MATCH(Z$3, 'Daily 쨈 raw'!$A:$A, 0), MATCH($A20, 'Daily 쨈 raw'!$1:$1, 0)), ""), IF(val=0, "", val))</f>
        <v>5775</v>
      </c>
      <c r="AA20" s="54">
        <f t="array" ref="AA20">LET(val, IFERROR(INDEX('Daily 쨈 raw'!$A:$Z, MATCH(AA$3, 'Daily 쨈 raw'!$A:$A, 0), MATCH($A20, 'Daily 쨈 raw'!$1:$1, 0)), ""), IF(val=0, "", val))</f>
        <v>6275</v>
      </c>
      <c r="AB20" s="54">
        <f t="array" ref="AB20">LET(val, IFERROR(INDEX('Daily 쨈 raw'!$A:$Z, MATCH(AB$3, 'Daily 쨈 raw'!$A:$A, 0), MATCH($A20, 'Daily 쨈 raw'!$1:$1, 0)), ""), IF(val=0, "", val))</f>
        <v>5951.785714</v>
      </c>
      <c r="AC20" s="54">
        <f t="array" ref="AC20">LET(val, IFERROR(INDEX('Daily 쨈 raw'!$A:$Z, MATCH(AC$3, 'Daily 쨈 raw'!$A:$A, 0), MATCH($A20, 'Daily 쨈 raw'!$1:$1, 0)), ""), IF(val=0, "", val))</f>
        <v>6233.333333</v>
      </c>
      <c r="AD20" s="54">
        <f t="array" ref="AD20">LET(val, IFERROR(INDEX('Daily 쨈 raw'!$A:$Z, MATCH(AD$3, 'Daily 쨈 raw'!$A:$A, 0), MATCH($A20, 'Daily 쨈 raw'!$1:$1, 0)), ""), IF(val=0, "", val))</f>
        <v>6722.222222</v>
      </c>
      <c r="AE20" s="54">
        <f t="array" ref="AE20">LET(val, IFERROR(INDEX('Daily 쨈 raw'!$A:$Z, MATCH(AE$3, 'Daily 쨈 raw'!$A:$A, 0), MATCH($A20, 'Daily 쨈 raw'!$1:$1, 0)), ""), IF(val=0, "", val))</f>
        <v>6633.846154</v>
      </c>
      <c r="AF20" s="54">
        <f t="array" ref="AF20">LET(val, IFERROR(INDEX('Daily 쨈 raw'!$A:$Z, MATCH(AF$3, 'Daily 쨈 raw'!$A:$A, 0), MATCH($A20, 'Daily 쨈 raw'!$1:$1, 0)), ""), IF(val=0, "", val))</f>
        <v>7040</v>
      </c>
      <c r="AG20" s="54">
        <f t="array" ref="AG20">LET(val, IFERROR(INDEX('Daily 쨈 raw'!$A:$Z, MATCH(AG$3, 'Daily 쨈 raw'!$A:$A, 0), MATCH($A20, 'Daily 쨈 raw'!$1:$1, 0)), ""), IF(val=0, "", val))</f>
        <v>6887.850467</v>
      </c>
      <c r="AH20" s="54">
        <f t="array" ref="AH20">LET(val, IFERROR(INDEX('Daily 쨈 raw'!$A:$Z, MATCH(AH$3, 'Daily 쨈 raw'!$A:$A, 0), MATCH($A20, 'Daily 쨈 raw'!$1:$1, 0)), ""), IF(val=0, "", val))</f>
        <v>6713.492063</v>
      </c>
      <c r="AI20" s="54">
        <f t="array" ref="AI20">LET(val, IFERROR(INDEX('Daily 쨈 raw'!$A:$Z, MATCH(AI$3, 'Daily 쨈 raw'!$A:$A, 0), MATCH($A20, 'Daily 쨈 raw'!$1:$1, 0)), ""), IF(val=0, "", val))</f>
        <v>7535</v>
      </c>
      <c r="AJ20" s="54">
        <f t="array" ref="AJ20">LET(val, IFERROR(INDEX('Daily 쨈 raw'!$A:$Z, MATCH(AJ$3, 'Daily 쨈 raw'!$A:$A, 0), MATCH($A20, 'Daily 쨈 raw'!$1:$1, 0)), ""), IF(val=0, "", val))</f>
        <v>7360.638298</v>
      </c>
      <c r="AK20" s="54">
        <f t="array" ref="AK20">LET(val, IFERROR(INDEX('Daily 쨈 raw'!$A:$Z, MATCH(AK$3, 'Daily 쨈 raw'!$A:$A, 0), MATCH($A20, 'Daily 쨈 raw'!$1:$1, 0)), ""), IF(val=0, "", val))</f>
        <v>7590</v>
      </c>
      <c r="AL20" s="54">
        <f t="array" ref="AL20">LET(val, IFERROR(INDEX('Daily 쨈 raw'!$A:$Z, MATCH(AL$3, 'Daily 쨈 raw'!$A:$A, 0), MATCH($A20, 'Daily 쨈 raw'!$1:$1, 0)), ""), IF(val=0, "", val))</f>
        <v>7610.465116</v>
      </c>
      <c r="AM20" s="54">
        <f t="array" ref="AM20">LET(val, IFERROR(INDEX('Daily 쨈 raw'!$A:$Z, MATCH(AM$3, 'Daily 쨈 raw'!$A:$A, 0), MATCH($A20, 'Daily 쨈 raw'!$1:$1, 0)), ""), IF(val=0, "", val))</f>
        <v>7077.631579</v>
      </c>
      <c r="AN20" s="54">
        <f t="array" ref="AN20">LET(val, IFERROR(INDEX('Daily 쨈 raw'!$A:$Z, MATCH(AN$3, 'Daily 쨈 raw'!$A:$A, 0), MATCH($A20, 'Daily 쨈 raw'!$1:$1, 0)), ""), IF(val=0, "", val))</f>
        <v>7124.299065</v>
      </c>
      <c r="AO20" s="54">
        <f t="array" ref="AO20">LET(val, IFERROR(INDEX('Daily 쨈 raw'!$A:$Z, MATCH(AO$3, 'Daily 쨈 raw'!$A:$A, 0), MATCH($A20, 'Daily 쨈 raw'!$1:$1, 0)), ""), IF(val=0, "", val))</f>
        <v>7042.767296</v>
      </c>
      <c r="AP20" s="54">
        <f t="array" ref="AP20">LET(val, IFERROR(INDEX('Daily 쨈 raw'!$A:$Z, MATCH(AP$3, 'Daily 쨈 raw'!$A:$A, 0), MATCH($A20, 'Daily 쨈 raw'!$1:$1, 0)), ""), IF(val=0, "", val))</f>
        <v>7063.157895</v>
      </c>
      <c r="AQ20" s="54">
        <f t="array" ref="AQ20">LET(val, IFERROR(INDEX('Daily 쨈 raw'!$A:$Z, MATCH(AQ$3, 'Daily 쨈 raw'!$A:$A, 0), MATCH($A20, 'Daily 쨈 raw'!$1:$1, 0)), ""), IF(val=0, "", val))</f>
        <v>6891.566265</v>
      </c>
      <c r="AR20" s="54">
        <f t="array" ref="AR20">LET(val, IFERROR(INDEX('Daily 쨈 raw'!$A:$Z, MATCH(AR$3, 'Daily 쨈 raw'!$A:$A, 0), MATCH($A20, 'Daily 쨈 raw'!$1:$1, 0)), ""), IF(val=0, "", val))</f>
        <v>6633.846154</v>
      </c>
      <c r="AS20" s="54">
        <f t="array" ref="AS20">LET(val, IFERROR(INDEX('Daily 쨈 raw'!$A:$Z, MATCH(AS$3, 'Daily 쨈 raw'!$A:$A, 0), MATCH($A20, 'Daily 쨈 raw'!$1:$1, 0)), ""), IF(val=0, "", val))</f>
        <v>7723.404255</v>
      </c>
      <c r="AT20" s="54">
        <f t="array" ref="AT20">LET(val, IFERROR(INDEX('Daily 쨈 raw'!$A:$Z, MATCH(AT$3, 'Daily 쨈 raw'!$A:$A, 0), MATCH($A20, 'Daily 쨈 raw'!$1:$1, 0)), ""), IF(val=0, "", val))</f>
        <v>6867.142857</v>
      </c>
      <c r="AU20" s="54">
        <f t="array" ref="AU20">LET(val, IFERROR(INDEX('Daily 쨈 raw'!$A:$Z, MATCH(AU$3, 'Daily 쨈 raw'!$A:$A, 0), MATCH($A20, 'Daily 쨈 raw'!$1:$1, 0)), ""), IF(val=0, "", val))</f>
        <v>7274.193548</v>
      </c>
      <c r="AV20" s="54">
        <f t="array" ref="AV20">LET(val, IFERROR(INDEX('Daily 쨈 raw'!$A:$Z, MATCH(AV$3, 'Daily 쨈 raw'!$A:$A, 0), MATCH($A20, 'Daily 쨈 raw'!$1:$1, 0)), ""), IF(val=0, "", val))</f>
        <v>5848.333333</v>
      </c>
      <c r="AW20" s="54">
        <f t="array" ref="AW20">LET(val, IFERROR(INDEX('Daily 쨈 raw'!$A:$Z, MATCH(AW$3, 'Daily 쨈 raw'!$A:$A, 0), MATCH($A20, 'Daily 쨈 raw'!$1:$1, 0)), ""), IF(val=0, "", val))</f>
        <v>5976.666667</v>
      </c>
      <c r="AX20" s="54">
        <f t="array" ref="AX20">LET(val, IFERROR(INDEX('Daily 쨈 raw'!$A:$Z, MATCH(AX$3, 'Daily 쨈 raw'!$A:$A, 0), MATCH($A20, 'Daily 쨈 raw'!$1:$1, 0)), ""), IF(val=0, "", val))</f>
        <v>8120</v>
      </c>
      <c r="AY20" s="54">
        <f t="array" ref="AY20">LET(val, IFERROR(INDEX('Daily 쨈 raw'!$A:$Z, MATCH(AY$3, 'Daily 쨈 raw'!$A:$A, 0), MATCH($A20, 'Daily 쨈 raw'!$1:$1, 0)), ""), IF(val=0, "", val))</f>
        <v>7311.764706</v>
      </c>
      <c r="AZ20" s="54">
        <f t="array" ref="AZ20">LET(val, IFERROR(INDEX('Daily 쨈 raw'!$A:$Z, MATCH(AZ$3, 'Daily 쨈 raw'!$A:$A, 0), MATCH($A20, 'Daily 쨈 raw'!$1:$1, 0)), ""), IF(val=0, "", val))</f>
        <v>6470.588235</v>
      </c>
      <c r="BA20" s="54">
        <f t="array" ref="BA20">LET(val, IFERROR(INDEX('Daily 쨈 raw'!$A:$Z, MATCH(BA$3, 'Daily 쨈 raw'!$A:$A, 0), MATCH($A20, 'Daily 쨈 raw'!$1:$1, 0)), ""), IF(val=0, "", val))</f>
        <v>7414.814815</v>
      </c>
      <c r="BB20" s="54">
        <f t="array" ref="BB20">LET(val, IFERROR(INDEX('Daily 쨈 raw'!$A:$Z, MATCH(BB$3, 'Daily 쨈 raw'!$A:$A, 0), MATCH($A20, 'Daily 쨈 raw'!$1:$1, 0)), ""), IF(val=0, "", val))</f>
        <v>7469.767442</v>
      </c>
      <c r="BC20" s="54">
        <f t="array" ref="BC20">LET(val, IFERROR(INDEX('Daily 쨈 raw'!$A:$Z, MATCH(BC$3, 'Daily 쨈 raw'!$A:$A, 0), MATCH($A20, 'Daily 쨈 raw'!$1:$1, 0)), ""), IF(val=0, "", val))</f>
        <v>7869.230769</v>
      </c>
      <c r="BD20" s="54">
        <f t="array" ref="BD20">LET(val, IFERROR(INDEX('Daily 쨈 raw'!$A:$Z, MATCH(BD$3, 'Daily 쨈 raw'!$A:$A, 0), MATCH($A20, 'Daily 쨈 raw'!$1:$1, 0)), ""), IF(val=0, "", val))</f>
        <v>7113.333333</v>
      </c>
      <c r="BE20" s="54">
        <f t="array" ref="BE20">LET(val, IFERROR(INDEX('Daily 쨈 raw'!$A:$Z, MATCH(BE$3, 'Daily 쨈 raw'!$A:$A, 0), MATCH($A20, 'Daily 쨈 raw'!$1:$1, 0)), ""), IF(val=0, "", val))</f>
        <v>7011.111111</v>
      </c>
      <c r="BF20" s="54">
        <f t="array" ref="BF20">LET(val, IFERROR(INDEX('Daily 쨈 raw'!$A:$Z, MATCH(BF$3, 'Daily 쨈 raw'!$A:$A, 0), MATCH($A20, 'Daily 쨈 raw'!$1:$1, 0)), ""), IF(val=0, "", val))</f>
        <v>6347.126437</v>
      </c>
      <c r="BG20" s="54">
        <f t="array" ref="BG20">LET(val, IFERROR(INDEX('Daily 쨈 raw'!$A:$Z, MATCH(BG$3, 'Daily 쨈 raw'!$A:$A, 0), MATCH($A20, 'Daily 쨈 raw'!$1:$1, 0)), ""), IF(val=0, "", val))</f>
        <v>6220</v>
      </c>
      <c r="BH20" s="54">
        <f t="array" ref="BH20">LET(val, IFERROR(INDEX('Daily 쨈 raw'!$A:$Z, MATCH(BH$3, 'Daily 쨈 raw'!$A:$A, 0), MATCH($A20, 'Daily 쨈 raw'!$1:$1, 0)), ""), IF(val=0, "", val))</f>
        <v>6320.895522</v>
      </c>
      <c r="BI20" s="54">
        <f t="array" ref="BI20">LET(val, IFERROR(INDEX('Daily 쨈 raw'!$A:$Z, MATCH(BI$3, 'Daily 쨈 raw'!$A:$A, 0), MATCH($A20, 'Daily 쨈 raw'!$1:$1, 0)), ""), IF(val=0, "", val))</f>
        <v>7784.615385</v>
      </c>
      <c r="BJ20" s="54">
        <f t="array" ref="BJ20">LET(val, IFERROR(INDEX('Daily 쨈 raw'!$A:$Z, MATCH(BJ$3, 'Daily 쨈 raw'!$A:$A, 0), MATCH($A20, 'Daily 쨈 raw'!$1:$1, 0)), ""), IF(val=0, "", val))</f>
        <v>6488.607595</v>
      </c>
      <c r="BK20" s="54">
        <f t="array" ref="BK20">LET(val, IFERROR(INDEX('Daily 쨈 raw'!$A:$Z, MATCH(BK$3, 'Daily 쨈 raw'!$A:$A, 0), MATCH($A20, 'Daily 쨈 raw'!$1:$1, 0)), ""), IF(val=0, "", val))</f>
        <v>6845.882353</v>
      </c>
      <c r="BL20" s="54">
        <f t="array" ref="BL20">LET(val, IFERROR(INDEX('Daily 쨈 raw'!$A:$Z, MATCH(BL$3, 'Daily 쨈 raw'!$A:$A, 0), MATCH($A20, 'Daily 쨈 raw'!$1:$1, 0)), ""), IF(val=0, "", val))</f>
        <v>7531.764706</v>
      </c>
      <c r="BM20" s="54">
        <f t="array" ref="BM20">LET(val, IFERROR(INDEX('Daily 쨈 raw'!$A:$Z, MATCH(BM$3, 'Daily 쨈 raw'!$A:$A, 0), MATCH($A20, 'Daily 쨈 raw'!$1:$1, 0)), ""), IF(val=0, "", val))</f>
        <v>6534.52381</v>
      </c>
      <c r="BN20" s="54">
        <f t="array" ref="BN20">LET(val, IFERROR(INDEX('Daily 쨈 raw'!$A:$Z, MATCH(BN$3, 'Daily 쨈 raw'!$A:$A, 0), MATCH($A20, 'Daily 쨈 raw'!$1:$1, 0)), ""), IF(val=0, "", val))</f>
        <v>6680</v>
      </c>
      <c r="BO20" s="54">
        <f t="array" ref="BO20">LET(val, IFERROR(INDEX('Daily 쨈 raw'!$A:$Z, MATCH(BO$3, 'Daily 쨈 raw'!$A:$A, 0), MATCH($A20, 'Daily 쨈 raw'!$1:$1, 0)), ""), IF(val=0, "", val))</f>
        <v>7185.106383</v>
      </c>
      <c r="BP20" s="54">
        <f t="array" ref="BP20">LET(val, IFERROR(INDEX('Daily 쨈 raw'!$A:$Z, MATCH(BP$3, 'Daily 쨈 raw'!$A:$A, 0), MATCH($A20, 'Daily 쨈 raw'!$1:$1, 0)), ""), IF(val=0, "", val))</f>
        <v>7542.857143</v>
      </c>
      <c r="BQ20" s="54">
        <f t="array" ref="BQ20">LET(val, IFERROR(INDEX('Daily 쨈 raw'!$A:$Z, MATCH(BQ$3, 'Daily 쨈 raw'!$A:$A, 0), MATCH($A20, 'Daily 쨈 raw'!$1:$1, 0)), ""), IF(val=0, "", val))</f>
        <v>8140</v>
      </c>
      <c r="BR20" s="54">
        <f t="array" ref="BR20">LET(val, IFERROR(INDEX('Daily 쨈 raw'!$A:$Z, MATCH(BR$3, 'Daily 쨈 raw'!$A:$A, 0), MATCH($A20, 'Daily 쨈 raw'!$1:$1, 0)), ""), IF(val=0, "", val))</f>
        <v>9339.02439</v>
      </c>
      <c r="BS20" s="54">
        <f t="array" ref="BS20">LET(val, IFERROR(INDEX('Daily 쨈 raw'!$A:$Z, MATCH(BS$3, 'Daily 쨈 raw'!$A:$A, 0), MATCH($A20, 'Daily 쨈 raw'!$1:$1, 0)), ""), IF(val=0, "", val))</f>
        <v>9720.3125</v>
      </c>
      <c r="BT20" s="54">
        <f t="array" ref="BT20">LET(val, IFERROR(INDEX('Daily 쨈 raw'!$A:$Z, MATCH(BT$3, 'Daily 쨈 raw'!$A:$A, 0), MATCH($A20, 'Daily 쨈 raw'!$1:$1, 0)), ""), IF(val=0, "", val))</f>
        <v>10106.38298</v>
      </c>
      <c r="BU20" s="54">
        <f t="array" ref="BU20">LET(val, IFERROR(INDEX('Daily 쨈 raw'!$A:$Z, MATCH(BU$3, 'Daily 쨈 raw'!$A:$A, 0), MATCH($A20, 'Daily 쨈 raw'!$1:$1, 0)), ""), IF(val=0, "", val))</f>
        <v>8427.118644</v>
      </c>
      <c r="BV20" s="54">
        <f t="array" ref="BV20">LET(val, IFERROR(INDEX('Daily 쨈 raw'!$A:$Z, MATCH(BV$3, 'Daily 쨈 raw'!$A:$A, 0), MATCH($A20, 'Daily 쨈 raw'!$1:$1, 0)), ""), IF(val=0, "", val))</f>
        <v>11868.42105</v>
      </c>
      <c r="BW20" s="54">
        <f t="array" ref="BW20">LET(val, IFERROR(INDEX('Daily 쨈 raw'!$A:$Z, MATCH(BW$3, 'Daily 쨈 raw'!$A:$A, 0), MATCH($A20, 'Daily 쨈 raw'!$1:$1, 0)), ""), IF(val=0, "", val))</f>
        <v>10802.17391</v>
      </c>
      <c r="BX20" s="54">
        <f t="array" ref="BX20">LET(val, IFERROR(INDEX('Daily 쨈 raw'!$A:$Z, MATCH(BX$3, 'Daily 쨈 raw'!$A:$A, 0), MATCH($A20, 'Daily 쨈 raw'!$1:$1, 0)), ""), IF(val=0, "", val))</f>
        <v>14016</v>
      </c>
      <c r="BY20" s="54">
        <f t="array" ref="BY20">LET(val, IFERROR(INDEX('Daily 쨈 raw'!$A:$Z, MATCH(BY$3, 'Daily 쨈 raw'!$A:$A, 0), MATCH($A20, 'Daily 쨈 raw'!$1:$1, 0)), ""), IF(val=0, "", val))</f>
        <v>11876.36364</v>
      </c>
      <c r="BZ20" s="54">
        <f t="array" ref="BZ20">LET(val, IFERROR(INDEX('Daily 쨈 raw'!$A:$Z, MATCH(BZ$3, 'Daily 쨈 raw'!$A:$A, 0), MATCH($A20, 'Daily 쨈 raw'!$1:$1, 0)), ""), IF(val=0, "", val))</f>
        <v>11052.94118</v>
      </c>
      <c r="CA20" s="54">
        <f t="array" ref="CA20">LET(val, IFERROR(INDEX('Daily 쨈 raw'!$A:$Z, MATCH(CA$3, 'Daily 쨈 raw'!$A:$A, 0), MATCH($A20, 'Daily 쨈 raw'!$1:$1, 0)), ""), IF(val=0, "", val))</f>
        <v>12600</v>
      </c>
      <c r="CB20" s="54">
        <f t="array" ref="CB20">LET(val, IFERROR(INDEX('Daily 쨈 raw'!$A:$Z, MATCH(CB$3, 'Daily 쨈 raw'!$A:$A, 0), MATCH($A20, 'Daily 쨈 raw'!$1:$1, 0)), ""), IF(val=0, "", val))</f>
        <v>18115.38462</v>
      </c>
      <c r="CC20" s="54">
        <f t="array" ref="CC20">LET(val, IFERROR(INDEX('Daily 쨈 raw'!$A:$Z, MATCH(CC$3, 'Daily 쨈 raw'!$A:$A, 0), MATCH($A20, 'Daily 쨈 raw'!$1:$1, 0)), ""), IF(val=0, "", val))</f>
        <v>17163.41463</v>
      </c>
      <c r="CD20" s="54">
        <f t="array" ref="CD20">LET(val, IFERROR(INDEX('Daily 쨈 raw'!$A:$Z, MATCH(CD$3, 'Daily 쨈 raw'!$A:$A, 0), MATCH($A20, 'Daily 쨈 raw'!$1:$1, 0)), ""), IF(val=0, "", val))</f>
        <v>17479.24528</v>
      </c>
      <c r="CE20" s="54">
        <f t="array" ref="CE20">LET(val, IFERROR(INDEX('Daily 쨈 raw'!$A:$Z, MATCH(CE$3, 'Daily 쨈 raw'!$A:$A, 0), MATCH($A20, 'Daily 쨈 raw'!$1:$1, 0)), ""), IF(val=0, "", val))</f>
        <v>14227.45098</v>
      </c>
      <c r="CF20" s="54">
        <f t="array" ref="CF20">LET(val, IFERROR(INDEX('Daily 쨈 raw'!$A:$Z, MATCH(CF$3, 'Daily 쨈 raw'!$A:$A, 0), MATCH($A20, 'Daily 쨈 raw'!$1:$1, 0)), ""), IF(val=0, "", val))</f>
        <v>15352.94118</v>
      </c>
      <c r="CG20" s="54">
        <f t="array" ref="CG20">LET(val, IFERROR(INDEX('Daily 쨈 raw'!$A:$Z, MATCH(CG$3, 'Daily 쨈 raw'!$A:$A, 0), MATCH($A20, 'Daily 쨈 raw'!$1:$1, 0)), ""), IF(val=0, "", val))</f>
        <v>16992.85714</v>
      </c>
      <c r="CH20" s="54">
        <f t="array" ref="CH20">LET(val, IFERROR(INDEX('Daily 쨈 raw'!$A:$Z, MATCH(CH$3, 'Daily 쨈 raw'!$A:$A, 0), MATCH($A20, 'Daily 쨈 raw'!$1:$1, 0)), ""), IF(val=0, "", val))</f>
        <v>16295.65217</v>
      </c>
      <c r="CI20" s="54">
        <f t="array" ref="CI20">LET(val, IFERROR(INDEX('Daily 쨈 raw'!$A:$Z, MATCH(CI$3, 'Daily 쨈 raw'!$A:$A, 0), MATCH($A20, 'Daily 쨈 raw'!$1:$1, 0)), ""), IF(val=0, "", val))</f>
        <v>16211.76471</v>
      </c>
      <c r="CJ20" s="54">
        <f t="array" ref="CJ20">LET(val, IFERROR(INDEX('Daily 쨈 raw'!$A:$Z, MATCH(CJ$3, 'Daily 쨈 raw'!$A:$A, 0), MATCH($A20, 'Daily 쨈 raw'!$1:$1, 0)), ""), IF(val=0, "", val))</f>
        <v>14622.22222</v>
      </c>
      <c r="CK20" s="54">
        <f t="array" ref="CK20">LET(val, IFERROR(INDEX('Daily 쨈 raw'!$A:$Z, MATCH(CK$3, 'Daily 쨈 raw'!$A:$A, 0), MATCH($A20, 'Daily 쨈 raw'!$1:$1, 0)), ""), IF(val=0, "", val))</f>
        <v>16612.2449</v>
      </c>
      <c r="CL20" s="54">
        <f t="array" ref="CL20">LET(val, IFERROR(INDEX('Daily 쨈 raw'!$A:$Z, MATCH(CL$3, 'Daily 쨈 raw'!$A:$A, 0), MATCH($A20, 'Daily 쨈 raw'!$1:$1, 0)), ""), IF(val=0, "", val))</f>
        <v>15298.30508</v>
      </c>
      <c r="CM20" s="54">
        <f t="array" ref="CM20">LET(val, IFERROR(INDEX('Daily 쨈 raw'!$A:$Z, MATCH(CM$3, 'Daily 쨈 raw'!$A:$A, 0), MATCH($A20, 'Daily 쨈 raw'!$1:$1, 0)), ""), IF(val=0, "", val))</f>
        <v>13465.75342</v>
      </c>
      <c r="CN20" s="54">
        <f t="array" ref="CN20">LET(val, IFERROR(INDEX('Daily 쨈 raw'!$A:$Z, MATCH(CN$3, 'Daily 쨈 raw'!$A:$A, 0), MATCH($A20, 'Daily 쨈 raw'!$1:$1, 0)), ""), IF(val=0, "", val))</f>
        <v>16634.375</v>
      </c>
      <c r="CO20" s="54">
        <f t="array" ref="CO20">LET(val, IFERROR(INDEX('Daily 쨈 raw'!$A:$Z, MATCH(CO$3, 'Daily 쨈 raw'!$A:$A, 0), MATCH($A20, 'Daily 쨈 raw'!$1:$1, 0)), ""), IF(val=0, "", val))</f>
        <v>16439.13043</v>
      </c>
      <c r="CP20" s="54">
        <f t="array" ref="CP20">LET(val, IFERROR(INDEX('Daily 쨈 raw'!$A:$Z, MATCH(CP$3, 'Daily 쨈 raw'!$A:$A, 0), MATCH($A20, 'Daily 쨈 raw'!$1:$1, 0)), ""), IF(val=0, "", val))</f>
        <v>12488</v>
      </c>
      <c r="CQ20" s="54" t="str">
        <f t="array" ref="CQ20">LET(val, IFERROR(INDEX('Daily 쨈 raw'!$A:$Z, MATCH(CQ$3, 'Daily 쨈 raw'!$A:$A, 0), MATCH($A20, 'Daily 쨈 raw'!$1:$1, 0)), ""), IF(val=0, "", val))</f>
        <v/>
      </c>
      <c r="CR20" s="54" t="str">
        <f t="array" ref="CR20">LET(val, IFERROR(INDEX('Daily 쨈 raw'!$A:$Z, MATCH(CR$3, 'Daily 쨈 raw'!$A:$A, 0), MATCH($A20, 'Daily 쨈 raw'!$1:$1, 0)), ""), IF(val=0, "", val))</f>
        <v/>
      </c>
      <c r="CS20" s="54" t="str">
        <f t="array" ref="CS20">LET(val, IFERROR(INDEX('Daily 쨈 raw'!$A:$Z, MATCH(CS$3, 'Daily 쨈 raw'!$A:$A, 0), MATCH($A20, 'Daily 쨈 raw'!$1:$1, 0)), ""), IF(val=0, "", val))</f>
        <v/>
      </c>
      <c r="CT20" s="54" t="str">
        <f t="array" ref="CT20">LET(val, IFERROR(INDEX('Daily 쨈 raw'!$A:$Z, MATCH(CT$3, 'Daily 쨈 raw'!$A:$A, 0), MATCH($A20, 'Daily 쨈 raw'!$1:$1, 0)), ""), IF(val=0, "", val))</f>
        <v/>
      </c>
      <c r="CU20" s="54" t="str">
        <f t="array" ref="CU20">LET(val, IFERROR(INDEX('Daily 쨈 raw'!$A:$Z, MATCH(CU$3, 'Daily 쨈 raw'!$A:$A, 0), MATCH($A20, 'Daily 쨈 raw'!$1:$1, 0)), ""), IF(val=0, "", val))</f>
        <v/>
      </c>
      <c r="CV20" s="54" t="str">
        <f t="array" ref="CV20">LET(val, IFERROR(INDEX('Daily 쨈 raw'!$A:$Z, MATCH(CV$3, 'Daily 쨈 raw'!$A:$A, 0), MATCH($A20, 'Daily 쨈 raw'!$1:$1, 0)), ""), IF(val=0, "", val))</f>
        <v/>
      </c>
      <c r="CW20" s="54" t="str">
        <f t="array" ref="CW20">LET(val, IFERROR(INDEX('Daily 쨈 raw'!$A:$Z, MATCH(CW$3, 'Daily 쨈 raw'!$A:$A, 0), MATCH($A20, 'Daily 쨈 raw'!$1:$1, 0)), ""), IF(val=0, "", val))</f>
        <v/>
      </c>
      <c r="CX20" s="54" t="str">
        <f t="array" ref="CX20">LET(val, IFERROR(INDEX('Daily 쨈 raw'!$A:$Z, MATCH(CX$3, 'Daily 쨈 raw'!$A:$A, 0), MATCH($A20, 'Daily 쨈 raw'!$1:$1, 0)), ""), IF(val=0, "", val))</f>
        <v/>
      </c>
      <c r="CY20" s="54" t="str">
        <f t="array" ref="CY20">LET(val, IFERROR(INDEX('Daily 쨈 raw'!$A:$Z, MATCH(CY$3, 'Daily 쨈 raw'!$A:$A, 0), MATCH($A20, 'Daily 쨈 raw'!$1:$1, 0)), ""), IF(val=0, "", val))</f>
        <v/>
      </c>
      <c r="CZ20" s="54" t="str">
        <f t="array" ref="CZ20">LET(val, IFERROR(INDEX('Daily 쨈 raw'!$A:$Z, MATCH(CZ$3, 'Daily 쨈 raw'!$A:$A, 0), MATCH($A20, 'Daily 쨈 raw'!$1:$1, 0)), ""), IF(val=0, "", val))</f>
        <v/>
      </c>
      <c r="DA20" s="54" t="str">
        <f t="array" ref="DA20">LET(val, IFERROR(INDEX('Daily 쨈 raw'!$A:$Z, MATCH(DA$3, 'Daily 쨈 raw'!$A:$A, 0), MATCH($A20, 'Daily 쨈 raw'!$1:$1, 0)), ""), IF(val=0, "", val))</f>
        <v/>
      </c>
      <c r="DB20" s="54" t="str">
        <f t="array" ref="DB20">LET(val, IFERROR(INDEX('Daily 쨈 raw'!$A:$Z, MATCH(DB$3, 'Daily 쨈 raw'!$A:$A, 0), MATCH($A20, 'Daily 쨈 raw'!$1:$1, 0)), ""), IF(val=0, "", val))</f>
        <v/>
      </c>
      <c r="DC20" s="54" t="str">
        <f t="array" ref="DC20">LET(val, IFERROR(INDEX('Daily 쨈 raw'!$A:$Z, MATCH(DC$3, 'Daily 쨈 raw'!$A:$A, 0), MATCH($A20, 'Daily 쨈 raw'!$1:$1, 0)), ""), IF(val=0, "", val))</f>
        <v/>
      </c>
      <c r="DD20" s="54" t="str">
        <f t="array" ref="DD20">LET(val, IFERROR(INDEX('Daily 쨈 raw'!$A:$Z, MATCH(DD$3, 'Daily 쨈 raw'!$A:$A, 0), MATCH($A20, 'Daily 쨈 raw'!$1:$1, 0)), ""), IF(val=0, "", val))</f>
        <v/>
      </c>
      <c r="DE20" s="54" t="str">
        <f t="array" ref="DE20">LET(val, IFERROR(INDEX('Daily 쨈 raw'!$A:$Z, MATCH(DE$3, 'Daily 쨈 raw'!$A:$A, 0), MATCH($A20, 'Daily 쨈 raw'!$1:$1, 0)), ""), IF(val=0, "", val))</f>
        <v/>
      </c>
      <c r="DF20" s="54" t="str">
        <f t="array" ref="DF20">LET(val, IFERROR(INDEX('Daily 쨈 raw'!$A:$Z, MATCH(DF$3, 'Daily 쨈 raw'!$A:$A, 0), MATCH($A20, 'Daily 쨈 raw'!$1:$1, 0)), ""), IF(val=0, "", val))</f>
        <v/>
      </c>
      <c r="DG20" s="54" t="str">
        <f t="array" ref="DG20">LET(val, IFERROR(INDEX('Daily 쨈 raw'!$A:$Z, MATCH(DG$3, 'Daily 쨈 raw'!$A:$A, 0), MATCH($A20, 'Daily 쨈 raw'!$1:$1, 0)), ""), IF(val=0, "", val))</f>
        <v/>
      </c>
      <c r="DH20" s="54" t="str">
        <f t="array" ref="DH20">LET(val, IFERROR(INDEX('Daily 쨈 raw'!$A:$Z, MATCH(DH$3, 'Daily 쨈 raw'!$A:$A, 0), MATCH($A20, 'Daily 쨈 raw'!$1:$1, 0)), ""), IF(val=0, "", val))</f>
        <v/>
      </c>
      <c r="DI20" s="54" t="str">
        <f t="array" ref="DI20">LET(val, IFERROR(INDEX('Daily 쨈 raw'!$A:$Z, MATCH(DI$3, 'Daily 쨈 raw'!$A:$A, 0), MATCH($A20, 'Daily 쨈 raw'!$1:$1, 0)), ""), IF(val=0, "", val))</f>
        <v/>
      </c>
      <c r="DJ20" s="54" t="str">
        <f t="array" ref="DJ20">LET(val, IFERROR(INDEX('Daily 쨈 raw'!$A:$Z, MATCH(DJ$3, 'Daily 쨈 raw'!$A:$A, 0), MATCH($A20, 'Daily 쨈 raw'!$1:$1, 0)), ""), IF(val=0, "", val))</f>
        <v/>
      </c>
      <c r="DK20" s="54" t="str">
        <f t="array" ref="DK20">LET(val, IFERROR(INDEX('Daily 쨈 raw'!$A:$Z, MATCH(DK$3, 'Daily 쨈 raw'!$A:$A, 0), MATCH($A20, 'Daily 쨈 raw'!$1:$1, 0)), ""), IF(val=0, "", val))</f>
        <v/>
      </c>
      <c r="DL20" s="54" t="str">
        <f t="array" ref="DL20">LET(val, IFERROR(INDEX('Daily 쨈 raw'!$A:$Z, MATCH(DL$3, 'Daily 쨈 raw'!$A:$A, 0), MATCH($A20, 'Daily 쨈 raw'!$1:$1, 0)), ""), IF(val=0, "", val))</f>
        <v/>
      </c>
      <c r="DM20" s="54" t="str">
        <f t="array" ref="DM20">LET(val, IFERROR(INDEX('Daily 쨈 raw'!$A:$Z, MATCH(DM$3, 'Daily 쨈 raw'!$A:$A, 0), MATCH($A20, 'Daily 쨈 raw'!$1:$1, 0)), ""), IF(val=0, "", val))</f>
        <v/>
      </c>
      <c r="DN20" s="54" t="str">
        <f t="array" ref="DN20">LET(val, IFERROR(INDEX('Daily 쨈 raw'!$A:$Z, MATCH(DN$3, 'Daily 쨈 raw'!$A:$A, 0), MATCH($A20, 'Daily 쨈 raw'!$1:$1, 0)), ""), IF(val=0, "", val))</f>
        <v/>
      </c>
      <c r="DO20" s="54" t="str">
        <f t="array" ref="DO20">LET(val, IFERROR(INDEX('Daily 쨈 raw'!$A:$Z, MATCH(DO$3, 'Daily 쨈 raw'!$A:$A, 0), MATCH($A20, 'Daily 쨈 raw'!$1:$1, 0)), ""), IF(val=0, "", val))</f>
        <v/>
      </c>
      <c r="DP20" s="54" t="str">
        <f t="array" ref="DP20">LET(val, IFERROR(INDEX('Daily 쨈 raw'!$A:$Z, MATCH(DP$3, 'Daily 쨈 raw'!$A:$A, 0), MATCH($A20, 'Daily 쨈 raw'!$1:$1, 0)), ""), IF(val=0, "", val))</f>
        <v/>
      </c>
      <c r="DQ20" s="54" t="str">
        <f t="array" ref="DQ20">LET(val, IFERROR(INDEX('Daily 쨈 raw'!$A:$Z, MATCH(DQ$3, 'Daily 쨈 raw'!$A:$A, 0), MATCH($A20, 'Daily 쨈 raw'!$1:$1, 0)), ""), IF(val=0, "", val))</f>
        <v/>
      </c>
      <c r="DR20" s="54" t="str">
        <f t="array" ref="DR20">LET(val, IFERROR(INDEX('Daily 쨈 raw'!$A:$Z, MATCH(DR$3, 'Daily 쨈 raw'!$A:$A, 0), MATCH($A20, 'Daily 쨈 raw'!$1:$1, 0)), ""), IF(val=0, "", val))</f>
        <v/>
      </c>
      <c r="DS20" s="54" t="str">
        <f t="array" ref="DS20">LET(val, IFERROR(INDEX('Daily 쨈 raw'!$A:$Z, MATCH(DS$3, 'Daily 쨈 raw'!$A:$A, 0), MATCH($A20, 'Daily 쨈 raw'!$1:$1, 0)), ""), IF(val=0, "", val))</f>
        <v/>
      </c>
      <c r="DT20" s="54" t="str">
        <f t="array" ref="DT20">LET(val, IFERROR(INDEX('Daily 쨈 raw'!$A:$Z, MATCH(DT$3, 'Daily 쨈 raw'!$A:$A, 0), MATCH($A20, 'Daily 쨈 raw'!$1:$1, 0)), ""), IF(val=0, "", val))</f>
        <v/>
      </c>
      <c r="DU20" s="54" t="str">
        <f t="array" ref="DU20">LET(val, IFERROR(INDEX('Daily 쨈 raw'!$A:$Z, MATCH(DU$3, 'Daily 쨈 raw'!$A:$A, 0), MATCH($A20, 'Daily 쨈 raw'!$1:$1, 0)), ""), IF(val=0, "", val))</f>
        <v/>
      </c>
      <c r="DV20" s="54" t="str">
        <f t="array" ref="DV20">LET(val, IFERROR(INDEX('Daily 쨈 raw'!$A:$Z, MATCH(DV$3, 'Daily 쨈 raw'!$A:$A, 0), MATCH($A20, 'Daily 쨈 raw'!$1:$1, 0)), ""), IF(val=0, "", val))</f>
        <v/>
      </c>
      <c r="DW20" s="54" t="str">
        <f t="array" ref="DW20">LET(val, IFERROR(INDEX('Daily 쨈 raw'!$A:$Z, MATCH(DW$3, 'Daily 쨈 raw'!$A:$A, 0), MATCH($A20, 'Daily 쨈 raw'!$1:$1, 0)), ""), IF(val=0, "", val))</f>
        <v/>
      </c>
      <c r="DX20" s="54" t="str">
        <f t="array" ref="DX20">LET(val, IFERROR(INDEX('Daily 쨈 raw'!$A:$Z, MATCH(DX$3, 'Daily 쨈 raw'!$A:$A, 0), MATCH($A20, 'Daily 쨈 raw'!$1:$1, 0)), ""), IF(val=0, "", val))</f>
        <v/>
      </c>
      <c r="DY20" s="54" t="str">
        <f t="array" ref="DY20">LET(val, IFERROR(INDEX('Daily 쨈 raw'!$A:$Z, MATCH(DY$3, 'Daily 쨈 raw'!$A:$A, 0), MATCH($A20, 'Daily 쨈 raw'!$1:$1, 0)), ""), IF(val=0, "", val))</f>
        <v/>
      </c>
      <c r="DZ20" s="54" t="str">
        <f t="array" ref="DZ20">LET(val, IFERROR(INDEX('Daily 쨈 raw'!$A:$Z, MATCH(DZ$3, 'Daily 쨈 raw'!$A:$A, 0), MATCH($A20, 'Daily 쨈 raw'!$1:$1, 0)), ""), IF(val=0, "", val))</f>
        <v/>
      </c>
    </row>
    <row r="21" ht="22.5" customHeight="1">
      <c r="A21" s="23" t="s">
        <v>26</v>
      </c>
      <c r="B21" s="55" t="s">
        <v>26</v>
      </c>
      <c r="C21" s="54">
        <f t="array" ref="C21">LET(val, IFERROR(INDEX('Daily 쨈 raw'!$A:$Z, MATCH(C$3, 'Daily 쨈 raw'!$A:$A, 0), MATCH($A21, 'Daily 쨈 raw'!$1:$1, 0)), ""), IF(val=0, "", val))</f>
        <v>360800</v>
      </c>
      <c r="D21" s="54">
        <f t="array" ref="D21">LET(val, IFERROR(INDEX('Daily 쨈 raw'!$A:$Z, MATCH(D$3, 'Daily 쨈 raw'!$A:$A, 0), MATCH($A21, 'Daily 쨈 raw'!$1:$1, 0)), ""), IF(val=0, "", val))</f>
        <v>529100</v>
      </c>
      <c r="E21" s="54">
        <f t="array" ref="E21">LET(val, IFERROR(INDEX('Daily 쨈 raw'!$A:$Z, MATCH(E$3, 'Daily 쨈 raw'!$A:$A, 0), MATCH($A21, 'Daily 쨈 raw'!$1:$1, 0)), ""), IF(val=0, "", val))</f>
        <v>333300</v>
      </c>
      <c r="F21" s="54">
        <f t="array" ref="F21">LET(val, IFERROR(INDEX('Daily 쨈 raw'!$A:$Z, MATCH(F$3, 'Daily 쨈 raw'!$A:$A, 0), MATCH($A21, 'Daily 쨈 raw'!$1:$1, 0)), ""), IF(val=0, "", val))</f>
        <v>272800</v>
      </c>
      <c r="G21" s="54">
        <f t="array" ref="G21">LET(val, IFERROR(INDEX('Daily 쨈 raw'!$A:$Z, MATCH(G$3, 'Daily 쨈 raw'!$A:$A, 0), MATCH($A21, 'Daily 쨈 raw'!$1:$1, 0)), ""), IF(val=0, "", val))</f>
        <v>290400</v>
      </c>
      <c r="H21" s="54">
        <f t="array" ref="H21">LET(val, IFERROR(INDEX('Daily 쨈 raw'!$A:$Z, MATCH(H$3, 'Daily 쨈 raw'!$A:$A, 0), MATCH($A21, 'Daily 쨈 raw'!$1:$1, 0)), ""), IF(val=0, "", val))</f>
        <v>531300</v>
      </c>
      <c r="I21" s="54">
        <f t="array" ref="I21">LET(val, IFERROR(INDEX('Daily 쨈 raw'!$A:$Z, MATCH(I$3, 'Daily 쨈 raw'!$A:$A, 0), MATCH($A21, 'Daily 쨈 raw'!$1:$1, 0)), ""), IF(val=0, "", val))</f>
        <v>452100</v>
      </c>
      <c r="J21" s="54">
        <f t="array" ref="J21">LET(val, IFERROR(INDEX('Daily 쨈 raw'!$A:$Z, MATCH(J$3, 'Daily 쨈 raw'!$A:$A, 0), MATCH($A21, 'Daily 쨈 raw'!$1:$1, 0)), ""), IF(val=0, "", val))</f>
        <v>368500</v>
      </c>
      <c r="K21" s="54">
        <f t="array" ref="K21">LET(val, IFERROR(INDEX('Daily 쨈 raw'!$A:$Z, MATCH(K$3, 'Daily 쨈 raw'!$A:$A, 0), MATCH($A21, 'Daily 쨈 raw'!$1:$1, 0)), ""), IF(val=0, "", val))</f>
        <v>578600</v>
      </c>
      <c r="L21" s="54">
        <f t="array" ref="L21">LET(val, IFERROR(INDEX('Daily 쨈 raw'!$A:$Z, MATCH(L$3, 'Daily 쨈 raw'!$A:$A, 0), MATCH($A21, 'Daily 쨈 raw'!$1:$1, 0)), ""), IF(val=0, "", val))</f>
        <v>730400</v>
      </c>
      <c r="M21" s="54">
        <f t="array" ref="M21">LET(val, IFERROR(INDEX('Daily 쨈 raw'!$A:$Z, MATCH(M$3, 'Daily 쨈 raw'!$A:$A, 0), MATCH($A21, 'Daily 쨈 raw'!$1:$1, 0)), ""), IF(val=0, "", val))</f>
        <v>477400</v>
      </c>
      <c r="N21" s="54">
        <f t="array" ref="N21">LET(val, IFERROR(INDEX('Daily 쨈 raw'!$A:$Z, MATCH(N$3, 'Daily 쨈 raw'!$A:$A, 0), MATCH($A21, 'Daily 쨈 raw'!$1:$1, 0)), ""), IF(val=0, "", val))</f>
        <v>486200</v>
      </c>
      <c r="O21" s="54">
        <f t="array" ref="O21">LET(val, IFERROR(INDEX('Daily 쨈 raw'!$A:$Z, MATCH(O$3, 'Daily 쨈 raw'!$A:$A, 0), MATCH($A21, 'Daily 쨈 raw'!$1:$1, 0)), ""), IF(val=0, "", val))</f>
        <v>553300</v>
      </c>
      <c r="P21" s="54">
        <f t="array" ref="P21">LET(val, IFERROR(INDEX('Daily 쨈 raw'!$A:$Z, MATCH(P$3, 'Daily 쨈 raw'!$A:$A, 0), MATCH($A21, 'Daily 쨈 raw'!$1:$1, 0)), ""), IF(val=0, "", val))</f>
        <v>547800</v>
      </c>
      <c r="Q21" s="54">
        <f t="array" ref="Q21">LET(val, IFERROR(INDEX('Daily 쨈 raw'!$A:$Z, MATCH(Q$3, 'Daily 쨈 raw'!$A:$A, 0), MATCH($A21, 'Daily 쨈 raw'!$1:$1, 0)), ""), IF(val=0, "", val))</f>
        <v>389400</v>
      </c>
      <c r="R21" s="54">
        <f t="array" ref="R21">LET(val, IFERROR(INDEX('Daily 쨈 raw'!$A:$Z, MATCH(R$3, 'Daily 쨈 raw'!$A:$A, 0), MATCH($A21, 'Daily 쨈 raw'!$1:$1, 0)), ""), IF(val=0, "", val))</f>
        <v>412500</v>
      </c>
      <c r="S21" s="54">
        <f t="array" ref="S21">LET(val, IFERROR(INDEX('Daily 쨈 raw'!$A:$Z, MATCH(S$3, 'Daily 쨈 raw'!$A:$A, 0), MATCH($A21, 'Daily 쨈 raw'!$1:$1, 0)), ""), IF(val=0, "", val))</f>
        <v>335500</v>
      </c>
      <c r="T21" s="54">
        <f t="array" ref="T21">LET(val, IFERROR(INDEX('Daily 쨈 raw'!$A:$Z, MATCH(T$3, 'Daily 쨈 raw'!$A:$A, 0), MATCH($A21, 'Daily 쨈 raw'!$1:$1, 0)), ""), IF(val=0, "", val))</f>
        <v>379500</v>
      </c>
      <c r="U21" s="54">
        <f t="array" ref="U21">LET(val, IFERROR(INDEX('Daily 쨈 raw'!$A:$Z, MATCH(U$3, 'Daily 쨈 raw'!$A:$A, 0), MATCH($A21, 'Daily 쨈 raw'!$1:$1, 0)), ""), IF(val=0, "", val))</f>
        <v>303600</v>
      </c>
      <c r="V21" s="54">
        <f t="array" ref="V21">LET(val, IFERROR(INDEX('Daily 쨈 raw'!$A:$Z, MATCH(V$3, 'Daily 쨈 raw'!$A:$A, 0), MATCH($A21, 'Daily 쨈 raw'!$1:$1, 0)), ""), IF(val=0, "", val))</f>
        <v>344300</v>
      </c>
      <c r="W21" s="54">
        <f t="array" ref="W21">LET(val, IFERROR(INDEX('Daily 쨈 raw'!$A:$Z, MATCH(W$3, 'Daily 쨈 raw'!$A:$A, 0), MATCH($A21, 'Daily 쨈 raw'!$1:$1, 0)), ""), IF(val=0, "", val))</f>
        <v>430100</v>
      </c>
      <c r="X21" s="54">
        <f t="array" ref="X21">LET(val, IFERROR(INDEX('Daily 쨈 raw'!$A:$Z, MATCH(X$3, 'Daily 쨈 raw'!$A:$A, 0), MATCH($A21, 'Daily 쨈 raw'!$1:$1, 0)), ""), IF(val=0, "", val))</f>
        <v>363000</v>
      </c>
      <c r="Y21" s="54">
        <f t="array" ref="Y21">LET(val, IFERROR(INDEX('Daily 쨈 raw'!$A:$Z, MATCH(Y$3, 'Daily 쨈 raw'!$A:$A, 0), MATCH($A21, 'Daily 쨈 raw'!$1:$1, 0)), ""), IF(val=0, "", val))</f>
        <v>327800</v>
      </c>
      <c r="Z21" s="54">
        <f t="array" ref="Z21">LET(val, IFERROR(INDEX('Daily 쨈 raw'!$A:$Z, MATCH(Z$3, 'Daily 쨈 raw'!$A:$A, 0), MATCH($A21, 'Daily 쨈 raw'!$1:$1, 0)), ""), IF(val=0, "", val))</f>
        <v>392700</v>
      </c>
      <c r="AA21" s="54">
        <f t="array" ref="AA21">LET(val, IFERROR(INDEX('Daily 쨈 raw'!$A:$Z, MATCH(AA$3, 'Daily 쨈 raw'!$A:$A, 0), MATCH($A21, 'Daily 쨈 raw'!$1:$1, 0)), ""), IF(val=0, "", val))</f>
        <v>276100</v>
      </c>
      <c r="AB21" s="54">
        <f t="array" ref="AB21">LET(val, IFERROR(INDEX('Daily 쨈 raw'!$A:$Z, MATCH(AB$3, 'Daily 쨈 raw'!$A:$A, 0), MATCH($A21, 'Daily 쨈 raw'!$1:$1, 0)), ""), IF(val=0, "", val))</f>
        <v>333300</v>
      </c>
      <c r="AC21" s="54">
        <f t="array" ref="AC21">LET(val, IFERROR(INDEX('Daily 쨈 raw'!$A:$Z, MATCH(AC$3, 'Daily 쨈 raw'!$A:$A, 0), MATCH($A21, 'Daily 쨈 raw'!$1:$1, 0)), ""), IF(val=0, "", val))</f>
        <v>299200</v>
      </c>
      <c r="AD21" s="54">
        <f t="array" ref="AD21">LET(val, IFERROR(INDEX('Daily 쨈 raw'!$A:$Z, MATCH(AD$3, 'Daily 쨈 raw'!$A:$A, 0), MATCH($A21, 'Daily 쨈 raw'!$1:$1, 0)), ""), IF(val=0, "", val))</f>
        <v>363000</v>
      </c>
      <c r="AE21" s="54">
        <f t="array" ref="AE21">LET(val, IFERROR(INDEX('Daily 쨈 raw'!$A:$Z, MATCH(AE$3, 'Daily 쨈 raw'!$A:$A, 0), MATCH($A21, 'Daily 쨈 raw'!$1:$1, 0)), ""), IF(val=0, "", val))</f>
        <v>431200</v>
      </c>
      <c r="AF21" s="54">
        <f t="array" ref="AF21">LET(val, IFERROR(INDEX('Daily 쨈 raw'!$A:$Z, MATCH(AF$3, 'Daily 쨈 raw'!$A:$A, 0), MATCH($A21, 'Daily 쨈 raw'!$1:$1, 0)), ""), IF(val=0, "", val))</f>
        <v>633600</v>
      </c>
      <c r="AG21" s="54">
        <f t="array" ref="AG21">LET(val, IFERROR(INDEX('Daily 쨈 raw'!$A:$Z, MATCH(AG$3, 'Daily 쨈 raw'!$A:$A, 0), MATCH($A21, 'Daily 쨈 raw'!$1:$1, 0)), ""), IF(val=0, "", val))</f>
        <v>2211000</v>
      </c>
      <c r="AH21" s="54">
        <f t="array" ref="AH21">LET(val, IFERROR(INDEX('Daily 쨈 raw'!$A:$Z, MATCH(AH$3, 'Daily 쨈 raw'!$A:$A, 0), MATCH($A21, 'Daily 쨈 raw'!$1:$1, 0)), ""), IF(val=0, "", val))</f>
        <v>1691800</v>
      </c>
      <c r="AI21" s="54">
        <f t="array" ref="AI21">LET(val, IFERROR(INDEX('Daily 쨈 raw'!$A:$Z, MATCH(AI$3, 'Daily 쨈 raw'!$A:$A, 0), MATCH($A21, 'Daily 쨈 raw'!$1:$1, 0)), ""), IF(val=0, "", val))</f>
        <v>602800</v>
      </c>
      <c r="AJ21" s="54">
        <f t="array" ref="AJ21">LET(val, IFERROR(INDEX('Daily 쨈 raw'!$A:$Z, MATCH(AJ$3, 'Daily 쨈 raw'!$A:$A, 0), MATCH($A21, 'Daily 쨈 raw'!$1:$1, 0)), ""), IF(val=0, "", val))</f>
        <v>691900</v>
      </c>
      <c r="AK21" s="54">
        <f t="array" ref="AK21">LET(val, IFERROR(INDEX('Daily 쨈 raw'!$A:$Z, MATCH(AK$3, 'Daily 쨈 raw'!$A:$A, 0), MATCH($A21, 'Daily 쨈 raw'!$1:$1, 0)), ""), IF(val=0, "", val))</f>
        <v>759000</v>
      </c>
      <c r="AL21" s="54">
        <f t="array" ref="AL21">LET(val, IFERROR(INDEX('Daily 쨈 raw'!$A:$Z, MATCH(AL$3, 'Daily 쨈 raw'!$A:$A, 0), MATCH($A21, 'Daily 쨈 raw'!$1:$1, 0)), ""), IF(val=0, "", val))</f>
        <v>654500</v>
      </c>
      <c r="AM21" s="54">
        <f t="array" ref="AM21">LET(val, IFERROR(INDEX('Daily 쨈 raw'!$A:$Z, MATCH(AM$3, 'Daily 쨈 raw'!$A:$A, 0), MATCH($A21, 'Daily 쨈 raw'!$1:$1, 0)), ""), IF(val=0, "", val))</f>
        <v>537900</v>
      </c>
      <c r="AN21" s="54">
        <f t="array" ref="AN21">LET(val, IFERROR(INDEX('Daily 쨈 raw'!$A:$Z, MATCH(AN$3, 'Daily 쨈 raw'!$A:$A, 0), MATCH($A21, 'Daily 쨈 raw'!$1:$1, 0)), ""), IF(val=0, "", val))</f>
        <v>762300</v>
      </c>
      <c r="AO21" s="54">
        <f t="array" ref="AO21">LET(val, IFERROR(INDEX('Daily 쨈 raw'!$A:$Z, MATCH(AO$3, 'Daily 쨈 raw'!$A:$A, 0), MATCH($A21, 'Daily 쨈 raw'!$1:$1, 0)), ""), IF(val=0, "", val))</f>
        <v>1119800</v>
      </c>
      <c r="AP21" s="54">
        <f t="array" ref="AP21">LET(val, IFERROR(INDEX('Daily 쨈 raw'!$A:$Z, MATCH(AP$3, 'Daily 쨈 raw'!$A:$A, 0), MATCH($A21, 'Daily 쨈 raw'!$1:$1, 0)), ""), IF(val=0, "", val))</f>
        <v>536800</v>
      </c>
      <c r="AQ21" s="54">
        <f t="array" ref="AQ21">LET(val, IFERROR(INDEX('Daily 쨈 raw'!$A:$Z, MATCH(AQ$3, 'Daily 쨈 raw'!$A:$A, 0), MATCH($A21, 'Daily 쨈 raw'!$1:$1, 0)), ""), IF(val=0, "", val))</f>
        <v>572000</v>
      </c>
      <c r="AR21" s="54">
        <f t="array" ref="AR21">LET(val, IFERROR(INDEX('Daily 쨈 raw'!$A:$Z, MATCH(AR$3, 'Daily 쨈 raw'!$A:$A, 0), MATCH($A21, 'Daily 쨈 raw'!$1:$1, 0)), ""), IF(val=0, "", val))</f>
        <v>431200</v>
      </c>
      <c r="AS21" s="54">
        <f t="array" ref="AS21">LET(val, IFERROR(INDEX('Daily 쨈 raw'!$A:$Z, MATCH(AS$3, 'Daily 쨈 raw'!$A:$A, 0), MATCH($A21, 'Daily 쨈 raw'!$1:$1, 0)), ""), IF(val=0, "", val))</f>
        <v>363000</v>
      </c>
      <c r="AT21" s="54">
        <f t="array" ref="AT21">LET(val, IFERROR(INDEX('Daily 쨈 raw'!$A:$Z, MATCH(AT$3, 'Daily 쨈 raw'!$A:$A, 0), MATCH($A21, 'Daily 쨈 raw'!$1:$1, 0)), ""), IF(val=0, "", val))</f>
        <v>480700</v>
      </c>
      <c r="AU21" s="54">
        <f t="array" ref="AU21">LET(val, IFERROR(INDEX('Daily 쨈 raw'!$A:$Z, MATCH(AU$3, 'Daily 쨈 raw'!$A:$A, 0), MATCH($A21, 'Daily 쨈 raw'!$1:$1, 0)), ""), IF(val=0, "", val))</f>
        <v>451000</v>
      </c>
      <c r="AV21" s="54">
        <f t="array" ref="AV21">LET(val, IFERROR(INDEX('Daily 쨈 raw'!$A:$Z, MATCH(AV$3, 'Daily 쨈 raw'!$A:$A, 0), MATCH($A21, 'Daily 쨈 raw'!$1:$1, 0)), ""), IF(val=0, "", val))</f>
        <v>350900</v>
      </c>
      <c r="AW21" s="54">
        <f t="array" ref="AW21">LET(val, IFERROR(INDEX('Daily 쨈 raw'!$A:$Z, MATCH(AW$3, 'Daily 쨈 raw'!$A:$A, 0), MATCH($A21, 'Daily 쨈 raw'!$1:$1, 0)), ""), IF(val=0, "", val))</f>
        <v>358600</v>
      </c>
      <c r="AX21" s="54">
        <f t="array" ref="AX21">LET(val, IFERROR(INDEX('Daily 쨈 raw'!$A:$Z, MATCH(AX$3, 'Daily 쨈 raw'!$A:$A, 0), MATCH($A21, 'Daily 쨈 raw'!$1:$1, 0)), ""), IF(val=0, "", val))</f>
        <v>446600</v>
      </c>
      <c r="AY21" s="54">
        <f t="array" ref="AY21">LET(val, IFERROR(INDEX('Daily 쨈 raw'!$A:$Z, MATCH(AY$3, 'Daily 쨈 raw'!$A:$A, 0), MATCH($A21, 'Daily 쨈 raw'!$1:$1, 0)), ""), IF(val=0, "", val))</f>
        <v>372900</v>
      </c>
      <c r="AZ21" s="54">
        <f t="array" ref="AZ21">LET(val, IFERROR(INDEX('Daily 쨈 raw'!$A:$Z, MATCH(AZ$3, 'Daily 쨈 raw'!$A:$A, 0), MATCH($A21, 'Daily 쨈 raw'!$1:$1, 0)), ""), IF(val=0, "", val))</f>
        <v>330000</v>
      </c>
      <c r="BA21" s="54">
        <f t="array" ref="BA21">LET(val, IFERROR(INDEX('Daily 쨈 raw'!$A:$Z, MATCH(BA$3, 'Daily 쨈 raw'!$A:$A, 0), MATCH($A21, 'Daily 쨈 raw'!$1:$1, 0)), ""), IF(val=0, "", val))</f>
        <v>400400</v>
      </c>
      <c r="BB21" s="54">
        <f t="array" ref="BB21">LET(val, IFERROR(INDEX('Daily 쨈 raw'!$A:$Z, MATCH(BB$3, 'Daily 쨈 raw'!$A:$A, 0), MATCH($A21, 'Daily 쨈 raw'!$1:$1, 0)), ""), IF(val=0, "", val))</f>
        <v>321200</v>
      </c>
      <c r="BC21" s="54">
        <f t="array" ref="BC21">LET(val, IFERROR(INDEX('Daily 쨈 raw'!$A:$Z, MATCH(BC$3, 'Daily 쨈 raw'!$A:$A, 0), MATCH($A21, 'Daily 쨈 raw'!$1:$1, 0)), ""), IF(val=0, "", val))</f>
        <v>409200</v>
      </c>
      <c r="BD21" s="54">
        <f t="array" ref="BD21">LET(val, IFERROR(INDEX('Daily 쨈 raw'!$A:$Z, MATCH(BD$3, 'Daily 쨈 raw'!$A:$A, 0), MATCH($A21, 'Daily 쨈 raw'!$1:$1, 0)), ""), IF(val=0, "", val))</f>
        <v>533500</v>
      </c>
      <c r="BE21" s="54">
        <f t="array" ref="BE21">LET(val, IFERROR(INDEX('Daily 쨈 raw'!$A:$Z, MATCH(BE$3, 'Daily 쨈 raw'!$A:$A, 0), MATCH($A21, 'Daily 쨈 raw'!$1:$1, 0)), ""), IF(val=0, "", val))</f>
        <v>694100</v>
      </c>
      <c r="BF21" s="54">
        <f t="array" ref="BF21">LET(val, IFERROR(INDEX('Daily 쨈 raw'!$A:$Z, MATCH(BF$3, 'Daily 쨈 raw'!$A:$A, 0), MATCH($A21, 'Daily 쨈 raw'!$1:$1, 0)), ""), IF(val=0, "", val))</f>
        <v>552200</v>
      </c>
      <c r="BG21" s="54">
        <f t="array" ref="BG21">LET(val, IFERROR(INDEX('Daily 쨈 raw'!$A:$Z, MATCH(BG$3, 'Daily 쨈 raw'!$A:$A, 0), MATCH($A21, 'Daily 쨈 raw'!$1:$1, 0)), ""), IF(val=0, "", val))</f>
        <v>342100</v>
      </c>
      <c r="BH21" s="54">
        <f t="array" ref="BH21">LET(val, IFERROR(INDEX('Daily 쨈 raw'!$A:$Z, MATCH(BH$3, 'Daily 쨈 raw'!$A:$A, 0), MATCH($A21, 'Daily 쨈 raw'!$1:$1, 0)), ""), IF(val=0, "", val))</f>
        <v>423500</v>
      </c>
      <c r="BI21" s="54">
        <f t="array" ref="BI21">LET(val, IFERROR(INDEX('Daily 쨈 raw'!$A:$Z, MATCH(BI$3, 'Daily 쨈 raw'!$A:$A, 0), MATCH($A21, 'Daily 쨈 raw'!$1:$1, 0)), ""), IF(val=0, "", val))</f>
        <v>506000</v>
      </c>
      <c r="BJ21" s="54">
        <f t="array" ref="BJ21">LET(val, IFERROR(INDEX('Daily 쨈 raw'!$A:$Z, MATCH(BJ$3, 'Daily 쨈 raw'!$A:$A, 0), MATCH($A21, 'Daily 쨈 raw'!$1:$1, 0)), ""), IF(val=0, "", val))</f>
        <v>512600</v>
      </c>
      <c r="BK21" s="54">
        <f t="array" ref="BK21">LET(val, IFERROR(INDEX('Daily 쨈 raw'!$A:$Z, MATCH(BK$3, 'Daily 쨈 raw'!$A:$A, 0), MATCH($A21, 'Daily 쨈 raw'!$1:$1, 0)), ""), IF(val=0, "", val))</f>
        <v>581900</v>
      </c>
      <c r="BL21" s="54">
        <f t="array" ref="BL21">LET(val, IFERROR(INDEX('Daily 쨈 raw'!$A:$Z, MATCH(BL$3, 'Daily 쨈 raw'!$A:$A, 0), MATCH($A21, 'Daily 쨈 raw'!$1:$1, 0)), ""), IF(val=0, "", val))</f>
        <v>640200</v>
      </c>
      <c r="BM21" s="54">
        <f t="array" ref="BM21">LET(val, IFERROR(INDEX('Daily 쨈 raw'!$A:$Z, MATCH(BM$3, 'Daily 쨈 raw'!$A:$A, 0), MATCH($A21, 'Daily 쨈 raw'!$1:$1, 0)), ""), IF(val=0, "", val))</f>
        <v>548900</v>
      </c>
      <c r="BN21" s="54">
        <f t="array" ref="BN21">LET(val, IFERROR(INDEX('Daily 쨈 raw'!$A:$Z, MATCH(BN$3, 'Daily 쨈 raw'!$A:$A, 0), MATCH($A21, 'Daily 쨈 raw'!$1:$1, 0)), ""), IF(val=0, "", val))</f>
        <v>367400</v>
      </c>
      <c r="BO21" s="54">
        <f t="array" ref="BO21">LET(val, IFERROR(INDEX('Daily 쨈 raw'!$A:$Z, MATCH(BO$3, 'Daily 쨈 raw'!$A:$A, 0), MATCH($A21, 'Daily 쨈 raw'!$1:$1, 0)), ""), IF(val=0, "", val))</f>
        <v>337700</v>
      </c>
      <c r="BP21" s="54">
        <f t="array" ref="BP21">LET(val, IFERROR(INDEX('Daily 쨈 raw'!$A:$Z, MATCH(BP$3, 'Daily 쨈 raw'!$A:$A, 0), MATCH($A21, 'Daily 쨈 raw'!$1:$1, 0)), ""), IF(val=0, "", val))</f>
        <v>369600</v>
      </c>
      <c r="BQ21" s="54">
        <f t="array" ref="BQ21">LET(val, IFERROR(INDEX('Daily 쨈 raw'!$A:$Z, MATCH(BQ$3, 'Daily 쨈 raw'!$A:$A, 0), MATCH($A21, 'Daily 쨈 raw'!$1:$1, 0)), ""), IF(val=0, "", val))</f>
        <v>447700</v>
      </c>
      <c r="BR21" s="54">
        <f t="array" ref="BR21">LET(val, IFERROR(INDEX('Daily 쨈 raw'!$A:$Z, MATCH(BR$3, 'Daily 쨈 raw'!$A:$A, 0), MATCH($A21, 'Daily 쨈 raw'!$1:$1, 0)), ""), IF(val=0, "", val))</f>
        <v>382900</v>
      </c>
      <c r="BS21" s="54">
        <f t="array" ref="BS21">LET(val, IFERROR(INDEX('Daily 쨈 raw'!$A:$Z, MATCH(BS$3, 'Daily 쨈 raw'!$A:$A, 0), MATCH($A21, 'Daily 쨈 raw'!$1:$1, 0)), ""), IF(val=0, "", val))</f>
        <v>622100</v>
      </c>
      <c r="BT21" s="54">
        <f t="array" ref="BT21">LET(val, IFERROR(INDEX('Daily 쨈 raw'!$A:$Z, MATCH(BT$3, 'Daily 쨈 raw'!$A:$A, 0), MATCH($A21, 'Daily 쨈 raw'!$1:$1, 0)), ""), IF(val=0, "", val))</f>
        <v>475000</v>
      </c>
      <c r="BU21" s="54">
        <f t="array" ref="BU21">LET(val, IFERROR(INDEX('Daily 쨈 raw'!$A:$Z, MATCH(BU$3, 'Daily 쨈 raw'!$A:$A, 0), MATCH($A21, 'Daily 쨈 raw'!$1:$1, 0)), ""), IF(val=0, "", val))</f>
        <v>497200</v>
      </c>
      <c r="BV21" s="54">
        <f t="array" ref="BV21">LET(val, IFERROR(INDEX('Daily 쨈 raw'!$A:$Z, MATCH(BV$3, 'Daily 쨈 raw'!$A:$A, 0), MATCH($A21, 'Daily 쨈 raw'!$1:$1, 0)), ""), IF(val=0, "", val))</f>
        <v>451000</v>
      </c>
      <c r="BW21" s="54">
        <f t="array" ref="BW21">LET(val, IFERROR(INDEX('Daily 쨈 raw'!$A:$Z, MATCH(BW$3, 'Daily 쨈 raw'!$A:$A, 0), MATCH($A21, 'Daily 쨈 raw'!$1:$1, 0)), ""), IF(val=0, "", val))</f>
        <v>496900</v>
      </c>
      <c r="BX21" s="54">
        <f t="array" ref="BX21">LET(val, IFERROR(INDEX('Daily 쨈 raw'!$A:$Z, MATCH(BX$3, 'Daily 쨈 raw'!$A:$A, 0), MATCH($A21, 'Daily 쨈 raw'!$1:$1, 0)), ""), IF(val=0, "", val))</f>
        <v>700800</v>
      </c>
      <c r="BY21" s="54">
        <f t="array" ref="BY21">LET(val, IFERROR(INDEX('Daily 쨈 raw'!$A:$Z, MATCH(BY$3, 'Daily 쨈 raw'!$A:$A, 0), MATCH($A21, 'Daily 쨈 raw'!$1:$1, 0)), ""), IF(val=0, "", val))</f>
        <v>653200</v>
      </c>
      <c r="BZ21" s="54">
        <f t="array" ref="BZ21">LET(val, IFERROR(INDEX('Daily 쨈 raw'!$A:$Z, MATCH(BZ$3, 'Daily 쨈 raw'!$A:$A, 0), MATCH($A21, 'Daily 쨈 raw'!$1:$1, 0)), ""), IF(val=0, "", val))</f>
        <v>375800</v>
      </c>
      <c r="CA21" s="54">
        <f t="array" ref="CA21">LET(val, IFERROR(INDEX('Daily 쨈 raw'!$A:$Z, MATCH(CA$3, 'Daily 쨈 raw'!$A:$A, 0), MATCH($A21, 'Daily 쨈 raw'!$1:$1, 0)), ""), IF(val=0, "", val))</f>
        <v>579600</v>
      </c>
      <c r="CB21" s="54">
        <f t="array" ref="CB21">LET(val, IFERROR(INDEX('Daily 쨈 raw'!$A:$Z, MATCH(CB$3, 'Daily 쨈 raw'!$A:$A, 0), MATCH($A21, 'Daily 쨈 raw'!$1:$1, 0)), ""), IF(val=0, "", val))</f>
        <v>471000</v>
      </c>
      <c r="CC21" s="54">
        <f t="array" ref="CC21">LET(val, IFERROR(INDEX('Daily 쨈 raw'!$A:$Z, MATCH(CC$3, 'Daily 쨈 raw'!$A:$A, 0), MATCH($A21, 'Daily 쨈 raw'!$1:$1, 0)), ""), IF(val=0, "", val))</f>
        <v>703700</v>
      </c>
      <c r="CD21" s="54">
        <f t="array" ref="CD21">LET(val, IFERROR(INDEX('Daily 쨈 raw'!$A:$Z, MATCH(CD$3, 'Daily 쨈 raw'!$A:$A, 0), MATCH($A21, 'Daily 쨈 raw'!$1:$1, 0)), ""), IF(val=0, "", val))</f>
        <v>926400</v>
      </c>
      <c r="CE21" s="54">
        <f t="array" ref="CE21">LET(val, IFERROR(INDEX('Daily 쨈 raw'!$A:$Z, MATCH(CE$3, 'Daily 쨈 raw'!$A:$A, 0), MATCH($A21, 'Daily 쨈 raw'!$1:$1, 0)), ""), IF(val=0, "", val))</f>
        <v>725600</v>
      </c>
      <c r="CF21" s="54">
        <f t="array" ref="CF21">LET(val, IFERROR(INDEX('Daily 쨈 raw'!$A:$Z, MATCH(CF$3, 'Daily 쨈 raw'!$A:$A, 0), MATCH($A21, 'Daily 쨈 raw'!$1:$1, 0)), ""), IF(val=0, "", val))</f>
        <v>783000</v>
      </c>
      <c r="CG21" s="54">
        <f t="array" ref="CG21">LET(val, IFERROR(INDEX('Daily 쨈 raw'!$A:$Z, MATCH(CG$3, 'Daily 쨈 raw'!$A:$A, 0), MATCH($A21, 'Daily 쨈 raw'!$1:$1, 0)), ""), IF(val=0, "", val))</f>
        <v>1189500</v>
      </c>
      <c r="CH21" s="54">
        <f t="array" ref="CH21">LET(val, IFERROR(INDEX('Daily 쨈 raw'!$A:$Z, MATCH(CH$3, 'Daily 쨈 raw'!$A:$A, 0), MATCH($A21, 'Daily 쨈 raw'!$1:$1, 0)), ""), IF(val=0, "", val))</f>
        <v>1124400</v>
      </c>
      <c r="CI21" s="54">
        <f t="array" ref="CI21">LET(val, IFERROR(INDEX('Daily 쨈 raw'!$A:$Z, MATCH(CI$3, 'Daily 쨈 raw'!$A:$A, 0), MATCH($A21, 'Daily 쨈 raw'!$1:$1, 0)), ""), IF(val=0, "", val))</f>
        <v>1378000</v>
      </c>
      <c r="CJ21" s="54">
        <f t="array" ref="CJ21">LET(val, IFERROR(INDEX('Daily 쨈 raw'!$A:$Z, MATCH(CJ$3, 'Daily 쨈 raw'!$A:$A, 0), MATCH($A21, 'Daily 쨈 raw'!$1:$1, 0)), ""), IF(val=0, "", val))</f>
        <v>1184400</v>
      </c>
      <c r="CK21" s="54">
        <f t="array" ref="CK21">LET(val, IFERROR(INDEX('Daily 쨈 raw'!$A:$Z, MATCH(CK$3, 'Daily 쨈 raw'!$A:$A, 0), MATCH($A21, 'Daily 쨈 raw'!$1:$1, 0)), ""), IF(val=0, "", val))</f>
        <v>1628000</v>
      </c>
      <c r="CL21" s="54">
        <f t="array" ref="CL21">LET(val, IFERROR(INDEX('Daily 쨈 raw'!$A:$Z, MATCH(CL$3, 'Daily 쨈 raw'!$A:$A, 0), MATCH($A21, 'Daily 쨈 raw'!$1:$1, 0)), ""), IF(val=0, "", val))</f>
        <v>902600</v>
      </c>
      <c r="CM21" s="54">
        <f t="array" ref="CM21">LET(val, IFERROR(INDEX('Daily 쨈 raw'!$A:$Z, MATCH(CM$3, 'Daily 쨈 raw'!$A:$A, 0), MATCH($A21, 'Daily 쨈 raw'!$1:$1, 0)), ""), IF(val=0, "", val))</f>
        <v>983000</v>
      </c>
      <c r="CN21" s="54">
        <f t="array" ref="CN21">LET(val, IFERROR(INDEX('Daily 쨈 raw'!$A:$Z, MATCH(CN$3, 'Daily 쨈 raw'!$A:$A, 0), MATCH($A21, 'Daily 쨈 raw'!$1:$1, 0)), ""), IF(val=0, "", val))</f>
        <v>1064600</v>
      </c>
      <c r="CO21" s="54">
        <f t="array" ref="CO21">LET(val, IFERROR(INDEX('Daily 쨈 raw'!$A:$Z, MATCH(CO$3, 'Daily 쨈 raw'!$A:$A, 0), MATCH($A21, 'Daily 쨈 raw'!$1:$1, 0)), ""), IF(val=0, "", val))</f>
        <v>1512400</v>
      </c>
      <c r="CP21" s="54">
        <f t="array" ref="CP21">LET(val, IFERROR(INDEX('Daily 쨈 raw'!$A:$Z, MATCH(CP$3, 'Daily 쨈 raw'!$A:$A, 0), MATCH($A21, 'Daily 쨈 raw'!$1:$1, 0)), ""), IF(val=0, "", val))</f>
        <v>312200</v>
      </c>
      <c r="CQ21" s="54" t="str">
        <f t="array" ref="CQ21">LET(val, IFERROR(INDEX('Daily 쨈 raw'!$A:$Z, MATCH(CQ$3, 'Daily 쨈 raw'!$A:$A, 0), MATCH($A21, 'Daily 쨈 raw'!$1:$1, 0)), ""), IF(val=0, "", val))</f>
        <v/>
      </c>
      <c r="CR21" s="54" t="str">
        <f t="array" ref="CR21">LET(val, IFERROR(INDEX('Daily 쨈 raw'!$A:$Z, MATCH(CR$3, 'Daily 쨈 raw'!$A:$A, 0), MATCH($A21, 'Daily 쨈 raw'!$1:$1, 0)), ""), IF(val=0, "", val))</f>
        <v/>
      </c>
      <c r="CS21" s="54" t="str">
        <f t="array" ref="CS21">LET(val, IFERROR(INDEX('Daily 쨈 raw'!$A:$Z, MATCH(CS$3, 'Daily 쨈 raw'!$A:$A, 0), MATCH($A21, 'Daily 쨈 raw'!$1:$1, 0)), ""), IF(val=0, "", val))</f>
        <v/>
      </c>
      <c r="CT21" s="54" t="str">
        <f t="array" ref="CT21">LET(val, IFERROR(INDEX('Daily 쨈 raw'!$A:$Z, MATCH(CT$3, 'Daily 쨈 raw'!$A:$A, 0), MATCH($A21, 'Daily 쨈 raw'!$1:$1, 0)), ""), IF(val=0, "", val))</f>
        <v/>
      </c>
      <c r="CU21" s="54" t="str">
        <f t="array" ref="CU21">LET(val, IFERROR(INDEX('Daily 쨈 raw'!$A:$Z, MATCH(CU$3, 'Daily 쨈 raw'!$A:$A, 0), MATCH($A21, 'Daily 쨈 raw'!$1:$1, 0)), ""), IF(val=0, "", val))</f>
        <v/>
      </c>
      <c r="CV21" s="54" t="str">
        <f t="array" ref="CV21">LET(val, IFERROR(INDEX('Daily 쨈 raw'!$A:$Z, MATCH(CV$3, 'Daily 쨈 raw'!$A:$A, 0), MATCH($A21, 'Daily 쨈 raw'!$1:$1, 0)), ""), IF(val=0, "", val))</f>
        <v/>
      </c>
      <c r="CW21" s="54" t="str">
        <f t="array" ref="CW21">LET(val, IFERROR(INDEX('Daily 쨈 raw'!$A:$Z, MATCH(CW$3, 'Daily 쨈 raw'!$A:$A, 0), MATCH($A21, 'Daily 쨈 raw'!$1:$1, 0)), ""), IF(val=0, "", val))</f>
        <v/>
      </c>
      <c r="CX21" s="54" t="str">
        <f t="array" ref="CX21">LET(val, IFERROR(INDEX('Daily 쨈 raw'!$A:$Z, MATCH(CX$3, 'Daily 쨈 raw'!$A:$A, 0), MATCH($A21, 'Daily 쨈 raw'!$1:$1, 0)), ""), IF(val=0, "", val))</f>
        <v/>
      </c>
      <c r="CY21" s="54" t="str">
        <f t="array" ref="CY21">LET(val, IFERROR(INDEX('Daily 쨈 raw'!$A:$Z, MATCH(CY$3, 'Daily 쨈 raw'!$A:$A, 0), MATCH($A21, 'Daily 쨈 raw'!$1:$1, 0)), ""), IF(val=0, "", val))</f>
        <v/>
      </c>
      <c r="CZ21" s="54" t="str">
        <f t="array" ref="CZ21">LET(val, IFERROR(INDEX('Daily 쨈 raw'!$A:$Z, MATCH(CZ$3, 'Daily 쨈 raw'!$A:$A, 0), MATCH($A21, 'Daily 쨈 raw'!$1:$1, 0)), ""), IF(val=0, "", val))</f>
        <v/>
      </c>
      <c r="DA21" s="54" t="str">
        <f t="array" ref="DA21">LET(val, IFERROR(INDEX('Daily 쨈 raw'!$A:$Z, MATCH(DA$3, 'Daily 쨈 raw'!$A:$A, 0), MATCH($A21, 'Daily 쨈 raw'!$1:$1, 0)), ""), IF(val=0, "", val))</f>
        <v/>
      </c>
      <c r="DB21" s="54" t="str">
        <f t="array" ref="DB21">LET(val, IFERROR(INDEX('Daily 쨈 raw'!$A:$Z, MATCH(DB$3, 'Daily 쨈 raw'!$A:$A, 0), MATCH($A21, 'Daily 쨈 raw'!$1:$1, 0)), ""), IF(val=0, "", val))</f>
        <v/>
      </c>
      <c r="DC21" s="54" t="str">
        <f t="array" ref="DC21">LET(val, IFERROR(INDEX('Daily 쨈 raw'!$A:$Z, MATCH(DC$3, 'Daily 쨈 raw'!$A:$A, 0), MATCH($A21, 'Daily 쨈 raw'!$1:$1, 0)), ""), IF(val=0, "", val))</f>
        <v/>
      </c>
      <c r="DD21" s="54" t="str">
        <f t="array" ref="DD21">LET(val, IFERROR(INDEX('Daily 쨈 raw'!$A:$Z, MATCH(DD$3, 'Daily 쨈 raw'!$A:$A, 0), MATCH($A21, 'Daily 쨈 raw'!$1:$1, 0)), ""), IF(val=0, "", val))</f>
        <v/>
      </c>
      <c r="DE21" s="54" t="str">
        <f t="array" ref="DE21">LET(val, IFERROR(INDEX('Daily 쨈 raw'!$A:$Z, MATCH(DE$3, 'Daily 쨈 raw'!$A:$A, 0), MATCH($A21, 'Daily 쨈 raw'!$1:$1, 0)), ""), IF(val=0, "", val))</f>
        <v/>
      </c>
      <c r="DF21" s="54" t="str">
        <f t="array" ref="DF21">LET(val, IFERROR(INDEX('Daily 쨈 raw'!$A:$Z, MATCH(DF$3, 'Daily 쨈 raw'!$A:$A, 0), MATCH($A21, 'Daily 쨈 raw'!$1:$1, 0)), ""), IF(val=0, "", val))</f>
        <v/>
      </c>
      <c r="DG21" s="54" t="str">
        <f t="array" ref="DG21">LET(val, IFERROR(INDEX('Daily 쨈 raw'!$A:$Z, MATCH(DG$3, 'Daily 쨈 raw'!$A:$A, 0), MATCH($A21, 'Daily 쨈 raw'!$1:$1, 0)), ""), IF(val=0, "", val))</f>
        <v/>
      </c>
      <c r="DH21" s="54" t="str">
        <f t="array" ref="DH21">LET(val, IFERROR(INDEX('Daily 쨈 raw'!$A:$Z, MATCH(DH$3, 'Daily 쨈 raw'!$A:$A, 0), MATCH($A21, 'Daily 쨈 raw'!$1:$1, 0)), ""), IF(val=0, "", val))</f>
        <v/>
      </c>
      <c r="DI21" s="54" t="str">
        <f t="array" ref="DI21">LET(val, IFERROR(INDEX('Daily 쨈 raw'!$A:$Z, MATCH(DI$3, 'Daily 쨈 raw'!$A:$A, 0), MATCH($A21, 'Daily 쨈 raw'!$1:$1, 0)), ""), IF(val=0, "", val))</f>
        <v/>
      </c>
      <c r="DJ21" s="54" t="str">
        <f t="array" ref="DJ21">LET(val, IFERROR(INDEX('Daily 쨈 raw'!$A:$Z, MATCH(DJ$3, 'Daily 쨈 raw'!$A:$A, 0), MATCH($A21, 'Daily 쨈 raw'!$1:$1, 0)), ""), IF(val=0, "", val))</f>
        <v/>
      </c>
      <c r="DK21" s="54" t="str">
        <f t="array" ref="DK21">LET(val, IFERROR(INDEX('Daily 쨈 raw'!$A:$Z, MATCH(DK$3, 'Daily 쨈 raw'!$A:$A, 0), MATCH($A21, 'Daily 쨈 raw'!$1:$1, 0)), ""), IF(val=0, "", val))</f>
        <v/>
      </c>
      <c r="DL21" s="54" t="str">
        <f t="array" ref="DL21">LET(val, IFERROR(INDEX('Daily 쨈 raw'!$A:$Z, MATCH(DL$3, 'Daily 쨈 raw'!$A:$A, 0), MATCH($A21, 'Daily 쨈 raw'!$1:$1, 0)), ""), IF(val=0, "", val))</f>
        <v/>
      </c>
      <c r="DM21" s="54" t="str">
        <f t="array" ref="DM21">LET(val, IFERROR(INDEX('Daily 쨈 raw'!$A:$Z, MATCH(DM$3, 'Daily 쨈 raw'!$A:$A, 0), MATCH($A21, 'Daily 쨈 raw'!$1:$1, 0)), ""), IF(val=0, "", val))</f>
        <v/>
      </c>
      <c r="DN21" s="54" t="str">
        <f t="array" ref="DN21">LET(val, IFERROR(INDEX('Daily 쨈 raw'!$A:$Z, MATCH(DN$3, 'Daily 쨈 raw'!$A:$A, 0), MATCH($A21, 'Daily 쨈 raw'!$1:$1, 0)), ""), IF(val=0, "", val))</f>
        <v/>
      </c>
      <c r="DO21" s="54" t="str">
        <f t="array" ref="DO21">LET(val, IFERROR(INDEX('Daily 쨈 raw'!$A:$Z, MATCH(DO$3, 'Daily 쨈 raw'!$A:$A, 0), MATCH($A21, 'Daily 쨈 raw'!$1:$1, 0)), ""), IF(val=0, "", val))</f>
        <v/>
      </c>
      <c r="DP21" s="54" t="str">
        <f t="array" ref="DP21">LET(val, IFERROR(INDEX('Daily 쨈 raw'!$A:$Z, MATCH(DP$3, 'Daily 쨈 raw'!$A:$A, 0), MATCH($A21, 'Daily 쨈 raw'!$1:$1, 0)), ""), IF(val=0, "", val))</f>
        <v/>
      </c>
      <c r="DQ21" s="54" t="str">
        <f t="array" ref="DQ21">LET(val, IFERROR(INDEX('Daily 쨈 raw'!$A:$Z, MATCH(DQ$3, 'Daily 쨈 raw'!$A:$A, 0), MATCH($A21, 'Daily 쨈 raw'!$1:$1, 0)), ""), IF(val=0, "", val))</f>
        <v/>
      </c>
      <c r="DR21" s="54" t="str">
        <f t="array" ref="DR21">LET(val, IFERROR(INDEX('Daily 쨈 raw'!$A:$Z, MATCH(DR$3, 'Daily 쨈 raw'!$A:$A, 0), MATCH($A21, 'Daily 쨈 raw'!$1:$1, 0)), ""), IF(val=0, "", val))</f>
        <v/>
      </c>
      <c r="DS21" s="54" t="str">
        <f t="array" ref="DS21">LET(val, IFERROR(INDEX('Daily 쨈 raw'!$A:$Z, MATCH(DS$3, 'Daily 쨈 raw'!$A:$A, 0), MATCH($A21, 'Daily 쨈 raw'!$1:$1, 0)), ""), IF(val=0, "", val))</f>
        <v/>
      </c>
      <c r="DT21" s="54" t="str">
        <f t="array" ref="DT21">LET(val, IFERROR(INDEX('Daily 쨈 raw'!$A:$Z, MATCH(DT$3, 'Daily 쨈 raw'!$A:$A, 0), MATCH($A21, 'Daily 쨈 raw'!$1:$1, 0)), ""), IF(val=0, "", val))</f>
        <v/>
      </c>
      <c r="DU21" s="54" t="str">
        <f t="array" ref="DU21">LET(val, IFERROR(INDEX('Daily 쨈 raw'!$A:$Z, MATCH(DU$3, 'Daily 쨈 raw'!$A:$A, 0), MATCH($A21, 'Daily 쨈 raw'!$1:$1, 0)), ""), IF(val=0, "", val))</f>
        <v/>
      </c>
      <c r="DV21" s="54" t="str">
        <f t="array" ref="DV21">LET(val, IFERROR(INDEX('Daily 쨈 raw'!$A:$Z, MATCH(DV$3, 'Daily 쨈 raw'!$A:$A, 0), MATCH($A21, 'Daily 쨈 raw'!$1:$1, 0)), ""), IF(val=0, "", val))</f>
        <v/>
      </c>
      <c r="DW21" s="54" t="str">
        <f t="array" ref="DW21">LET(val, IFERROR(INDEX('Daily 쨈 raw'!$A:$Z, MATCH(DW$3, 'Daily 쨈 raw'!$A:$A, 0), MATCH($A21, 'Daily 쨈 raw'!$1:$1, 0)), ""), IF(val=0, "", val))</f>
        <v/>
      </c>
      <c r="DX21" s="54" t="str">
        <f t="array" ref="DX21">LET(val, IFERROR(INDEX('Daily 쨈 raw'!$A:$Z, MATCH(DX$3, 'Daily 쨈 raw'!$A:$A, 0), MATCH($A21, 'Daily 쨈 raw'!$1:$1, 0)), ""), IF(val=0, "", val))</f>
        <v/>
      </c>
      <c r="DY21" s="54" t="str">
        <f t="array" ref="DY21">LET(val, IFERROR(INDEX('Daily 쨈 raw'!$A:$Z, MATCH(DY$3, 'Daily 쨈 raw'!$A:$A, 0), MATCH($A21, 'Daily 쨈 raw'!$1:$1, 0)), ""), IF(val=0, "", val))</f>
        <v/>
      </c>
      <c r="DZ21" s="54" t="str">
        <f t="array" ref="DZ21">LET(val, IFERROR(INDEX('Daily 쨈 raw'!$A:$Z, MATCH(DZ$3, 'Daily 쨈 raw'!$A:$A, 0), MATCH($A21, 'Daily 쨈 raw'!$1:$1, 0)), ""), IF(val=0, "", val))</f>
        <v/>
      </c>
    </row>
    <row r="22" ht="22.5" customHeight="1">
      <c r="A22" s="23" t="s">
        <v>28</v>
      </c>
      <c r="B22" s="56" t="s">
        <v>66</v>
      </c>
      <c r="C22" s="44">
        <f t="array" ref="C22">LET(val, IFERROR(INDEX('Daily 쨈 raw'!$A:$ZZ, MATCH(C$3, 'Daily 쨈 raw'!$A:$A, 0), MATCH($A22, 'Daily 쨈 raw'!$1:$1, 0)), ""), IF(val=0, "", val))</f>
        <v>64</v>
      </c>
      <c r="D22" s="44">
        <f t="array" ref="D22">LET(val, IFERROR(INDEX('Daily 쨈 raw'!$A:$ZZ, MATCH(D$3, 'Daily 쨈 raw'!$A:$A, 0), MATCH($A22, 'Daily 쨈 raw'!$1:$1, 0)), ""), IF(val=0, "", val))</f>
        <v>82</v>
      </c>
      <c r="E22" s="44">
        <f t="array" ref="E22">LET(val, IFERROR(INDEX('Daily 쨈 raw'!$A:$ZZ, MATCH(E$3, 'Daily 쨈 raw'!$A:$A, 0), MATCH($A22, 'Daily 쨈 raw'!$1:$1, 0)), ""), IF(val=0, "", val))</f>
        <v>54</v>
      </c>
      <c r="F22" s="44">
        <f t="array" ref="F22">LET(val, IFERROR(INDEX('Daily 쨈 raw'!$A:$ZZ, MATCH(F$3, 'Daily 쨈 raw'!$A:$A, 0), MATCH($A22, 'Daily 쨈 raw'!$1:$1, 0)), ""), IF(val=0, "", val))</f>
        <v>48</v>
      </c>
      <c r="G22" s="44">
        <f t="array" ref="G22">LET(val, IFERROR(INDEX('Daily 쨈 raw'!$A:$ZZ, MATCH(G$3, 'Daily 쨈 raw'!$A:$A, 0), MATCH($A22, 'Daily 쨈 raw'!$1:$1, 0)), ""), IF(val=0, "", val))</f>
        <v>46</v>
      </c>
      <c r="H22" s="44">
        <f t="array" ref="H22">LET(val, IFERROR(INDEX('Daily 쨈 raw'!$A:$ZZ, MATCH(H$3, 'Daily 쨈 raw'!$A:$A, 0), MATCH($A22, 'Daily 쨈 raw'!$1:$1, 0)), ""), IF(val=0, "", val))</f>
        <v>88</v>
      </c>
      <c r="I22" s="44">
        <f t="array" ref="I22">LET(val, IFERROR(INDEX('Daily 쨈 raw'!$A:$ZZ, MATCH(I$3, 'Daily 쨈 raw'!$A:$A, 0), MATCH($A22, 'Daily 쨈 raw'!$1:$1, 0)), ""), IF(val=0, "", val))</f>
        <v>72</v>
      </c>
      <c r="J22" s="44">
        <f t="array" ref="J22">LET(val, IFERROR(INDEX('Daily 쨈 raw'!$A:$ZZ, MATCH(J$3, 'Daily 쨈 raw'!$A:$A, 0), MATCH($A22, 'Daily 쨈 raw'!$1:$1, 0)), ""), IF(val=0, "", val))</f>
        <v>57</v>
      </c>
      <c r="K22" s="44">
        <f t="array" ref="K22">LET(val, IFERROR(INDEX('Daily 쨈 raw'!$A:$ZZ, MATCH(K$3, 'Daily 쨈 raw'!$A:$A, 0), MATCH($A22, 'Daily 쨈 raw'!$1:$1, 0)), ""), IF(val=0, "", val))</f>
        <v>97</v>
      </c>
      <c r="L22" s="44">
        <f t="array" ref="L22">LET(val, IFERROR(INDEX('Daily 쨈 raw'!$A:$ZZ, MATCH(L$3, 'Daily 쨈 raw'!$A:$A, 0), MATCH($A22, 'Daily 쨈 raw'!$1:$1, 0)), ""), IF(val=0, "", val))</f>
        <v>105</v>
      </c>
      <c r="M22" s="44">
        <f t="array" ref="M22">LET(val, IFERROR(INDEX('Daily 쨈 raw'!$A:$ZZ, MATCH(M$3, 'Daily 쨈 raw'!$A:$A, 0), MATCH($A22, 'Daily 쨈 raw'!$1:$1, 0)), ""), IF(val=0, "", val))</f>
        <v>75</v>
      </c>
      <c r="N22" s="44">
        <f t="array" ref="N22">LET(val, IFERROR(INDEX('Daily 쨈 raw'!$A:$ZZ, MATCH(N$3, 'Daily 쨈 raw'!$A:$A, 0), MATCH($A22, 'Daily 쨈 raw'!$1:$1, 0)), ""), IF(val=0, "", val))</f>
        <v>78</v>
      </c>
      <c r="O22" s="44">
        <f t="array" ref="O22">LET(val, IFERROR(INDEX('Daily 쨈 raw'!$A:$ZZ, MATCH(O$3, 'Daily 쨈 raw'!$A:$A, 0), MATCH($A22, 'Daily 쨈 raw'!$1:$1, 0)), ""), IF(val=0, "", val))</f>
        <v>86</v>
      </c>
      <c r="P22" s="44">
        <f t="array" ref="P22">LET(val, IFERROR(INDEX('Daily 쨈 raw'!$A:$ZZ, MATCH(P$3, 'Daily 쨈 raw'!$A:$A, 0), MATCH($A22, 'Daily 쨈 raw'!$1:$1, 0)), ""), IF(val=0, "", val))</f>
        <v>85</v>
      </c>
      <c r="Q22" s="44">
        <f t="array" ref="Q22">LET(val, IFERROR(INDEX('Daily 쨈 raw'!$A:$ZZ, MATCH(Q$3, 'Daily 쨈 raw'!$A:$A, 0), MATCH($A22, 'Daily 쨈 raw'!$1:$1, 0)), ""), IF(val=0, "", val))</f>
        <v>67</v>
      </c>
      <c r="R22" s="44">
        <f t="array" ref="R22">LET(val, IFERROR(INDEX('Daily 쨈 raw'!$A:$ZZ, MATCH(R$3, 'Daily 쨈 raw'!$A:$A, 0), MATCH($A22, 'Daily 쨈 raw'!$1:$1, 0)), ""), IF(val=0, "", val))</f>
        <v>67</v>
      </c>
      <c r="S22" s="44">
        <f t="array" ref="S22">LET(val, IFERROR(INDEX('Daily 쨈 raw'!$A:$ZZ, MATCH(S$3, 'Daily 쨈 raw'!$A:$A, 0), MATCH($A22, 'Daily 쨈 raw'!$1:$1, 0)), ""), IF(val=0, "", val))</f>
        <v>57</v>
      </c>
      <c r="T22" s="44">
        <f t="array" ref="T22">LET(val, IFERROR(INDEX('Daily 쨈 raw'!$A:$ZZ, MATCH(T$3, 'Daily 쨈 raw'!$A:$A, 0), MATCH($A22, 'Daily 쨈 raw'!$1:$1, 0)), ""), IF(val=0, "", val))</f>
        <v>70</v>
      </c>
      <c r="U22" s="44">
        <f t="array" ref="U22">LET(val, IFERROR(INDEX('Daily 쨈 raw'!$A:$ZZ, MATCH(U$3, 'Daily 쨈 raw'!$A:$A, 0), MATCH($A22, 'Daily 쨈 raw'!$1:$1, 0)), ""), IF(val=0, "", val))</f>
        <v>55</v>
      </c>
      <c r="V22" s="44">
        <f t="array" ref="V22">LET(val, IFERROR(INDEX('Daily 쨈 raw'!$A:$ZZ, MATCH(V$3, 'Daily 쨈 raw'!$A:$A, 0), MATCH($A22, 'Daily 쨈 raw'!$1:$1, 0)), ""), IF(val=0, "", val))</f>
        <v>64</v>
      </c>
      <c r="W22" s="44">
        <f t="array" ref="W22">LET(val, IFERROR(INDEX('Daily 쨈 raw'!$A:$ZZ, MATCH(W$3, 'Daily 쨈 raw'!$A:$A, 0), MATCH($A22, 'Daily 쨈 raw'!$1:$1, 0)), ""), IF(val=0, "", val))</f>
        <v>72</v>
      </c>
      <c r="X22" s="44">
        <f t="array" ref="X22">LET(val, IFERROR(INDEX('Daily 쨈 raw'!$A:$ZZ, MATCH(X$3, 'Daily 쨈 raw'!$A:$A, 0), MATCH($A22, 'Daily 쨈 raw'!$1:$1, 0)), ""), IF(val=0, "", val))</f>
        <v>66</v>
      </c>
      <c r="Y22" s="44">
        <f t="array" ref="Y22">LET(val, IFERROR(INDEX('Daily 쨈 raw'!$A:$ZZ, MATCH(Y$3, 'Daily 쨈 raw'!$A:$A, 0), MATCH($A22, 'Daily 쨈 raw'!$1:$1, 0)), ""), IF(val=0, "", val))</f>
        <v>55</v>
      </c>
      <c r="Z22" s="44">
        <f t="array" ref="Z22">LET(val, IFERROR(INDEX('Daily 쨈 raw'!$A:$ZZ, MATCH(Z$3, 'Daily 쨈 raw'!$A:$A, 0), MATCH($A22, 'Daily 쨈 raw'!$1:$1, 0)), ""), IF(val=0, "", val))</f>
        <v>68</v>
      </c>
      <c r="AA22" s="44">
        <f t="array" ref="AA22">LET(val, IFERROR(INDEX('Daily 쨈 raw'!$A:$ZZ, MATCH(AA$3, 'Daily 쨈 raw'!$A:$A, 0), MATCH($A22, 'Daily 쨈 raw'!$1:$1, 0)), ""), IF(val=0, "", val))</f>
        <v>44</v>
      </c>
      <c r="AB22" s="44">
        <f t="array" ref="AB22">LET(val, IFERROR(INDEX('Daily 쨈 raw'!$A:$ZZ, MATCH(AB$3, 'Daily 쨈 raw'!$A:$A, 0), MATCH($A22, 'Daily 쨈 raw'!$1:$1, 0)), ""), IF(val=0, "", val))</f>
        <v>56</v>
      </c>
      <c r="AC22" s="44">
        <f t="array" ref="AC22">LET(val, IFERROR(INDEX('Daily 쨈 raw'!$A:$ZZ, MATCH(AC$3, 'Daily 쨈 raw'!$A:$A, 0), MATCH($A22, 'Daily 쨈 raw'!$1:$1, 0)), ""), IF(val=0, "", val))</f>
        <v>48</v>
      </c>
      <c r="AD22" s="44">
        <f t="array" ref="AD22">LET(val, IFERROR(INDEX('Daily 쨈 raw'!$A:$ZZ, MATCH(AD$3, 'Daily 쨈 raw'!$A:$A, 0), MATCH($A22, 'Daily 쨈 raw'!$1:$1, 0)), ""), IF(val=0, "", val))</f>
        <v>54</v>
      </c>
      <c r="AE22" s="44">
        <f t="array" ref="AE22">LET(val, IFERROR(INDEX('Daily 쨈 raw'!$A:$ZZ, MATCH(AE$3, 'Daily 쨈 raw'!$A:$A, 0), MATCH($A22, 'Daily 쨈 raw'!$1:$1, 0)), ""), IF(val=0, "", val))</f>
        <v>65</v>
      </c>
      <c r="AF22" s="44">
        <f t="array" ref="AF22">LET(val, IFERROR(INDEX('Daily 쨈 raw'!$A:$ZZ, MATCH(AF$3, 'Daily 쨈 raw'!$A:$A, 0), MATCH($A22, 'Daily 쨈 raw'!$1:$1, 0)), ""), IF(val=0, "", val))</f>
        <v>90</v>
      </c>
      <c r="AG22" s="44">
        <f t="array" ref="AG22">LET(val, IFERROR(INDEX('Daily 쨈 raw'!$A:$ZZ, MATCH(AG$3, 'Daily 쨈 raw'!$A:$A, 0), MATCH($A22, 'Daily 쨈 raw'!$1:$1, 0)), ""), IF(val=0, "", val))</f>
        <v>321</v>
      </c>
      <c r="AH22" s="44">
        <f t="array" ref="AH22">LET(val, IFERROR(INDEX('Daily 쨈 raw'!$A:$ZZ, MATCH(AH$3, 'Daily 쨈 raw'!$A:$A, 0), MATCH($A22, 'Daily 쨈 raw'!$1:$1, 0)), ""), IF(val=0, "", val))</f>
        <v>252</v>
      </c>
      <c r="AI22" s="44">
        <f t="array" ref="AI22">LET(val, IFERROR(INDEX('Daily 쨈 raw'!$A:$ZZ, MATCH(AI$3, 'Daily 쨈 raw'!$A:$A, 0), MATCH($A22, 'Daily 쨈 raw'!$1:$1, 0)), ""), IF(val=0, "", val))</f>
        <v>80</v>
      </c>
      <c r="AJ22" s="44">
        <f t="array" ref="AJ22">LET(val, IFERROR(INDEX('Daily 쨈 raw'!$A:$ZZ, MATCH(AJ$3, 'Daily 쨈 raw'!$A:$A, 0), MATCH($A22, 'Daily 쨈 raw'!$1:$1, 0)), ""), IF(val=0, "", val))</f>
        <v>94</v>
      </c>
      <c r="AK22" s="44">
        <f t="array" ref="AK22">LET(val, IFERROR(INDEX('Daily 쨈 raw'!$A:$ZZ, MATCH(AK$3, 'Daily 쨈 raw'!$A:$A, 0), MATCH($A22, 'Daily 쨈 raw'!$1:$1, 0)), ""), IF(val=0, "", val))</f>
        <v>100</v>
      </c>
      <c r="AL22" s="44">
        <f t="array" ref="AL22">LET(val, IFERROR(INDEX('Daily 쨈 raw'!$A:$ZZ, MATCH(AL$3, 'Daily 쨈 raw'!$A:$A, 0), MATCH($A22, 'Daily 쨈 raw'!$1:$1, 0)), ""), IF(val=0, "", val))</f>
        <v>86</v>
      </c>
      <c r="AM22" s="44">
        <f t="array" ref="AM22">LET(val, IFERROR(INDEX('Daily 쨈 raw'!$A:$ZZ, MATCH(AM$3, 'Daily 쨈 raw'!$A:$A, 0), MATCH($A22, 'Daily 쨈 raw'!$1:$1, 0)), ""), IF(val=0, "", val))</f>
        <v>76</v>
      </c>
      <c r="AN22" s="44">
        <f t="array" ref="AN22">LET(val, IFERROR(INDEX('Daily 쨈 raw'!$A:$ZZ, MATCH(AN$3, 'Daily 쨈 raw'!$A:$A, 0), MATCH($A22, 'Daily 쨈 raw'!$1:$1, 0)), ""), IF(val=0, "", val))</f>
        <v>107</v>
      </c>
      <c r="AO22" s="44">
        <f t="array" ref="AO22">LET(val, IFERROR(INDEX('Daily 쨈 raw'!$A:$ZZ, MATCH(AO$3, 'Daily 쨈 raw'!$A:$A, 0), MATCH($A22, 'Daily 쨈 raw'!$1:$1, 0)), ""), IF(val=0, "", val))</f>
        <v>159</v>
      </c>
      <c r="AP22" s="44">
        <f t="array" ref="AP22">LET(val, IFERROR(INDEX('Daily 쨈 raw'!$A:$ZZ, MATCH(AP$3, 'Daily 쨈 raw'!$A:$A, 0), MATCH($A22, 'Daily 쨈 raw'!$1:$1, 0)), ""), IF(val=0, "", val))</f>
        <v>76</v>
      </c>
      <c r="AQ22" s="44">
        <f t="array" ref="AQ22">LET(val, IFERROR(INDEX('Daily 쨈 raw'!$A:$ZZ, MATCH(AQ$3, 'Daily 쨈 raw'!$A:$A, 0), MATCH($A22, 'Daily 쨈 raw'!$1:$1, 0)), ""), IF(val=0, "", val))</f>
        <v>83</v>
      </c>
      <c r="AR22" s="44">
        <f t="array" ref="AR22">LET(val, IFERROR(INDEX('Daily 쨈 raw'!$A:$ZZ, MATCH(AR$3, 'Daily 쨈 raw'!$A:$A, 0), MATCH($A22, 'Daily 쨈 raw'!$1:$1, 0)), ""), IF(val=0, "", val))</f>
        <v>65</v>
      </c>
      <c r="AS22" s="44">
        <f t="array" ref="AS22">LET(val, IFERROR(INDEX('Daily 쨈 raw'!$A:$ZZ, MATCH(AS$3, 'Daily 쨈 raw'!$A:$A, 0), MATCH($A22, 'Daily 쨈 raw'!$1:$1, 0)), ""), IF(val=0, "", val))</f>
        <v>47</v>
      </c>
      <c r="AT22" s="44">
        <f t="array" ref="AT22">LET(val, IFERROR(INDEX('Daily 쨈 raw'!$A:$ZZ, MATCH(AT$3, 'Daily 쨈 raw'!$A:$A, 0), MATCH($A22, 'Daily 쨈 raw'!$1:$1, 0)), ""), IF(val=0, "", val))</f>
        <v>70</v>
      </c>
      <c r="AU22" s="44">
        <f t="array" ref="AU22">LET(val, IFERROR(INDEX('Daily 쨈 raw'!$A:$ZZ, MATCH(AU$3, 'Daily 쨈 raw'!$A:$A, 0), MATCH($A22, 'Daily 쨈 raw'!$1:$1, 0)), ""), IF(val=0, "", val))</f>
        <v>62</v>
      </c>
      <c r="AV22" s="44">
        <f t="array" ref="AV22">LET(val, IFERROR(INDEX('Daily 쨈 raw'!$A:$ZZ, MATCH(AV$3, 'Daily 쨈 raw'!$A:$A, 0), MATCH($A22, 'Daily 쨈 raw'!$1:$1, 0)), ""), IF(val=0, "", val))</f>
        <v>60</v>
      </c>
      <c r="AW22" s="44">
        <f t="array" ref="AW22">LET(val, IFERROR(INDEX('Daily 쨈 raw'!$A:$ZZ, MATCH(AW$3, 'Daily 쨈 raw'!$A:$A, 0), MATCH($A22, 'Daily 쨈 raw'!$1:$1, 0)), ""), IF(val=0, "", val))</f>
        <v>60</v>
      </c>
      <c r="AX22" s="44">
        <f t="array" ref="AX22">LET(val, IFERROR(INDEX('Daily 쨈 raw'!$A:$ZZ, MATCH(AX$3, 'Daily 쨈 raw'!$A:$A, 0), MATCH($A22, 'Daily 쨈 raw'!$1:$1, 0)), ""), IF(val=0, "", val))</f>
        <v>55</v>
      </c>
      <c r="AY22" s="44">
        <f t="array" ref="AY22">LET(val, IFERROR(INDEX('Daily 쨈 raw'!$A:$ZZ, MATCH(AY$3, 'Daily 쨈 raw'!$A:$A, 0), MATCH($A22, 'Daily 쨈 raw'!$1:$1, 0)), ""), IF(val=0, "", val))</f>
        <v>51</v>
      </c>
      <c r="AZ22" s="44">
        <f t="array" ref="AZ22">LET(val, IFERROR(INDEX('Daily 쨈 raw'!$A:$ZZ, MATCH(AZ$3, 'Daily 쨈 raw'!$A:$A, 0), MATCH($A22, 'Daily 쨈 raw'!$1:$1, 0)), ""), IF(val=0, "", val))</f>
        <v>51</v>
      </c>
      <c r="BA22" s="44">
        <f t="array" ref="BA22">LET(val, IFERROR(INDEX('Daily 쨈 raw'!$A:$ZZ, MATCH(BA$3, 'Daily 쨈 raw'!$A:$A, 0), MATCH($A22, 'Daily 쨈 raw'!$1:$1, 0)), ""), IF(val=0, "", val))</f>
        <v>54</v>
      </c>
      <c r="BB22" s="44">
        <f t="array" ref="BB22">LET(val, IFERROR(INDEX('Daily 쨈 raw'!$A:$ZZ, MATCH(BB$3, 'Daily 쨈 raw'!$A:$A, 0), MATCH($A22, 'Daily 쨈 raw'!$1:$1, 0)), ""), IF(val=0, "", val))</f>
        <v>43</v>
      </c>
      <c r="BC22" s="44">
        <f t="array" ref="BC22">LET(val, IFERROR(INDEX('Daily 쨈 raw'!$A:$ZZ, MATCH(BC$3, 'Daily 쨈 raw'!$A:$A, 0), MATCH($A22, 'Daily 쨈 raw'!$1:$1, 0)), ""), IF(val=0, "", val))</f>
        <v>52</v>
      </c>
      <c r="BD22" s="44">
        <f t="array" ref="BD22">LET(val, IFERROR(INDEX('Daily 쨈 raw'!$A:$ZZ, MATCH(BD$3, 'Daily 쨈 raw'!$A:$A, 0), MATCH($A22, 'Daily 쨈 raw'!$1:$1, 0)), ""), IF(val=0, "", val))</f>
        <v>75</v>
      </c>
      <c r="BE22" s="44">
        <f t="array" ref="BE22">LET(val, IFERROR(INDEX('Daily 쨈 raw'!$A:$ZZ, MATCH(BE$3, 'Daily 쨈 raw'!$A:$A, 0), MATCH($A22, 'Daily 쨈 raw'!$1:$1, 0)), ""), IF(val=0, "", val))</f>
        <v>99</v>
      </c>
      <c r="BF22" s="44">
        <f t="array" ref="BF22">LET(val, IFERROR(INDEX('Daily 쨈 raw'!$A:$ZZ, MATCH(BF$3, 'Daily 쨈 raw'!$A:$A, 0), MATCH($A22, 'Daily 쨈 raw'!$1:$1, 0)), ""), IF(val=0, "", val))</f>
        <v>87</v>
      </c>
      <c r="BG22" s="44">
        <f t="array" ref="BG22">LET(val, IFERROR(INDEX('Daily 쨈 raw'!$A:$ZZ, MATCH(BG$3, 'Daily 쨈 raw'!$A:$A, 0), MATCH($A22, 'Daily 쨈 raw'!$1:$1, 0)), ""), IF(val=0, "", val))</f>
        <v>55</v>
      </c>
      <c r="BH22" s="44">
        <f t="array" ref="BH22">LET(val, IFERROR(INDEX('Daily 쨈 raw'!$A:$ZZ, MATCH(BH$3, 'Daily 쨈 raw'!$A:$A, 0), MATCH($A22, 'Daily 쨈 raw'!$1:$1, 0)), ""), IF(val=0, "", val))</f>
        <v>67</v>
      </c>
      <c r="BI22" s="44">
        <f t="array" ref="BI22">LET(val, IFERROR(INDEX('Daily 쨈 raw'!$A:$ZZ, MATCH(BI$3, 'Daily 쨈 raw'!$A:$A, 0), MATCH($A22, 'Daily 쨈 raw'!$1:$1, 0)), ""), IF(val=0, "", val))</f>
        <v>65</v>
      </c>
      <c r="BJ22" s="44">
        <f t="array" ref="BJ22">LET(val, IFERROR(INDEX('Daily 쨈 raw'!$A:$ZZ, MATCH(BJ$3, 'Daily 쨈 raw'!$A:$A, 0), MATCH($A22, 'Daily 쨈 raw'!$1:$1, 0)), ""), IF(val=0, "", val))</f>
        <v>79</v>
      </c>
      <c r="BK22" s="44">
        <f t="array" ref="BK22">LET(val, IFERROR(INDEX('Daily 쨈 raw'!$A:$ZZ, MATCH(BK$3, 'Daily 쨈 raw'!$A:$A, 0), MATCH($A22, 'Daily 쨈 raw'!$1:$1, 0)), ""), IF(val=0, "", val))</f>
        <v>85</v>
      </c>
      <c r="BL22" s="44">
        <f t="array" ref="BL22">LET(val, IFERROR(INDEX('Daily 쨈 raw'!$A:$ZZ, MATCH(BL$3, 'Daily 쨈 raw'!$A:$A, 0), MATCH($A22, 'Daily 쨈 raw'!$1:$1, 0)), ""), IF(val=0, "", val))</f>
        <v>85</v>
      </c>
      <c r="BM22" s="44">
        <f t="array" ref="BM22">LET(val, IFERROR(INDEX('Daily 쨈 raw'!$A:$ZZ, MATCH(BM$3, 'Daily 쨈 raw'!$A:$A, 0), MATCH($A22, 'Daily 쨈 raw'!$1:$1, 0)), ""), IF(val=0, "", val))</f>
        <v>84</v>
      </c>
      <c r="BN22" s="44">
        <f t="array" ref="BN22">LET(val, IFERROR(INDEX('Daily 쨈 raw'!$A:$ZZ, MATCH(BN$3, 'Daily 쨈 raw'!$A:$A, 0), MATCH($A22, 'Daily 쨈 raw'!$1:$1, 0)), ""), IF(val=0, "", val))</f>
        <v>55</v>
      </c>
      <c r="BO22" s="44">
        <f t="array" ref="BO22">LET(val, IFERROR(INDEX('Daily 쨈 raw'!$A:$ZZ, MATCH(BO$3, 'Daily 쨈 raw'!$A:$A, 0), MATCH($A22, 'Daily 쨈 raw'!$1:$1, 0)), ""), IF(val=0, "", val))</f>
        <v>47</v>
      </c>
      <c r="BP22" s="44">
        <f t="array" ref="BP22">LET(val, IFERROR(INDEX('Daily 쨈 raw'!$A:$ZZ, MATCH(BP$3, 'Daily 쨈 raw'!$A:$A, 0), MATCH($A22, 'Daily 쨈 raw'!$1:$1, 0)), ""), IF(val=0, "", val))</f>
        <v>49</v>
      </c>
      <c r="BQ22" s="44">
        <f t="array" ref="BQ22">LET(val, IFERROR(INDEX('Daily 쨈 raw'!$A:$ZZ, MATCH(BQ$3, 'Daily 쨈 raw'!$A:$A, 0), MATCH($A22, 'Daily 쨈 raw'!$1:$1, 0)), ""), IF(val=0, "", val))</f>
        <v>55</v>
      </c>
      <c r="BR22" s="44">
        <f t="array" ref="BR22">LET(val, IFERROR(INDEX('Daily 쨈 raw'!$A:$ZZ, MATCH(BR$3, 'Daily 쨈 raw'!$A:$A, 0), MATCH($A22, 'Daily 쨈 raw'!$1:$1, 0)), ""), IF(val=0, "", val))</f>
        <v>41</v>
      </c>
      <c r="BS22" s="44">
        <f t="array" ref="BS22">LET(val, IFERROR(INDEX('Daily 쨈 raw'!$A:$ZZ, MATCH(BS$3, 'Daily 쨈 raw'!$A:$A, 0), MATCH($A22, 'Daily 쨈 raw'!$1:$1, 0)), ""), IF(val=0, "", val))</f>
        <v>64</v>
      </c>
      <c r="BT22" s="44">
        <f t="array" ref="BT22">LET(val, IFERROR(INDEX('Daily 쨈 raw'!$A:$ZZ, MATCH(BT$3, 'Daily 쨈 raw'!$A:$A, 0), MATCH($A22, 'Daily 쨈 raw'!$1:$1, 0)), ""), IF(val=0, "", val))</f>
        <v>47</v>
      </c>
      <c r="BU22" s="44">
        <f t="array" ref="BU22">LET(val, IFERROR(INDEX('Daily 쨈 raw'!$A:$ZZ, MATCH(BU$3, 'Daily 쨈 raw'!$A:$A, 0), MATCH($A22, 'Daily 쨈 raw'!$1:$1, 0)), ""), IF(val=0, "", val))</f>
        <v>59</v>
      </c>
      <c r="BV22" s="44">
        <f t="array" ref="BV22">LET(val, IFERROR(INDEX('Daily 쨈 raw'!$A:$ZZ, MATCH(BV$3, 'Daily 쨈 raw'!$A:$A, 0), MATCH($A22, 'Daily 쨈 raw'!$1:$1, 0)), ""), IF(val=0, "", val))</f>
        <v>38</v>
      </c>
      <c r="BW22" s="44">
        <f t="array" ref="BW22">LET(val, IFERROR(INDEX('Daily 쨈 raw'!$A:$ZZ, MATCH(BW$3, 'Daily 쨈 raw'!$A:$A, 0), MATCH($A22, 'Daily 쨈 raw'!$1:$1, 0)), ""), IF(val=0, "", val))</f>
        <v>46</v>
      </c>
      <c r="BX22" s="44">
        <f t="array" ref="BX22">LET(val, IFERROR(INDEX('Daily 쨈 raw'!$A:$ZZ, MATCH(BX$3, 'Daily 쨈 raw'!$A:$A, 0), MATCH($A22, 'Daily 쨈 raw'!$1:$1, 0)), ""), IF(val=0, "", val))</f>
        <v>50</v>
      </c>
      <c r="BY22" s="44">
        <f t="array" ref="BY22">LET(val, IFERROR(INDEX('Daily 쨈 raw'!$A:$ZZ, MATCH(BY$3, 'Daily 쨈 raw'!$A:$A, 0), MATCH($A22, 'Daily 쨈 raw'!$1:$1, 0)), ""), IF(val=0, "", val))</f>
        <v>55</v>
      </c>
      <c r="BZ22" s="44">
        <f t="array" ref="BZ22">LET(val, IFERROR(INDEX('Daily 쨈 raw'!$A:$ZZ, MATCH(BZ$3, 'Daily 쨈 raw'!$A:$A, 0), MATCH($A22, 'Daily 쨈 raw'!$1:$1, 0)), ""), IF(val=0, "", val))</f>
        <v>34</v>
      </c>
      <c r="CA22" s="44">
        <f t="array" ref="CA22">LET(val, IFERROR(INDEX('Daily 쨈 raw'!$A:$ZZ, MATCH(CA$3, 'Daily 쨈 raw'!$A:$A, 0), MATCH($A22, 'Daily 쨈 raw'!$1:$1, 0)), ""), IF(val=0, "", val))</f>
        <v>46</v>
      </c>
      <c r="CB22" s="44">
        <f t="array" ref="CB22">LET(val, IFERROR(INDEX('Daily 쨈 raw'!$A:$ZZ, MATCH(CB$3, 'Daily 쨈 raw'!$A:$A, 0), MATCH($A22, 'Daily 쨈 raw'!$1:$1, 0)), ""), IF(val=0, "", val))</f>
        <v>26</v>
      </c>
      <c r="CC22" s="44">
        <f t="array" ref="CC22">LET(val, IFERROR(INDEX('Daily 쨈 raw'!$A:$ZZ, MATCH(CC$3, 'Daily 쨈 raw'!$A:$A, 0), MATCH($A22, 'Daily 쨈 raw'!$1:$1, 0)), ""), IF(val=0, "", val))</f>
        <v>41</v>
      </c>
      <c r="CD22" s="44">
        <f t="array" ref="CD22">LET(val, IFERROR(INDEX('Daily 쨈 raw'!$A:$ZZ, MATCH(CD$3, 'Daily 쨈 raw'!$A:$A, 0), MATCH($A22, 'Daily 쨈 raw'!$1:$1, 0)), ""), IF(val=0, "", val))</f>
        <v>53</v>
      </c>
      <c r="CE22" s="44">
        <f t="array" ref="CE22">LET(val, IFERROR(INDEX('Daily 쨈 raw'!$A:$ZZ, MATCH(CE$3, 'Daily 쨈 raw'!$A:$A, 0), MATCH($A22, 'Daily 쨈 raw'!$1:$1, 0)), ""), IF(val=0, "", val))</f>
        <v>51</v>
      </c>
      <c r="CF22" s="44">
        <f t="array" ref="CF22">LET(val, IFERROR(INDEX('Daily 쨈 raw'!$A:$ZZ, MATCH(CF$3, 'Daily 쨈 raw'!$A:$A, 0), MATCH($A22, 'Daily 쨈 raw'!$1:$1, 0)), ""), IF(val=0, "", val))</f>
        <v>51</v>
      </c>
      <c r="CG22" s="44">
        <f t="array" ref="CG22">LET(val, IFERROR(INDEX('Daily 쨈 raw'!$A:$ZZ, MATCH(CG$3, 'Daily 쨈 raw'!$A:$A, 0), MATCH($A22, 'Daily 쨈 raw'!$1:$1, 0)), ""), IF(val=0, "", val))</f>
        <v>70</v>
      </c>
      <c r="CH22" s="44">
        <f t="array" ref="CH22">LET(val, IFERROR(INDEX('Daily 쨈 raw'!$A:$ZZ, MATCH(CH$3, 'Daily 쨈 raw'!$A:$A, 0), MATCH($A22, 'Daily 쨈 raw'!$1:$1, 0)), ""), IF(val=0, "", val))</f>
        <v>69</v>
      </c>
      <c r="CI22" s="44">
        <f t="array" ref="CI22">LET(val, IFERROR(INDEX('Daily 쨈 raw'!$A:$ZZ, MATCH(CI$3, 'Daily 쨈 raw'!$A:$A, 0), MATCH($A22, 'Daily 쨈 raw'!$1:$1, 0)), ""), IF(val=0, "", val))</f>
        <v>85</v>
      </c>
      <c r="CJ22" s="44">
        <f t="array" ref="CJ22">LET(val, IFERROR(INDEX('Daily 쨈 raw'!$A:$ZZ, MATCH(CJ$3, 'Daily 쨈 raw'!$A:$A, 0), MATCH($A22, 'Daily 쨈 raw'!$1:$1, 0)), ""), IF(val=0, "", val))</f>
        <v>81</v>
      </c>
      <c r="CK22" s="44">
        <f t="array" ref="CK22">LET(val, IFERROR(INDEX('Daily 쨈 raw'!$A:$ZZ, MATCH(CK$3, 'Daily 쨈 raw'!$A:$A, 0), MATCH($A22, 'Daily 쨈 raw'!$1:$1, 0)), ""), IF(val=0, "", val))</f>
        <v>98</v>
      </c>
      <c r="CL22" s="44">
        <f t="array" ref="CL22">LET(val, IFERROR(INDEX('Daily 쨈 raw'!$A:$ZZ, MATCH(CL$3, 'Daily 쨈 raw'!$A:$A, 0), MATCH($A22, 'Daily 쨈 raw'!$1:$1, 0)), ""), IF(val=0, "", val))</f>
        <v>59</v>
      </c>
      <c r="CM22" s="44">
        <f t="array" ref="CM22">LET(val, IFERROR(INDEX('Daily 쨈 raw'!$A:$ZZ, MATCH(CM$3, 'Daily 쨈 raw'!$A:$A, 0), MATCH($A22, 'Daily 쨈 raw'!$1:$1, 0)), ""), IF(val=0, "", val))</f>
        <v>73</v>
      </c>
      <c r="CN22" s="44">
        <f t="array" ref="CN22">LET(val, IFERROR(INDEX('Daily 쨈 raw'!$A:$ZZ, MATCH(CN$3, 'Daily 쨈 raw'!$A:$A, 0), MATCH($A22, 'Daily 쨈 raw'!$1:$1, 0)), ""), IF(val=0, "", val))</f>
        <v>64</v>
      </c>
      <c r="CO22" s="44">
        <f t="array" ref="CO22">LET(val, IFERROR(INDEX('Daily 쨈 raw'!$A:$ZZ, MATCH(CO$3, 'Daily 쨈 raw'!$A:$A, 0), MATCH($A22, 'Daily 쨈 raw'!$1:$1, 0)), ""), IF(val=0, "", val))</f>
        <v>92</v>
      </c>
      <c r="CP22" s="44">
        <f t="array" ref="CP22">LET(val, IFERROR(INDEX('Daily 쨈 raw'!$A:$ZZ, MATCH(CP$3, 'Daily 쨈 raw'!$A:$A, 0), MATCH($A22, 'Daily 쨈 raw'!$1:$1, 0)), ""), IF(val=0, "", val))</f>
        <v>25</v>
      </c>
      <c r="CQ22" s="44" t="str">
        <f t="array" ref="CQ22">LET(val, IFERROR(INDEX('Daily 쨈 raw'!$A:$ZZ, MATCH(CQ$3, 'Daily 쨈 raw'!$A:$A, 0), MATCH($A22, 'Daily 쨈 raw'!$1:$1, 0)), ""), IF(val=0, "", val))</f>
        <v/>
      </c>
      <c r="CR22" s="44" t="str">
        <f t="array" ref="CR22">LET(val, IFERROR(INDEX('Daily 쨈 raw'!$A:$ZZ, MATCH(CR$3, 'Daily 쨈 raw'!$A:$A, 0), MATCH($A22, 'Daily 쨈 raw'!$1:$1, 0)), ""), IF(val=0, "", val))</f>
        <v/>
      </c>
      <c r="CS22" s="44" t="str">
        <f t="array" ref="CS22">LET(val, IFERROR(INDEX('Daily 쨈 raw'!$A:$ZZ, MATCH(CS$3, 'Daily 쨈 raw'!$A:$A, 0), MATCH($A22, 'Daily 쨈 raw'!$1:$1, 0)), ""), IF(val=0, "", val))</f>
        <v/>
      </c>
      <c r="CT22" s="44" t="str">
        <f t="array" ref="CT22">LET(val, IFERROR(INDEX('Daily 쨈 raw'!$A:$ZZ, MATCH(CT$3, 'Daily 쨈 raw'!$A:$A, 0), MATCH($A22, 'Daily 쨈 raw'!$1:$1, 0)), ""), IF(val=0, "", val))</f>
        <v/>
      </c>
      <c r="CU22" s="44" t="str">
        <f t="array" ref="CU22">LET(val, IFERROR(INDEX('Daily 쨈 raw'!$A:$ZZ, MATCH(CU$3, 'Daily 쨈 raw'!$A:$A, 0), MATCH($A22, 'Daily 쨈 raw'!$1:$1, 0)), ""), IF(val=0, "", val))</f>
        <v/>
      </c>
      <c r="CV22" s="44" t="str">
        <f t="array" ref="CV22">LET(val, IFERROR(INDEX('Daily 쨈 raw'!$A:$ZZ, MATCH(CV$3, 'Daily 쨈 raw'!$A:$A, 0), MATCH($A22, 'Daily 쨈 raw'!$1:$1, 0)), ""), IF(val=0, "", val))</f>
        <v/>
      </c>
      <c r="CW22" s="44" t="str">
        <f t="array" ref="CW22">LET(val, IFERROR(INDEX('Daily 쨈 raw'!$A:$ZZ, MATCH(CW$3, 'Daily 쨈 raw'!$A:$A, 0), MATCH($A22, 'Daily 쨈 raw'!$1:$1, 0)), ""), IF(val=0, "", val))</f>
        <v/>
      </c>
      <c r="CX22" s="44" t="str">
        <f t="array" ref="CX22">LET(val, IFERROR(INDEX('Daily 쨈 raw'!$A:$ZZ, MATCH(CX$3, 'Daily 쨈 raw'!$A:$A, 0), MATCH($A22, 'Daily 쨈 raw'!$1:$1, 0)), ""), IF(val=0, "", val))</f>
        <v/>
      </c>
      <c r="CY22" s="44" t="str">
        <f t="array" ref="CY22">LET(val, IFERROR(INDEX('Daily 쨈 raw'!$A:$ZZ, MATCH(CY$3, 'Daily 쨈 raw'!$A:$A, 0), MATCH($A22, 'Daily 쨈 raw'!$1:$1, 0)), ""), IF(val=0, "", val))</f>
        <v/>
      </c>
      <c r="CZ22" s="44" t="str">
        <f t="array" ref="CZ22">LET(val, IFERROR(INDEX('Daily 쨈 raw'!$A:$ZZ, MATCH(CZ$3, 'Daily 쨈 raw'!$A:$A, 0), MATCH($A22, 'Daily 쨈 raw'!$1:$1, 0)), ""), IF(val=0, "", val))</f>
        <v/>
      </c>
      <c r="DA22" s="44" t="str">
        <f t="array" ref="DA22">LET(val, IFERROR(INDEX('Daily 쨈 raw'!$A:$ZZ, MATCH(DA$3, 'Daily 쨈 raw'!$A:$A, 0), MATCH($A22, 'Daily 쨈 raw'!$1:$1, 0)), ""), IF(val=0, "", val))</f>
        <v/>
      </c>
      <c r="DB22" s="44" t="str">
        <f t="array" ref="DB22">LET(val, IFERROR(INDEX('Daily 쨈 raw'!$A:$ZZ, MATCH(DB$3, 'Daily 쨈 raw'!$A:$A, 0), MATCH($A22, 'Daily 쨈 raw'!$1:$1, 0)), ""), IF(val=0, "", val))</f>
        <v/>
      </c>
      <c r="DC22" s="44" t="str">
        <f t="array" ref="DC22">LET(val, IFERROR(INDEX('Daily 쨈 raw'!$A:$ZZ, MATCH(DC$3, 'Daily 쨈 raw'!$A:$A, 0), MATCH($A22, 'Daily 쨈 raw'!$1:$1, 0)), ""), IF(val=0, "", val))</f>
        <v/>
      </c>
      <c r="DD22" s="44" t="str">
        <f t="array" ref="DD22">LET(val, IFERROR(INDEX('Daily 쨈 raw'!$A:$ZZ, MATCH(DD$3, 'Daily 쨈 raw'!$A:$A, 0), MATCH($A22, 'Daily 쨈 raw'!$1:$1, 0)), ""), IF(val=0, "", val))</f>
        <v/>
      </c>
      <c r="DE22" s="44" t="str">
        <f t="array" ref="DE22">LET(val, IFERROR(INDEX('Daily 쨈 raw'!$A:$ZZ, MATCH(DE$3, 'Daily 쨈 raw'!$A:$A, 0), MATCH($A22, 'Daily 쨈 raw'!$1:$1, 0)), ""), IF(val=0, "", val))</f>
        <v/>
      </c>
      <c r="DF22" s="44" t="str">
        <f t="array" ref="DF22">LET(val, IFERROR(INDEX('Daily 쨈 raw'!$A:$ZZ, MATCH(DF$3, 'Daily 쨈 raw'!$A:$A, 0), MATCH($A22, 'Daily 쨈 raw'!$1:$1, 0)), ""), IF(val=0, "", val))</f>
        <v/>
      </c>
      <c r="DG22" s="44" t="str">
        <f t="array" ref="DG22">LET(val, IFERROR(INDEX('Daily 쨈 raw'!$A:$ZZ, MATCH(DG$3, 'Daily 쨈 raw'!$A:$A, 0), MATCH($A22, 'Daily 쨈 raw'!$1:$1, 0)), ""), IF(val=0, "", val))</f>
        <v/>
      </c>
      <c r="DH22" s="44" t="str">
        <f t="array" ref="DH22">LET(val, IFERROR(INDEX('Daily 쨈 raw'!$A:$ZZ, MATCH(DH$3, 'Daily 쨈 raw'!$A:$A, 0), MATCH($A22, 'Daily 쨈 raw'!$1:$1, 0)), ""), IF(val=0, "", val))</f>
        <v/>
      </c>
      <c r="DI22" s="44" t="str">
        <f t="array" ref="DI22">LET(val, IFERROR(INDEX('Daily 쨈 raw'!$A:$ZZ, MATCH(DI$3, 'Daily 쨈 raw'!$A:$A, 0), MATCH($A22, 'Daily 쨈 raw'!$1:$1, 0)), ""), IF(val=0, "", val))</f>
        <v/>
      </c>
      <c r="DJ22" s="44" t="str">
        <f t="array" ref="DJ22">LET(val, IFERROR(INDEX('Daily 쨈 raw'!$A:$ZZ, MATCH(DJ$3, 'Daily 쨈 raw'!$A:$A, 0), MATCH($A22, 'Daily 쨈 raw'!$1:$1, 0)), ""), IF(val=0, "", val))</f>
        <v/>
      </c>
      <c r="DK22" s="44" t="str">
        <f t="array" ref="DK22">LET(val, IFERROR(INDEX('Daily 쨈 raw'!$A:$ZZ, MATCH(DK$3, 'Daily 쨈 raw'!$A:$A, 0), MATCH($A22, 'Daily 쨈 raw'!$1:$1, 0)), ""), IF(val=0, "", val))</f>
        <v/>
      </c>
      <c r="DL22" s="44" t="str">
        <f t="array" ref="DL22">LET(val, IFERROR(INDEX('Daily 쨈 raw'!$A:$ZZ, MATCH(DL$3, 'Daily 쨈 raw'!$A:$A, 0), MATCH($A22, 'Daily 쨈 raw'!$1:$1, 0)), ""), IF(val=0, "", val))</f>
        <v/>
      </c>
      <c r="DM22" s="44" t="str">
        <f t="array" ref="DM22">LET(val, IFERROR(INDEX('Daily 쨈 raw'!$A:$ZZ, MATCH(DM$3, 'Daily 쨈 raw'!$A:$A, 0), MATCH($A22, 'Daily 쨈 raw'!$1:$1, 0)), ""), IF(val=0, "", val))</f>
        <v/>
      </c>
      <c r="DN22" s="44" t="str">
        <f t="array" ref="DN22">LET(val, IFERROR(INDEX('Daily 쨈 raw'!$A:$ZZ, MATCH(DN$3, 'Daily 쨈 raw'!$A:$A, 0), MATCH($A22, 'Daily 쨈 raw'!$1:$1, 0)), ""), IF(val=0, "", val))</f>
        <v/>
      </c>
      <c r="DO22" s="44" t="str">
        <f t="array" ref="DO22">LET(val, IFERROR(INDEX('Daily 쨈 raw'!$A:$ZZ, MATCH(DO$3, 'Daily 쨈 raw'!$A:$A, 0), MATCH($A22, 'Daily 쨈 raw'!$1:$1, 0)), ""), IF(val=0, "", val))</f>
        <v/>
      </c>
      <c r="DP22" s="44" t="str">
        <f t="array" ref="DP22">LET(val, IFERROR(INDEX('Daily 쨈 raw'!$A:$ZZ, MATCH(DP$3, 'Daily 쨈 raw'!$A:$A, 0), MATCH($A22, 'Daily 쨈 raw'!$1:$1, 0)), ""), IF(val=0, "", val))</f>
        <v/>
      </c>
      <c r="DQ22" s="44" t="str">
        <f t="array" ref="DQ22">LET(val, IFERROR(INDEX('Daily 쨈 raw'!$A:$ZZ, MATCH(DQ$3, 'Daily 쨈 raw'!$A:$A, 0), MATCH($A22, 'Daily 쨈 raw'!$1:$1, 0)), ""), IF(val=0, "", val))</f>
        <v/>
      </c>
      <c r="DR22" s="44" t="str">
        <f t="array" ref="DR22">LET(val, IFERROR(INDEX('Daily 쨈 raw'!$A:$ZZ, MATCH(DR$3, 'Daily 쨈 raw'!$A:$A, 0), MATCH($A22, 'Daily 쨈 raw'!$1:$1, 0)), ""), IF(val=0, "", val))</f>
        <v/>
      </c>
      <c r="DS22" s="44" t="str">
        <f t="array" ref="DS22">LET(val, IFERROR(INDEX('Daily 쨈 raw'!$A:$ZZ, MATCH(DS$3, 'Daily 쨈 raw'!$A:$A, 0), MATCH($A22, 'Daily 쨈 raw'!$1:$1, 0)), ""), IF(val=0, "", val))</f>
        <v/>
      </c>
      <c r="DT22" s="44" t="str">
        <f t="array" ref="DT22">LET(val, IFERROR(INDEX('Daily 쨈 raw'!$A:$ZZ, MATCH(DT$3, 'Daily 쨈 raw'!$A:$A, 0), MATCH($A22, 'Daily 쨈 raw'!$1:$1, 0)), ""), IF(val=0, "", val))</f>
        <v/>
      </c>
      <c r="DU22" s="44" t="str">
        <f t="array" ref="DU22">LET(val, IFERROR(INDEX('Daily 쨈 raw'!$A:$ZZ, MATCH(DU$3, 'Daily 쨈 raw'!$A:$A, 0), MATCH($A22, 'Daily 쨈 raw'!$1:$1, 0)), ""), IF(val=0, "", val))</f>
        <v/>
      </c>
      <c r="DV22" s="44" t="str">
        <f t="array" ref="DV22">LET(val, IFERROR(INDEX('Daily 쨈 raw'!$A:$ZZ, MATCH(DV$3, 'Daily 쨈 raw'!$A:$A, 0), MATCH($A22, 'Daily 쨈 raw'!$1:$1, 0)), ""), IF(val=0, "", val))</f>
        <v/>
      </c>
      <c r="DW22" s="44" t="str">
        <f t="array" ref="DW22">LET(val, IFERROR(INDEX('Daily 쨈 raw'!$A:$ZZ, MATCH(DW$3, 'Daily 쨈 raw'!$A:$A, 0), MATCH($A22, 'Daily 쨈 raw'!$1:$1, 0)), ""), IF(val=0, "", val))</f>
        <v/>
      </c>
      <c r="DX22" s="44" t="str">
        <f t="array" ref="DX22">LET(val, IFERROR(INDEX('Daily 쨈 raw'!$A:$ZZ, MATCH(DX$3, 'Daily 쨈 raw'!$A:$A, 0), MATCH($A22, 'Daily 쨈 raw'!$1:$1, 0)), ""), IF(val=0, "", val))</f>
        <v/>
      </c>
      <c r="DY22" s="44" t="str">
        <f t="array" ref="DY22">LET(val, IFERROR(INDEX('Daily 쨈 raw'!$A:$ZZ, MATCH(DY$3, 'Daily 쨈 raw'!$A:$A, 0), MATCH($A22, 'Daily 쨈 raw'!$1:$1, 0)), ""), IF(val=0, "", val))</f>
        <v/>
      </c>
      <c r="DZ22" s="44" t="str">
        <f t="array" ref="DZ22">LET(val, IFERROR(INDEX('Daily 쨈 raw'!$A:$ZZ, MATCH(DZ$3, 'Daily 쨈 raw'!$A:$A, 0), MATCH($A22, 'Daily 쨈 raw'!$1:$1, 0)), ""), IF(val=0, "", val))</f>
        <v/>
      </c>
    </row>
    <row r="23" ht="22.5" customHeight="1">
      <c r="A23" s="23" t="s">
        <v>29</v>
      </c>
      <c r="B23" s="56" t="s">
        <v>85</v>
      </c>
      <c r="C23" s="44">
        <f t="array" ref="C23">LET(val, IFERROR(INDEX('Daily 쨈 raw'!$A:$ZZ, MATCH(C$3, 'Daily 쨈 raw'!$A:$A, 0), MATCH($A23, 'Daily 쨈 raw'!$1:$1, 0)), ""), IF(val=0, "", val))</f>
        <v>65</v>
      </c>
      <c r="D23" s="44">
        <f t="array" ref="D23">LET(val, IFERROR(INDEX('Daily 쨈 raw'!$A:$ZZ, MATCH(D$3, 'Daily 쨈 raw'!$A:$A, 0), MATCH($A23, 'Daily 쨈 raw'!$1:$1, 0)), ""), IF(val=0, "", val))</f>
        <v>86</v>
      </c>
      <c r="E23" s="44">
        <f t="array" ref="E23">LET(val, IFERROR(INDEX('Daily 쨈 raw'!$A:$ZZ, MATCH(E$3, 'Daily 쨈 raw'!$A:$A, 0), MATCH($A23, 'Daily 쨈 raw'!$1:$1, 0)), ""), IF(val=0, "", val))</f>
        <v>55</v>
      </c>
      <c r="F23" s="44">
        <f t="array" ref="F23">LET(val, IFERROR(INDEX('Daily 쨈 raw'!$A:$ZZ, MATCH(F$3, 'Daily 쨈 raw'!$A:$A, 0), MATCH($A23, 'Daily 쨈 raw'!$1:$1, 0)), ""), IF(val=0, "", val))</f>
        <v>50</v>
      </c>
      <c r="G23" s="44">
        <f t="array" ref="G23">LET(val, IFERROR(INDEX('Daily 쨈 raw'!$A:$ZZ, MATCH(G$3, 'Daily 쨈 raw'!$A:$A, 0), MATCH($A23, 'Daily 쨈 raw'!$1:$1, 0)), ""), IF(val=0, "", val))</f>
        <v>48</v>
      </c>
      <c r="H23" s="44">
        <f t="array" ref="H23">LET(val, IFERROR(INDEX('Daily 쨈 raw'!$A:$ZZ, MATCH(H$3, 'Daily 쨈 raw'!$A:$A, 0), MATCH($A23, 'Daily 쨈 raw'!$1:$1, 0)), ""), IF(val=0, "", val))</f>
        <v>95</v>
      </c>
      <c r="I23" s="44">
        <f t="array" ref="I23">LET(val, IFERROR(INDEX('Daily 쨈 raw'!$A:$ZZ, MATCH(I$3, 'Daily 쨈 raw'!$A:$A, 0), MATCH($A23, 'Daily 쨈 raw'!$1:$1, 0)), ""), IF(val=0, "", val))</f>
        <v>76</v>
      </c>
      <c r="J23" s="44">
        <f t="array" ref="J23">LET(val, IFERROR(INDEX('Daily 쨈 raw'!$A:$ZZ, MATCH(J$3, 'Daily 쨈 raw'!$A:$A, 0), MATCH($A23, 'Daily 쨈 raw'!$1:$1, 0)), ""), IF(val=0, "", val))</f>
        <v>60</v>
      </c>
      <c r="K23" s="44">
        <f t="array" ref="K23">LET(val, IFERROR(INDEX('Daily 쨈 raw'!$A:$ZZ, MATCH(K$3, 'Daily 쨈 raw'!$A:$A, 0), MATCH($A23, 'Daily 쨈 raw'!$1:$1, 0)), ""), IF(val=0, "", val))</f>
        <v>102</v>
      </c>
      <c r="L23" s="44">
        <f t="array" ref="L23">LET(val, IFERROR(INDEX('Daily 쨈 raw'!$A:$ZZ, MATCH(L$3, 'Daily 쨈 raw'!$A:$A, 0), MATCH($A23, 'Daily 쨈 raw'!$1:$1, 0)), ""), IF(val=0, "", val))</f>
        <v>108</v>
      </c>
      <c r="M23" s="44">
        <f t="array" ref="M23">LET(val, IFERROR(INDEX('Daily 쨈 raw'!$A:$ZZ, MATCH(M$3, 'Daily 쨈 raw'!$A:$A, 0), MATCH($A23, 'Daily 쨈 raw'!$1:$1, 0)), ""), IF(val=0, "", val))</f>
        <v>76</v>
      </c>
      <c r="N23" s="44">
        <f t="array" ref="N23">LET(val, IFERROR(INDEX('Daily 쨈 raw'!$A:$ZZ, MATCH(N$3, 'Daily 쨈 raw'!$A:$A, 0), MATCH($A23, 'Daily 쨈 raw'!$1:$1, 0)), ""), IF(val=0, "", val))</f>
        <v>85</v>
      </c>
      <c r="O23" s="44">
        <f t="array" ref="O23">LET(val, IFERROR(INDEX('Daily 쨈 raw'!$A:$ZZ, MATCH(O$3, 'Daily 쨈 raw'!$A:$A, 0), MATCH($A23, 'Daily 쨈 raw'!$1:$1, 0)), ""), IF(val=0, "", val))</f>
        <v>91</v>
      </c>
      <c r="P23" s="44">
        <f t="array" ref="P23">LET(val, IFERROR(INDEX('Daily 쨈 raw'!$A:$ZZ, MATCH(P$3, 'Daily 쨈 raw'!$A:$A, 0), MATCH($A23, 'Daily 쨈 raw'!$1:$1, 0)), ""), IF(val=0, "", val))</f>
        <v>96</v>
      </c>
      <c r="Q23" s="44">
        <f t="array" ref="Q23">LET(val, IFERROR(INDEX('Daily 쨈 raw'!$A:$ZZ, MATCH(Q$3, 'Daily 쨈 raw'!$A:$A, 0), MATCH($A23, 'Daily 쨈 raw'!$1:$1, 0)), ""), IF(val=0, "", val))</f>
        <v>68</v>
      </c>
      <c r="R23" s="44">
        <f t="array" ref="R23">LET(val, IFERROR(INDEX('Daily 쨈 raw'!$A:$ZZ, MATCH(R$3, 'Daily 쨈 raw'!$A:$A, 0), MATCH($A23, 'Daily 쨈 raw'!$1:$1, 0)), ""), IF(val=0, "", val))</f>
        <v>70</v>
      </c>
      <c r="S23" s="44">
        <f t="array" ref="S23">LET(val, IFERROR(INDEX('Daily 쨈 raw'!$A:$ZZ, MATCH(S$3, 'Daily 쨈 raw'!$A:$A, 0), MATCH($A23, 'Daily 쨈 raw'!$1:$1, 0)), ""), IF(val=0, "", val))</f>
        <v>64</v>
      </c>
      <c r="T23" s="44">
        <f t="array" ref="T23">LET(val, IFERROR(INDEX('Daily 쨈 raw'!$A:$ZZ, MATCH(T$3, 'Daily 쨈 raw'!$A:$A, 0), MATCH($A23, 'Daily 쨈 raw'!$1:$1, 0)), ""), IF(val=0, "", val))</f>
        <v>74</v>
      </c>
      <c r="U23" s="44">
        <f t="array" ref="U23">LET(val, IFERROR(INDEX('Daily 쨈 raw'!$A:$ZZ, MATCH(U$3, 'Daily 쨈 raw'!$A:$A, 0), MATCH($A23, 'Daily 쨈 raw'!$1:$1, 0)), ""), IF(val=0, "", val))</f>
        <v>57</v>
      </c>
      <c r="V23" s="44">
        <f t="array" ref="V23">LET(val, IFERROR(INDEX('Daily 쨈 raw'!$A:$ZZ, MATCH(V$3, 'Daily 쨈 raw'!$A:$A, 0), MATCH($A23, 'Daily 쨈 raw'!$1:$1, 0)), ""), IF(val=0, "", val))</f>
        <v>65</v>
      </c>
      <c r="W23" s="44">
        <f t="array" ref="W23">LET(val, IFERROR(INDEX('Daily 쨈 raw'!$A:$ZZ, MATCH(W$3, 'Daily 쨈 raw'!$A:$A, 0), MATCH($A23, 'Daily 쨈 raw'!$1:$1, 0)), ""), IF(val=0, "", val))</f>
        <v>76</v>
      </c>
      <c r="X23" s="44">
        <f t="array" ref="X23">LET(val, IFERROR(INDEX('Daily 쨈 raw'!$A:$ZZ, MATCH(X$3, 'Daily 쨈 raw'!$A:$A, 0), MATCH($A23, 'Daily 쨈 raw'!$1:$1, 0)), ""), IF(val=0, "", val))</f>
        <v>68</v>
      </c>
      <c r="Y23" s="44">
        <f t="array" ref="Y23">LET(val, IFERROR(INDEX('Daily 쨈 raw'!$A:$ZZ, MATCH(Y$3, 'Daily 쨈 raw'!$A:$A, 0), MATCH($A23, 'Daily 쨈 raw'!$1:$1, 0)), ""), IF(val=0, "", val))</f>
        <v>56</v>
      </c>
      <c r="Z23" s="44">
        <f t="array" ref="Z23">LET(val, IFERROR(INDEX('Daily 쨈 raw'!$A:$ZZ, MATCH(Z$3, 'Daily 쨈 raw'!$A:$A, 0), MATCH($A23, 'Daily 쨈 raw'!$1:$1, 0)), ""), IF(val=0, "", val))</f>
        <v>70</v>
      </c>
      <c r="AA23" s="44">
        <f t="array" ref="AA23">LET(val, IFERROR(INDEX('Daily 쨈 raw'!$A:$ZZ, MATCH(AA$3, 'Daily 쨈 raw'!$A:$A, 0), MATCH($A23, 'Daily 쨈 raw'!$1:$1, 0)), ""), IF(val=0, "", val))</f>
        <v>45</v>
      </c>
      <c r="AB23" s="44">
        <f t="array" ref="AB23">LET(val, IFERROR(INDEX('Daily 쨈 raw'!$A:$ZZ, MATCH(AB$3, 'Daily 쨈 raw'!$A:$A, 0), MATCH($A23, 'Daily 쨈 raw'!$1:$1, 0)), ""), IF(val=0, "", val))</f>
        <v>57</v>
      </c>
      <c r="AC23" s="44">
        <f t="array" ref="AC23">LET(val, IFERROR(INDEX('Daily 쨈 raw'!$A:$ZZ, MATCH(AC$3, 'Daily 쨈 raw'!$A:$A, 0), MATCH($A23, 'Daily 쨈 raw'!$1:$1, 0)), ""), IF(val=0, "", val))</f>
        <v>49</v>
      </c>
      <c r="AD23" s="44">
        <f t="array" ref="AD23">LET(val, IFERROR(INDEX('Daily 쨈 raw'!$A:$ZZ, MATCH(AD$3, 'Daily 쨈 raw'!$A:$A, 0), MATCH($A23, 'Daily 쨈 raw'!$1:$1, 0)), ""), IF(val=0, "", val))</f>
        <v>57</v>
      </c>
      <c r="AE23" s="44">
        <f t="array" ref="AE23">LET(val, IFERROR(INDEX('Daily 쨈 raw'!$A:$ZZ, MATCH(AE$3, 'Daily 쨈 raw'!$A:$A, 0), MATCH($A23, 'Daily 쨈 raw'!$1:$1, 0)), ""), IF(val=0, "", val))</f>
        <v>69</v>
      </c>
      <c r="AF23" s="44">
        <f t="array" ref="AF23">LET(val, IFERROR(INDEX('Daily 쨈 raw'!$A:$ZZ, MATCH(AF$3, 'Daily 쨈 raw'!$A:$A, 0), MATCH($A23, 'Daily 쨈 raw'!$1:$1, 0)), ""), IF(val=0, "", val))</f>
        <v>92</v>
      </c>
      <c r="AG23" s="44">
        <f t="array" ref="AG23">LET(val, IFERROR(INDEX('Daily 쨈 raw'!$A:$ZZ, MATCH(AG$3, 'Daily 쨈 raw'!$A:$A, 0), MATCH($A23, 'Daily 쨈 raw'!$1:$1, 0)), ""), IF(val=0, "", val))</f>
        <v>352</v>
      </c>
      <c r="AH23" s="44">
        <f t="array" ref="AH23">LET(val, IFERROR(INDEX('Daily 쨈 raw'!$A:$ZZ, MATCH(AH$3, 'Daily 쨈 raw'!$A:$A, 0), MATCH($A23, 'Daily 쨈 raw'!$1:$1, 0)), ""), IF(val=0, "", val))</f>
        <v>266</v>
      </c>
      <c r="AI23" s="44">
        <f t="array" ref="AI23">LET(val, IFERROR(INDEX('Daily 쨈 raw'!$A:$ZZ, MATCH(AI$3, 'Daily 쨈 raw'!$A:$A, 0), MATCH($A23, 'Daily 쨈 raw'!$1:$1, 0)), ""), IF(val=0, "", val))</f>
        <v>84</v>
      </c>
      <c r="AJ23" s="44">
        <f t="array" ref="AJ23">LET(val, IFERROR(INDEX('Daily 쨈 raw'!$A:$ZZ, MATCH(AJ$3, 'Daily 쨈 raw'!$A:$A, 0), MATCH($A23, 'Daily 쨈 raw'!$1:$1, 0)), ""), IF(val=0, "", val))</f>
        <v>99</v>
      </c>
      <c r="AK23" s="44">
        <f t="array" ref="AK23">LET(val, IFERROR(INDEX('Daily 쨈 raw'!$A:$ZZ, MATCH(AK$3, 'Daily 쨈 raw'!$A:$A, 0), MATCH($A23, 'Daily 쨈 raw'!$1:$1, 0)), ""), IF(val=0, "", val))</f>
        <v>109</v>
      </c>
      <c r="AL23" s="44">
        <f t="array" ref="AL23">LET(val, IFERROR(INDEX('Daily 쨈 raw'!$A:$ZZ, MATCH(AL$3, 'Daily 쨈 raw'!$A:$A, 0), MATCH($A23, 'Daily 쨈 raw'!$1:$1, 0)), ""), IF(val=0, "", val))</f>
        <v>92</v>
      </c>
      <c r="AM23" s="44">
        <f t="array" ref="AM23">LET(val, IFERROR(INDEX('Daily 쨈 raw'!$A:$ZZ, MATCH(AM$3, 'Daily 쨈 raw'!$A:$A, 0), MATCH($A23, 'Daily 쨈 raw'!$1:$1, 0)), ""), IF(val=0, "", val))</f>
        <v>84</v>
      </c>
      <c r="AN23" s="44">
        <f t="array" ref="AN23">LET(val, IFERROR(INDEX('Daily 쨈 raw'!$A:$ZZ, MATCH(AN$3, 'Daily 쨈 raw'!$A:$A, 0), MATCH($A23, 'Daily 쨈 raw'!$1:$1, 0)), ""), IF(val=0, "", val))</f>
        <v>112</v>
      </c>
      <c r="AO23" s="44">
        <f t="array" ref="AO23">LET(val, IFERROR(INDEX('Daily 쨈 raw'!$A:$ZZ, MATCH(AO$3, 'Daily 쨈 raw'!$A:$A, 0), MATCH($A23, 'Daily 쨈 raw'!$1:$1, 0)), ""), IF(val=0, "", val))</f>
        <v>171</v>
      </c>
      <c r="AP23" s="44">
        <f t="array" ref="AP23">LET(val, IFERROR(INDEX('Daily 쨈 raw'!$A:$ZZ, MATCH(AP$3, 'Daily 쨈 raw'!$A:$A, 0), MATCH($A23, 'Daily 쨈 raw'!$1:$1, 0)), ""), IF(val=0, "", val))</f>
        <v>83</v>
      </c>
      <c r="AQ23" s="44">
        <f t="array" ref="AQ23">LET(val, IFERROR(INDEX('Daily 쨈 raw'!$A:$ZZ, MATCH(AQ$3, 'Daily 쨈 raw'!$A:$A, 0), MATCH($A23, 'Daily 쨈 raw'!$1:$1, 0)), ""), IF(val=0, "", val))</f>
        <v>86</v>
      </c>
      <c r="AR23" s="44">
        <f t="array" ref="AR23">LET(val, IFERROR(INDEX('Daily 쨈 raw'!$A:$ZZ, MATCH(AR$3, 'Daily 쨈 raw'!$A:$A, 0), MATCH($A23, 'Daily 쨈 raw'!$1:$1, 0)), ""), IF(val=0, "", val))</f>
        <v>68</v>
      </c>
      <c r="AS23" s="44">
        <f t="array" ref="AS23">LET(val, IFERROR(INDEX('Daily 쨈 raw'!$A:$ZZ, MATCH(AS$3, 'Daily 쨈 raw'!$A:$A, 0), MATCH($A23, 'Daily 쨈 raw'!$1:$1, 0)), ""), IF(val=0, "", val))</f>
        <v>53</v>
      </c>
      <c r="AT23" s="44">
        <f t="array" ref="AT23">LET(val, IFERROR(INDEX('Daily 쨈 raw'!$A:$ZZ, MATCH(AT$3, 'Daily 쨈 raw'!$A:$A, 0), MATCH($A23, 'Daily 쨈 raw'!$1:$1, 0)), ""), IF(val=0, "", val))</f>
        <v>75</v>
      </c>
      <c r="AU23" s="44">
        <f t="array" ref="AU23">LET(val, IFERROR(INDEX('Daily 쨈 raw'!$A:$ZZ, MATCH(AU$3, 'Daily 쨈 raw'!$A:$A, 0), MATCH($A23, 'Daily 쨈 raw'!$1:$1, 0)), ""), IF(val=0, "", val))</f>
        <v>66</v>
      </c>
      <c r="AV23" s="44">
        <f t="array" ref="AV23">LET(val, IFERROR(INDEX('Daily 쨈 raw'!$A:$ZZ, MATCH(AV$3, 'Daily 쨈 raw'!$A:$A, 0), MATCH($A23, 'Daily 쨈 raw'!$1:$1, 0)), ""), IF(val=0, "", val))</f>
        <v>60</v>
      </c>
      <c r="AW23" s="44">
        <f t="array" ref="AW23">LET(val, IFERROR(INDEX('Daily 쨈 raw'!$A:$ZZ, MATCH(AW$3, 'Daily 쨈 raw'!$A:$A, 0), MATCH($A23, 'Daily 쨈 raw'!$1:$1, 0)), ""), IF(val=0, "", val))</f>
        <v>62</v>
      </c>
      <c r="AX23" s="44">
        <f t="array" ref="AX23">LET(val, IFERROR(INDEX('Daily 쨈 raw'!$A:$ZZ, MATCH(AX$3, 'Daily 쨈 raw'!$A:$A, 0), MATCH($A23, 'Daily 쨈 raw'!$1:$1, 0)), ""), IF(val=0, "", val))</f>
        <v>59</v>
      </c>
      <c r="AY23" s="44">
        <f t="array" ref="AY23">LET(val, IFERROR(INDEX('Daily 쨈 raw'!$A:$ZZ, MATCH(AY$3, 'Daily 쨈 raw'!$A:$A, 0), MATCH($A23, 'Daily 쨈 raw'!$1:$1, 0)), ""), IF(val=0, "", val))</f>
        <v>56</v>
      </c>
      <c r="AZ23" s="44">
        <f t="array" ref="AZ23">LET(val, IFERROR(INDEX('Daily 쨈 raw'!$A:$ZZ, MATCH(AZ$3, 'Daily 쨈 raw'!$A:$A, 0), MATCH($A23, 'Daily 쨈 raw'!$1:$1, 0)), ""), IF(val=0, "", val))</f>
        <v>59</v>
      </c>
      <c r="BA23" s="44">
        <f t="array" ref="BA23">LET(val, IFERROR(INDEX('Daily 쨈 raw'!$A:$ZZ, MATCH(BA$3, 'Daily 쨈 raw'!$A:$A, 0), MATCH($A23, 'Daily 쨈 raw'!$1:$1, 0)), ""), IF(val=0, "", val))</f>
        <v>58</v>
      </c>
      <c r="BB23" s="44">
        <f t="array" ref="BB23">LET(val, IFERROR(INDEX('Daily 쨈 raw'!$A:$ZZ, MATCH(BB$3, 'Daily 쨈 raw'!$A:$A, 0), MATCH($A23, 'Daily 쨈 raw'!$1:$1, 0)), ""), IF(val=0, "", val))</f>
        <v>46</v>
      </c>
      <c r="BC23" s="44">
        <f t="array" ref="BC23">LET(val, IFERROR(INDEX('Daily 쨈 raw'!$A:$ZZ, MATCH(BC$3, 'Daily 쨈 raw'!$A:$A, 0), MATCH($A23, 'Daily 쨈 raw'!$1:$1, 0)), ""), IF(val=0, "", val))</f>
        <v>55</v>
      </c>
      <c r="BD23" s="44">
        <f t="array" ref="BD23">LET(val, IFERROR(INDEX('Daily 쨈 raw'!$A:$ZZ, MATCH(BD$3, 'Daily 쨈 raw'!$A:$A, 0), MATCH($A23, 'Daily 쨈 raw'!$1:$1, 0)), ""), IF(val=0, "", val))</f>
        <v>77</v>
      </c>
      <c r="BE23" s="44">
        <f t="array" ref="BE23">LET(val, IFERROR(INDEX('Daily 쨈 raw'!$A:$ZZ, MATCH(BE$3, 'Daily 쨈 raw'!$A:$A, 0), MATCH($A23, 'Daily 쨈 raw'!$1:$1, 0)), ""), IF(val=0, "", val))</f>
        <v>105</v>
      </c>
      <c r="BF23" s="44">
        <f t="array" ref="BF23">LET(val, IFERROR(INDEX('Daily 쨈 raw'!$A:$ZZ, MATCH(BF$3, 'Daily 쨈 raw'!$A:$A, 0), MATCH($A23, 'Daily 쨈 raw'!$1:$1, 0)), ""), IF(val=0, "", val))</f>
        <v>93</v>
      </c>
      <c r="BG23" s="44">
        <f t="array" ref="BG23">LET(val, IFERROR(INDEX('Daily 쨈 raw'!$A:$ZZ, MATCH(BG$3, 'Daily 쨈 raw'!$A:$A, 0), MATCH($A23, 'Daily 쨈 raw'!$1:$1, 0)), ""), IF(val=0, "", val))</f>
        <v>58</v>
      </c>
      <c r="BH23" s="44">
        <f t="array" ref="BH23">LET(val, IFERROR(INDEX('Daily 쨈 raw'!$A:$ZZ, MATCH(BH$3, 'Daily 쨈 raw'!$A:$A, 0), MATCH($A23, 'Daily 쨈 raw'!$1:$1, 0)), ""), IF(val=0, "", val))</f>
        <v>67</v>
      </c>
      <c r="BI23" s="44">
        <f t="array" ref="BI23">LET(val, IFERROR(INDEX('Daily 쨈 raw'!$A:$ZZ, MATCH(BI$3, 'Daily 쨈 raw'!$A:$A, 0), MATCH($A23, 'Daily 쨈 raw'!$1:$1, 0)), ""), IF(val=0, "", val))</f>
        <v>71</v>
      </c>
      <c r="BJ23" s="44">
        <f t="array" ref="BJ23">LET(val, IFERROR(INDEX('Daily 쨈 raw'!$A:$ZZ, MATCH(BJ$3, 'Daily 쨈 raw'!$A:$A, 0), MATCH($A23, 'Daily 쨈 raw'!$1:$1, 0)), ""), IF(val=0, "", val))</f>
        <v>80</v>
      </c>
      <c r="BK23" s="44">
        <f t="array" ref="BK23">LET(val, IFERROR(INDEX('Daily 쨈 raw'!$A:$ZZ, MATCH(BK$3, 'Daily 쨈 raw'!$A:$A, 0), MATCH($A23, 'Daily 쨈 raw'!$1:$1, 0)), ""), IF(val=0, "", val))</f>
        <v>92</v>
      </c>
      <c r="BL23" s="44">
        <f t="array" ref="BL23">LET(val, IFERROR(INDEX('Daily 쨈 raw'!$A:$ZZ, MATCH(BL$3, 'Daily 쨈 raw'!$A:$A, 0), MATCH($A23, 'Daily 쨈 raw'!$1:$1, 0)), ""), IF(val=0, "", val))</f>
        <v>89</v>
      </c>
      <c r="BM23" s="44">
        <f t="array" ref="BM23">LET(val, IFERROR(INDEX('Daily 쨈 raw'!$A:$ZZ, MATCH(BM$3, 'Daily 쨈 raw'!$A:$A, 0), MATCH($A23, 'Daily 쨈 raw'!$1:$1, 0)), ""), IF(val=0, "", val))</f>
        <v>91</v>
      </c>
      <c r="BN23" s="44">
        <f t="array" ref="BN23">LET(val, IFERROR(INDEX('Daily 쨈 raw'!$A:$ZZ, MATCH(BN$3, 'Daily 쨈 raw'!$A:$A, 0), MATCH($A23, 'Daily 쨈 raw'!$1:$1, 0)), ""), IF(val=0, "", val))</f>
        <v>58</v>
      </c>
      <c r="BO23" s="44">
        <f t="array" ref="BO23">LET(val, IFERROR(INDEX('Daily 쨈 raw'!$A:$ZZ, MATCH(BO$3, 'Daily 쨈 raw'!$A:$A, 0), MATCH($A23, 'Daily 쨈 raw'!$1:$1, 0)), ""), IF(val=0, "", val))</f>
        <v>50</v>
      </c>
      <c r="BP23" s="44">
        <f t="array" ref="BP23">LET(val, IFERROR(INDEX('Daily 쨈 raw'!$A:$ZZ, MATCH(BP$3, 'Daily 쨈 raw'!$A:$A, 0), MATCH($A23, 'Daily 쨈 raw'!$1:$1, 0)), ""), IF(val=0, "", val))</f>
        <v>54</v>
      </c>
      <c r="BQ23" s="44">
        <f t="array" ref="BQ23">LET(val, IFERROR(INDEX('Daily 쨈 raw'!$A:$ZZ, MATCH(BQ$3, 'Daily 쨈 raw'!$A:$A, 0), MATCH($A23, 'Daily 쨈 raw'!$1:$1, 0)), ""), IF(val=0, "", val))</f>
        <v>61</v>
      </c>
      <c r="BR23" s="44">
        <f t="array" ref="BR23">LET(val, IFERROR(INDEX('Daily 쨈 raw'!$A:$ZZ, MATCH(BR$3, 'Daily 쨈 raw'!$A:$A, 0), MATCH($A23, 'Daily 쨈 raw'!$1:$1, 0)), ""), IF(val=0, "", val))</f>
        <v>42</v>
      </c>
      <c r="BS23" s="44">
        <f t="array" ref="BS23">LET(val, IFERROR(INDEX('Daily 쨈 raw'!$A:$ZZ, MATCH(BS$3, 'Daily 쨈 raw'!$A:$A, 0), MATCH($A23, 'Daily 쨈 raw'!$1:$1, 0)), ""), IF(val=0, "", val))</f>
        <v>75</v>
      </c>
      <c r="BT23" s="44">
        <f t="array" ref="BT23">LET(val, IFERROR(INDEX('Daily 쨈 raw'!$A:$ZZ, MATCH(BT$3, 'Daily 쨈 raw'!$A:$A, 0), MATCH($A23, 'Daily 쨈 raw'!$1:$1, 0)), ""), IF(val=0, "", val))</f>
        <v>52</v>
      </c>
      <c r="BU23" s="44">
        <f t="array" ref="BU23">LET(val, IFERROR(INDEX('Daily 쨈 raw'!$A:$ZZ, MATCH(BU$3, 'Daily 쨈 raw'!$A:$A, 0), MATCH($A23, 'Daily 쨈 raw'!$1:$1, 0)), ""), IF(val=0, "", val))</f>
        <v>62</v>
      </c>
      <c r="BV23" s="44">
        <f t="array" ref="BV23">LET(val, IFERROR(INDEX('Daily 쨈 raw'!$A:$ZZ, MATCH(BV$3, 'Daily 쨈 raw'!$A:$A, 0), MATCH($A23, 'Daily 쨈 raw'!$1:$1, 0)), ""), IF(val=0, "", val))</f>
        <v>46</v>
      </c>
      <c r="BW23" s="44">
        <f t="array" ref="BW23">LET(val, IFERROR(INDEX('Daily 쨈 raw'!$A:$ZZ, MATCH(BW$3, 'Daily 쨈 raw'!$A:$A, 0), MATCH($A23, 'Daily 쨈 raw'!$1:$1, 0)), ""), IF(val=0, "", val))</f>
        <v>48</v>
      </c>
      <c r="BX23" s="44">
        <f t="array" ref="BX23">LET(val, IFERROR(INDEX('Daily 쨈 raw'!$A:$ZZ, MATCH(BX$3, 'Daily 쨈 raw'!$A:$A, 0), MATCH($A23, 'Daily 쨈 raw'!$1:$1, 0)), ""), IF(val=0, "", val))</f>
        <v>57</v>
      </c>
      <c r="BY23" s="44">
        <f t="array" ref="BY23">LET(val, IFERROR(INDEX('Daily 쨈 raw'!$A:$ZZ, MATCH(BY$3, 'Daily 쨈 raw'!$A:$A, 0), MATCH($A23, 'Daily 쨈 raw'!$1:$1, 0)), ""), IF(val=0, "", val))</f>
        <v>60</v>
      </c>
      <c r="BZ23" s="44">
        <f t="array" ref="BZ23">LET(val, IFERROR(INDEX('Daily 쨈 raw'!$A:$ZZ, MATCH(BZ$3, 'Daily 쨈 raw'!$A:$A, 0), MATCH($A23, 'Daily 쨈 raw'!$1:$1, 0)), ""), IF(val=0, "", val))</f>
        <v>35</v>
      </c>
      <c r="CA23" s="44">
        <f t="array" ref="CA23">LET(val, IFERROR(INDEX('Daily 쨈 raw'!$A:$ZZ, MATCH(CA$3, 'Daily 쨈 raw'!$A:$A, 0), MATCH($A23, 'Daily 쨈 raw'!$1:$1, 0)), ""), IF(val=0, "", val))</f>
        <v>52</v>
      </c>
      <c r="CB23" s="44">
        <f t="array" ref="CB23">LET(val, IFERROR(INDEX('Daily 쨈 raw'!$A:$ZZ, MATCH(CB$3, 'Daily 쨈 raw'!$A:$A, 0), MATCH($A23, 'Daily 쨈 raw'!$1:$1, 0)), ""), IF(val=0, "", val))</f>
        <v>31</v>
      </c>
      <c r="CC23" s="44">
        <f t="array" ref="CC23">LET(val, IFERROR(INDEX('Daily 쨈 raw'!$A:$ZZ, MATCH(CC$3, 'Daily 쨈 raw'!$A:$A, 0), MATCH($A23, 'Daily 쨈 raw'!$1:$1, 0)), ""), IF(val=0, "", val))</f>
        <v>42</v>
      </c>
      <c r="CD23" s="44">
        <f t="array" ref="CD23">LET(val, IFERROR(INDEX('Daily 쨈 raw'!$A:$ZZ, MATCH(CD$3, 'Daily 쨈 raw'!$A:$A, 0), MATCH($A23, 'Daily 쨈 raw'!$1:$1, 0)), ""), IF(val=0, "", val))</f>
        <v>63</v>
      </c>
      <c r="CE23" s="44">
        <f t="array" ref="CE23">LET(val, IFERROR(INDEX('Daily 쨈 raw'!$A:$ZZ, MATCH(CE$3, 'Daily 쨈 raw'!$A:$A, 0), MATCH($A23, 'Daily 쨈 raw'!$1:$1, 0)), ""), IF(val=0, "", val))</f>
        <v>55</v>
      </c>
      <c r="CF23" s="44">
        <f t="array" ref="CF23">LET(val, IFERROR(INDEX('Daily 쨈 raw'!$A:$ZZ, MATCH(CF$3, 'Daily 쨈 raw'!$A:$A, 0), MATCH($A23, 'Daily 쨈 raw'!$1:$1, 0)), ""), IF(val=0, "", val))</f>
        <v>60</v>
      </c>
      <c r="CG23" s="44">
        <f t="array" ref="CG23">LET(val, IFERROR(INDEX('Daily 쨈 raw'!$A:$ZZ, MATCH(CG$3, 'Daily 쨈 raw'!$A:$A, 0), MATCH($A23, 'Daily 쨈 raw'!$1:$1, 0)), ""), IF(val=0, "", val))</f>
        <v>75</v>
      </c>
      <c r="CH23" s="44">
        <f t="array" ref="CH23">LET(val, IFERROR(INDEX('Daily 쨈 raw'!$A:$ZZ, MATCH(CH$3, 'Daily 쨈 raw'!$A:$A, 0), MATCH($A23, 'Daily 쨈 raw'!$1:$1, 0)), ""), IF(val=0, "", val))</f>
        <v>75</v>
      </c>
      <c r="CI23" s="44">
        <f t="array" ref="CI23">LET(val, IFERROR(INDEX('Daily 쨈 raw'!$A:$ZZ, MATCH(CI$3, 'Daily 쨈 raw'!$A:$A, 0), MATCH($A23, 'Daily 쨈 raw'!$1:$1, 0)), ""), IF(val=0, "", val))</f>
        <v>90</v>
      </c>
      <c r="CJ23" s="44">
        <f t="array" ref="CJ23">LET(val, IFERROR(INDEX('Daily 쨈 raw'!$A:$ZZ, MATCH(CJ$3, 'Daily 쨈 raw'!$A:$A, 0), MATCH($A23, 'Daily 쨈 raw'!$1:$1, 0)), ""), IF(val=0, "", val))</f>
        <v>93</v>
      </c>
      <c r="CK23" s="44">
        <f t="array" ref="CK23">LET(val, IFERROR(INDEX('Daily 쨈 raw'!$A:$ZZ, MATCH(CK$3, 'Daily 쨈 raw'!$A:$A, 0), MATCH($A23, 'Daily 쨈 raw'!$1:$1, 0)), ""), IF(val=0, "", val))</f>
        <v>111</v>
      </c>
      <c r="CL23" s="44">
        <f t="array" ref="CL23">LET(val, IFERROR(INDEX('Daily 쨈 raw'!$A:$ZZ, MATCH(CL$3, 'Daily 쨈 raw'!$A:$A, 0), MATCH($A23, 'Daily 쨈 raw'!$1:$1, 0)), ""), IF(val=0, "", val))</f>
        <v>65</v>
      </c>
      <c r="CM23" s="44">
        <f t="array" ref="CM23">LET(val, IFERROR(INDEX('Daily 쨈 raw'!$A:$ZZ, MATCH(CM$3, 'Daily 쨈 raw'!$A:$A, 0), MATCH($A23, 'Daily 쨈 raw'!$1:$1, 0)), ""), IF(val=0, "", val))</f>
        <v>82</v>
      </c>
      <c r="CN23" s="44">
        <f t="array" ref="CN23">LET(val, IFERROR(INDEX('Daily 쨈 raw'!$A:$ZZ, MATCH(CN$3, 'Daily 쨈 raw'!$A:$A, 0), MATCH($A23, 'Daily 쨈 raw'!$1:$1, 0)), ""), IF(val=0, "", val))</f>
        <v>72</v>
      </c>
      <c r="CO23" s="44">
        <f t="array" ref="CO23">LET(val, IFERROR(INDEX('Daily 쨈 raw'!$A:$ZZ, MATCH(CO$3, 'Daily 쨈 raw'!$A:$A, 0), MATCH($A23, 'Daily 쨈 raw'!$1:$1, 0)), ""), IF(val=0, "", val))</f>
        <v>108</v>
      </c>
      <c r="CP23" s="44">
        <f t="array" ref="CP23">LET(val, IFERROR(INDEX('Daily 쨈 raw'!$A:$ZZ, MATCH(CP$3, 'Daily 쨈 raw'!$A:$A, 0), MATCH($A23, 'Daily 쨈 raw'!$1:$1, 0)), ""), IF(val=0, "", val))</f>
        <v>26</v>
      </c>
      <c r="CQ23" s="44" t="str">
        <f t="array" ref="CQ23">LET(val, IFERROR(INDEX('Daily 쨈 raw'!$A:$ZZ, MATCH(CQ$3, 'Daily 쨈 raw'!$A:$A, 0), MATCH($A23, 'Daily 쨈 raw'!$1:$1, 0)), ""), IF(val=0, "", val))</f>
        <v/>
      </c>
      <c r="CR23" s="44" t="str">
        <f t="array" ref="CR23">LET(val, IFERROR(INDEX('Daily 쨈 raw'!$A:$ZZ, MATCH(CR$3, 'Daily 쨈 raw'!$A:$A, 0), MATCH($A23, 'Daily 쨈 raw'!$1:$1, 0)), ""), IF(val=0, "", val))</f>
        <v/>
      </c>
      <c r="CS23" s="44" t="str">
        <f t="array" ref="CS23">LET(val, IFERROR(INDEX('Daily 쨈 raw'!$A:$ZZ, MATCH(CS$3, 'Daily 쨈 raw'!$A:$A, 0), MATCH($A23, 'Daily 쨈 raw'!$1:$1, 0)), ""), IF(val=0, "", val))</f>
        <v/>
      </c>
      <c r="CT23" s="44" t="str">
        <f t="array" ref="CT23">LET(val, IFERROR(INDEX('Daily 쨈 raw'!$A:$ZZ, MATCH(CT$3, 'Daily 쨈 raw'!$A:$A, 0), MATCH($A23, 'Daily 쨈 raw'!$1:$1, 0)), ""), IF(val=0, "", val))</f>
        <v/>
      </c>
      <c r="CU23" s="44" t="str">
        <f t="array" ref="CU23">LET(val, IFERROR(INDEX('Daily 쨈 raw'!$A:$ZZ, MATCH(CU$3, 'Daily 쨈 raw'!$A:$A, 0), MATCH($A23, 'Daily 쨈 raw'!$1:$1, 0)), ""), IF(val=0, "", val))</f>
        <v/>
      </c>
      <c r="CV23" s="44" t="str">
        <f t="array" ref="CV23">LET(val, IFERROR(INDEX('Daily 쨈 raw'!$A:$ZZ, MATCH(CV$3, 'Daily 쨈 raw'!$A:$A, 0), MATCH($A23, 'Daily 쨈 raw'!$1:$1, 0)), ""), IF(val=0, "", val))</f>
        <v/>
      </c>
      <c r="CW23" s="44" t="str">
        <f t="array" ref="CW23">LET(val, IFERROR(INDEX('Daily 쨈 raw'!$A:$ZZ, MATCH(CW$3, 'Daily 쨈 raw'!$A:$A, 0), MATCH($A23, 'Daily 쨈 raw'!$1:$1, 0)), ""), IF(val=0, "", val))</f>
        <v/>
      </c>
      <c r="CX23" s="44" t="str">
        <f t="array" ref="CX23">LET(val, IFERROR(INDEX('Daily 쨈 raw'!$A:$ZZ, MATCH(CX$3, 'Daily 쨈 raw'!$A:$A, 0), MATCH($A23, 'Daily 쨈 raw'!$1:$1, 0)), ""), IF(val=0, "", val))</f>
        <v/>
      </c>
      <c r="CY23" s="44" t="str">
        <f t="array" ref="CY23">LET(val, IFERROR(INDEX('Daily 쨈 raw'!$A:$ZZ, MATCH(CY$3, 'Daily 쨈 raw'!$A:$A, 0), MATCH($A23, 'Daily 쨈 raw'!$1:$1, 0)), ""), IF(val=0, "", val))</f>
        <v/>
      </c>
      <c r="CZ23" s="44" t="str">
        <f t="array" ref="CZ23">LET(val, IFERROR(INDEX('Daily 쨈 raw'!$A:$ZZ, MATCH(CZ$3, 'Daily 쨈 raw'!$A:$A, 0), MATCH($A23, 'Daily 쨈 raw'!$1:$1, 0)), ""), IF(val=0, "", val))</f>
        <v/>
      </c>
      <c r="DA23" s="44" t="str">
        <f t="array" ref="DA23">LET(val, IFERROR(INDEX('Daily 쨈 raw'!$A:$ZZ, MATCH(DA$3, 'Daily 쨈 raw'!$A:$A, 0), MATCH($A23, 'Daily 쨈 raw'!$1:$1, 0)), ""), IF(val=0, "", val))</f>
        <v/>
      </c>
      <c r="DB23" s="44" t="str">
        <f t="array" ref="DB23">LET(val, IFERROR(INDEX('Daily 쨈 raw'!$A:$ZZ, MATCH(DB$3, 'Daily 쨈 raw'!$A:$A, 0), MATCH($A23, 'Daily 쨈 raw'!$1:$1, 0)), ""), IF(val=0, "", val))</f>
        <v/>
      </c>
      <c r="DC23" s="44" t="str">
        <f t="array" ref="DC23">LET(val, IFERROR(INDEX('Daily 쨈 raw'!$A:$ZZ, MATCH(DC$3, 'Daily 쨈 raw'!$A:$A, 0), MATCH($A23, 'Daily 쨈 raw'!$1:$1, 0)), ""), IF(val=0, "", val))</f>
        <v/>
      </c>
      <c r="DD23" s="44" t="str">
        <f t="array" ref="DD23">LET(val, IFERROR(INDEX('Daily 쨈 raw'!$A:$ZZ, MATCH(DD$3, 'Daily 쨈 raw'!$A:$A, 0), MATCH($A23, 'Daily 쨈 raw'!$1:$1, 0)), ""), IF(val=0, "", val))</f>
        <v/>
      </c>
      <c r="DE23" s="44" t="str">
        <f t="array" ref="DE23">LET(val, IFERROR(INDEX('Daily 쨈 raw'!$A:$ZZ, MATCH(DE$3, 'Daily 쨈 raw'!$A:$A, 0), MATCH($A23, 'Daily 쨈 raw'!$1:$1, 0)), ""), IF(val=0, "", val))</f>
        <v/>
      </c>
      <c r="DF23" s="44" t="str">
        <f t="array" ref="DF23">LET(val, IFERROR(INDEX('Daily 쨈 raw'!$A:$ZZ, MATCH(DF$3, 'Daily 쨈 raw'!$A:$A, 0), MATCH($A23, 'Daily 쨈 raw'!$1:$1, 0)), ""), IF(val=0, "", val))</f>
        <v/>
      </c>
      <c r="DG23" s="44" t="str">
        <f t="array" ref="DG23">LET(val, IFERROR(INDEX('Daily 쨈 raw'!$A:$ZZ, MATCH(DG$3, 'Daily 쨈 raw'!$A:$A, 0), MATCH($A23, 'Daily 쨈 raw'!$1:$1, 0)), ""), IF(val=0, "", val))</f>
        <v/>
      </c>
      <c r="DH23" s="44" t="str">
        <f t="array" ref="DH23">LET(val, IFERROR(INDEX('Daily 쨈 raw'!$A:$ZZ, MATCH(DH$3, 'Daily 쨈 raw'!$A:$A, 0), MATCH($A23, 'Daily 쨈 raw'!$1:$1, 0)), ""), IF(val=0, "", val))</f>
        <v/>
      </c>
      <c r="DI23" s="44" t="str">
        <f t="array" ref="DI23">LET(val, IFERROR(INDEX('Daily 쨈 raw'!$A:$ZZ, MATCH(DI$3, 'Daily 쨈 raw'!$A:$A, 0), MATCH($A23, 'Daily 쨈 raw'!$1:$1, 0)), ""), IF(val=0, "", val))</f>
        <v/>
      </c>
      <c r="DJ23" s="44" t="str">
        <f t="array" ref="DJ23">LET(val, IFERROR(INDEX('Daily 쨈 raw'!$A:$ZZ, MATCH(DJ$3, 'Daily 쨈 raw'!$A:$A, 0), MATCH($A23, 'Daily 쨈 raw'!$1:$1, 0)), ""), IF(val=0, "", val))</f>
        <v/>
      </c>
      <c r="DK23" s="44" t="str">
        <f t="array" ref="DK23">LET(val, IFERROR(INDEX('Daily 쨈 raw'!$A:$ZZ, MATCH(DK$3, 'Daily 쨈 raw'!$A:$A, 0), MATCH($A23, 'Daily 쨈 raw'!$1:$1, 0)), ""), IF(val=0, "", val))</f>
        <v/>
      </c>
      <c r="DL23" s="44" t="str">
        <f t="array" ref="DL23">LET(val, IFERROR(INDEX('Daily 쨈 raw'!$A:$ZZ, MATCH(DL$3, 'Daily 쨈 raw'!$A:$A, 0), MATCH($A23, 'Daily 쨈 raw'!$1:$1, 0)), ""), IF(val=0, "", val))</f>
        <v/>
      </c>
      <c r="DM23" s="44" t="str">
        <f t="array" ref="DM23">LET(val, IFERROR(INDEX('Daily 쨈 raw'!$A:$ZZ, MATCH(DM$3, 'Daily 쨈 raw'!$A:$A, 0), MATCH($A23, 'Daily 쨈 raw'!$1:$1, 0)), ""), IF(val=0, "", val))</f>
        <v/>
      </c>
      <c r="DN23" s="44" t="str">
        <f t="array" ref="DN23">LET(val, IFERROR(INDEX('Daily 쨈 raw'!$A:$ZZ, MATCH(DN$3, 'Daily 쨈 raw'!$A:$A, 0), MATCH($A23, 'Daily 쨈 raw'!$1:$1, 0)), ""), IF(val=0, "", val))</f>
        <v/>
      </c>
      <c r="DO23" s="44" t="str">
        <f t="array" ref="DO23">LET(val, IFERROR(INDEX('Daily 쨈 raw'!$A:$ZZ, MATCH(DO$3, 'Daily 쨈 raw'!$A:$A, 0), MATCH($A23, 'Daily 쨈 raw'!$1:$1, 0)), ""), IF(val=0, "", val))</f>
        <v/>
      </c>
      <c r="DP23" s="44" t="str">
        <f t="array" ref="DP23">LET(val, IFERROR(INDEX('Daily 쨈 raw'!$A:$ZZ, MATCH(DP$3, 'Daily 쨈 raw'!$A:$A, 0), MATCH($A23, 'Daily 쨈 raw'!$1:$1, 0)), ""), IF(val=0, "", val))</f>
        <v/>
      </c>
      <c r="DQ23" s="44" t="str">
        <f t="array" ref="DQ23">LET(val, IFERROR(INDEX('Daily 쨈 raw'!$A:$ZZ, MATCH(DQ$3, 'Daily 쨈 raw'!$A:$A, 0), MATCH($A23, 'Daily 쨈 raw'!$1:$1, 0)), ""), IF(val=0, "", val))</f>
        <v/>
      </c>
      <c r="DR23" s="44" t="str">
        <f t="array" ref="DR23">LET(val, IFERROR(INDEX('Daily 쨈 raw'!$A:$ZZ, MATCH(DR$3, 'Daily 쨈 raw'!$A:$A, 0), MATCH($A23, 'Daily 쨈 raw'!$1:$1, 0)), ""), IF(val=0, "", val))</f>
        <v/>
      </c>
      <c r="DS23" s="44" t="str">
        <f t="array" ref="DS23">LET(val, IFERROR(INDEX('Daily 쨈 raw'!$A:$ZZ, MATCH(DS$3, 'Daily 쨈 raw'!$A:$A, 0), MATCH($A23, 'Daily 쨈 raw'!$1:$1, 0)), ""), IF(val=0, "", val))</f>
        <v/>
      </c>
      <c r="DT23" s="44" t="str">
        <f t="array" ref="DT23">LET(val, IFERROR(INDEX('Daily 쨈 raw'!$A:$ZZ, MATCH(DT$3, 'Daily 쨈 raw'!$A:$A, 0), MATCH($A23, 'Daily 쨈 raw'!$1:$1, 0)), ""), IF(val=0, "", val))</f>
        <v/>
      </c>
      <c r="DU23" s="44" t="str">
        <f t="array" ref="DU23">LET(val, IFERROR(INDEX('Daily 쨈 raw'!$A:$ZZ, MATCH(DU$3, 'Daily 쨈 raw'!$A:$A, 0), MATCH($A23, 'Daily 쨈 raw'!$1:$1, 0)), ""), IF(val=0, "", val))</f>
        <v/>
      </c>
      <c r="DV23" s="44" t="str">
        <f t="array" ref="DV23">LET(val, IFERROR(INDEX('Daily 쨈 raw'!$A:$ZZ, MATCH(DV$3, 'Daily 쨈 raw'!$A:$A, 0), MATCH($A23, 'Daily 쨈 raw'!$1:$1, 0)), ""), IF(val=0, "", val))</f>
        <v/>
      </c>
      <c r="DW23" s="44" t="str">
        <f t="array" ref="DW23">LET(val, IFERROR(INDEX('Daily 쨈 raw'!$A:$ZZ, MATCH(DW$3, 'Daily 쨈 raw'!$A:$A, 0), MATCH($A23, 'Daily 쨈 raw'!$1:$1, 0)), ""), IF(val=0, "", val))</f>
        <v/>
      </c>
      <c r="DX23" s="44" t="str">
        <f t="array" ref="DX23">LET(val, IFERROR(INDEX('Daily 쨈 raw'!$A:$ZZ, MATCH(DX$3, 'Daily 쨈 raw'!$A:$A, 0), MATCH($A23, 'Daily 쨈 raw'!$1:$1, 0)), ""), IF(val=0, "", val))</f>
        <v/>
      </c>
      <c r="DY23" s="44" t="str">
        <f t="array" ref="DY23">LET(val, IFERROR(INDEX('Daily 쨈 raw'!$A:$ZZ, MATCH(DY$3, 'Daily 쨈 raw'!$A:$A, 0), MATCH($A23, 'Daily 쨈 raw'!$1:$1, 0)), ""), IF(val=0, "", val))</f>
        <v/>
      </c>
      <c r="DZ23" s="44" t="str">
        <f t="array" ref="DZ23">LET(val, IFERROR(INDEX('Daily 쨈 raw'!$A:$ZZ, MATCH(DZ$3, 'Daily 쨈 raw'!$A:$A, 0), MATCH($A23, 'Daily 쨈 raw'!$1:$1, 0)), ""), IF(val=0, "", val))</f>
        <v/>
      </c>
    </row>
    <row r="24" ht="22.5" customHeight="1">
      <c r="A24" s="11" t="s">
        <v>31</v>
      </c>
      <c r="B24" s="45" t="s">
        <v>32</v>
      </c>
      <c r="C24" s="46">
        <f t="array" ref="C24">LET(val, IFERROR(INDEX('Daily 쨈 raw'!$A:$ZZ, MATCH(C$3, 'Daily 쨈 raw'!$A:$A, 0), MATCH($A24, 'Daily 쨈 raw'!$1:$1, 0)), ""), IF(val=0, "", val))</f>
        <v>-0.5557821508</v>
      </c>
      <c r="D24" s="46">
        <f t="array" ref="D24">LET(val, IFERROR(INDEX('Daily 쨈 raw'!$A:$ZZ, MATCH(D$3, 'Daily 쨈 raw'!$A:$A, 0), MATCH($A24, 'Daily 쨈 raw'!$1:$1, 0)), ""), IF(val=0, "", val))</f>
        <v>-0.2547200907</v>
      </c>
      <c r="E24" s="46">
        <f t="array" ref="E24">LET(val, IFERROR(INDEX('Daily 쨈 raw'!$A:$ZZ, MATCH(E$3, 'Daily 쨈 raw'!$A:$A, 0), MATCH($A24, 'Daily 쨈 raw'!$1:$1, 0)), ""), IF(val=0, "", val))</f>
        <v>-0.728829583</v>
      </c>
      <c r="F24" s="46">
        <f t="array" ref="F24">LET(val, IFERROR(INDEX('Daily 쨈 raw'!$A:$ZZ, MATCH(F$3, 'Daily 쨈 raw'!$A:$A, 0), MATCH($A24, 'Daily 쨈 raw'!$1:$1, 0)), ""), IF(val=0, "", val))</f>
        <v>-0.9137027126</v>
      </c>
      <c r="G24" s="46">
        <f t="array" ref="G24">LET(val, IFERROR(INDEX('Daily 쨈 raw'!$A:$ZZ, MATCH(G$3, 'Daily 쨈 raw'!$A:$A, 0), MATCH($A24, 'Daily 쨈 raw'!$1:$1, 0)), ""), IF(val=0, "", val))</f>
        <v>-0.8082396694</v>
      </c>
      <c r="H24" s="46">
        <f t="array" ref="H24">LET(val, IFERROR(INDEX('Daily 쨈 raw'!$A:$ZZ, MATCH(H$3, 'Daily 쨈 raw'!$A:$A, 0), MATCH($A24, 'Daily 쨈 raw'!$1:$1, 0)), ""), IF(val=0, "", val))</f>
        <v>0.07716864295</v>
      </c>
      <c r="I24" s="46">
        <f t="array" ref="I24">LET(val, IFERROR(INDEX('Daily 쨈 raw'!$A:$ZZ, MATCH(I$3, 'Daily 쨈 raw'!$A:$A, 0), MATCH($A24, 'Daily 쨈 raw'!$1:$1, 0)), ""), IF(val=0, "", val))</f>
        <v>-0.2914049989</v>
      </c>
      <c r="J24" s="46">
        <f t="array" ref="J24">LET(val, IFERROR(INDEX('Daily 쨈 raw'!$A:$ZZ, MATCH(J$3, 'Daily 쨈 raw'!$A:$A, 0), MATCH($A24, 'Daily 쨈 raw'!$1:$1, 0)), ""), IF(val=0, "", val))</f>
        <v>-0.2332130258</v>
      </c>
      <c r="K24" s="46">
        <f t="array" ref="K24">LET(val, IFERROR(INDEX('Daily 쨈 raw'!$A:$ZZ, MATCH(K$3, 'Daily 쨈 raw'!$A:$A, 0), MATCH($A24, 'Daily 쨈 raw'!$1:$1, 0)), ""), IF(val=0, "", val))</f>
        <v>0.1608838576</v>
      </c>
      <c r="L24" s="46">
        <f t="array" ref="L24">LET(val, IFERROR(INDEX('Daily 쨈 raw'!$A:$ZZ, MATCH(L$3, 'Daily 쨈 raw'!$A:$A, 0), MATCH($A24, 'Daily 쨈 raw'!$1:$1, 0)), ""), IF(val=0, "", val))</f>
        <v>0.3485921413</v>
      </c>
      <c r="M24" s="46">
        <f t="array" ref="M24">LET(val, IFERROR(INDEX('Daily 쨈 raw'!$A:$ZZ, MATCH(M$3, 'Daily 쨈 raw'!$A:$A, 0), MATCH($A24, 'Daily 쨈 raw'!$1:$1, 0)), ""), IF(val=0, "", val))</f>
        <v>0.1663841642</v>
      </c>
      <c r="N24" s="46">
        <f t="array" ref="N24">LET(val, IFERROR(INDEX('Daily 쨈 raw'!$A:$ZZ, MATCH(N$3, 'Daily 쨈 raw'!$A:$A, 0), MATCH($A24, 'Daily 쨈 raw'!$1:$1, 0)), ""), IF(val=0, "", val))</f>
        <v>0.3628280543</v>
      </c>
      <c r="O24" s="46">
        <f t="array" ref="O24">LET(val, IFERROR(INDEX('Daily 쨈 raw'!$A:$ZZ, MATCH(O$3, 'Daily 쨈 raw'!$A:$A, 0), MATCH($A24, 'Daily 쨈 raw'!$1:$1, 0)), ""), IF(val=0, "", val))</f>
        <v>0.3427254654</v>
      </c>
      <c r="P24" s="46">
        <f t="array" ref="P24">LET(val, IFERROR(INDEX('Daily 쨈 raw'!$A:$ZZ, MATCH(P$3, 'Daily 쨈 raw'!$A:$A, 0), MATCH($A24, 'Daily 쨈 raw'!$1:$1, 0)), ""), IF(val=0, "", val))</f>
        <v>0.3027915298</v>
      </c>
      <c r="Q24" s="46">
        <f t="array" ref="Q24">LET(val, IFERROR(INDEX('Daily 쨈 raw'!$A:$ZZ, MATCH(Q$3, 'Daily 쨈 raw'!$A:$A, 0), MATCH($A24, 'Daily 쨈 raw'!$1:$1, 0)), ""), IF(val=0, "", val))</f>
        <v>0.2513600411</v>
      </c>
      <c r="R24" s="46">
        <f t="array" ref="R24">LET(val, IFERROR(INDEX('Daily 쨈 raw'!$A:$ZZ, MATCH(R$3, 'Daily 쨈 raw'!$A:$A, 0), MATCH($A24, 'Daily 쨈 raw'!$1:$1, 0)), ""), IF(val=0, "", val))</f>
        <v>0.2476998788</v>
      </c>
      <c r="S24" s="46">
        <f t="array" ref="S24">LET(val, IFERROR(INDEX('Daily 쨈 raw'!$A:$ZZ, MATCH(S$3, 'Daily 쨈 raw'!$A:$A, 0), MATCH($A24, 'Daily 쨈 raw'!$1:$1, 0)), ""), IF(val=0, "", val))</f>
        <v>-0.1410035768</v>
      </c>
      <c r="T24" s="46">
        <f t="array" ref="T24">LET(val, IFERROR(INDEX('Daily 쨈 raw'!$A:$ZZ, MATCH(T$3, 'Daily 쨈 raw'!$A:$A, 0), MATCH($A24, 'Daily 쨈 raw'!$1:$1, 0)), ""), IF(val=0, "", val))</f>
        <v>0.106628722</v>
      </c>
      <c r="U24" s="46">
        <f t="array" ref="U24">LET(val, IFERROR(INDEX('Daily 쨈 raw'!$A:$ZZ, MATCH(U$3, 'Daily 쨈 raw'!$A:$A, 0), MATCH($A24, 'Daily 쨈 raw'!$1:$1, 0)), ""), IF(val=0, "", val))</f>
        <v>-0.03547035573</v>
      </c>
      <c r="V24" s="46">
        <f t="array" ref="V24">LET(val, IFERROR(INDEX('Daily 쨈 raw'!$A:$ZZ, MATCH(V$3, 'Daily 쨈 raw'!$A:$A, 0), MATCH($A24, 'Daily 쨈 raw'!$1:$1, 0)), ""), IF(val=0, "", val))</f>
        <v>0.1336302643</v>
      </c>
      <c r="W24" s="46">
        <f t="array" ref="W24">LET(val, IFERROR(INDEX('Daily 쨈 raw'!$A:$ZZ, MATCH(W$3, 'Daily 쨈 raw'!$A:$A, 0), MATCH($A24, 'Daily 쨈 raw'!$1:$1, 0)), ""), IF(val=0, "", val))</f>
        <v>0.06576354336</v>
      </c>
      <c r="X24" s="46">
        <f t="array" ref="X24">LET(val, IFERROR(INDEX('Daily 쨈 raw'!$A:$ZZ, MATCH(X$3, 'Daily 쨈 raw'!$A:$A, 0), MATCH($A24, 'Daily 쨈 raw'!$1:$1, 0)), ""), IF(val=0, "", val))</f>
        <v>0.1803782369</v>
      </c>
      <c r="Y24" s="46">
        <f t="array" ref="Y24">LET(val, IFERROR(INDEX('Daily 쨈 raw'!$A:$ZZ, MATCH(Y$3, 'Daily 쨈 raw'!$A:$A, 0), MATCH($A24, 'Daily 쨈 raw'!$1:$1, 0)), ""), IF(val=0, "", val))</f>
        <v>0.2360695546</v>
      </c>
      <c r="Z24" s="46">
        <f t="array" ref="Z24">LET(val, IFERROR(INDEX('Daily 쨈 raw'!$A:$ZZ, MATCH(Z$3, 'Daily 쨈 raw'!$A:$A, 0), MATCH($A24, 'Daily 쨈 raw'!$1:$1, 0)), ""), IF(val=0, "", val))</f>
        <v>0.1668609626</v>
      </c>
      <c r="AA24" s="46">
        <f t="array" ref="AA24">LET(val, IFERROR(INDEX('Daily 쨈 raw'!$A:$ZZ, MATCH(AA$3, 'Daily 쨈 raw'!$A:$A, 0), MATCH($A24, 'Daily 쨈 raw'!$1:$1, 0)), ""), IF(val=0, "", val))</f>
        <v>0.07326294821</v>
      </c>
      <c r="AB24" s="46">
        <f t="array" ref="AB24">LET(val, IFERROR(INDEX('Daily 쨈 raw'!$A:$ZZ, MATCH(AB$3, 'Daily 쨈 raw'!$A:$A, 0), MATCH($A24, 'Daily 쨈 raw'!$1:$1, 0)), ""), IF(val=0, "", val))</f>
        <v>0.2274863486</v>
      </c>
      <c r="AC24" s="46">
        <f t="array" ref="AC24">LET(val, IFERROR(INDEX('Daily 쨈 raw'!$A:$ZZ, MATCH(AC$3, 'Daily 쨈 raw'!$A:$A, 0), MATCH($A24, 'Daily 쨈 raw'!$1:$1, 0)), ""), IF(val=0, "", val))</f>
        <v>0.101598262</v>
      </c>
      <c r="AD24" s="46">
        <f t="array" ref="AD24">LET(val, IFERROR(INDEX('Daily 쨈 raw'!$A:$ZZ, MATCH(AD$3, 'Daily 쨈 raw'!$A:$A, 0), MATCH($A24, 'Daily 쨈 raw'!$1:$1, 0)), ""), IF(val=0, "", val))</f>
        <v>0.163938843</v>
      </c>
      <c r="AE24" s="46">
        <f t="array" ref="AE24">LET(val, IFERROR(INDEX('Daily 쨈 raw'!$A:$ZZ, MATCH(AE$3, 'Daily 쨈 raw'!$A:$A, 0), MATCH($A24, 'Daily 쨈 raw'!$1:$1, 0)), ""), IF(val=0, "", val))</f>
        <v>0.1630535714</v>
      </c>
      <c r="AF24" s="46">
        <f t="array" ref="AF24">LET(val, IFERROR(INDEX('Daily 쨈 raw'!$A:$ZZ, MATCH(AF$3, 'Daily 쨈 raw'!$A:$A, 0), MATCH($A24, 'Daily 쨈 raw'!$1:$1, 0)), ""), IF(val=0, "", val))</f>
        <v>0.2568423295</v>
      </c>
      <c r="AG24" s="46">
        <f t="array" ref="AG24">LET(val, IFERROR(INDEX('Daily 쨈 raw'!$A:$ZZ, MATCH(AG$3, 'Daily 쨈 raw'!$A:$A, 0), MATCH($A24, 'Daily 쨈 raw'!$1:$1, 0)), ""), IF(val=0, "", val))</f>
        <v>0.2497980552</v>
      </c>
      <c r="AH24" s="46">
        <f t="array" ref="AH24">LET(val, IFERROR(INDEX('Daily 쨈 raw'!$A:$ZZ, MATCH(AH$3, 'Daily 쨈 raw'!$A:$A, 0), MATCH($A24, 'Daily 쨈 raw'!$1:$1, 0)), ""), IF(val=0, "", val))</f>
        <v>0.1987006147</v>
      </c>
      <c r="AI24" s="46">
        <f t="array" ref="AI24">LET(val, IFERROR(INDEX('Daily 쨈 raw'!$A:$ZZ, MATCH(AI$3, 'Daily 쨈 raw'!$A:$A, 0), MATCH($A24, 'Daily 쨈 raw'!$1:$1, 0)), ""), IF(val=0, "", val))</f>
        <v>0.139540146</v>
      </c>
      <c r="AJ24" s="46">
        <f t="array" ref="AJ24">LET(val, IFERROR(INDEX('Daily 쨈 raw'!$A:$ZZ, MATCH(AJ$3, 'Daily 쨈 raw'!$A:$A, 0), MATCH($A24, 'Daily 쨈 raw'!$1:$1, 0)), ""), IF(val=0, "", val))</f>
        <v>0.1244642289</v>
      </c>
      <c r="AK24" s="46">
        <f t="array" ref="AK24">LET(val, IFERROR(INDEX('Daily 쨈 raw'!$A:$ZZ, MATCH(AK$3, 'Daily 쨈 raw'!$A:$A, 0), MATCH($A24, 'Daily 쨈 raw'!$1:$1, 0)), ""), IF(val=0, "", val))</f>
        <v>0.1015581028</v>
      </c>
      <c r="AL24" s="46">
        <f t="array" ref="AL24">LET(val, IFERROR(INDEX('Daily 쨈 raw'!$A:$ZZ, MATCH(AL$3, 'Daily 쨈 raw'!$A:$A, 0), MATCH($A24, 'Daily 쨈 raw'!$1:$1, 0)), ""), IF(val=0, "", val))</f>
        <v>0.1823315508</v>
      </c>
      <c r="AM24" s="46">
        <f t="array" ref="AM24">LET(val, IFERROR(INDEX('Daily 쨈 raw'!$A:$ZZ, MATCH(AM$3, 'Daily 쨈 raw'!$A:$A, 0), MATCH($A24, 'Daily 쨈 raw'!$1:$1, 0)), ""), IF(val=0, "", val))</f>
        <v>-0.09725432236</v>
      </c>
      <c r="AN24" s="46">
        <f t="array" ref="AN24">LET(val, IFERROR(INDEX('Daily 쨈 raw'!$A:$ZZ, MATCH(AN$3, 'Daily 쨈 raw'!$A:$A, 0), MATCH($A24, 'Daily 쨈 raw'!$1:$1, 0)), ""), IF(val=0, "", val))</f>
        <v>0.02547291093</v>
      </c>
      <c r="AO24" s="46">
        <f t="array" ref="AO24">LET(val, IFERROR(INDEX('Daily 쨈 raw'!$A:$ZZ, MATCH(AO$3, 'Daily 쨈 raw'!$A:$A, 0), MATCH($A24, 'Daily 쨈 raw'!$1:$1, 0)), ""), IF(val=0, "", val))</f>
        <v>0.1533598857</v>
      </c>
      <c r="AP24" s="46">
        <f t="array" ref="AP24">LET(val, IFERROR(INDEX('Daily 쨈 raw'!$A:$ZZ, MATCH(AP$3, 'Daily 쨈 raw'!$A:$A, 0), MATCH($A24, 'Daily 쨈 raw'!$1:$1, 0)), ""), IF(val=0, "", val))</f>
        <v>-0.03384463487</v>
      </c>
      <c r="AQ24" s="46">
        <f t="array" ref="AQ24">LET(val, IFERROR(INDEX('Daily 쨈 raw'!$A:$ZZ, MATCH(AQ$3, 'Daily 쨈 raw'!$A:$A, 0), MATCH($A24, 'Daily 쨈 raw'!$1:$1, 0)), ""), IF(val=0, "", val))</f>
        <v>0.04716800699</v>
      </c>
      <c r="AR24" s="46">
        <f t="array" ref="AR24">LET(val, IFERROR(INDEX('Daily 쨈 raw'!$A:$ZZ, MATCH(AR$3, 'Daily 쨈 raw'!$A:$A, 0), MATCH($A24, 'Daily 쨈 raw'!$1:$1, 0)), ""), IF(val=0, "", val))</f>
        <v>-0.0589512987</v>
      </c>
      <c r="AS24" s="46">
        <f t="array" ref="AS24">LET(val, IFERROR(INDEX('Daily 쨈 raw'!$A:$ZZ, MATCH(AS$3, 'Daily 쨈 raw'!$A:$A, 0), MATCH($A24, 'Daily 쨈 raw'!$1:$1, 0)), ""), IF(val=0, "", val))</f>
        <v>-0.1195283747</v>
      </c>
      <c r="AT24" s="46">
        <f t="array" ref="AT24">LET(val, IFERROR(INDEX('Daily 쨈 raw'!$A:$ZZ, MATCH(AT$3, 'Daily 쨈 raw'!$A:$A, 0), MATCH($A24, 'Daily 쨈 raw'!$1:$1, 0)), ""), IF(val=0, "", val))</f>
        <v>0.05634949033</v>
      </c>
      <c r="AU24" s="46">
        <f t="array" ref="AU24">LET(val, IFERROR(INDEX('Daily 쨈 raw'!$A:$ZZ, MATCH(AU$3, 'Daily 쨈 raw'!$A:$A, 0), MATCH($A24, 'Daily 쨈 raw'!$1:$1, 0)), ""), IF(val=0, "", val))</f>
        <v>-0.03150310421</v>
      </c>
      <c r="AV24" s="46">
        <f t="array" ref="AV24">LET(val, IFERROR(INDEX('Daily 쨈 raw'!$A:$ZZ, MATCH(AV$3, 'Daily 쨈 raw'!$A:$A, 0), MATCH($A24, 'Daily 쨈 raw'!$1:$1, 0)), ""), IF(val=0, "", val))</f>
        <v>-0.2306808207</v>
      </c>
      <c r="AW24" s="46">
        <f t="array" ref="AW24">LET(val, IFERROR(INDEX('Daily 쨈 raw'!$A:$ZZ, MATCH(AW$3, 'Daily 쨈 raw'!$A:$A, 0), MATCH($A24, 'Daily 쨈 raw'!$1:$1, 0)), ""), IF(val=0, "", val))</f>
        <v>-0.1818008924</v>
      </c>
      <c r="AX24" s="46">
        <f t="array" ref="AX24">LET(val, IFERROR(INDEX('Daily 쨈 raw'!$A:$ZZ, MATCH(AX$3, 'Daily 쨈 raw'!$A:$A, 0), MATCH($A24, 'Daily 쨈 raw'!$1:$1, 0)), ""), IF(val=0, "", val))</f>
        <v>0.0328354232</v>
      </c>
      <c r="AY24" s="46">
        <f t="array" ref="AY24">LET(val, IFERROR(INDEX('Daily 쨈 raw'!$A:$ZZ, MATCH(AY$3, 'Daily 쨈 raw'!$A:$A, 0), MATCH($A24, 'Daily 쨈 raw'!$1:$1, 0)), ""), IF(val=0, "", val))</f>
        <v>-0.1230265487</v>
      </c>
      <c r="AZ24" s="46">
        <f t="array" ref="AZ24">LET(val, IFERROR(INDEX('Daily 쨈 raw'!$A:$ZZ, MATCH(AZ$3, 'Daily 쨈 raw'!$A:$A, 0), MATCH($A24, 'Daily 쨈 raw'!$1:$1, 0)), ""), IF(val=0, "", val))</f>
        <v>-0.2148427273</v>
      </c>
      <c r="BA24" s="46">
        <f t="array" ref="BA24">LET(val, IFERROR(INDEX('Daily 쨈 raw'!$A:$ZZ, MATCH(BA$3, 'Daily 쨈 raw'!$A:$A, 0), MATCH($A24, 'Daily 쨈 raw'!$1:$1, 0)), ""), IF(val=0, "", val))</f>
        <v>-0.1128846154</v>
      </c>
      <c r="BB24" s="46">
        <f t="array" ref="BB24">LET(val, IFERROR(INDEX('Daily 쨈 raw'!$A:$ZZ, MATCH(BB$3, 'Daily 쨈 raw'!$A:$A, 0), MATCH($A24, 'Daily 쨈 raw'!$1:$1, 0)), ""), IF(val=0, "", val))</f>
        <v>-0.01648879203</v>
      </c>
      <c r="BC24" s="46">
        <f t="array" ref="BC24">LET(val, IFERROR(INDEX('Daily 쨈 raw'!$A:$ZZ, MATCH(BC$3, 'Daily 쨈 raw'!$A:$A, 0), MATCH($A24, 'Daily 쨈 raw'!$1:$1, 0)), ""), IF(val=0, "", val))</f>
        <v>0.2110503421</v>
      </c>
      <c r="BD24" s="46">
        <f t="array" ref="BD24">LET(val, IFERROR(INDEX('Daily 쨈 raw'!$A:$ZZ, MATCH(BD$3, 'Daily 쨈 raw'!$A:$A, 0), MATCH($A24, 'Daily 쨈 raw'!$1:$1, 0)), ""), IF(val=0, "", val))</f>
        <v>0.3138388004</v>
      </c>
      <c r="BE24" s="46">
        <f t="array" ref="BE24">LET(val, IFERROR(INDEX('Daily 쨈 raw'!$A:$ZZ, MATCH(BE$3, 'Daily 쨈 raw'!$A:$A, 0), MATCH($A24, 'Daily 쨈 raw'!$1:$1, 0)), ""), IF(val=0, "", val))</f>
        <v>0.3409799741</v>
      </c>
      <c r="BF24" s="46">
        <f t="array" ref="BF24">LET(val, IFERROR(INDEX('Daily 쨈 raw'!$A:$ZZ, MATCH(BF$3, 'Daily 쨈 raw'!$A:$A, 0), MATCH($A24, 'Daily 쨈 raw'!$1:$1, 0)), ""), IF(val=0, "", val))</f>
        <v>0.3773712423</v>
      </c>
      <c r="BG24" s="46">
        <f t="array" ref="BG24">LET(val, IFERROR(INDEX('Daily 쨈 raw'!$A:$ZZ, MATCH(BG$3, 'Daily 쨈 raw'!$A:$A, 0), MATCH($A24, 'Daily 쨈 raw'!$1:$1, 0)), ""), IF(val=0, "", val))</f>
        <v>0.2648602748</v>
      </c>
      <c r="BH24" s="46">
        <f t="array" ref="BH24">LET(val, IFERROR(INDEX('Daily 쨈 raw'!$A:$ZZ, MATCH(BH$3, 'Daily 쨈 raw'!$A:$A, 0), MATCH($A24, 'Daily 쨈 raw'!$1:$1, 0)), ""), IF(val=0, "", val))</f>
        <v>0.3121305785</v>
      </c>
      <c r="BI24" s="46">
        <f t="array" ref="BI24">LET(val, IFERROR(INDEX('Daily 쨈 raw'!$A:$ZZ, MATCH(BI$3, 'Daily 쨈 raw'!$A:$A, 0), MATCH($A24, 'Daily 쨈 raw'!$1:$1, 0)), ""), IF(val=0, "", val))</f>
        <v>0.391601581</v>
      </c>
      <c r="BJ24" s="46">
        <f t="array" ref="BJ24">LET(val, IFERROR(INDEX('Daily 쨈 raw'!$A:$ZZ, MATCH(BJ$3, 'Daily 쨈 raw'!$A:$A, 0), MATCH($A24, 'Daily 쨈 raw'!$1:$1, 0)), ""), IF(val=0, "", val))</f>
        <v>0.3694350371</v>
      </c>
      <c r="BK24" s="46">
        <f t="array" ref="BK24">LET(val, IFERROR(INDEX('Daily 쨈 raw'!$A:$ZZ, MATCH(BK$3, 'Daily 쨈 raw'!$A:$A, 0), MATCH($A24, 'Daily 쨈 raw'!$1:$1, 0)), ""), IF(val=0, "", val))</f>
        <v>0.3004634817</v>
      </c>
      <c r="BL24" s="46">
        <f t="array" ref="BL24">LET(val, IFERROR(INDEX('Daily 쨈 raw'!$A:$ZZ, MATCH(BL$3, 'Daily 쨈 raw'!$A:$A, 0), MATCH($A24, 'Daily 쨈 raw'!$1:$1, 0)), ""), IF(val=0, "", val))</f>
        <v>0.3591507341</v>
      </c>
      <c r="BM24" s="46">
        <f t="array" ref="BM24">LET(val, IFERROR(INDEX('Daily 쨈 raw'!$A:$ZZ, MATCH(BM$3, 'Daily 쨈 raw'!$A:$A, 0), MATCH($A24, 'Daily 쨈 raw'!$1:$1, 0)), ""), IF(val=0, "", val))</f>
        <v>0.3418152669</v>
      </c>
      <c r="BN24" s="46">
        <f t="array" ref="BN24">LET(val, IFERROR(INDEX('Daily 쨈 raw'!$A:$ZZ, MATCH(BN$3, 'Daily 쨈 raw'!$A:$A, 0), MATCH($A24, 'Daily 쨈 raw'!$1:$1, 0)), ""), IF(val=0, "", val))</f>
        <v>0.3106426238</v>
      </c>
      <c r="BO24" s="46">
        <f t="array" ref="BO24">LET(val, IFERROR(INDEX('Daily 쨈 raw'!$A:$ZZ, MATCH(BO$3, 'Daily 쨈 raw'!$A:$A, 0), MATCH($A24, 'Daily 쨈 raw'!$1:$1, 0)), ""), IF(val=0, "", val))</f>
        <v>0.1662981937</v>
      </c>
      <c r="BP24" s="46">
        <f t="array" ref="BP24">LET(val, IFERROR(INDEX('Daily 쨈 raw'!$A:$ZZ, MATCH(BP$3, 'Daily 쨈 raw'!$A:$A, 0), MATCH($A24, 'Daily 쨈 raw'!$1:$1, 0)), ""), IF(val=0, "", val))</f>
        <v>0.1959488636</v>
      </c>
      <c r="BQ24" s="46">
        <f t="array" ref="BQ24">LET(val, IFERROR(INDEX('Daily 쨈 raw'!$A:$ZZ, MATCH(BQ$3, 'Daily 쨈 raw'!$A:$A, 0), MATCH($A24, 'Daily 쨈 raw'!$1:$1, 0)), ""), IF(val=0, "", val))</f>
        <v>0.2332530713</v>
      </c>
      <c r="BR24" s="46">
        <f t="array" ref="BR24">LET(val, IFERROR(INDEX('Daily 쨈 raw'!$A:$ZZ, MATCH(BR$3, 'Daily 쨈 raw'!$A:$A, 0), MATCH($A24, 'Daily 쨈 raw'!$1:$1, 0)), ""), IF(val=0, "", val))</f>
        <v>0.2978391225</v>
      </c>
      <c r="BS24" s="46">
        <f t="array" ref="BS24">LET(val, IFERROR(INDEX('Daily 쨈 raw'!$A:$ZZ, MATCH(BS$3, 'Daily 쨈 raw'!$A:$A, 0), MATCH($A24, 'Daily 쨈 raw'!$1:$1, 0)), ""), IF(val=0, "", val))</f>
        <v>0.3345180839</v>
      </c>
      <c r="BT24" s="46">
        <f t="array" ref="BT24">LET(val, IFERROR(INDEX('Daily 쨈 raw'!$A:$ZZ, MATCH(BT$3, 'Daily 쨈 raw'!$A:$A, 0), MATCH($A24, 'Daily 쨈 raw'!$1:$1, 0)), ""), IF(val=0, "", val))</f>
        <v>0.2342406316</v>
      </c>
      <c r="BU24" s="46">
        <f t="array" ref="BU24">LET(val, IFERROR(INDEX('Daily 쨈 raw'!$A:$ZZ, MATCH(BU$3, 'Daily 쨈 raw'!$A:$A, 0), MATCH($A24, 'Daily 쨈 raw'!$1:$1, 0)), ""), IF(val=0, "", val))</f>
        <v>0.2591421963</v>
      </c>
      <c r="BV24" s="46">
        <f t="array" ref="BV24">LET(val, IFERROR(INDEX('Daily 쨈 raw'!$A:$ZZ, MATCH(BV$3, 'Daily 쨈 raw'!$A:$A, 0), MATCH($A24, 'Daily 쨈 raw'!$1:$1, 0)), ""), IF(val=0, "", val))</f>
        <v>0.2647117517</v>
      </c>
      <c r="BW24" s="46">
        <f t="array" ref="BW24">LET(val, IFERROR(INDEX('Daily 쨈 raw'!$A:$ZZ, MATCH(BW$3, 'Daily 쨈 raw'!$A:$A, 0), MATCH($A24, 'Daily 쨈 raw'!$1:$1, 0)), ""), IF(val=0, "", val))</f>
        <v>0.2896794124</v>
      </c>
      <c r="BX24" s="46">
        <f t="array" ref="BX24">LET(val, IFERROR(INDEX('Daily 쨈 raw'!$A:$ZZ, MATCH(BX$3, 'Daily 쨈 raw'!$A:$A, 0), MATCH($A24, 'Daily 쨈 raw'!$1:$1, 0)), ""), IF(val=0, "", val))</f>
        <v>0.3132400114</v>
      </c>
      <c r="BY24" s="46">
        <f t="array" ref="BY24">LET(val, IFERROR(INDEX('Daily 쨈 raw'!$A:$ZZ, MATCH(BY$3, 'Daily 쨈 raw'!$A:$A, 0), MATCH($A24, 'Daily 쨈 raw'!$1:$1, 0)), ""), IF(val=0, "", val))</f>
        <v>0.3010471525</v>
      </c>
      <c r="BZ24" s="46">
        <f t="array" ref="BZ24">LET(val, IFERROR(INDEX('Daily 쨈 raw'!$A:$ZZ, MATCH(BZ$3, 'Daily 쨈 raw'!$A:$A, 0), MATCH($A24, 'Daily 쨈 raw'!$1:$1, 0)), ""), IF(val=0, "", val))</f>
        <v>-0.03104364023</v>
      </c>
      <c r="CA24" s="46">
        <f t="array" ref="CA24">LET(val, IFERROR(INDEX('Daily 쨈 raw'!$A:$ZZ, MATCH(CA$3, 'Daily 쨈 raw'!$A:$A, 0), MATCH($A24, 'Daily 쨈 raw'!$1:$1, 0)), ""), IF(val=0, "", val))</f>
        <v>0.3159335749</v>
      </c>
      <c r="CB24" s="46">
        <f t="array" ref="CB24">LET(val, IFERROR(INDEX('Daily 쨈 raw'!$A:$ZZ, MATCH(CB$3, 'Daily 쨈 raw'!$A:$A, 0), MATCH($A24, 'Daily 쨈 raw'!$1:$1, 0)), ""), IF(val=0, "", val))</f>
        <v>0.2930518047</v>
      </c>
      <c r="CC24" s="46">
        <f t="array" ref="CC24">LET(val, IFERROR(INDEX('Daily 쨈 raw'!$A:$ZZ, MATCH(CC$3, 'Daily 쨈 raw'!$A:$A, 0), MATCH($A24, 'Daily 쨈 raw'!$1:$1, 0)), ""), IF(val=0, "", val))</f>
        <v>0.2756619298</v>
      </c>
      <c r="CD24" s="46">
        <f t="array" ref="CD24">LET(val, IFERROR(INDEX('Daily 쨈 raw'!$A:$ZZ, MATCH(CD$3, 'Daily 쨈 raw'!$A:$A, 0), MATCH($A24, 'Daily 쨈 raw'!$1:$1, 0)), ""), IF(val=0, "", val))</f>
        <v>0.2879324266</v>
      </c>
      <c r="CE24" s="46">
        <f t="array" ref="CE24">LET(val, IFERROR(INDEX('Daily 쨈 raw'!$A:$ZZ, MATCH(CE$3, 'Daily 쨈 raw'!$A:$A, 0), MATCH($A24, 'Daily 쨈 raw'!$1:$1, 0)), ""), IF(val=0, "", val))</f>
        <v>0.4344312293</v>
      </c>
      <c r="CF24" s="46">
        <f t="array" ref="CF24">LET(val, IFERROR(INDEX('Daily 쨈 raw'!$A:$ZZ, MATCH(CF$3, 'Daily 쨈 raw'!$A:$A, 0), MATCH($A24, 'Daily 쨈 raw'!$1:$1, 0)), ""), IF(val=0, "", val))</f>
        <v>0.2769478927</v>
      </c>
      <c r="CG24" s="46">
        <f t="array" ref="CG24">LET(val, IFERROR(INDEX('Daily 쨈 raw'!$A:$ZZ, MATCH(CG$3, 'Daily 쨈 raw'!$A:$A, 0), MATCH($A24, 'Daily 쨈 raw'!$1:$1, 0)), ""), IF(val=0, "", val))</f>
        <v>0.2970030265</v>
      </c>
      <c r="CH24" s="46">
        <f t="array" ref="CH24">LET(val, IFERROR(INDEX('Daily 쨈 raw'!$A:$ZZ, MATCH(CH$3, 'Daily 쨈 raw'!$A:$A, 0), MATCH($A24, 'Daily 쨈 raw'!$1:$1, 0)), ""), IF(val=0, "", val))</f>
        <v>0.3312548915</v>
      </c>
      <c r="CI24" s="46">
        <f t="array" ref="CI24">LET(val, IFERROR(INDEX('Daily 쨈 raw'!$A:$ZZ, MATCH(CI$3, 'Daily 쨈 raw'!$A:$A, 0), MATCH($A24, 'Daily 쨈 raw'!$1:$1, 0)), ""), IF(val=0, "", val))</f>
        <v>0.3965957184</v>
      </c>
      <c r="CJ24" s="46">
        <f t="array" ref="CJ24">LET(val, IFERROR(INDEX('Daily 쨈 raw'!$A:$ZZ, MATCH(CJ$3, 'Daily 쨈 raw'!$A:$A, 0), MATCH($A24, 'Daily 쨈 raw'!$1:$1, 0)), ""), IF(val=0, "", val))</f>
        <v>0.2737204492</v>
      </c>
      <c r="CK24" s="46">
        <f t="array" ref="CK24">LET(val, IFERROR(INDEX('Daily 쨈 raw'!$A:$ZZ, MATCH(CK$3, 'Daily 쨈 raw'!$A:$A, 0), MATCH($A24, 'Daily 쨈 raw'!$1:$1, 0)), ""), IF(val=0, "", val))</f>
        <v>0.3589834767</v>
      </c>
      <c r="CL24" s="46">
        <f t="array" ref="CL24">LET(val, IFERROR(INDEX('Daily 쨈 raw'!$A:$ZZ, MATCH(CL$3, 'Daily 쨈 raw'!$A:$A, 0), MATCH($A24, 'Daily 쨈 raw'!$1:$1, 0)), ""), IF(val=0, "", val))</f>
        <v>0.268514292</v>
      </c>
      <c r="CM24" s="46">
        <f t="array" ref="CM24">LET(val, IFERROR(INDEX('Daily 쨈 raw'!$A:$ZZ, MATCH(CM$3, 'Daily 쨈 raw'!$A:$A, 0), MATCH($A24, 'Daily 쨈 raw'!$1:$1, 0)), ""), IF(val=0, "", val))</f>
        <v>0.2706963377</v>
      </c>
      <c r="CN24" s="46">
        <f t="array" ref="CN24">LET(val, IFERROR(INDEX('Daily 쨈 raw'!$A:$ZZ, MATCH(CN$3, 'Daily 쨈 raw'!$A:$A, 0), MATCH($A24, 'Daily 쨈 raw'!$1:$1, 0)), ""), IF(val=0, "", val))</f>
        <v>0.2392585008</v>
      </c>
      <c r="CO24" s="46">
        <f t="array" ref="CO24">LET(val, IFERROR(INDEX('Daily 쨈 raw'!$A:$ZZ, MATCH(CO$3, 'Daily 쨈 raw'!$A:$A, 0), MATCH($A24, 'Daily 쨈 raw'!$1:$1, 0)), ""), IF(val=0, "", val))</f>
        <v>0.3341171648</v>
      </c>
      <c r="CP24" s="46">
        <f t="array" ref="CP24">LET(val, IFERROR(INDEX('Daily 쨈 raw'!$A:$ZZ, MATCH(CP$3, 'Daily 쨈 raw'!$A:$A, 0), MATCH($A24, 'Daily 쨈 raw'!$1:$1, 0)), ""), IF(val=0, "", val))</f>
        <v>-0.003959641256</v>
      </c>
      <c r="CQ24" s="46" t="str">
        <f t="array" ref="CQ24">LET(val, IFERROR(INDEX('Daily 쨈 raw'!$A:$ZZ, MATCH(CQ$3, 'Daily 쨈 raw'!$A:$A, 0), MATCH($A24, 'Daily 쨈 raw'!$1:$1, 0)), ""), IF(val=0, "", val))</f>
        <v/>
      </c>
      <c r="CR24" s="46" t="str">
        <f t="array" ref="CR24">LET(val, IFERROR(INDEX('Daily 쨈 raw'!$A:$ZZ, MATCH(CR$3, 'Daily 쨈 raw'!$A:$A, 0), MATCH($A24, 'Daily 쨈 raw'!$1:$1, 0)), ""), IF(val=0, "", val))</f>
        <v/>
      </c>
      <c r="CS24" s="46" t="str">
        <f t="array" ref="CS24">LET(val, IFERROR(INDEX('Daily 쨈 raw'!$A:$ZZ, MATCH(CS$3, 'Daily 쨈 raw'!$A:$A, 0), MATCH($A24, 'Daily 쨈 raw'!$1:$1, 0)), ""), IF(val=0, "", val))</f>
        <v/>
      </c>
      <c r="CT24" s="46" t="str">
        <f t="array" ref="CT24">LET(val, IFERROR(INDEX('Daily 쨈 raw'!$A:$ZZ, MATCH(CT$3, 'Daily 쨈 raw'!$A:$A, 0), MATCH($A24, 'Daily 쨈 raw'!$1:$1, 0)), ""), IF(val=0, "", val))</f>
        <v/>
      </c>
      <c r="CU24" s="46" t="str">
        <f t="array" ref="CU24">LET(val, IFERROR(INDEX('Daily 쨈 raw'!$A:$ZZ, MATCH(CU$3, 'Daily 쨈 raw'!$A:$A, 0), MATCH($A24, 'Daily 쨈 raw'!$1:$1, 0)), ""), IF(val=0, "", val))</f>
        <v/>
      </c>
      <c r="CV24" s="46" t="str">
        <f t="array" ref="CV24">LET(val, IFERROR(INDEX('Daily 쨈 raw'!$A:$ZZ, MATCH(CV$3, 'Daily 쨈 raw'!$A:$A, 0), MATCH($A24, 'Daily 쨈 raw'!$1:$1, 0)), ""), IF(val=0, "", val))</f>
        <v/>
      </c>
      <c r="CW24" s="46" t="str">
        <f t="array" ref="CW24">LET(val, IFERROR(INDEX('Daily 쨈 raw'!$A:$ZZ, MATCH(CW$3, 'Daily 쨈 raw'!$A:$A, 0), MATCH($A24, 'Daily 쨈 raw'!$1:$1, 0)), ""), IF(val=0, "", val))</f>
        <v/>
      </c>
      <c r="CX24" s="46" t="str">
        <f t="array" ref="CX24">LET(val, IFERROR(INDEX('Daily 쨈 raw'!$A:$ZZ, MATCH(CX$3, 'Daily 쨈 raw'!$A:$A, 0), MATCH($A24, 'Daily 쨈 raw'!$1:$1, 0)), ""), IF(val=0, "", val))</f>
        <v/>
      </c>
      <c r="CY24" s="46" t="str">
        <f t="array" ref="CY24">LET(val, IFERROR(INDEX('Daily 쨈 raw'!$A:$ZZ, MATCH(CY$3, 'Daily 쨈 raw'!$A:$A, 0), MATCH($A24, 'Daily 쨈 raw'!$1:$1, 0)), ""), IF(val=0, "", val))</f>
        <v/>
      </c>
      <c r="CZ24" s="46" t="str">
        <f t="array" ref="CZ24">LET(val, IFERROR(INDEX('Daily 쨈 raw'!$A:$ZZ, MATCH(CZ$3, 'Daily 쨈 raw'!$A:$A, 0), MATCH($A24, 'Daily 쨈 raw'!$1:$1, 0)), ""), IF(val=0, "", val))</f>
        <v/>
      </c>
      <c r="DA24" s="46" t="str">
        <f t="array" ref="DA24">LET(val, IFERROR(INDEX('Daily 쨈 raw'!$A:$ZZ, MATCH(DA$3, 'Daily 쨈 raw'!$A:$A, 0), MATCH($A24, 'Daily 쨈 raw'!$1:$1, 0)), ""), IF(val=0, "", val))</f>
        <v/>
      </c>
      <c r="DB24" s="46" t="str">
        <f t="array" ref="DB24">LET(val, IFERROR(INDEX('Daily 쨈 raw'!$A:$ZZ, MATCH(DB$3, 'Daily 쨈 raw'!$A:$A, 0), MATCH($A24, 'Daily 쨈 raw'!$1:$1, 0)), ""), IF(val=0, "", val))</f>
        <v/>
      </c>
      <c r="DC24" s="46" t="str">
        <f t="array" ref="DC24">LET(val, IFERROR(INDEX('Daily 쨈 raw'!$A:$ZZ, MATCH(DC$3, 'Daily 쨈 raw'!$A:$A, 0), MATCH($A24, 'Daily 쨈 raw'!$1:$1, 0)), ""), IF(val=0, "", val))</f>
        <v/>
      </c>
      <c r="DD24" s="46" t="str">
        <f t="array" ref="DD24">LET(val, IFERROR(INDEX('Daily 쨈 raw'!$A:$ZZ, MATCH(DD$3, 'Daily 쨈 raw'!$A:$A, 0), MATCH($A24, 'Daily 쨈 raw'!$1:$1, 0)), ""), IF(val=0, "", val))</f>
        <v/>
      </c>
      <c r="DE24" s="46" t="str">
        <f t="array" ref="DE24">LET(val, IFERROR(INDEX('Daily 쨈 raw'!$A:$ZZ, MATCH(DE$3, 'Daily 쨈 raw'!$A:$A, 0), MATCH($A24, 'Daily 쨈 raw'!$1:$1, 0)), ""), IF(val=0, "", val))</f>
        <v/>
      </c>
      <c r="DF24" s="46" t="str">
        <f t="array" ref="DF24">LET(val, IFERROR(INDEX('Daily 쨈 raw'!$A:$ZZ, MATCH(DF$3, 'Daily 쨈 raw'!$A:$A, 0), MATCH($A24, 'Daily 쨈 raw'!$1:$1, 0)), ""), IF(val=0, "", val))</f>
        <v/>
      </c>
      <c r="DG24" s="46" t="str">
        <f t="array" ref="DG24">LET(val, IFERROR(INDEX('Daily 쨈 raw'!$A:$ZZ, MATCH(DG$3, 'Daily 쨈 raw'!$A:$A, 0), MATCH($A24, 'Daily 쨈 raw'!$1:$1, 0)), ""), IF(val=0, "", val))</f>
        <v/>
      </c>
      <c r="DH24" s="46" t="str">
        <f t="array" ref="DH24">LET(val, IFERROR(INDEX('Daily 쨈 raw'!$A:$ZZ, MATCH(DH$3, 'Daily 쨈 raw'!$A:$A, 0), MATCH($A24, 'Daily 쨈 raw'!$1:$1, 0)), ""), IF(val=0, "", val))</f>
        <v/>
      </c>
      <c r="DI24" s="46" t="str">
        <f t="array" ref="DI24">LET(val, IFERROR(INDEX('Daily 쨈 raw'!$A:$ZZ, MATCH(DI$3, 'Daily 쨈 raw'!$A:$A, 0), MATCH($A24, 'Daily 쨈 raw'!$1:$1, 0)), ""), IF(val=0, "", val))</f>
        <v/>
      </c>
      <c r="DJ24" s="46" t="str">
        <f t="array" ref="DJ24">LET(val, IFERROR(INDEX('Daily 쨈 raw'!$A:$ZZ, MATCH(DJ$3, 'Daily 쨈 raw'!$A:$A, 0), MATCH($A24, 'Daily 쨈 raw'!$1:$1, 0)), ""), IF(val=0, "", val))</f>
        <v/>
      </c>
      <c r="DK24" s="46" t="str">
        <f t="array" ref="DK24">LET(val, IFERROR(INDEX('Daily 쨈 raw'!$A:$ZZ, MATCH(DK$3, 'Daily 쨈 raw'!$A:$A, 0), MATCH($A24, 'Daily 쨈 raw'!$1:$1, 0)), ""), IF(val=0, "", val))</f>
        <v/>
      </c>
      <c r="DL24" s="46" t="str">
        <f t="array" ref="DL24">LET(val, IFERROR(INDEX('Daily 쨈 raw'!$A:$ZZ, MATCH(DL$3, 'Daily 쨈 raw'!$A:$A, 0), MATCH($A24, 'Daily 쨈 raw'!$1:$1, 0)), ""), IF(val=0, "", val))</f>
        <v/>
      </c>
      <c r="DM24" s="46" t="str">
        <f t="array" ref="DM24">LET(val, IFERROR(INDEX('Daily 쨈 raw'!$A:$ZZ, MATCH(DM$3, 'Daily 쨈 raw'!$A:$A, 0), MATCH($A24, 'Daily 쨈 raw'!$1:$1, 0)), ""), IF(val=0, "", val))</f>
        <v/>
      </c>
      <c r="DN24" s="46" t="str">
        <f t="array" ref="DN24">LET(val, IFERROR(INDEX('Daily 쨈 raw'!$A:$ZZ, MATCH(DN$3, 'Daily 쨈 raw'!$A:$A, 0), MATCH($A24, 'Daily 쨈 raw'!$1:$1, 0)), ""), IF(val=0, "", val))</f>
        <v/>
      </c>
      <c r="DO24" s="46" t="str">
        <f t="array" ref="DO24">LET(val, IFERROR(INDEX('Daily 쨈 raw'!$A:$ZZ, MATCH(DO$3, 'Daily 쨈 raw'!$A:$A, 0), MATCH($A24, 'Daily 쨈 raw'!$1:$1, 0)), ""), IF(val=0, "", val))</f>
        <v/>
      </c>
      <c r="DP24" s="46" t="str">
        <f t="array" ref="DP24">LET(val, IFERROR(INDEX('Daily 쨈 raw'!$A:$ZZ, MATCH(DP$3, 'Daily 쨈 raw'!$A:$A, 0), MATCH($A24, 'Daily 쨈 raw'!$1:$1, 0)), ""), IF(val=0, "", val))</f>
        <v/>
      </c>
      <c r="DQ24" s="46" t="str">
        <f t="array" ref="DQ24">LET(val, IFERROR(INDEX('Daily 쨈 raw'!$A:$ZZ, MATCH(DQ$3, 'Daily 쨈 raw'!$A:$A, 0), MATCH($A24, 'Daily 쨈 raw'!$1:$1, 0)), ""), IF(val=0, "", val))</f>
        <v/>
      </c>
      <c r="DR24" s="46" t="str">
        <f t="array" ref="DR24">LET(val, IFERROR(INDEX('Daily 쨈 raw'!$A:$ZZ, MATCH(DR$3, 'Daily 쨈 raw'!$A:$A, 0), MATCH($A24, 'Daily 쨈 raw'!$1:$1, 0)), ""), IF(val=0, "", val))</f>
        <v/>
      </c>
      <c r="DS24" s="46" t="str">
        <f t="array" ref="DS24">LET(val, IFERROR(INDEX('Daily 쨈 raw'!$A:$ZZ, MATCH(DS$3, 'Daily 쨈 raw'!$A:$A, 0), MATCH($A24, 'Daily 쨈 raw'!$1:$1, 0)), ""), IF(val=0, "", val))</f>
        <v/>
      </c>
      <c r="DT24" s="46" t="str">
        <f t="array" ref="DT24">LET(val, IFERROR(INDEX('Daily 쨈 raw'!$A:$ZZ, MATCH(DT$3, 'Daily 쨈 raw'!$A:$A, 0), MATCH($A24, 'Daily 쨈 raw'!$1:$1, 0)), ""), IF(val=0, "", val))</f>
        <v/>
      </c>
      <c r="DU24" s="46" t="str">
        <f t="array" ref="DU24">LET(val, IFERROR(INDEX('Daily 쨈 raw'!$A:$ZZ, MATCH(DU$3, 'Daily 쨈 raw'!$A:$A, 0), MATCH($A24, 'Daily 쨈 raw'!$1:$1, 0)), ""), IF(val=0, "", val))</f>
        <v/>
      </c>
      <c r="DV24" s="46" t="str">
        <f t="array" ref="DV24">LET(val, IFERROR(INDEX('Daily 쨈 raw'!$A:$ZZ, MATCH(DV$3, 'Daily 쨈 raw'!$A:$A, 0), MATCH($A24, 'Daily 쨈 raw'!$1:$1, 0)), ""), IF(val=0, "", val))</f>
        <v/>
      </c>
      <c r="DW24" s="46" t="str">
        <f t="array" ref="DW24">LET(val, IFERROR(INDEX('Daily 쨈 raw'!$A:$ZZ, MATCH(DW$3, 'Daily 쨈 raw'!$A:$A, 0), MATCH($A24, 'Daily 쨈 raw'!$1:$1, 0)), ""), IF(val=0, "", val))</f>
        <v/>
      </c>
      <c r="DX24" s="46" t="str">
        <f t="array" ref="DX24">LET(val, IFERROR(INDEX('Daily 쨈 raw'!$A:$ZZ, MATCH(DX$3, 'Daily 쨈 raw'!$A:$A, 0), MATCH($A24, 'Daily 쨈 raw'!$1:$1, 0)), ""), IF(val=0, "", val))</f>
        <v/>
      </c>
      <c r="DY24" s="46" t="str">
        <f t="array" ref="DY24">LET(val, IFERROR(INDEX('Daily 쨈 raw'!$A:$ZZ, MATCH(DY$3, 'Daily 쨈 raw'!$A:$A, 0), MATCH($A24, 'Daily 쨈 raw'!$1:$1, 0)), ""), IF(val=0, "", val))</f>
        <v/>
      </c>
      <c r="DZ24" s="46" t="str">
        <f t="array" ref="DZ24">LET(val, IFERROR(INDEX('Daily 쨈 raw'!$A:$ZZ, MATCH(DZ$3, 'Daily 쨈 raw'!$A:$A, 0), MATCH($A24, 'Daily 쨈 raw'!$1:$1, 0)), ""), IF(val=0, "", val))</f>
        <v/>
      </c>
    </row>
    <row r="25" ht="22.5" customHeight="1">
      <c r="A25" s="23" t="s">
        <v>33</v>
      </c>
      <c r="B25" s="47" t="s">
        <v>33</v>
      </c>
      <c r="C25" s="54">
        <f t="array" ref="C25">LET(val, IFERROR(INDEX('Daily 쨈 raw'!$A:$ZZ, MATCH(C$3, 'Daily 쨈 raw'!$A:$A, 0), MATCH($A25, 'Daily 쨈 raw'!$1:$1, 0)), ""), IF(val=0, "", val))</f>
        <v>561326.2</v>
      </c>
      <c r="D25" s="54">
        <f t="array" ref="D25">LET(val, IFERROR(INDEX('Daily 쨈 raw'!$A:$ZZ, MATCH(D$3, 'Daily 쨈 raw'!$A:$A, 0), MATCH($A25, 'Daily 쨈 raw'!$1:$1, 0)), ""), IF(val=0, "", val))</f>
        <v>663872.4</v>
      </c>
      <c r="E25" s="54">
        <f t="array" ref="E25">LET(val, IFERROR(INDEX('Daily 쨈 raw'!$A:$ZZ, MATCH(E$3, 'Daily 쨈 raw'!$A:$A, 0), MATCH($A25, 'Daily 쨈 raw'!$1:$1, 0)), ""), IF(val=0, "", val))</f>
        <v>576218.9</v>
      </c>
      <c r="F25" s="54">
        <f t="array" ref="F25">LET(val, IFERROR(INDEX('Daily 쨈 raw'!$A:$ZZ, MATCH(F$3, 'Daily 쨈 raw'!$A:$A, 0), MATCH($A25, 'Daily 쨈 raw'!$1:$1, 0)), ""), IF(val=0, "", val))</f>
        <v>522058.1</v>
      </c>
      <c r="G25" s="54">
        <f t="array" ref="G25">LET(val, IFERROR(INDEX('Daily 쨈 raw'!$A:$ZZ, MATCH(G$3, 'Daily 쨈 raw'!$A:$A, 0), MATCH($A25, 'Daily 쨈 raw'!$1:$1, 0)), ""), IF(val=0, "", val))</f>
        <v>525112.8</v>
      </c>
      <c r="H25" s="54">
        <f t="array" ref="H25">LET(val, IFERROR(INDEX('Daily 쨈 raw'!$A:$ZZ, MATCH(H$3, 'Daily 쨈 raw'!$A:$A, 0), MATCH($A25, 'Daily 쨈 raw'!$1:$1, 0)), ""), IF(val=0, "", val))</f>
        <v>490300.3</v>
      </c>
      <c r="I25" s="54">
        <f t="array" ref="I25">LET(val, IFERROR(INDEX('Daily 쨈 raw'!$A:$ZZ, MATCH(I$3, 'Daily 쨈 raw'!$A:$A, 0), MATCH($A25, 'Daily 쨈 raw'!$1:$1, 0)), ""), IF(val=0, "", val))</f>
        <v>583844.2</v>
      </c>
      <c r="J25" s="54">
        <f t="array" ref="J25">LET(val, IFERROR(INDEX('Daily 쨈 raw'!$A:$ZZ, MATCH(J$3, 'Daily 쨈 raw'!$A:$A, 0), MATCH($A25, 'Daily 쨈 raw'!$1:$1, 0)), ""), IF(val=0, "", val))</f>
        <v>454439</v>
      </c>
      <c r="K25" s="54">
        <f t="array" ref="K25">LET(val, IFERROR(INDEX('Daily 쨈 raw'!$A:$ZZ, MATCH(K$3, 'Daily 쨈 raw'!$A:$A, 0), MATCH($A25, 'Daily 쨈 raw'!$1:$1, 0)), ""), IF(val=0, "", val))</f>
        <v>485512.6</v>
      </c>
      <c r="L25" s="54">
        <f t="array" ref="L25">LET(val, IFERROR(INDEX('Daily 쨈 raw'!$A:$ZZ, MATCH(L$3, 'Daily 쨈 raw'!$A:$A, 0), MATCH($A25, 'Daily 쨈 raw'!$1:$1, 0)), ""), IF(val=0, "", val))</f>
        <v>475788.3</v>
      </c>
      <c r="M25" s="54">
        <f t="array" ref="M25">LET(val, IFERROR(INDEX('Daily 쨈 raw'!$A:$ZZ, MATCH(M$3, 'Daily 쨈 raw'!$A:$A, 0), MATCH($A25, 'Daily 쨈 raw'!$1:$1, 0)), ""), IF(val=0, "", val))</f>
        <v>397968.2</v>
      </c>
      <c r="N25" s="54">
        <f t="array" ref="N25">LET(val, IFERROR(INDEX('Daily 쨈 raw'!$A:$ZZ, MATCH(N$3, 'Daily 쨈 raw'!$A:$A, 0), MATCH($A25, 'Daily 쨈 raw'!$1:$1, 0)), ""), IF(val=0, "", val))</f>
        <v>309793</v>
      </c>
      <c r="O25" s="54">
        <f t="array" ref="O25">LET(val, IFERROR(INDEX('Daily 쨈 raw'!$A:$ZZ, MATCH(O$3, 'Daily 쨈 raw'!$A:$A, 0), MATCH($A25, 'Daily 쨈 raw'!$1:$1, 0)), ""), IF(val=0, "", val))</f>
        <v>363670</v>
      </c>
      <c r="P25" s="54">
        <f t="array" ref="P25">LET(val, IFERROR(INDEX('Daily 쨈 raw'!$A:$ZZ, MATCH(P$3, 'Daily 쨈 raw'!$A:$A, 0), MATCH($A25, 'Daily 쨈 raw'!$1:$1, 0)), ""), IF(val=0, "", val))</f>
        <v>381930.8</v>
      </c>
      <c r="Q25" s="54">
        <f t="array" ref="Q25">LET(val, IFERROR(INDEX('Daily 쨈 raw'!$A:$ZZ, MATCH(Q$3, 'Daily 쨈 raw'!$A:$A, 0), MATCH($A25, 'Daily 쨈 raw'!$1:$1, 0)), ""), IF(val=0, "", val))</f>
        <v>291520.4</v>
      </c>
      <c r="R25" s="54">
        <f t="array" ref="R25">LET(val, IFERROR(INDEX('Daily 쨈 raw'!$A:$ZZ, MATCH(R$3, 'Daily 쨈 raw'!$A:$A, 0), MATCH($A25, 'Daily 쨈 raw'!$1:$1, 0)), ""), IF(val=0, "", val))</f>
        <v>310323.8</v>
      </c>
      <c r="S25" s="54">
        <f t="array" ref="S25">LET(val, IFERROR(INDEX('Daily 쨈 raw'!$A:$ZZ, MATCH(S$3, 'Daily 쨈 raw'!$A:$A, 0), MATCH($A25, 'Daily 쨈 raw'!$1:$1, 0)), ""), IF(val=0, "", val))</f>
        <v>382806.7</v>
      </c>
      <c r="T25" s="54">
        <f t="array" ref="T25">LET(val, IFERROR(INDEX('Daily 쨈 raw'!$A:$ZZ, MATCH(T$3, 'Daily 쨈 raw'!$A:$A, 0), MATCH($A25, 'Daily 쨈 raw'!$1:$1, 0)), ""), IF(val=0, "", val))</f>
        <v>339034.4</v>
      </c>
      <c r="U25" s="54">
        <f t="array" ref="U25">LET(val, IFERROR(INDEX('Daily 쨈 raw'!$A:$ZZ, MATCH(U$3, 'Daily 쨈 raw'!$A:$A, 0), MATCH($A25, 'Daily 쨈 raw'!$1:$1, 0)), ""), IF(val=0, "", val))</f>
        <v>314368.8</v>
      </c>
      <c r="V25" s="54">
        <f t="array" ref="V25">LET(val, IFERROR(INDEX('Daily 쨈 raw'!$A:$ZZ, MATCH(V$3, 'Daily 쨈 raw'!$A:$A, 0), MATCH($A25, 'Daily 쨈 raw'!$1:$1, 0)), ""), IF(val=0, "", val))</f>
        <v>298291.1</v>
      </c>
      <c r="W25" s="54">
        <f t="array" ref="W25">LET(val, IFERROR(INDEX('Daily 쨈 raw'!$A:$ZZ, MATCH(W$3, 'Daily 쨈 raw'!$A:$A, 0), MATCH($A25, 'Daily 쨈 raw'!$1:$1, 0)), ""), IF(val=0, "", val))</f>
        <v>401815.1</v>
      </c>
      <c r="X25" s="54">
        <f t="array" ref="X25">LET(val, IFERROR(INDEX('Daily 쨈 raw'!$A:$ZZ, MATCH(X$3, 'Daily 쨈 raw'!$A:$A, 0), MATCH($A25, 'Daily 쨈 raw'!$1:$1, 0)), ""), IF(val=0, "", val))</f>
        <v>297522.7</v>
      </c>
      <c r="Y25" s="54">
        <f t="array" ref="Y25">LET(val, IFERROR(INDEX('Daily 쨈 raw'!$A:$ZZ, MATCH(Y$3, 'Daily 쨈 raw'!$A:$A, 0), MATCH($A25, 'Daily 쨈 raw'!$1:$1, 0)), ""), IF(val=0, "", val))</f>
        <v>250416.4</v>
      </c>
      <c r="Z25" s="54">
        <f t="array" ref="Z25">LET(val, IFERROR(INDEX('Daily 쨈 raw'!$A:$ZZ, MATCH(Z$3, 'Daily 쨈 raw'!$A:$A, 0), MATCH($A25, 'Daily 쨈 raw'!$1:$1, 0)), ""), IF(val=0, "", val))</f>
        <v>327173.7</v>
      </c>
      <c r="AA25" s="54">
        <f t="array" ref="AA25">LET(val, IFERROR(INDEX('Daily 쨈 raw'!$A:$ZZ, MATCH(AA$3, 'Daily 쨈 raw'!$A:$A, 0), MATCH($A25, 'Daily 쨈 raw'!$1:$1, 0)), ""), IF(val=0, "", val))</f>
        <v>255872.1</v>
      </c>
      <c r="AB25" s="54">
        <f t="array" ref="AB25">LET(val, IFERROR(INDEX('Daily 쨈 raw'!$A:$ZZ, MATCH(AB$3, 'Daily 쨈 raw'!$A:$A, 0), MATCH($A25, 'Daily 쨈 raw'!$1:$1, 0)), ""), IF(val=0, "", val))</f>
        <v>257478.8</v>
      </c>
      <c r="AC25" s="54">
        <f t="array" ref="AC25">LET(val, IFERROR(INDEX('Daily 쨈 raw'!$A:$ZZ, MATCH(AC$3, 'Daily 쨈 raw'!$A:$A, 0), MATCH($A25, 'Daily 쨈 raw'!$1:$1, 0)), ""), IF(val=0, "", val))</f>
        <v>268801.8</v>
      </c>
      <c r="AD25" s="54">
        <f t="array" ref="AD25">LET(val, IFERROR(INDEX('Daily 쨈 raw'!$A:$ZZ, MATCH(AD$3, 'Daily 쨈 raw'!$A:$A, 0), MATCH($A25, 'Daily 쨈 raw'!$1:$1, 0)), ""), IF(val=0, "", val))</f>
        <v>303490.2</v>
      </c>
      <c r="AE25" s="54">
        <f t="array" ref="AE25">LET(val, IFERROR(INDEX('Daily 쨈 raw'!$A:$ZZ, MATCH(AE$3, 'Daily 쨈 raw'!$A:$A, 0), MATCH($A25, 'Daily 쨈 raw'!$1:$1, 0)), ""), IF(val=0, "", val))</f>
        <v>360891.3</v>
      </c>
      <c r="AF25" s="54">
        <f t="array" ref="AF25">LET(val, IFERROR(INDEX('Daily 쨈 raw'!$A:$ZZ, MATCH(AF$3, 'Daily 쨈 raw'!$A:$A, 0), MATCH($A25, 'Daily 쨈 raw'!$1:$1, 0)), ""), IF(val=0, "", val))</f>
        <v>470864.7</v>
      </c>
      <c r="AG25" s="54">
        <f t="array" ref="AG25">LET(val, IFERROR(INDEX('Daily 쨈 raw'!$A:$ZZ, MATCH(AG$3, 'Daily 쨈 raw'!$A:$A, 0), MATCH($A25, 'Daily 쨈 raw'!$1:$1, 0)), ""), IF(val=0, "", val))</f>
        <v>1658696.5</v>
      </c>
      <c r="AH25" s="54">
        <f t="array" ref="AH25">LET(val, IFERROR(INDEX('Daily 쨈 raw'!$A:$ZZ, MATCH(AH$3, 'Daily 쨈 raw'!$A:$A, 0), MATCH($A25, 'Daily 쨈 raw'!$1:$1, 0)), ""), IF(val=0, "", val))</f>
        <v>1355638.3</v>
      </c>
      <c r="AI25" s="54">
        <f t="array" ref="AI25">LET(val, IFERROR(INDEX('Daily 쨈 raw'!$A:$ZZ, MATCH(AI$3, 'Daily 쨈 raw'!$A:$A, 0), MATCH($A25, 'Daily 쨈 raw'!$1:$1, 0)), ""), IF(val=0, "", val))</f>
        <v>518685.2</v>
      </c>
      <c r="AJ25" s="54">
        <f t="array" ref="AJ25">LET(val, IFERROR(INDEX('Daily 쨈 raw'!$A:$ZZ, MATCH(AJ$3, 'Daily 쨈 raw'!$A:$A, 0), MATCH($A25, 'Daily 쨈 raw'!$1:$1, 0)), ""), IF(val=0, "", val))</f>
        <v>605783.2</v>
      </c>
      <c r="AK25" s="54">
        <f t="array" ref="AK25">LET(val, IFERROR(INDEX('Daily 쨈 raw'!$A:$ZZ, MATCH(AK$3, 'Daily 쨈 raw'!$A:$A, 0), MATCH($A25, 'Daily 쨈 raw'!$1:$1, 0)), ""), IF(val=0, "", val))</f>
        <v>681917.4</v>
      </c>
      <c r="AL25" s="54">
        <f t="array" ref="AL25">LET(val, IFERROR(INDEX('Daily 쨈 raw'!$A:$ZZ, MATCH(AL$3, 'Daily 쨈 raw'!$A:$A, 0), MATCH($A25, 'Daily 쨈 raw'!$1:$1, 0)), ""), IF(val=0, "", val))</f>
        <v>535164</v>
      </c>
      <c r="AM25" s="54">
        <f t="array" ref="AM25">LET(val, IFERROR(INDEX('Daily 쨈 raw'!$A:$ZZ, MATCH(AM$3, 'Daily 쨈 raw'!$A:$A, 0), MATCH($A25, 'Daily 쨈 raw'!$1:$1, 0)), ""), IF(val=0, "", val))</f>
        <v>590213.1</v>
      </c>
      <c r="AN25" s="54">
        <f t="array" ref="AN25">LET(val, IFERROR(INDEX('Daily 쨈 raw'!$A:$ZZ, MATCH(AN$3, 'Daily 쨈 raw'!$A:$A, 0), MATCH($A25, 'Daily 쨈 raw'!$1:$1, 0)), ""), IF(val=0, "", val))</f>
        <v>742882</v>
      </c>
      <c r="AO25" s="54">
        <f t="array" ref="AO25">LET(val, IFERROR(INDEX('Daily 쨈 raw'!$A:$ZZ, MATCH(AO$3, 'Daily 쨈 raw'!$A:$A, 0), MATCH($A25, 'Daily 쨈 raw'!$1:$1, 0)), ""), IF(val=0, "", val))</f>
        <v>948067.6</v>
      </c>
      <c r="AP25" s="54">
        <f t="array" ref="AP25">LET(val, IFERROR(INDEX('Daily 쨈 raw'!$A:$ZZ, MATCH(AP$3, 'Daily 쨈 raw'!$A:$A, 0), MATCH($A25, 'Daily 쨈 raw'!$1:$1, 0)), ""), IF(val=0, "", val))</f>
        <v>554967.8</v>
      </c>
      <c r="AQ25" s="54">
        <f t="array" ref="AQ25">LET(val, IFERROR(INDEX('Daily 쨈 raw'!$A:$ZZ, MATCH(AQ$3, 'Daily 쨈 raw'!$A:$A, 0), MATCH($A25, 'Daily 쨈 raw'!$1:$1, 0)), ""), IF(val=0, "", val))</f>
        <v>545019.9</v>
      </c>
      <c r="AR25" s="54">
        <f t="array" ref="AR25">LET(val, IFERROR(INDEX('Daily 쨈 raw'!$A:$ZZ, MATCH(AR$3, 'Daily 쨈 raw'!$A:$A, 0), MATCH($A25, 'Daily 쨈 raw'!$1:$1, 0)), ""), IF(val=0, "", val))</f>
        <v>456619.8</v>
      </c>
      <c r="AS25" s="54">
        <f t="array" ref="AS25">LET(val, IFERROR(INDEX('Daily 쨈 raw'!$A:$ZZ, MATCH(AS$3, 'Daily 쨈 raw'!$A:$A, 0), MATCH($A25, 'Daily 쨈 raw'!$1:$1, 0)), ""), IF(val=0, "", val))</f>
        <v>406388.8</v>
      </c>
      <c r="AT25" s="54">
        <f t="array" ref="AT25">LET(val, IFERROR(INDEX('Daily 쨈 raw'!$A:$ZZ, MATCH(AT$3, 'Daily 쨈 raw'!$A:$A, 0), MATCH($A25, 'Daily 쨈 raw'!$1:$1, 0)), ""), IF(val=0, "", val))</f>
        <v>453612.8</v>
      </c>
      <c r="AU25" s="54">
        <f t="array" ref="AU25">LET(val, IFERROR(INDEX('Daily 쨈 raw'!$A:$ZZ, MATCH(AU$3, 'Daily 쨈 raw'!$A:$A, 0), MATCH($A25, 'Daily 쨈 raw'!$1:$1, 0)), ""), IF(val=0, "", val))</f>
        <v>465207.9</v>
      </c>
      <c r="AV25" s="54">
        <f t="array" ref="AV25">LET(val, IFERROR(INDEX('Daily 쨈 raw'!$A:$ZZ, MATCH(AV$3, 'Daily 쨈 raw'!$A:$A, 0), MATCH($A25, 'Daily 쨈 raw'!$1:$1, 0)), ""), IF(val=0, "", val))</f>
        <v>431845.9</v>
      </c>
      <c r="AW25" s="54">
        <f t="array" ref="AW25">LET(val, IFERROR(INDEX('Daily 쨈 raw'!$A:$ZZ, MATCH(AW$3, 'Daily 쨈 raw'!$A:$A, 0), MATCH($A25, 'Daily 쨈 raw'!$1:$1, 0)), ""), IF(val=0, "", val))</f>
        <v>423793.8</v>
      </c>
      <c r="AX25" s="54">
        <f t="array" ref="AX25">LET(val, IFERROR(INDEX('Daily 쨈 raw'!$A:$ZZ, MATCH(AX$3, 'Daily 쨈 raw'!$A:$A, 0), MATCH($A25, 'Daily 쨈 raw'!$1:$1, 0)), ""), IF(val=0, "", val))</f>
        <v>431935.7</v>
      </c>
      <c r="AY25" s="54">
        <f t="array" ref="AY25">LET(val, IFERROR(INDEX('Daily 쨈 raw'!$A:$ZZ, MATCH(AY$3, 'Daily 쨈 raw'!$A:$A, 0), MATCH($A25, 'Daily 쨈 raw'!$1:$1, 0)), ""), IF(val=0, "", val))</f>
        <v>418776.6</v>
      </c>
      <c r="AZ25" s="54">
        <f t="array" ref="AZ25">LET(val, IFERROR(INDEX('Daily 쨈 raw'!$A:$ZZ, MATCH(AZ$3, 'Daily 쨈 raw'!$A:$A, 0), MATCH($A25, 'Daily 쨈 raw'!$1:$1, 0)), ""), IF(val=0, "", val))</f>
        <v>400898.1</v>
      </c>
      <c r="BA25" s="54">
        <f t="array" ref="BA25">LET(val, IFERROR(INDEX('Daily 쨈 raw'!$A:$ZZ, MATCH(BA$3, 'Daily 쨈 raw'!$A:$A, 0), MATCH($A25, 'Daily 쨈 raw'!$1:$1, 0)), ""), IF(val=0, "", val))</f>
        <v>445599</v>
      </c>
      <c r="BB25" s="54">
        <f t="array" ref="BB25">LET(val, IFERROR(INDEX('Daily 쨈 raw'!$A:$ZZ, MATCH(BB$3, 'Daily 쨈 raw'!$A:$A, 0), MATCH($A25, 'Daily 쨈 raw'!$1:$1, 0)), ""), IF(val=0, "", val))</f>
        <v>326496.2</v>
      </c>
      <c r="BC25" s="54">
        <f t="array" ref="BC25">LET(val, IFERROR(INDEX('Daily 쨈 raw'!$A:$ZZ, MATCH(BC$3, 'Daily 쨈 raw'!$A:$A, 0), MATCH($A25, 'Daily 쨈 raw'!$1:$1, 0)), ""), IF(val=0, "", val))</f>
        <v>322838.2</v>
      </c>
      <c r="BD25" s="54">
        <f t="array" ref="BD25">LET(val, IFERROR(INDEX('Daily 쨈 raw'!$A:$ZZ, MATCH(BD$3, 'Daily 쨈 raw'!$A:$A, 0), MATCH($A25, 'Daily 쨈 raw'!$1:$1, 0)), ""), IF(val=0, "", val))</f>
        <v>366067</v>
      </c>
      <c r="BE25" s="54">
        <f t="array" ref="BE25">LET(val, IFERROR(INDEX('Daily 쨈 raw'!$A:$ZZ, MATCH(BE$3, 'Daily 쨈 raw'!$A:$A, 0), MATCH($A25, 'Daily 쨈 raw'!$1:$1, 0)), ""), IF(val=0, "", val))</f>
        <v>457425.8</v>
      </c>
      <c r="BF25" s="54">
        <f t="array" ref="BF25">LET(val, IFERROR(INDEX('Daily 쨈 raw'!$A:$ZZ, MATCH(BF$3, 'Daily 쨈 raw'!$A:$A, 0), MATCH($A25, 'Daily 쨈 raw'!$1:$1, 0)), ""), IF(val=0, "", val))</f>
        <v>343815.6</v>
      </c>
      <c r="BG25" s="54">
        <f t="array" ref="BG25">LET(val, IFERROR(INDEX('Daily 쨈 raw'!$A:$ZZ, MATCH(BG$3, 'Daily 쨈 raw'!$A:$A, 0), MATCH($A25, 'Daily 쨈 raw'!$1:$1, 0)), ""), IF(val=0, "", val))</f>
        <v>251491.3</v>
      </c>
      <c r="BH25" s="54">
        <f t="array" ref="BH25">LET(val, IFERROR(INDEX('Daily 쨈 raw'!$A:$ZZ, MATCH(BH$3, 'Daily 쨈 raw'!$A:$A, 0), MATCH($A25, 'Daily 쨈 raw'!$1:$1, 0)), ""), IF(val=0, "", val))</f>
        <v>291312.7</v>
      </c>
      <c r="BI25" s="54">
        <f t="array" ref="BI25">LET(val, IFERROR(INDEX('Daily 쨈 raw'!$A:$ZZ, MATCH(BI$3, 'Daily 쨈 raw'!$A:$A, 0), MATCH($A25, 'Daily 쨈 raw'!$1:$1, 0)), ""), IF(val=0, "", val))</f>
        <v>307849.6</v>
      </c>
      <c r="BJ25" s="54">
        <f t="array" ref="BJ25">LET(val, IFERROR(INDEX('Daily 쨈 raw'!$A:$ZZ, MATCH(BJ$3, 'Daily 쨈 raw'!$A:$A, 0), MATCH($A25, 'Daily 쨈 raw'!$1:$1, 0)), ""), IF(val=0, "", val))</f>
        <v>323227.6</v>
      </c>
      <c r="BK25" s="54">
        <f t="array" ref="BK25">LET(val, IFERROR(INDEX('Daily 쨈 raw'!$A:$ZZ, MATCH(BK$3, 'Daily 쨈 raw'!$A:$A, 0), MATCH($A25, 'Daily 쨈 raw'!$1:$1, 0)), ""), IF(val=0, "", val))</f>
        <v>407060.3</v>
      </c>
      <c r="BL25" s="54">
        <f t="array" ref="BL25">LET(val, IFERROR(INDEX('Daily 쨈 raw'!$A:$ZZ, MATCH(BL$3, 'Daily 쨈 raw'!$A:$A, 0), MATCH($A25, 'Daily 쨈 raw'!$1:$1, 0)), ""), IF(val=0, "", val))</f>
        <v>410271.7</v>
      </c>
      <c r="BM25" s="54">
        <f t="array" ref="BM25">LET(val, IFERROR(INDEX('Daily 쨈 raw'!$A:$ZZ, MATCH(BM$3, 'Daily 쨈 raw'!$A:$A, 0), MATCH($A25, 'Daily 쨈 raw'!$1:$1, 0)), ""), IF(val=0, "", val))</f>
        <v>361277.6</v>
      </c>
      <c r="BN25" s="54">
        <f t="array" ref="BN25">LET(val, IFERROR(INDEX('Daily 쨈 raw'!$A:$ZZ, MATCH(BN$3, 'Daily 쨈 raw'!$A:$A, 0), MATCH($A25, 'Daily 쨈 raw'!$1:$1, 0)), ""), IF(val=0, "", val))</f>
        <v>253269.9</v>
      </c>
      <c r="BO25" s="54">
        <f t="array" ref="BO25">LET(val, IFERROR(INDEX('Daily 쨈 raw'!$A:$ZZ, MATCH(BO$3, 'Daily 쨈 raw'!$A:$A, 0), MATCH($A25, 'Daily 쨈 raw'!$1:$1, 0)), ""), IF(val=0, "", val))</f>
        <v>281541.1</v>
      </c>
      <c r="BP25" s="54">
        <f t="array" ref="BP25">LET(val, IFERROR(INDEX('Daily 쨈 raw'!$A:$ZZ, MATCH(BP$3, 'Daily 쨈 raw'!$A:$A, 0), MATCH($A25, 'Daily 쨈 raw'!$1:$1, 0)), ""), IF(val=0, "", val))</f>
        <v>297177.3</v>
      </c>
      <c r="BQ25" s="54">
        <f t="array" ref="BQ25">LET(val, IFERROR(INDEX('Daily 쨈 raw'!$A:$ZZ, MATCH(BQ$3, 'Daily 쨈 raw'!$A:$A, 0), MATCH($A25, 'Daily 쨈 raw'!$1:$1, 0)), ""), IF(val=0, "", val))</f>
        <v>343272.6</v>
      </c>
      <c r="BR25" s="54">
        <f t="array" ref="BR25">LET(val, IFERROR(INDEX('Daily 쨈 raw'!$A:$ZZ, MATCH(BR$3, 'Daily 쨈 raw'!$A:$A, 0), MATCH($A25, 'Daily 쨈 raw'!$1:$1, 0)), ""), IF(val=0, "", val))</f>
        <v>268857.4</v>
      </c>
      <c r="BS25" s="54">
        <f t="array" ref="BS25">LET(val, IFERROR(INDEX('Daily 쨈 raw'!$A:$ZZ, MATCH(BS$3, 'Daily 쨈 raw'!$A:$A, 0), MATCH($A25, 'Daily 쨈 raw'!$1:$1, 0)), ""), IF(val=0, "", val))</f>
        <v>413996.3</v>
      </c>
      <c r="BT25" s="54">
        <f t="array" ref="BT25">LET(val, IFERROR(INDEX('Daily 쨈 raw'!$A:$ZZ, MATCH(BT$3, 'Daily 쨈 raw'!$A:$A, 0), MATCH($A25, 'Daily 쨈 raw'!$1:$1, 0)), ""), IF(val=0, "", val))</f>
        <v>363735.7</v>
      </c>
      <c r="BU25" s="54">
        <f t="array" ref="BU25">LET(val, IFERROR(INDEX('Daily 쨈 raw'!$A:$ZZ, MATCH(BU$3, 'Daily 쨈 raw'!$A:$A, 0), MATCH($A25, 'Daily 쨈 raw'!$1:$1, 0)), ""), IF(val=0, "", val))</f>
        <v>368354.5</v>
      </c>
      <c r="BV25" s="54">
        <f t="array" ref="BV25">LET(val, IFERROR(INDEX('Daily 쨈 raw'!$A:$ZZ, MATCH(BV$3, 'Daily 쨈 raw'!$A:$A, 0), MATCH($A25, 'Daily 쨈 raw'!$1:$1, 0)), ""), IF(val=0, "", val))</f>
        <v>331615</v>
      </c>
      <c r="BW25" s="54">
        <f t="array" ref="BW25">LET(val, IFERROR(INDEX('Daily 쨈 raw'!$A:$ZZ, MATCH(BW$3, 'Daily 쨈 raw'!$A:$A, 0), MATCH($A25, 'Daily 쨈 raw'!$1:$1, 0)), ""), IF(val=0, "", val))</f>
        <v>352958.3</v>
      </c>
      <c r="BX25" s="54">
        <f t="array" ref="BX25">LET(val, IFERROR(INDEX('Daily 쨈 raw'!$A:$ZZ, MATCH(BX$3, 'Daily 쨈 raw'!$A:$A, 0), MATCH($A25, 'Daily 쨈 raw'!$1:$1, 0)), ""), IF(val=0, "", val))</f>
        <v>481281.4</v>
      </c>
      <c r="BY25" s="54">
        <f t="array" ref="BY25">LET(val, IFERROR(INDEX('Daily 쨈 raw'!$A:$ZZ, MATCH(BY$3, 'Daily 쨈 raw'!$A:$A, 0), MATCH($A25, 'Daily 쨈 raw'!$1:$1, 0)), ""), IF(val=0, "", val))</f>
        <v>456556</v>
      </c>
      <c r="BZ25" s="54">
        <f t="array" ref="BZ25">LET(val, IFERROR(INDEX('Daily 쨈 raw'!$A:$ZZ, MATCH(BZ$3, 'Daily 쨈 raw'!$A:$A, 0), MATCH($A25, 'Daily 쨈 raw'!$1:$1, 0)), ""), IF(val=0, "", val))</f>
        <v>387466.2</v>
      </c>
      <c r="CA25" s="54">
        <f t="array" ref="CA25">LET(val, IFERROR(INDEX('Daily 쨈 raw'!$A:$ZZ, MATCH(CA$3, 'Daily 쨈 raw'!$A:$A, 0), MATCH($A25, 'Daily 쨈 raw'!$1:$1, 0)), ""), IF(val=0, "", val))</f>
        <v>396484.9</v>
      </c>
      <c r="CB25" s="54">
        <f t="array" ref="CB25">LET(val, IFERROR(INDEX('Daily 쨈 raw'!$A:$ZZ, MATCH(CB$3, 'Daily 쨈 raw'!$A:$A, 0), MATCH($A25, 'Daily 쨈 raw'!$1:$1, 0)), ""), IF(val=0, "", val))</f>
        <v>332972.6</v>
      </c>
      <c r="CC25" s="54">
        <f t="array" ref="CC25">LET(val, IFERROR(INDEX('Daily 쨈 raw'!$A:$ZZ, MATCH(CC$3, 'Daily 쨈 raw'!$A:$A, 0), MATCH($A25, 'Daily 쨈 raw'!$1:$1, 0)), ""), IF(val=0, "", val))</f>
        <v>509716.7</v>
      </c>
      <c r="CD25" s="54">
        <f t="array" ref="CD25">LET(val, IFERROR(INDEX('Daily 쨈 raw'!$A:$ZZ, MATCH(CD$3, 'Daily 쨈 raw'!$A:$A, 0), MATCH($A25, 'Daily 쨈 raw'!$1:$1, 0)), ""), IF(val=0, "", val))</f>
        <v>659659.4</v>
      </c>
      <c r="CE25" s="54">
        <f t="array" ref="CE25">LET(val, IFERROR(INDEX('Daily 쨈 raw'!$A:$ZZ, MATCH(CE$3, 'Daily 쨈 raw'!$A:$A, 0), MATCH($A25, 'Daily 쨈 raw'!$1:$1, 0)), ""), IF(val=0, "", val))</f>
        <v>410376.7</v>
      </c>
      <c r="CF25" s="54">
        <f t="array" ref="CF25">LET(val, IFERROR(INDEX('Daily 쨈 raw'!$A:$ZZ, MATCH(CF$3, 'Daily 쨈 raw'!$A:$A, 0), MATCH($A25, 'Daily 쨈 raw'!$1:$1, 0)), ""), IF(val=0, "", val))</f>
        <v>566149.8</v>
      </c>
      <c r="CG25" s="54">
        <f t="array" ref="CG25">LET(val, IFERROR(INDEX('Daily 쨈 raw'!$A:$ZZ, MATCH(CG$3, 'Daily 쨈 raw'!$A:$A, 0), MATCH($A25, 'Daily 쨈 raw'!$1:$1, 0)), ""), IF(val=0, "", val))</f>
        <v>836214.9</v>
      </c>
      <c r="CH25" s="54">
        <f t="array" ref="CH25">LET(val, IFERROR(INDEX('Daily 쨈 raw'!$A:$ZZ, MATCH(CH$3, 'Daily 쨈 raw'!$A:$A, 0), MATCH($A25, 'Daily 쨈 raw'!$1:$1, 0)), ""), IF(val=0, "", val))</f>
        <v>751937</v>
      </c>
      <c r="CI25" s="54">
        <f t="array" ref="CI25">LET(val, IFERROR(INDEX('Daily 쨈 raw'!$A:$ZZ, MATCH(CI$3, 'Daily 쨈 raw'!$A:$A, 0), MATCH($A25, 'Daily 쨈 raw'!$1:$1, 0)), ""), IF(val=0, "", val))</f>
        <v>831491.1</v>
      </c>
      <c r="CJ25" s="54">
        <f t="array" ref="CJ25">LET(val, IFERROR(INDEX('Daily 쨈 raw'!$A:$ZZ, MATCH(CJ$3, 'Daily 쨈 raw'!$A:$A, 0), MATCH($A25, 'Daily 쨈 raw'!$1:$1, 0)), ""), IF(val=0, "", val))</f>
        <v>860205.5</v>
      </c>
      <c r="CK25" s="54">
        <f t="array" ref="CK25">LET(val, IFERROR(INDEX('Daily 쨈 raw'!$A:$ZZ, MATCH(CK$3, 'Daily 쨈 raw'!$A:$A, 0), MATCH($A25, 'Daily 쨈 raw'!$1:$1, 0)), ""), IF(val=0, "", val))</f>
        <v>1043574.9</v>
      </c>
      <c r="CL25" s="54">
        <f t="array" ref="CL25">LET(val, IFERROR(INDEX('Daily 쨈 raw'!$A:$ZZ, MATCH(CL$3, 'Daily 쨈 raw'!$A:$A, 0), MATCH($A25, 'Daily 쨈 raw'!$1:$1, 0)), ""), IF(val=0, "", val))</f>
        <v>660239</v>
      </c>
      <c r="CM25" s="54">
        <f t="array" ref="CM25">LET(val, IFERROR(INDEX('Daily 쨈 raw'!$A:$ZZ, MATCH(CM$3, 'Daily 쨈 raw'!$A:$A, 0), MATCH($A25, 'Daily 쨈 raw'!$1:$1, 0)), ""), IF(val=0, "", val))</f>
        <v>716905.5</v>
      </c>
      <c r="CN25" s="54">
        <f t="array" ref="CN25">LET(val, IFERROR(INDEX('Daily 쨈 raw'!$A:$ZZ, MATCH(CN$3, 'Daily 쨈 raw'!$A:$A, 0), MATCH($A25, 'Daily 쨈 raw'!$1:$1, 0)), ""), IF(val=0, "", val))</f>
        <v>809885.4</v>
      </c>
      <c r="CO25" s="54">
        <f t="array" ref="CO25">LET(val, IFERROR(INDEX('Daily 쨈 raw'!$A:$ZZ, MATCH(CO$3, 'Daily 쨈 raw'!$A:$A, 0), MATCH($A25, 'Daily 쨈 raw'!$1:$1, 0)), ""), IF(val=0, "", val))</f>
        <v>1007081.2</v>
      </c>
      <c r="CP25" s="54">
        <f t="array" ref="CP25">LET(val, IFERROR(INDEX('Daily 쨈 raw'!$A:$ZZ, MATCH(CP$3, 'Daily 쨈 raw'!$A:$A, 0), MATCH($A25, 'Daily 쨈 raw'!$1:$1, 0)), ""), IF(val=0, "", val))</f>
        <v>313436.2</v>
      </c>
      <c r="CQ25" s="54" t="str">
        <f t="array" ref="CQ25">LET(val, IFERROR(INDEX('Daily 쨈 raw'!$A:$ZZ, MATCH(CQ$3, 'Daily 쨈 raw'!$A:$A, 0), MATCH($A25, 'Daily 쨈 raw'!$1:$1, 0)), ""), IF(val=0, "", val))</f>
        <v/>
      </c>
      <c r="CR25" s="54" t="str">
        <f t="array" ref="CR25">LET(val, IFERROR(INDEX('Daily 쨈 raw'!$A:$ZZ, MATCH(CR$3, 'Daily 쨈 raw'!$A:$A, 0), MATCH($A25, 'Daily 쨈 raw'!$1:$1, 0)), ""), IF(val=0, "", val))</f>
        <v/>
      </c>
      <c r="CS25" s="54" t="str">
        <f t="array" ref="CS25">LET(val, IFERROR(INDEX('Daily 쨈 raw'!$A:$ZZ, MATCH(CS$3, 'Daily 쨈 raw'!$A:$A, 0), MATCH($A25, 'Daily 쨈 raw'!$1:$1, 0)), ""), IF(val=0, "", val))</f>
        <v/>
      </c>
      <c r="CT25" s="54" t="str">
        <f t="array" ref="CT25">LET(val, IFERROR(INDEX('Daily 쨈 raw'!$A:$ZZ, MATCH(CT$3, 'Daily 쨈 raw'!$A:$A, 0), MATCH($A25, 'Daily 쨈 raw'!$1:$1, 0)), ""), IF(val=0, "", val))</f>
        <v/>
      </c>
      <c r="CU25" s="54" t="str">
        <f t="array" ref="CU25">LET(val, IFERROR(INDEX('Daily 쨈 raw'!$A:$ZZ, MATCH(CU$3, 'Daily 쨈 raw'!$A:$A, 0), MATCH($A25, 'Daily 쨈 raw'!$1:$1, 0)), ""), IF(val=0, "", val))</f>
        <v/>
      </c>
      <c r="CV25" s="54" t="str">
        <f t="array" ref="CV25">LET(val, IFERROR(INDEX('Daily 쨈 raw'!$A:$ZZ, MATCH(CV$3, 'Daily 쨈 raw'!$A:$A, 0), MATCH($A25, 'Daily 쨈 raw'!$1:$1, 0)), ""), IF(val=0, "", val))</f>
        <v/>
      </c>
      <c r="CW25" s="54" t="str">
        <f t="array" ref="CW25">LET(val, IFERROR(INDEX('Daily 쨈 raw'!$A:$ZZ, MATCH(CW$3, 'Daily 쨈 raw'!$A:$A, 0), MATCH($A25, 'Daily 쨈 raw'!$1:$1, 0)), ""), IF(val=0, "", val))</f>
        <v/>
      </c>
      <c r="CX25" s="54" t="str">
        <f t="array" ref="CX25">LET(val, IFERROR(INDEX('Daily 쨈 raw'!$A:$ZZ, MATCH(CX$3, 'Daily 쨈 raw'!$A:$A, 0), MATCH($A25, 'Daily 쨈 raw'!$1:$1, 0)), ""), IF(val=0, "", val))</f>
        <v/>
      </c>
      <c r="CY25" s="54" t="str">
        <f t="array" ref="CY25">LET(val, IFERROR(INDEX('Daily 쨈 raw'!$A:$ZZ, MATCH(CY$3, 'Daily 쨈 raw'!$A:$A, 0), MATCH($A25, 'Daily 쨈 raw'!$1:$1, 0)), ""), IF(val=0, "", val))</f>
        <v/>
      </c>
      <c r="CZ25" s="54" t="str">
        <f t="array" ref="CZ25">LET(val, IFERROR(INDEX('Daily 쨈 raw'!$A:$ZZ, MATCH(CZ$3, 'Daily 쨈 raw'!$A:$A, 0), MATCH($A25, 'Daily 쨈 raw'!$1:$1, 0)), ""), IF(val=0, "", val))</f>
        <v/>
      </c>
      <c r="DA25" s="54" t="str">
        <f t="array" ref="DA25">LET(val, IFERROR(INDEX('Daily 쨈 raw'!$A:$ZZ, MATCH(DA$3, 'Daily 쨈 raw'!$A:$A, 0), MATCH($A25, 'Daily 쨈 raw'!$1:$1, 0)), ""), IF(val=0, "", val))</f>
        <v/>
      </c>
      <c r="DB25" s="54" t="str">
        <f t="array" ref="DB25">LET(val, IFERROR(INDEX('Daily 쨈 raw'!$A:$ZZ, MATCH(DB$3, 'Daily 쨈 raw'!$A:$A, 0), MATCH($A25, 'Daily 쨈 raw'!$1:$1, 0)), ""), IF(val=0, "", val))</f>
        <v/>
      </c>
      <c r="DC25" s="54" t="str">
        <f t="array" ref="DC25">LET(val, IFERROR(INDEX('Daily 쨈 raw'!$A:$ZZ, MATCH(DC$3, 'Daily 쨈 raw'!$A:$A, 0), MATCH($A25, 'Daily 쨈 raw'!$1:$1, 0)), ""), IF(val=0, "", val))</f>
        <v/>
      </c>
      <c r="DD25" s="54" t="str">
        <f t="array" ref="DD25">LET(val, IFERROR(INDEX('Daily 쨈 raw'!$A:$ZZ, MATCH(DD$3, 'Daily 쨈 raw'!$A:$A, 0), MATCH($A25, 'Daily 쨈 raw'!$1:$1, 0)), ""), IF(val=0, "", val))</f>
        <v/>
      </c>
      <c r="DE25" s="54" t="str">
        <f t="array" ref="DE25">LET(val, IFERROR(INDEX('Daily 쨈 raw'!$A:$ZZ, MATCH(DE$3, 'Daily 쨈 raw'!$A:$A, 0), MATCH($A25, 'Daily 쨈 raw'!$1:$1, 0)), ""), IF(val=0, "", val))</f>
        <v/>
      </c>
      <c r="DF25" s="54" t="str">
        <f t="array" ref="DF25">LET(val, IFERROR(INDEX('Daily 쨈 raw'!$A:$ZZ, MATCH(DF$3, 'Daily 쨈 raw'!$A:$A, 0), MATCH($A25, 'Daily 쨈 raw'!$1:$1, 0)), ""), IF(val=0, "", val))</f>
        <v/>
      </c>
      <c r="DG25" s="54" t="str">
        <f t="array" ref="DG25">LET(val, IFERROR(INDEX('Daily 쨈 raw'!$A:$ZZ, MATCH(DG$3, 'Daily 쨈 raw'!$A:$A, 0), MATCH($A25, 'Daily 쨈 raw'!$1:$1, 0)), ""), IF(val=0, "", val))</f>
        <v/>
      </c>
      <c r="DH25" s="54" t="str">
        <f t="array" ref="DH25">LET(val, IFERROR(INDEX('Daily 쨈 raw'!$A:$ZZ, MATCH(DH$3, 'Daily 쨈 raw'!$A:$A, 0), MATCH($A25, 'Daily 쨈 raw'!$1:$1, 0)), ""), IF(val=0, "", val))</f>
        <v/>
      </c>
      <c r="DI25" s="54" t="str">
        <f t="array" ref="DI25">LET(val, IFERROR(INDEX('Daily 쨈 raw'!$A:$ZZ, MATCH(DI$3, 'Daily 쨈 raw'!$A:$A, 0), MATCH($A25, 'Daily 쨈 raw'!$1:$1, 0)), ""), IF(val=0, "", val))</f>
        <v/>
      </c>
      <c r="DJ25" s="54" t="str">
        <f t="array" ref="DJ25">LET(val, IFERROR(INDEX('Daily 쨈 raw'!$A:$ZZ, MATCH(DJ$3, 'Daily 쨈 raw'!$A:$A, 0), MATCH($A25, 'Daily 쨈 raw'!$1:$1, 0)), ""), IF(val=0, "", val))</f>
        <v/>
      </c>
      <c r="DK25" s="54" t="str">
        <f t="array" ref="DK25">LET(val, IFERROR(INDEX('Daily 쨈 raw'!$A:$ZZ, MATCH(DK$3, 'Daily 쨈 raw'!$A:$A, 0), MATCH($A25, 'Daily 쨈 raw'!$1:$1, 0)), ""), IF(val=0, "", val))</f>
        <v/>
      </c>
      <c r="DL25" s="54" t="str">
        <f t="array" ref="DL25">LET(val, IFERROR(INDEX('Daily 쨈 raw'!$A:$ZZ, MATCH(DL$3, 'Daily 쨈 raw'!$A:$A, 0), MATCH($A25, 'Daily 쨈 raw'!$1:$1, 0)), ""), IF(val=0, "", val))</f>
        <v/>
      </c>
      <c r="DM25" s="54" t="str">
        <f t="array" ref="DM25">LET(val, IFERROR(INDEX('Daily 쨈 raw'!$A:$ZZ, MATCH(DM$3, 'Daily 쨈 raw'!$A:$A, 0), MATCH($A25, 'Daily 쨈 raw'!$1:$1, 0)), ""), IF(val=0, "", val))</f>
        <v/>
      </c>
      <c r="DN25" s="54" t="str">
        <f t="array" ref="DN25">LET(val, IFERROR(INDEX('Daily 쨈 raw'!$A:$ZZ, MATCH(DN$3, 'Daily 쨈 raw'!$A:$A, 0), MATCH($A25, 'Daily 쨈 raw'!$1:$1, 0)), ""), IF(val=0, "", val))</f>
        <v/>
      </c>
      <c r="DO25" s="54" t="str">
        <f t="array" ref="DO25">LET(val, IFERROR(INDEX('Daily 쨈 raw'!$A:$ZZ, MATCH(DO$3, 'Daily 쨈 raw'!$A:$A, 0), MATCH($A25, 'Daily 쨈 raw'!$1:$1, 0)), ""), IF(val=0, "", val))</f>
        <v/>
      </c>
      <c r="DP25" s="54" t="str">
        <f t="array" ref="DP25">LET(val, IFERROR(INDEX('Daily 쨈 raw'!$A:$ZZ, MATCH(DP$3, 'Daily 쨈 raw'!$A:$A, 0), MATCH($A25, 'Daily 쨈 raw'!$1:$1, 0)), ""), IF(val=0, "", val))</f>
        <v/>
      </c>
      <c r="DQ25" s="54" t="str">
        <f t="array" ref="DQ25">LET(val, IFERROR(INDEX('Daily 쨈 raw'!$A:$ZZ, MATCH(DQ$3, 'Daily 쨈 raw'!$A:$A, 0), MATCH($A25, 'Daily 쨈 raw'!$1:$1, 0)), ""), IF(val=0, "", val))</f>
        <v/>
      </c>
      <c r="DR25" s="54" t="str">
        <f t="array" ref="DR25">LET(val, IFERROR(INDEX('Daily 쨈 raw'!$A:$ZZ, MATCH(DR$3, 'Daily 쨈 raw'!$A:$A, 0), MATCH($A25, 'Daily 쨈 raw'!$1:$1, 0)), ""), IF(val=0, "", val))</f>
        <v/>
      </c>
      <c r="DS25" s="54" t="str">
        <f t="array" ref="DS25">LET(val, IFERROR(INDEX('Daily 쨈 raw'!$A:$ZZ, MATCH(DS$3, 'Daily 쨈 raw'!$A:$A, 0), MATCH($A25, 'Daily 쨈 raw'!$1:$1, 0)), ""), IF(val=0, "", val))</f>
        <v/>
      </c>
      <c r="DT25" s="54" t="str">
        <f t="array" ref="DT25">LET(val, IFERROR(INDEX('Daily 쨈 raw'!$A:$ZZ, MATCH(DT$3, 'Daily 쨈 raw'!$A:$A, 0), MATCH($A25, 'Daily 쨈 raw'!$1:$1, 0)), ""), IF(val=0, "", val))</f>
        <v/>
      </c>
      <c r="DU25" s="54" t="str">
        <f t="array" ref="DU25">LET(val, IFERROR(INDEX('Daily 쨈 raw'!$A:$ZZ, MATCH(DU$3, 'Daily 쨈 raw'!$A:$A, 0), MATCH($A25, 'Daily 쨈 raw'!$1:$1, 0)), ""), IF(val=0, "", val))</f>
        <v/>
      </c>
      <c r="DV25" s="54" t="str">
        <f t="array" ref="DV25">LET(val, IFERROR(INDEX('Daily 쨈 raw'!$A:$ZZ, MATCH(DV$3, 'Daily 쨈 raw'!$A:$A, 0), MATCH($A25, 'Daily 쨈 raw'!$1:$1, 0)), ""), IF(val=0, "", val))</f>
        <v/>
      </c>
      <c r="DW25" s="54" t="str">
        <f t="array" ref="DW25">LET(val, IFERROR(INDEX('Daily 쨈 raw'!$A:$ZZ, MATCH(DW$3, 'Daily 쨈 raw'!$A:$A, 0), MATCH($A25, 'Daily 쨈 raw'!$1:$1, 0)), ""), IF(val=0, "", val))</f>
        <v/>
      </c>
      <c r="DX25" s="54" t="str">
        <f t="array" ref="DX25">LET(val, IFERROR(INDEX('Daily 쨈 raw'!$A:$ZZ, MATCH(DX$3, 'Daily 쨈 raw'!$A:$A, 0), MATCH($A25, 'Daily 쨈 raw'!$1:$1, 0)), ""), IF(val=0, "", val))</f>
        <v/>
      </c>
      <c r="DY25" s="54" t="str">
        <f t="array" ref="DY25">LET(val, IFERROR(INDEX('Daily 쨈 raw'!$A:$ZZ, MATCH(DY$3, 'Daily 쨈 raw'!$A:$A, 0), MATCH($A25, 'Daily 쨈 raw'!$1:$1, 0)), ""), IF(val=0, "", val))</f>
        <v/>
      </c>
      <c r="DZ25" s="54" t="str">
        <f t="array" ref="DZ25">LET(val, IFERROR(INDEX('Daily 쨈 raw'!$A:$ZZ, MATCH(DZ$3, 'Daily 쨈 raw'!$A:$A, 0), MATCH($A25, 'Daily 쨈 raw'!$1:$1, 0)), ""), IF(val=0, "", val))</f>
        <v/>
      </c>
    </row>
    <row r="26" ht="22.5" customHeight="1">
      <c r="A26" s="23" t="s">
        <v>35</v>
      </c>
      <c r="B26" s="47" t="s">
        <v>26</v>
      </c>
      <c r="C26" s="54">
        <f t="array" ref="C26">LET(val, IFERROR(INDEX('Daily 쨈 raw'!$A:$ZZ, MATCH(C$3, 'Daily 쨈 raw'!$A:$A, 0), MATCH($A26, 'Daily 쨈 raw'!$1:$1, 0)), ""), IF(val=0, "", val))</f>
        <v>360800</v>
      </c>
      <c r="D26" s="54">
        <f t="array" ref="D26">LET(val, IFERROR(INDEX('Daily 쨈 raw'!$A:$ZZ, MATCH(D$3, 'Daily 쨈 raw'!$A:$A, 0), MATCH($A26, 'Daily 쨈 raw'!$1:$1, 0)), ""), IF(val=0, "", val))</f>
        <v>529100</v>
      </c>
      <c r="E26" s="54">
        <f t="array" ref="E26">LET(val, IFERROR(INDEX('Daily 쨈 raw'!$A:$ZZ, MATCH(E$3, 'Daily 쨈 raw'!$A:$A, 0), MATCH($A26, 'Daily 쨈 raw'!$1:$1, 0)), ""), IF(val=0, "", val))</f>
        <v>333300</v>
      </c>
      <c r="F26" s="54">
        <f t="array" ref="F26">LET(val, IFERROR(INDEX('Daily 쨈 raw'!$A:$ZZ, MATCH(F$3, 'Daily 쨈 raw'!$A:$A, 0), MATCH($A26, 'Daily 쨈 raw'!$1:$1, 0)), ""), IF(val=0, "", val))</f>
        <v>272800</v>
      </c>
      <c r="G26" s="54">
        <f t="array" ref="G26">LET(val, IFERROR(INDEX('Daily 쨈 raw'!$A:$ZZ, MATCH(G$3, 'Daily 쨈 raw'!$A:$A, 0), MATCH($A26, 'Daily 쨈 raw'!$1:$1, 0)), ""), IF(val=0, "", val))</f>
        <v>290400</v>
      </c>
      <c r="H26" s="54">
        <f t="array" ref="H26">LET(val, IFERROR(INDEX('Daily 쨈 raw'!$A:$ZZ, MATCH(H$3, 'Daily 쨈 raw'!$A:$A, 0), MATCH($A26, 'Daily 쨈 raw'!$1:$1, 0)), ""), IF(val=0, "", val))</f>
        <v>531300</v>
      </c>
      <c r="I26" s="54">
        <f t="array" ref="I26">LET(val, IFERROR(INDEX('Daily 쨈 raw'!$A:$ZZ, MATCH(I$3, 'Daily 쨈 raw'!$A:$A, 0), MATCH($A26, 'Daily 쨈 raw'!$1:$1, 0)), ""), IF(val=0, "", val))</f>
        <v>452100</v>
      </c>
      <c r="J26" s="54">
        <f t="array" ref="J26">LET(val, IFERROR(INDEX('Daily 쨈 raw'!$A:$ZZ, MATCH(J$3, 'Daily 쨈 raw'!$A:$A, 0), MATCH($A26, 'Daily 쨈 raw'!$1:$1, 0)), ""), IF(val=0, "", val))</f>
        <v>368500</v>
      </c>
      <c r="K26" s="54">
        <f t="array" ref="K26">LET(val, IFERROR(INDEX('Daily 쨈 raw'!$A:$ZZ, MATCH(K$3, 'Daily 쨈 raw'!$A:$A, 0), MATCH($A26, 'Daily 쨈 raw'!$1:$1, 0)), ""), IF(val=0, "", val))</f>
        <v>578600</v>
      </c>
      <c r="L26" s="54">
        <f t="array" ref="L26">LET(val, IFERROR(INDEX('Daily 쨈 raw'!$A:$ZZ, MATCH(L$3, 'Daily 쨈 raw'!$A:$A, 0), MATCH($A26, 'Daily 쨈 raw'!$1:$1, 0)), ""), IF(val=0, "", val))</f>
        <v>730400</v>
      </c>
      <c r="M26" s="54">
        <f t="array" ref="M26">LET(val, IFERROR(INDEX('Daily 쨈 raw'!$A:$ZZ, MATCH(M$3, 'Daily 쨈 raw'!$A:$A, 0), MATCH($A26, 'Daily 쨈 raw'!$1:$1, 0)), ""), IF(val=0, "", val))</f>
        <v>477400</v>
      </c>
      <c r="N26" s="54">
        <f t="array" ref="N26">LET(val, IFERROR(INDEX('Daily 쨈 raw'!$A:$ZZ, MATCH(N$3, 'Daily 쨈 raw'!$A:$A, 0), MATCH($A26, 'Daily 쨈 raw'!$1:$1, 0)), ""), IF(val=0, "", val))</f>
        <v>486200</v>
      </c>
      <c r="O26" s="54">
        <f t="array" ref="O26">LET(val, IFERROR(INDEX('Daily 쨈 raw'!$A:$ZZ, MATCH(O$3, 'Daily 쨈 raw'!$A:$A, 0), MATCH($A26, 'Daily 쨈 raw'!$1:$1, 0)), ""), IF(val=0, "", val))</f>
        <v>553300</v>
      </c>
      <c r="P26" s="54">
        <f t="array" ref="P26">LET(val, IFERROR(INDEX('Daily 쨈 raw'!$A:$ZZ, MATCH(P$3, 'Daily 쨈 raw'!$A:$A, 0), MATCH($A26, 'Daily 쨈 raw'!$1:$1, 0)), ""), IF(val=0, "", val))</f>
        <v>547800</v>
      </c>
      <c r="Q26" s="54">
        <f t="array" ref="Q26">LET(val, IFERROR(INDEX('Daily 쨈 raw'!$A:$ZZ, MATCH(Q$3, 'Daily 쨈 raw'!$A:$A, 0), MATCH($A26, 'Daily 쨈 raw'!$1:$1, 0)), ""), IF(val=0, "", val))</f>
        <v>389400</v>
      </c>
      <c r="R26" s="54">
        <f t="array" ref="R26">LET(val, IFERROR(INDEX('Daily 쨈 raw'!$A:$ZZ, MATCH(R$3, 'Daily 쨈 raw'!$A:$A, 0), MATCH($A26, 'Daily 쨈 raw'!$1:$1, 0)), ""), IF(val=0, "", val))</f>
        <v>412500</v>
      </c>
      <c r="S26" s="54">
        <f t="array" ref="S26">LET(val, IFERROR(INDEX('Daily 쨈 raw'!$A:$ZZ, MATCH(S$3, 'Daily 쨈 raw'!$A:$A, 0), MATCH($A26, 'Daily 쨈 raw'!$1:$1, 0)), ""), IF(val=0, "", val))</f>
        <v>335500</v>
      </c>
      <c r="T26" s="54">
        <f t="array" ref="T26">LET(val, IFERROR(INDEX('Daily 쨈 raw'!$A:$ZZ, MATCH(T$3, 'Daily 쨈 raw'!$A:$A, 0), MATCH($A26, 'Daily 쨈 raw'!$1:$1, 0)), ""), IF(val=0, "", val))</f>
        <v>379500</v>
      </c>
      <c r="U26" s="54">
        <f t="array" ref="U26">LET(val, IFERROR(INDEX('Daily 쨈 raw'!$A:$ZZ, MATCH(U$3, 'Daily 쨈 raw'!$A:$A, 0), MATCH($A26, 'Daily 쨈 raw'!$1:$1, 0)), ""), IF(val=0, "", val))</f>
        <v>303600</v>
      </c>
      <c r="V26" s="54">
        <f t="array" ref="V26">LET(val, IFERROR(INDEX('Daily 쨈 raw'!$A:$ZZ, MATCH(V$3, 'Daily 쨈 raw'!$A:$A, 0), MATCH($A26, 'Daily 쨈 raw'!$1:$1, 0)), ""), IF(val=0, "", val))</f>
        <v>344300</v>
      </c>
      <c r="W26" s="54">
        <f t="array" ref="W26">LET(val, IFERROR(INDEX('Daily 쨈 raw'!$A:$ZZ, MATCH(W$3, 'Daily 쨈 raw'!$A:$A, 0), MATCH($A26, 'Daily 쨈 raw'!$1:$1, 0)), ""), IF(val=0, "", val))</f>
        <v>430100</v>
      </c>
      <c r="X26" s="54">
        <f t="array" ref="X26">LET(val, IFERROR(INDEX('Daily 쨈 raw'!$A:$ZZ, MATCH(X$3, 'Daily 쨈 raw'!$A:$A, 0), MATCH($A26, 'Daily 쨈 raw'!$1:$1, 0)), ""), IF(val=0, "", val))</f>
        <v>363000</v>
      </c>
      <c r="Y26" s="54">
        <f t="array" ref="Y26">LET(val, IFERROR(INDEX('Daily 쨈 raw'!$A:$ZZ, MATCH(Y$3, 'Daily 쨈 raw'!$A:$A, 0), MATCH($A26, 'Daily 쨈 raw'!$1:$1, 0)), ""), IF(val=0, "", val))</f>
        <v>327800</v>
      </c>
      <c r="Z26" s="54">
        <f t="array" ref="Z26">LET(val, IFERROR(INDEX('Daily 쨈 raw'!$A:$ZZ, MATCH(Z$3, 'Daily 쨈 raw'!$A:$A, 0), MATCH($A26, 'Daily 쨈 raw'!$1:$1, 0)), ""), IF(val=0, "", val))</f>
        <v>392700</v>
      </c>
      <c r="AA26" s="54">
        <f t="array" ref="AA26">LET(val, IFERROR(INDEX('Daily 쨈 raw'!$A:$ZZ, MATCH(AA$3, 'Daily 쨈 raw'!$A:$A, 0), MATCH($A26, 'Daily 쨈 raw'!$1:$1, 0)), ""), IF(val=0, "", val))</f>
        <v>276100</v>
      </c>
      <c r="AB26" s="54">
        <f t="array" ref="AB26">LET(val, IFERROR(INDEX('Daily 쨈 raw'!$A:$ZZ, MATCH(AB$3, 'Daily 쨈 raw'!$A:$A, 0), MATCH($A26, 'Daily 쨈 raw'!$1:$1, 0)), ""), IF(val=0, "", val))</f>
        <v>333300</v>
      </c>
      <c r="AC26" s="54">
        <f t="array" ref="AC26">LET(val, IFERROR(INDEX('Daily 쨈 raw'!$A:$ZZ, MATCH(AC$3, 'Daily 쨈 raw'!$A:$A, 0), MATCH($A26, 'Daily 쨈 raw'!$1:$1, 0)), ""), IF(val=0, "", val))</f>
        <v>299200</v>
      </c>
      <c r="AD26" s="54">
        <f t="array" ref="AD26">LET(val, IFERROR(INDEX('Daily 쨈 raw'!$A:$ZZ, MATCH(AD$3, 'Daily 쨈 raw'!$A:$A, 0), MATCH($A26, 'Daily 쨈 raw'!$1:$1, 0)), ""), IF(val=0, "", val))</f>
        <v>363000</v>
      </c>
      <c r="AE26" s="54">
        <f t="array" ref="AE26">LET(val, IFERROR(INDEX('Daily 쨈 raw'!$A:$ZZ, MATCH(AE$3, 'Daily 쨈 raw'!$A:$A, 0), MATCH($A26, 'Daily 쨈 raw'!$1:$1, 0)), ""), IF(val=0, "", val))</f>
        <v>431200</v>
      </c>
      <c r="AF26" s="54">
        <f t="array" ref="AF26">LET(val, IFERROR(INDEX('Daily 쨈 raw'!$A:$ZZ, MATCH(AF$3, 'Daily 쨈 raw'!$A:$A, 0), MATCH($A26, 'Daily 쨈 raw'!$1:$1, 0)), ""), IF(val=0, "", val))</f>
        <v>633600</v>
      </c>
      <c r="AG26" s="54">
        <f t="array" ref="AG26">LET(val, IFERROR(INDEX('Daily 쨈 raw'!$A:$ZZ, MATCH(AG$3, 'Daily 쨈 raw'!$A:$A, 0), MATCH($A26, 'Daily 쨈 raw'!$1:$1, 0)), ""), IF(val=0, "", val))</f>
        <v>2211000</v>
      </c>
      <c r="AH26" s="54">
        <f t="array" ref="AH26">LET(val, IFERROR(INDEX('Daily 쨈 raw'!$A:$ZZ, MATCH(AH$3, 'Daily 쨈 raw'!$A:$A, 0), MATCH($A26, 'Daily 쨈 raw'!$1:$1, 0)), ""), IF(val=0, "", val))</f>
        <v>1691800</v>
      </c>
      <c r="AI26" s="54">
        <f t="array" ref="AI26">LET(val, IFERROR(INDEX('Daily 쨈 raw'!$A:$ZZ, MATCH(AI$3, 'Daily 쨈 raw'!$A:$A, 0), MATCH($A26, 'Daily 쨈 raw'!$1:$1, 0)), ""), IF(val=0, "", val))</f>
        <v>602800</v>
      </c>
      <c r="AJ26" s="54">
        <f t="array" ref="AJ26">LET(val, IFERROR(INDEX('Daily 쨈 raw'!$A:$ZZ, MATCH(AJ$3, 'Daily 쨈 raw'!$A:$A, 0), MATCH($A26, 'Daily 쨈 raw'!$1:$1, 0)), ""), IF(val=0, "", val))</f>
        <v>691900</v>
      </c>
      <c r="AK26" s="54">
        <f t="array" ref="AK26">LET(val, IFERROR(INDEX('Daily 쨈 raw'!$A:$ZZ, MATCH(AK$3, 'Daily 쨈 raw'!$A:$A, 0), MATCH($A26, 'Daily 쨈 raw'!$1:$1, 0)), ""), IF(val=0, "", val))</f>
        <v>759000</v>
      </c>
      <c r="AL26" s="54">
        <f t="array" ref="AL26">LET(val, IFERROR(INDEX('Daily 쨈 raw'!$A:$ZZ, MATCH(AL$3, 'Daily 쨈 raw'!$A:$A, 0), MATCH($A26, 'Daily 쨈 raw'!$1:$1, 0)), ""), IF(val=0, "", val))</f>
        <v>654500</v>
      </c>
      <c r="AM26" s="54">
        <f t="array" ref="AM26">LET(val, IFERROR(INDEX('Daily 쨈 raw'!$A:$ZZ, MATCH(AM$3, 'Daily 쨈 raw'!$A:$A, 0), MATCH($A26, 'Daily 쨈 raw'!$1:$1, 0)), ""), IF(val=0, "", val))</f>
        <v>537900</v>
      </c>
      <c r="AN26" s="54">
        <f t="array" ref="AN26">LET(val, IFERROR(INDEX('Daily 쨈 raw'!$A:$ZZ, MATCH(AN$3, 'Daily 쨈 raw'!$A:$A, 0), MATCH($A26, 'Daily 쨈 raw'!$1:$1, 0)), ""), IF(val=0, "", val))</f>
        <v>762300</v>
      </c>
      <c r="AO26" s="54">
        <f t="array" ref="AO26">LET(val, IFERROR(INDEX('Daily 쨈 raw'!$A:$ZZ, MATCH(AO$3, 'Daily 쨈 raw'!$A:$A, 0), MATCH($A26, 'Daily 쨈 raw'!$1:$1, 0)), ""), IF(val=0, "", val))</f>
        <v>1119800</v>
      </c>
      <c r="AP26" s="54">
        <f t="array" ref="AP26">LET(val, IFERROR(INDEX('Daily 쨈 raw'!$A:$ZZ, MATCH(AP$3, 'Daily 쨈 raw'!$A:$A, 0), MATCH($A26, 'Daily 쨈 raw'!$1:$1, 0)), ""), IF(val=0, "", val))</f>
        <v>536800</v>
      </c>
      <c r="AQ26" s="54">
        <f t="array" ref="AQ26">LET(val, IFERROR(INDEX('Daily 쨈 raw'!$A:$ZZ, MATCH(AQ$3, 'Daily 쨈 raw'!$A:$A, 0), MATCH($A26, 'Daily 쨈 raw'!$1:$1, 0)), ""), IF(val=0, "", val))</f>
        <v>572000</v>
      </c>
      <c r="AR26" s="54">
        <f t="array" ref="AR26">LET(val, IFERROR(INDEX('Daily 쨈 raw'!$A:$ZZ, MATCH(AR$3, 'Daily 쨈 raw'!$A:$A, 0), MATCH($A26, 'Daily 쨈 raw'!$1:$1, 0)), ""), IF(val=0, "", val))</f>
        <v>431200</v>
      </c>
      <c r="AS26" s="54">
        <f t="array" ref="AS26">LET(val, IFERROR(INDEX('Daily 쨈 raw'!$A:$ZZ, MATCH(AS$3, 'Daily 쨈 raw'!$A:$A, 0), MATCH($A26, 'Daily 쨈 raw'!$1:$1, 0)), ""), IF(val=0, "", val))</f>
        <v>363000</v>
      </c>
      <c r="AT26" s="54">
        <f t="array" ref="AT26">LET(val, IFERROR(INDEX('Daily 쨈 raw'!$A:$ZZ, MATCH(AT$3, 'Daily 쨈 raw'!$A:$A, 0), MATCH($A26, 'Daily 쨈 raw'!$1:$1, 0)), ""), IF(val=0, "", val))</f>
        <v>480700</v>
      </c>
      <c r="AU26" s="54">
        <f t="array" ref="AU26">LET(val, IFERROR(INDEX('Daily 쨈 raw'!$A:$ZZ, MATCH(AU$3, 'Daily 쨈 raw'!$A:$A, 0), MATCH($A26, 'Daily 쨈 raw'!$1:$1, 0)), ""), IF(val=0, "", val))</f>
        <v>451000</v>
      </c>
      <c r="AV26" s="54">
        <f t="array" ref="AV26">LET(val, IFERROR(INDEX('Daily 쨈 raw'!$A:$ZZ, MATCH(AV$3, 'Daily 쨈 raw'!$A:$A, 0), MATCH($A26, 'Daily 쨈 raw'!$1:$1, 0)), ""), IF(val=0, "", val))</f>
        <v>350900</v>
      </c>
      <c r="AW26" s="54">
        <f t="array" ref="AW26">LET(val, IFERROR(INDEX('Daily 쨈 raw'!$A:$ZZ, MATCH(AW$3, 'Daily 쨈 raw'!$A:$A, 0), MATCH($A26, 'Daily 쨈 raw'!$1:$1, 0)), ""), IF(val=0, "", val))</f>
        <v>358600</v>
      </c>
      <c r="AX26" s="54">
        <f t="array" ref="AX26">LET(val, IFERROR(INDEX('Daily 쨈 raw'!$A:$ZZ, MATCH(AX$3, 'Daily 쨈 raw'!$A:$A, 0), MATCH($A26, 'Daily 쨈 raw'!$1:$1, 0)), ""), IF(val=0, "", val))</f>
        <v>446600</v>
      </c>
      <c r="AY26" s="54">
        <f t="array" ref="AY26">LET(val, IFERROR(INDEX('Daily 쨈 raw'!$A:$ZZ, MATCH(AY$3, 'Daily 쨈 raw'!$A:$A, 0), MATCH($A26, 'Daily 쨈 raw'!$1:$1, 0)), ""), IF(val=0, "", val))</f>
        <v>372900</v>
      </c>
      <c r="AZ26" s="54">
        <f t="array" ref="AZ26">LET(val, IFERROR(INDEX('Daily 쨈 raw'!$A:$ZZ, MATCH(AZ$3, 'Daily 쨈 raw'!$A:$A, 0), MATCH($A26, 'Daily 쨈 raw'!$1:$1, 0)), ""), IF(val=0, "", val))</f>
        <v>330000</v>
      </c>
      <c r="BA26" s="54">
        <f t="array" ref="BA26">LET(val, IFERROR(INDEX('Daily 쨈 raw'!$A:$ZZ, MATCH(BA$3, 'Daily 쨈 raw'!$A:$A, 0), MATCH($A26, 'Daily 쨈 raw'!$1:$1, 0)), ""), IF(val=0, "", val))</f>
        <v>400400</v>
      </c>
      <c r="BB26" s="54">
        <f t="array" ref="BB26">LET(val, IFERROR(INDEX('Daily 쨈 raw'!$A:$ZZ, MATCH(BB$3, 'Daily 쨈 raw'!$A:$A, 0), MATCH($A26, 'Daily 쨈 raw'!$1:$1, 0)), ""), IF(val=0, "", val))</f>
        <v>321200</v>
      </c>
      <c r="BC26" s="54">
        <f t="array" ref="BC26">LET(val, IFERROR(INDEX('Daily 쨈 raw'!$A:$ZZ, MATCH(BC$3, 'Daily 쨈 raw'!$A:$A, 0), MATCH($A26, 'Daily 쨈 raw'!$1:$1, 0)), ""), IF(val=0, "", val))</f>
        <v>409200</v>
      </c>
      <c r="BD26" s="54">
        <f t="array" ref="BD26">LET(val, IFERROR(INDEX('Daily 쨈 raw'!$A:$ZZ, MATCH(BD$3, 'Daily 쨈 raw'!$A:$A, 0), MATCH($A26, 'Daily 쨈 raw'!$1:$1, 0)), ""), IF(val=0, "", val))</f>
        <v>533500</v>
      </c>
      <c r="BE26" s="54">
        <f t="array" ref="BE26">LET(val, IFERROR(INDEX('Daily 쨈 raw'!$A:$ZZ, MATCH(BE$3, 'Daily 쨈 raw'!$A:$A, 0), MATCH($A26, 'Daily 쨈 raw'!$1:$1, 0)), ""), IF(val=0, "", val))</f>
        <v>694100</v>
      </c>
      <c r="BF26" s="54">
        <f t="array" ref="BF26">LET(val, IFERROR(INDEX('Daily 쨈 raw'!$A:$ZZ, MATCH(BF$3, 'Daily 쨈 raw'!$A:$A, 0), MATCH($A26, 'Daily 쨈 raw'!$1:$1, 0)), ""), IF(val=0, "", val))</f>
        <v>552200</v>
      </c>
      <c r="BG26" s="54">
        <f t="array" ref="BG26">LET(val, IFERROR(INDEX('Daily 쨈 raw'!$A:$ZZ, MATCH(BG$3, 'Daily 쨈 raw'!$A:$A, 0), MATCH($A26, 'Daily 쨈 raw'!$1:$1, 0)), ""), IF(val=0, "", val))</f>
        <v>342100</v>
      </c>
      <c r="BH26" s="54">
        <f t="array" ref="BH26">LET(val, IFERROR(INDEX('Daily 쨈 raw'!$A:$ZZ, MATCH(BH$3, 'Daily 쨈 raw'!$A:$A, 0), MATCH($A26, 'Daily 쨈 raw'!$1:$1, 0)), ""), IF(val=0, "", val))</f>
        <v>423500</v>
      </c>
      <c r="BI26" s="54">
        <f t="array" ref="BI26">LET(val, IFERROR(INDEX('Daily 쨈 raw'!$A:$ZZ, MATCH(BI$3, 'Daily 쨈 raw'!$A:$A, 0), MATCH($A26, 'Daily 쨈 raw'!$1:$1, 0)), ""), IF(val=0, "", val))</f>
        <v>506000</v>
      </c>
      <c r="BJ26" s="54">
        <f t="array" ref="BJ26">LET(val, IFERROR(INDEX('Daily 쨈 raw'!$A:$ZZ, MATCH(BJ$3, 'Daily 쨈 raw'!$A:$A, 0), MATCH($A26, 'Daily 쨈 raw'!$1:$1, 0)), ""), IF(val=0, "", val))</f>
        <v>512600</v>
      </c>
      <c r="BK26" s="54">
        <f t="array" ref="BK26">LET(val, IFERROR(INDEX('Daily 쨈 raw'!$A:$ZZ, MATCH(BK$3, 'Daily 쨈 raw'!$A:$A, 0), MATCH($A26, 'Daily 쨈 raw'!$1:$1, 0)), ""), IF(val=0, "", val))</f>
        <v>581900</v>
      </c>
      <c r="BL26" s="54">
        <f t="array" ref="BL26">LET(val, IFERROR(INDEX('Daily 쨈 raw'!$A:$ZZ, MATCH(BL$3, 'Daily 쨈 raw'!$A:$A, 0), MATCH($A26, 'Daily 쨈 raw'!$1:$1, 0)), ""), IF(val=0, "", val))</f>
        <v>640200</v>
      </c>
      <c r="BM26" s="54">
        <f t="array" ref="BM26">LET(val, IFERROR(INDEX('Daily 쨈 raw'!$A:$ZZ, MATCH(BM$3, 'Daily 쨈 raw'!$A:$A, 0), MATCH($A26, 'Daily 쨈 raw'!$1:$1, 0)), ""), IF(val=0, "", val))</f>
        <v>548900</v>
      </c>
      <c r="BN26" s="54">
        <f t="array" ref="BN26">LET(val, IFERROR(INDEX('Daily 쨈 raw'!$A:$ZZ, MATCH(BN$3, 'Daily 쨈 raw'!$A:$A, 0), MATCH($A26, 'Daily 쨈 raw'!$1:$1, 0)), ""), IF(val=0, "", val))</f>
        <v>367400</v>
      </c>
      <c r="BO26" s="54">
        <f t="array" ref="BO26">LET(val, IFERROR(INDEX('Daily 쨈 raw'!$A:$ZZ, MATCH(BO$3, 'Daily 쨈 raw'!$A:$A, 0), MATCH($A26, 'Daily 쨈 raw'!$1:$1, 0)), ""), IF(val=0, "", val))</f>
        <v>337700</v>
      </c>
      <c r="BP26" s="54">
        <f t="array" ref="BP26">LET(val, IFERROR(INDEX('Daily 쨈 raw'!$A:$ZZ, MATCH(BP$3, 'Daily 쨈 raw'!$A:$A, 0), MATCH($A26, 'Daily 쨈 raw'!$1:$1, 0)), ""), IF(val=0, "", val))</f>
        <v>369600</v>
      </c>
      <c r="BQ26" s="54">
        <f t="array" ref="BQ26">LET(val, IFERROR(INDEX('Daily 쨈 raw'!$A:$ZZ, MATCH(BQ$3, 'Daily 쨈 raw'!$A:$A, 0), MATCH($A26, 'Daily 쨈 raw'!$1:$1, 0)), ""), IF(val=0, "", val))</f>
        <v>447700</v>
      </c>
      <c r="BR26" s="54">
        <f t="array" ref="BR26">LET(val, IFERROR(INDEX('Daily 쨈 raw'!$A:$ZZ, MATCH(BR$3, 'Daily 쨈 raw'!$A:$A, 0), MATCH($A26, 'Daily 쨈 raw'!$1:$1, 0)), ""), IF(val=0, "", val))</f>
        <v>382900</v>
      </c>
      <c r="BS26" s="54">
        <f t="array" ref="BS26">LET(val, IFERROR(INDEX('Daily 쨈 raw'!$A:$ZZ, MATCH(BS$3, 'Daily 쨈 raw'!$A:$A, 0), MATCH($A26, 'Daily 쨈 raw'!$1:$1, 0)), ""), IF(val=0, "", val))</f>
        <v>622100</v>
      </c>
      <c r="BT26" s="54">
        <f t="array" ref="BT26">LET(val, IFERROR(INDEX('Daily 쨈 raw'!$A:$ZZ, MATCH(BT$3, 'Daily 쨈 raw'!$A:$A, 0), MATCH($A26, 'Daily 쨈 raw'!$1:$1, 0)), ""), IF(val=0, "", val))</f>
        <v>475000</v>
      </c>
      <c r="BU26" s="54">
        <f t="array" ref="BU26">LET(val, IFERROR(INDEX('Daily 쨈 raw'!$A:$ZZ, MATCH(BU$3, 'Daily 쨈 raw'!$A:$A, 0), MATCH($A26, 'Daily 쨈 raw'!$1:$1, 0)), ""), IF(val=0, "", val))</f>
        <v>497200</v>
      </c>
      <c r="BV26" s="54">
        <f t="array" ref="BV26">LET(val, IFERROR(INDEX('Daily 쨈 raw'!$A:$ZZ, MATCH(BV$3, 'Daily 쨈 raw'!$A:$A, 0), MATCH($A26, 'Daily 쨈 raw'!$1:$1, 0)), ""), IF(val=0, "", val))</f>
        <v>451000</v>
      </c>
      <c r="BW26" s="54">
        <f t="array" ref="BW26">LET(val, IFERROR(INDEX('Daily 쨈 raw'!$A:$ZZ, MATCH(BW$3, 'Daily 쨈 raw'!$A:$A, 0), MATCH($A26, 'Daily 쨈 raw'!$1:$1, 0)), ""), IF(val=0, "", val))</f>
        <v>496900</v>
      </c>
      <c r="BX26" s="54">
        <f t="array" ref="BX26">LET(val, IFERROR(INDEX('Daily 쨈 raw'!$A:$ZZ, MATCH(BX$3, 'Daily 쨈 raw'!$A:$A, 0), MATCH($A26, 'Daily 쨈 raw'!$1:$1, 0)), ""), IF(val=0, "", val))</f>
        <v>700800</v>
      </c>
      <c r="BY26" s="54">
        <f t="array" ref="BY26">LET(val, IFERROR(INDEX('Daily 쨈 raw'!$A:$ZZ, MATCH(BY$3, 'Daily 쨈 raw'!$A:$A, 0), MATCH($A26, 'Daily 쨈 raw'!$1:$1, 0)), ""), IF(val=0, "", val))</f>
        <v>653200</v>
      </c>
      <c r="BZ26" s="54">
        <f t="array" ref="BZ26">LET(val, IFERROR(INDEX('Daily 쨈 raw'!$A:$ZZ, MATCH(BZ$3, 'Daily 쨈 raw'!$A:$A, 0), MATCH($A26, 'Daily 쨈 raw'!$1:$1, 0)), ""), IF(val=0, "", val))</f>
        <v>375800</v>
      </c>
      <c r="CA26" s="54">
        <f t="array" ref="CA26">LET(val, IFERROR(INDEX('Daily 쨈 raw'!$A:$ZZ, MATCH(CA$3, 'Daily 쨈 raw'!$A:$A, 0), MATCH($A26, 'Daily 쨈 raw'!$1:$1, 0)), ""), IF(val=0, "", val))</f>
        <v>579600</v>
      </c>
      <c r="CB26" s="54">
        <f t="array" ref="CB26">LET(val, IFERROR(INDEX('Daily 쨈 raw'!$A:$ZZ, MATCH(CB$3, 'Daily 쨈 raw'!$A:$A, 0), MATCH($A26, 'Daily 쨈 raw'!$1:$1, 0)), ""), IF(val=0, "", val))</f>
        <v>471000</v>
      </c>
      <c r="CC26" s="54">
        <f t="array" ref="CC26">LET(val, IFERROR(INDEX('Daily 쨈 raw'!$A:$ZZ, MATCH(CC$3, 'Daily 쨈 raw'!$A:$A, 0), MATCH($A26, 'Daily 쨈 raw'!$1:$1, 0)), ""), IF(val=0, "", val))</f>
        <v>703700</v>
      </c>
      <c r="CD26" s="54">
        <f t="array" ref="CD26">LET(val, IFERROR(INDEX('Daily 쨈 raw'!$A:$ZZ, MATCH(CD$3, 'Daily 쨈 raw'!$A:$A, 0), MATCH($A26, 'Daily 쨈 raw'!$1:$1, 0)), ""), IF(val=0, "", val))</f>
        <v>926400</v>
      </c>
      <c r="CE26" s="54">
        <f t="array" ref="CE26">LET(val, IFERROR(INDEX('Daily 쨈 raw'!$A:$ZZ, MATCH(CE$3, 'Daily 쨈 raw'!$A:$A, 0), MATCH($A26, 'Daily 쨈 raw'!$1:$1, 0)), ""), IF(val=0, "", val))</f>
        <v>725600</v>
      </c>
      <c r="CF26" s="54">
        <f t="array" ref="CF26">LET(val, IFERROR(INDEX('Daily 쨈 raw'!$A:$ZZ, MATCH(CF$3, 'Daily 쨈 raw'!$A:$A, 0), MATCH($A26, 'Daily 쨈 raw'!$1:$1, 0)), ""), IF(val=0, "", val))</f>
        <v>783000</v>
      </c>
      <c r="CG26" s="54">
        <f t="array" ref="CG26">LET(val, IFERROR(INDEX('Daily 쨈 raw'!$A:$ZZ, MATCH(CG$3, 'Daily 쨈 raw'!$A:$A, 0), MATCH($A26, 'Daily 쨈 raw'!$1:$1, 0)), ""), IF(val=0, "", val))</f>
        <v>1189500</v>
      </c>
      <c r="CH26" s="54">
        <f t="array" ref="CH26">LET(val, IFERROR(INDEX('Daily 쨈 raw'!$A:$ZZ, MATCH(CH$3, 'Daily 쨈 raw'!$A:$A, 0), MATCH($A26, 'Daily 쨈 raw'!$1:$1, 0)), ""), IF(val=0, "", val))</f>
        <v>1124400</v>
      </c>
      <c r="CI26" s="54">
        <f t="array" ref="CI26">LET(val, IFERROR(INDEX('Daily 쨈 raw'!$A:$ZZ, MATCH(CI$3, 'Daily 쨈 raw'!$A:$A, 0), MATCH($A26, 'Daily 쨈 raw'!$1:$1, 0)), ""), IF(val=0, "", val))</f>
        <v>1378000</v>
      </c>
      <c r="CJ26" s="54">
        <f t="array" ref="CJ26">LET(val, IFERROR(INDEX('Daily 쨈 raw'!$A:$ZZ, MATCH(CJ$3, 'Daily 쨈 raw'!$A:$A, 0), MATCH($A26, 'Daily 쨈 raw'!$1:$1, 0)), ""), IF(val=0, "", val))</f>
        <v>1184400</v>
      </c>
      <c r="CK26" s="54">
        <f t="array" ref="CK26">LET(val, IFERROR(INDEX('Daily 쨈 raw'!$A:$ZZ, MATCH(CK$3, 'Daily 쨈 raw'!$A:$A, 0), MATCH($A26, 'Daily 쨈 raw'!$1:$1, 0)), ""), IF(val=0, "", val))</f>
        <v>1628000</v>
      </c>
      <c r="CL26" s="54">
        <f t="array" ref="CL26">LET(val, IFERROR(INDEX('Daily 쨈 raw'!$A:$ZZ, MATCH(CL$3, 'Daily 쨈 raw'!$A:$A, 0), MATCH($A26, 'Daily 쨈 raw'!$1:$1, 0)), ""), IF(val=0, "", val))</f>
        <v>902600</v>
      </c>
      <c r="CM26" s="54">
        <f t="array" ref="CM26">LET(val, IFERROR(INDEX('Daily 쨈 raw'!$A:$ZZ, MATCH(CM$3, 'Daily 쨈 raw'!$A:$A, 0), MATCH($A26, 'Daily 쨈 raw'!$1:$1, 0)), ""), IF(val=0, "", val))</f>
        <v>983000</v>
      </c>
      <c r="CN26" s="54">
        <f t="array" ref="CN26">LET(val, IFERROR(INDEX('Daily 쨈 raw'!$A:$ZZ, MATCH(CN$3, 'Daily 쨈 raw'!$A:$A, 0), MATCH($A26, 'Daily 쨈 raw'!$1:$1, 0)), ""), IF(val=0, "", val))</f>
        <v>1064600</v>
      </c>
      <c r="CO26" s="54">
        <f t="array" ref="CO26">LET(val, IFERROR(INDEX('Daily 쨈 raw'!$A:$ZZ, MATCH(CO$3, 'Daily 쨈 raw'!$A:$A, 0), MATCH($A26, 'Daily 쨈 raw'!$1:$1, 0)), ""), IF(val=0, "", val))</f>
        <v>1512400</v>
      </c>
      <c r="CP26" s="54">
        <f t="array" ref="CP26">LET(val, IFERROR(INDEX('Daily 쨈 raw'!$A:$ZZ, MATCH(CP$3, 'Daily 쨈 raw'!$A:$A, 0), MATCH($A26, 'Daily 쨈 raw'!$1:$1, 0)), ""), IF(val=0, "", val))</f>
        <v>312200</v>
      </c>
      <c r="CQ26" s="54" t="str">
        <f t="array" ref="CQ26">LET(val, IFERROR(INDEX('Daily 쨈 raw'!$A:$ZZ, MATCH(CQ$3, 'Daily 쨈 raw'!$A:$A, 0), MATCH($A26, 'Daily 쨈 raw'!$1:$1, 0)), ""), IF(val=0, "", val))</f>
        <v/>
      </c>
      <c r="CR26" s="54" t="str">
        <f t="array" ref="CR26">LET(val, IFERROR(INDEX('Daily 쨈 raw'!$A:$ZZ, MATCH(CR$3, 'Daily 쨈 raw'!$A:$A, 0), MATCH($A26, 'Daily 쨈 raw'!$1:$1, 0)), ""), IF(val=0, "", val))</f>
        <v/>
      </c>
      <c r="CS26" s="54" t="str">
        <f t="array" ref="CS26">LET(val, IFERROR(INDEX('Daily 쨈 raw'!$A:$ZZ, MATCH(CS$3, 'Daily 쨈 raw'!$A:$A, 0), MATCH($A26, 'Daily 쨈 raw'!$1:$1, 0)), ""), IF(val=0, "", val))</f>
        <v/>
      </c>
      <c r="CT26" s="54" t="str">
        <f t="array" ref="CT26">LET(val, IFERROR(INDEX('Daily 쨈 raw'!$A:$ZZ, MATCH(CT$3, 'Daily 쨈 raw'!$A:$A, 0), MATCH($A26, 'Daily 쨈 raw'!$1:$1, 0)), ""), IF(val=0, "", val))</f>
        <v/>
      </c>
      <c r="CU26" s="54" t="str">
        <f t="array" ref="CU26">LET(val, IFERROR(INDEX('Daily 쨈 raw'!$A:$ZZ, MATCH(CU$3, 'Daily 쨈 raw'!$A:$A, 0), MATCH($A26, 'Daily 쨈 raw'!$1:$1, 0)), ""), IF(val=0, "", val))</f>
        <v/>
      </c>
      <c r="CV26" s="54" t="str">
        <f t="array" ref="CV26">LET(val, IFERROR(INDEX('Daily 쨈 raw'!$A:$ZZ, MATCH(CV$3, 'Daily 쨈 raw'!$A:$A, 0), MATCH($A26, 'Daily 쨈 raw'!$1:$1, 0)), ""), IF(val=0, "", val))</f>
        <v/>
      </c>
      <c r="CW26" s="54" t="str">
        <f t="array" ref="CW26">LET(val, IFERROR(INDEX('Daily 쨈 raw'!$A:$ZZ, MATCH(CW$3, 'Daily 쨈 raw'!$A:$A, 0), MATCH($A26, 'Daily 쨈 raw'!$1:$1, 0)), ""), IF(val=0, "", val))</f>
        <v/>
      </c>
      <c r="CX26" s="54" t="str">
        <f t="array" ref="CX26">LET(val, IFERROR(INDEX('Daily 쨈 raw'!$A:$ZZ, MATCH(CX$3, 'Daily 쨈 raw'!$A:$A, 0), MATCH($A26, 'Daily 쨈 raw'!$1:$1, 0)), ""), IF(val=0, "", val))</f>
        <v/>
      </c>
      <c r="CY26" s="54" t="str">
        <f t="array" ref="CY26">LET(val, IFERROR(INDEX('Daily 쨈 raw'!$A:$ZZ, MATCH(CY$3, 'Daily 쨈 raw'!$A:$A, 0), MATCH($A26, 'Daily 쨈 raw'!$1:$1, 0)), ""), IF(val=0, "", val))</f>
        <v/>
      </c>
      <c r="CZ26" s="54" t="str">
        <f t="array" ref="CZ26">LET(val, IFERROR(INDEX('Daily 쨈 raw'!$A:$ZZ, MATCH(CZ$3, 'Daily 쨈 raw'!$A:$A, 0), MATCH($A26, 'Daily 쨈 raw'!$1:$1, 0)), ""), IF(val=0, "", val))</f>
        <v/>
      </c>
      <c r="DA26" s="54" t="str">
        <f t="array" ref="DA26">LET(val, IFERROR(INDEX('Daily 쨈 raw'!$A:$ZZ, MATCH(DA$3, 'Daily 쨈 raw'!$A:$A, 0), MATCH($A26, 'Daily 쨈 raw'!$1:$1, 0)), ""), IF(val=0, "", val))</f>
        <v/>
      </c>
      <c r="DB26" s="54" t="str">
        <f t="array" ref="DB26">LET(val, IFERROR(INDEX('Daily 쨈 raw'!$A:$ZZ, MATCH(DB$3, 'Daily 쨈 raw'!$A:$A, 0), MATCH($A26, 'Daily 쨈 raw'!$1:$1, 0)), ""), IF(val=0, "", val))</f>
        <v/>
      </c>
      <c r="DC26" s="54" t="str">
        <f t="array" ref="DC26">LET(val, IFERROR(INDEX('Daily 쨈 raw'!$A:$ZZ, MATCH(DC$3, 'Daily 쨈 raw'!$A:$A, 0), MATCH($A26, 'Daily 쨈 raw'!$1:$1, 0)), ""), IF(val=0, "", val))</f>
        <v/>
      </c>
      <c r="DD26" s="54" t="str">
        <f t="array" ref="DD26">LET(val, IFERROR(INDEX('Daily 쨈 raw'!$A:$ZZ, MATCH(DD$3, 'Daily 쨈 raw'!$A:$A, 0), MATCH($A26, 'Daily 쨈 raw'!$1:$1, 0)), ""), IF(val=0, "", val))</f>
        <v/>
      </c>
      <c r="DE26" s="54" t="str">
        <f t="array" ref="DE26">LET(val, IFERROR(INDEX('Daily 쨈 raw'!$A:$ZZ, MATCH(DE$3, 'Daily 쨈 raw'!$A:$A, 0), MATCH($A26, 'Daily 쨈 raw'!$1:$1, 0)), ""), IF(val=0, "", val))</f>
        <v/>
      </c>
      <c r="DF26" s="54" t="str">
        <f t="array" ref="DF26">LET(val, IFERROR(INDEX('Daily 쨈 raw'!$A:$ZZ, MATCH(DF$3, 'Daily 쨈 raw'!$A:$A, 0), MATCH($A26, 'Daily 쨈 raw'!$1:$1, 0)), ""), IF(val=0, "", val))</f>
        <v/>
      </c>
      <c r="DG26" s="54" t="str">
        <f t="array" ref="DG26">LET(val, IFERROR(INDEX('Daily 쨈 raw'!$A:$ZZ, MATCH(DG$3, 'Daily 쨈 raw'!$A:$A, 0), MATCH($A26, 'Daily 쨈 raw'!$1:$1, 0)), ""), IF(val=0, "", val))</f>
        <v/>
      </c>
      <c r="DH26" s="54" t="str">
        <f t="array" ref="DH26">LET(val, IFERROR(INDEX('Daily 쨈 raw'!$A:$ZZ, MATCH(DH$3, 'Daily 쨈 raw'!$A:$A, 0), MATCH($A26, 'Daily 쨈 raw'!$1:$1, 0)), ""), IF(val=0, "", val))</f>
        <v/>
      </c>
      <c r="DI26" s="54" t="str">
        <f t="array" ref="DI26">LET(val, IFERROR(INDEX('Daily 쨈 raw'!$A:$ZZ, MATCH(DI$3, 'Daily 쨈 raw'!$A:$A, 0), MATCH($A26, 'Daily 쨈 raw'!$1:$1, 0)), ""), IF(val=0, "", val))</f>
        <v/>
      </c>
      <c r="DJ26" s="54" t="str">
        <f t="array" ref="DJ26">LET(val, IFERROR(INDEX('Daily 쨈 raw'!$A:$ZZ, MATCH(DJ$3, 'Daily 쨈 raw'!$A:$A, 0), MATCH($A26, 'Daily 쨈 raw'!$1:$1, 0)), ""), IF(val=0, "", val))</f>
        <v/>
      </c>
      <c r="DK26" s="54" t="str">
        <f t="array" ref="DK26">LET(val, IFERROR(INDEX('Daily 쨈 raw'!$A:$ZZ, MATCH(DK$3, 'Daily 쨈 raw'!$A:$A, 0), MATCH($A26, 'Daily 쨈 raw'!$1:$1, 0)), ""), IF(val=0, "", val))</f>
        <v/>
      </c>
      <c r="DL26" s="54" t="str">
        <f t="array" ref="DL26">LET(val, IFERROR(INDEX('Daily 쨈 raw'!$A:$ZZ, MATCH(DL$3, 'Daily 쨈 raw'!$A:$A, 0), MATCH($A26, 'Daily 쨈 raw'!$1:$1, 0)), ""), IF(val=0, "", val))</f>
        <v/>
      </c>
      <c r="DM26" s="54" t="str">
        <f t="array" ref="DM26">LET(val, IFERROR(INDEX('Daily 쨈 raw'!$A:$ZZ, MATCH(DM$3, 'Daily 쨈 raw'!$A:$A, 0), MATCH($A26, 'Daily 쨈 raw'!$1:$1, 0)), ""), IF(val=0, "", val))</f>
        <v/>
      </c>
      <c r="DN26" s="54" t="str">
        <f t="array" ref="DN26">LET(val, IFERROR(INDEX('Daily 쨈 raw'!$A:$ZZ, MATCH(DN$3, 'Daily 쨈 raw'!$A:$A, 0), MATCH($A26, 'Daily 쨈 raw'!$1:$1, 0)), ""), IF(val=0, "", val))</f>
        <v/>
      </c>
      <c r="DO26" s="54" t="str">
        <f t="array" ref="DO26">LET(val, IFERROR(INDEX('Daily 쨈 raw'!$A:$ZZ, MATCH(DO$3, 'Daily 쨈 raw'!$A:$A, 0), MATCH($A26, 'Daily 쨈 raw'!$1:$1, 0)), ""), IF(val=0, "", val))</f>
        <v/>
      </c>
      <c r="DP26" s="54" t="str">
        <f t="array" ref="DP26">LET(val, IFERROR(INDEX('Daily 쨈 raw'!$A:$ZZ, MATCH(DP$3, 'Daily 쨈 raw'!$A:$A, 0), MATCH($A26, 'Daily 쨈 raw'!$1:$1, 0)), ""), IF(val=0, "", val))</f>
        <v/>
      </c>
      <c r="DQ26" s="54" t="str">
        <f t="array" ref="DQ26">LET(val, IFERROR(INDEX('Daily 쨈 raw'!$A:$ZZ, MATCH(DQ$3, 'Daily 쨈 raw'!$A:$A, 0), MATCH($A26, 'Daily 쨈 raw'!$1:$1, 0)), ""), IF(val=0, "", val))</f>
        <v/>
      </c>
      <c r="DR26" s="54" t="str">
        <f t="array" ref="DR26">LET(val, IFERROR(INDEX('Daily 쨈 raw'!$A:$ZZ, MATCH(DR$3, 'Daily 쨈 raw'!$A:$A, 0), MATCH($A26, 'Daily 쨈 raw'!$1:$1, 0)), ""), IF(val=0, "", val))</f>
        <v/>
      </c>
      <c r="DS26" s="54" t="str">
        <f t="array" ref="DS26">LET(val, IFERROR(INDEX('Daily 쨈 raw'!$A:$ZZ, MATCH(DS$3, 'Daily 쨈 raw'!$A:$A, 0), MATCH($A26, 'Daily 쨈 raw'!$1:$1, 0)), ""), IF(val=0, "", val))</f>
        <v/>
      </c>
      <c r="DT26" s="54" t="str">
        <f t="array" ref="DT26">LET(val, IFERROR(INDEX('Daily 쨈 raw'!$A:$ZZ, MATCH(DT$3, 'Daily 쨈 raw'!$A:$A, 0), MATCH($A26, 'Daily 쨈 raw'!$1:$1, 0)), ""), IF(val=0, "", val))</f>
        <v/>
      </c>
      <c r="DU26" s="54" t="str">
        <f t="array" ref="DU26">LET(val, IFERROR(INDEX('Daily 쨈 raw'!$A:$ZZ, MATCH(DU$3, 'Daily 쨈 raw'!$A:$A, 0), MATCH($A26, 'Daily 쨈 raw'!$1:$1, 0)), ""), IF(val=0, "", val))</f>
        <v/>
      </c>
      <c r="DV26" s="54" t="str">
        <f t="array" ref="DV26">LET(val, IFERROR(INDEX('Daily 쨈 raw'!$A:$ZZ, MATCH(DV$3, 'Daily 쨈 raw'!$A:$A, 0), MATCH($A26, 'Daily 쨈 raw'!$1:$1, 0)), ""), IF(val=0, "", val))</f>
        <v/>
      </c>
      <c r="DW26" s="54" t="str">
        <f t="array" ref="DW26">LET(val, IFERROR(INDEX('Daily 쨈 raw'!$A:$ZZ, MATCH(DW$3, 'Daily 쨈 raw'!$A:$A, 0), MATCH($A26, 'Daily 쨈 raw'!$1:$1, 0)), ""), IF(val=0, "", val))</f>
        <v/>
      </c>
      <c r="DX26" s="54" t="str">
        <f t="array" ref="DX26">LET(val, IFERROR(INDEX('Daily 쨈 raw'!$A:$ZZ, MATCH(DX$3, 'Daily 쨈 raw'!$A:$A, 0), MATCH($A26, 'Daily 쨈 raw'!$1:$1, 0)), ""), IF(val=0, "", val))</f>
        <v/>
      </c>
      <c r="DY26" s="54" t="str">
        <f t="array" ref="DY26">LET(val, IFERROR(INDEX('Daily 쨈 raw'!$A:$ZZ, MATCH(DY$3, 'Daily 쨈 raw'!$A:$A, 0), MATCH($A26, 'Daily 쨈 raw'!$1:$1, 0)), ""), IF(val=0, "", val))</f>
        <v/>
      </c>
      <c r="DZ26" s="54" t="str">
        <f t="array" ref="DZ26">LET(val, IFERROR(INDEX('Daily 쨈 raw'!$A:$ZZ, MATCH(DZ$3, 'Daily 쨈 raw'!$A:$A, 0), MATCH($A26, 'Daily 쨈 raw'!$1:$1, 0)), ""), IF(val=0, "", val))</f>
        <v/>
      </c>
    </row>
    <row r="27" ht="22.5" customHeight="1">
      <c r="A27" s="16"/>
      <c r="B27" s="30" t="s">
        <v>36</v>
      </c>
      <c r="C27" s="44" t="str">
        <f t="array" ref="C27">LET(val, IFERROR(INDEX('Daily 쨈 raw'!$A:$ZZ, MATCH(C$3, 'Daily 쨈 raw'!$A:$A, 0), MATCH($A27, 'Daily 쨈 raw'!$1:$1, 0)), ""), IF(val=0, "", val))</f>
        <v/>
      </c>
      <c r="D27" s="44" t="str">
        <f t="array" ref="D27">LET(val, IFERROR(INDEX('Daily 쨈 raw'!$A:$ZZ, MATCH(D$3, 'Daily 쨈 raw'!$A:$A, 0), MATCH($A27, 'Daily 쨈 raw'!$1:$1, 0)), ""), IF(val=0, "", val))</f>
        <v/>
      </c>
      <c r="E27" s="44" t="str">
        <f t="array" ref="E27">LET(val, IFERROR(INDEX('Daily 쨈 raw'!$A:$ZZ, MATCH(E$3, 'Daily 쨈 raw'!$A:$A, 0), MATCH($A27, 'Daily 쨈 raw'!$1:$1, 0)), ""), IF(val=0, "", val))</f>
        <v/>
      </c>
      <c r="F27" s="44" t="str">
        <f t="array" ref="F27">LET(val, IFERROR(INDEX('Daily 쨈 raw'!$A:$ZZ, MATCH(F$3, 'Daily 쨈 raw'!$A:$A, 0), MATCH($A27, 'Daily 쨈 raw'!$1:$1, 0)), ""), IF(val=0, "", val))</f>
        <v/>
      </c>
      <c r="G27" s="44" t="str">
        <f t="array" ref="G27">LET(val, IFERROR(INDEX('Daily 쨈 raw'!$A:$ZZ, MATCH(G$3, 'Daily 쨈 raw'!$A:$A, 0), MATCH($A27, 'Daily 쨈 raw'!$1:$1, 0)), ""), IF(val=0, "", val))</f>
        <v/>
      </c>
      <c r="H27" s="44" t="str">
        <f t="array" ref="H27">LET(val, IFERROR(INDEX('Daily 쨈 raw'!$A:$ZZ, MATCH(H$3, 'Daily 쨈 raw'!$A:$A, 0), MATCH($A27, 'Daily 쨈 raw'!$1:$1, 0)), ""), IF(val=0, "", val))</f>
        <v/>
      </c>
      <c r="I27" s="44" t="str">
        <f t="array" ref="I27">LET(val, IFERROR(INDEX('Daily 쨈 raw'!$A:$ZZ, MATCH(I$3, 'Daily 쨈 raw'!$A:$A, 0), MATCH($A27, 'Daily 쨈 raw'!$1:$1, 0)), ""), IF(val=0, "", val))</f>
        <v/>
      </c>
      <c r="J27" s="44" t="str">
        <f t="array" ref="J27">LET(val, IFERROR(INDEX('Daily 쨈 raw'!$A:$ZZ, MATCH(J$3, 'Daily 쨈 raw'!$A:$A, 0), MATCH($A27, 'Daily 쨈 raw'!$1:$1, 0)), ""), IF(val=0, "", val))</f>
        <v/>
      </c>
      <c r="K27" s="44" t="str">
        <f t="array" ref="K27">LET(val, IFERROR(INDEX('Daily 쨈 raw'!$A:$ZZ, MATCH(K$3, 'Daily 쨈 raw'!$A:$A, 0), MATCH($A27, 'Daily 쨈 raw'!$1:$1, 0)), ""), IF(val=0, "", val))</f>
        <v/>
      </c>
      <c r="L27" s="44" t="str">
        <f t="array" ref="L27">LET(val, IFERROR(INDEX('Daily 쨈 raw'!$A:$ZZ, MATCH(L$3, 'Daily 쨈 raw'!$A:$A, 0), MATCH($A27, 'Daily 쨈 raw'!$1:$1, 0)), ""), IF(val=0, "", val))</f>
        <v/>
      </c>
      <c r="M27" s="44" t="str">
        <f t="array" ref="M27">LET(val, IFERROR(INDEX('Daily 쨈 raw'!$A:$ZZ, MATCH(M$3, 'Daily 쨈 raw'!$A:$A, 0), MATCH($A27, 'Daily 쨈 raw'!$1:$1, 0)), ""), IF(val=0, "", val))</f>
        <v/>
      </c>
      <c r="N27" s="44" t="str">
        <f t="array" ref="N27">LET(val, IFERROR(INDEX('Daily 쨈 raw'!$A:$ZZ, MATCH(N$3, 'Daily 쨈 raw'!$A:$A, 0), MATCH($A27, 'Daily 쨈 raw'!$1:$1, 0)), ""), IF(val=0, "", val))</f>
        <v/>
      </c>
      <c r="O27" s="44" t="str">
        <f t="array" ref="O27">LET(val, IFERROR(INDEX('Daily 쨈 raw'!$A:$ZZ, MATCH(O$3, 'Daily 쨈 raw'!$A:$A, 0), MATCH($A27, 'Daily 쨈 raw'!$1:$1, 0)), ""), IF(val=0, "", val))</f>
        <v/>
      </c>
      <c r="P27" s="44" t="str">
        <f t="array" ref="P27">LET(val, IFERROR(INDEX('Daily 쨈 raw'!$A:$ZZ, MATCH(P$3, 'Daily 쨈 raw'!$A:$A, 0), MATCH($A27, 'Daily 쨈 raw'!$1:$1, 0)), ""), IF(val=0, "", val))</f>
        <v/>
      </c>
      <c r="Q27" s="44" t="str">
        <f t="array" ref="Q27">LET(val, IFERROR(INDEX('Daily 쨈 raw'!$A:$ZZ, MATCH(Q$3, 'Daily 쨈 raw'!$A:$A, 0), MATCH($A27, 'Daily 쨈 raw'!$1:$1, 0)), ""), IF(val=0, "", val))</f>
        <v/>
      </c>
      <c r="R27" s="44" t="str">
        <f t="array" ref="R27">LET(val, IFERROR(INDEX('Daily 쨈 raw'!$A:$ZZ, MATCH(R$3, 'Daily 쨈 raw'!$A:$A, 0), MATCH($A27, 'Daily 쨈 raw'!$1:$1, 0)), ""), IF(val=0, "", val))</f>
        <v/>
      </c>
      <c r="S27" s="44" t="str">
        <f t="array" ref="S27">LET(val, IFERROR(INDEX('Daily 쨈 raw'!$A:$ZZ, MATCH(S$3, 'Daily 쨈 raw'!$A:$A, 0), MATCH($A27, 'Daily 쨈 raw'!$1:$1, 0)), ""), IF(val=0, "", val))</f>
        <v/>
      </c>
      <c r="T27" s="44" t="str">
        <f t="array" ref="T27">LET(val, IFERROR(INDEX('Daily 쨈 raw'!$A:$ZZ, MATCH(T$3, 'Daily 쨈 raw'!$A:$A, 0), MATCH($A27, 'Daily 쨈 raw'!$1:$1, 0)), ""), IF(val=0, "", val))</f>
        <v/>
      </c>
      <c r="U27" s="44" t="str">
        <f t="array" ref="U27">LET(val, IFERROR(INDEX('Daily 쨈 raw'!$A:$ZZ, MATCH(U$3, 'Daily 쨈 raw'!$A:$A, 0), MATCH($A27, 'Daily 쨈 raw'!$1:$1, 0)), ""), IF(val=0, "", val))</f>
        <v/>
      </c>
      <c r="V27" s="44" t="str">
        <f t="array" ref="V27">LET(val, IFERROR(INDEX('Daily 쨈 raw'!$A:$ZZ, MATCH(V$3, 'Daily 쨈 raw'!$A:$A, 0), MATCH($A27, 'Daily 쨈 raw'!$1:$1, 0)), ""), IF(val=0, "", val))</f>
        <v/>
      </c>
      <c r="W27" s="44" t="str">
        <f t="array" ref="W27">LET(val, IFERROR(INDEX('Daily 쨈 raw'!$A:$ZZ, MATCH(W$3, 'Daily 쨈 raw'!$A:$A, 0), MATCH($A27, 'Daily 쨈 raw'!$1:$1, 0)), ""), IF(val=0, "", val))</f>
        <v/>
      </c>
      <c r="X27" s="44" t="str">
        <f t="array" ref="X27">LET(val, IFERROR(INDEX('Daily 쨈 raw'!$A:$ZZ, MATCH(X$3, 'Daily 쨈 raw'!$A:$A, 0), MATCH($A27, 'Daily 쨈 raw'!$1:$1, 0)), ""), IF(val=0, "", val))</f>
        <v/>
      </c>
      <c r="Y27" s="44" t="str">
        <f t="array" ref="Y27">LET(val, IFERROR(INDEX('Daily 쨈 raw'!$A:$ZZ, MATCH(Y$3, 'Daily 쨈 raw'!$A:$A, 0), MATCH($A27, 'Daily 쨈 raw'!$1:$1, 0)), ""), IF(val=0, "", val))</f>
        <v/>
      </c>
      <c r="Z27" s="44" t="str">
        <f t="array" ref="Z27">LET(val, IFERROR(INDEX('Daily 쨈 raw'!$A:$ZZ, MATCH(Z$3, 'Daily 쨈 raw'!$A:$A, 0), MATCH($A27, 'Daily 쨈 raw'!$1:$1, 0)), ""), IF(val=0, "", val))</f>
        <v/>
      </c>
      <c r="AA27" s="44" t="str">
        <f t="array" ref="AA27">LET(val, IFERROR(INDEX('Daily 쨈 raw'!$A:$ZZ, MATCH(AA$3, 'Daily 쨈 raw'!$A:$A, 0), MATCH($A27, 'Daily 쨈 raw'!$1:$1, 0)), ""), IF(val=0, "", val))</f>
        <v/>
      </c>
      <c r="AB27" s="44" t="str">
        <f t="array" ref="AB27">LET(val, IFERROR(INDEX('Daily 쨈 raw'!$A:$ZZ, MATCH(AB$3, 'Daily 쨈 raw'!$A:$A, 0), MATCH($A27, 'Daily 쨈 raw'!$1:$1, 0)), ""), IF(val=0, "", val))</f>
        <v/>
      </c>
      <c r="AC27" s="44" t="str">
        <f t="array" ref="AC27">LET(val, IFERROR(INDEX('Daily 쨈 raw'!$A:$ZZ, MATCH(AC$3, 'Daily 쨈 raw'!$A:$A, 0), MATCH($A27, 'Daily 쨈 raw'!$1:$1, 0)), ""), IF(val=0, "", val))</f>
        <v/>
      </c>
      <c r="AD27" s="44" t="str">
        <f t="array" ref="AD27">LET(val, IFERROR(INDEX('Daily 쨈 raw'!$A:$ZZ, MATCH(AD$3, 'Daily 쨈 raw'!$A:$A, 0), MATCH($A27, 'Daily 쨈 raw'!$1:$1, 0)), ""), IF(val=0, "", val))</f>
        <v/>
      </c>
      <c r="AE27" s="44" t="str">
        <f t="array" ref="AE27">LET(val, IFERROR(INDEX('Daily 쨈 raw'!$A:$ZZ, MATCH(AE$3, 'Daily 쨈 raw'!$A:$A, 0), MATCH($A27, 'Daily 쨈 raw'!$1:$1, 0)), ""), IF(val=0, "", val))</f>
        <v/>
      </c>
      <c r="AF27" s="44" t="str">
        <f t="array" ref="AF27">LET(val, IFERROR(INDEX('Daily 쨈 raw'!$A:$ZZ, MATCH(AF$3, 'Daily 쨈 raw'!$A:$A, 0), MATCH($A27, 'Daily 쨈 raw'!$1:$1, 0)), ""), IF(val=0, "", val))</f>
        <v/>
      </c>
      <c r="AG27" s="44" t="str">
        <f t="array" ref="AG27">LET(val, IFERROR(INDEX('Daily 쨈 raw'!$A:$ZZ, MATCH(AG$3, 'Daily 쨈 raw'!$A:$A, 0), MATCH($A27, 'Daily 쨈 raw'!$1:$1, 0)), ""), IF(val=0, "", val))</f>
        <v/>
      </c>
      <c r="AH27" s="44" t="str">
        <f t="array" ref="AH27">LET(val, IFERROR(INDEX('Daily 쨈 raw'!$A:$ZZ, MATCH(AH$3, 'Daily 쨈 raw'!$A:$A, 0), MATCH($A27, 'Daily 쨈 raw'!$1:$1, 0)), ""), IF(val=0, "", val))</f>
        <v/>
      </c>
      <c r="AI27" s="44" t="str">
        <f t="array" ref="AI27">LET(val, IFERROR(INDEX('Daily 쨈 raw'!$A:$ZZ, MATCH(AI$3, 'Daily 쨈 raw'!$A:$A, 0), MATCH($A27, 'Daily 쨈 raw'!$1:$1, 0)), ""), IF(val=0, "", val))</f>
        <v/>
      </c>
      <c r="AJ27" s="44" t="str">
        <f t="array" ref="AJ27">LET(val, IFERROR(INDEX('Daily 쨈 raw'!$A:$ZZ, MATCH(AJ$3, 'Daily 쨈 raw'!$A:$A, 0), MATCH($A27, 'Daily 쨈 raw'!$1:$1, 0)), ""), IF(val=0, "", val))</f>
        <v/>
      </c>
      <c r="AK27" s="44" t="str">
        <f t="array" ref="AK27">LET(val, IFERROR(INDEX('Daily 쨈 raw'!$A:$ZZ, MATCH(AK$3, 'Daily 쨈 raw'!$A:$A, 0), MATCH($A27, 'Daily 쨈 raw'!$1:$1, 0)), ""), IF(val=0, "", val))</f>
        <v/>
      </c>
      <c r="AL27" s="44" t="str">
        <f t="array" ref="AL27">LET(val, IFERROR(INDEX('Daily 쨈 raw'!$A:$ZZ, MATCH(AL$3, 'Daily 쨈 raw'!$A:$A, 0), MATCH($A27, 'Daily 쨈 raw'!$1:$1, 0)), ""), IF(val=0, "", val))</f>
        <v/>
      </c>
      <c r="AM27" s="44" t="str">
        <f t="array" ref="AM27">LET(val, IFERROR(INDEX('Daily 쨈 raw'!$A:$ZZ, MATCH(AM$3, 'Daily 쨈 raw'!$A:$A, 0), MATCH($A27, 'Daily 쨈 raw'!$1:$1, 0)), ""), IF(val=0, "", val))</f>
        <v/>
      </c>
      <c r="AN27" s="44" t="str">
        <f t="array" ref="AN27">LET(val, IFERROR(INDEX('Daily 쨈 raw'!$A:$ZZ, MATCH(AN$3, 'Daily 쨈 raw'!$A:$A, 0), MATCH($A27, 'Daily 쨈 raw'!$1:$1, 0)), ""), IF(val=0, "", val))</f>
        <v/>
      </c>
      <c r="AO27" s="44" t="str">
        <f t="array" ref="AO27">LET(val, IFERROR(INDEX('Daily 쨈 raw'!$A:$ZZ, MATCH(AO$3, 'Daily 쨈 raw'!$A:$A, 0), MATCH($A27, 'Daily 쨈 raw'!$1:$1, 0)), ""), IF(val=0, "", val))</f>
        <v/>
      </c>
      <c r="AP27" s="44" t="str">
        <f t="array" ref="AP27">LET(val, IFERROR(INDEX('Daily 쨈 raw'!$A:$ZZ, MATCH(AP$3, 'Daily 쨈 raw'!$A:$A, 0), MATCH($A27, 'Daily 쨈 raw'!$1:$1, 0)), ""), IF(val=0, "", val))</f>
        <v/>
      </c>
      <c r="AQ27" s="44" t="str">
        <f t="array" ref="AQ27">LET(val, IFERROR(INDEX('Daily 쨈 raw'!$A:$ZZ, MATCH(AQ$3, 'Daily 쨈 raw'!$A:$A, 0), MATCH($A27, 'Daily 쨈 raw'!$1:$1, 0)), ""), IF(val=0, "", val))</f>
        <v/>
      </c>
      <c r="AR27" s="44" t="str">
        <f t="array" ref="AR27">LET(val, IFERROR(INDEX('Daily 쨈 raw'!$A:$ZZ, MATCH(AR$3, 'Daily 쨈 raw'!$A:$A, 0), MATCH($A27, 'Daily 쨈 raw'!$1:$1, 0)), ""), IF(val=0, "", val))</f>
        <v/>
      </c>
      <c r="AS27" s="44" t="str">
        <f t="array" ref="AS27">LET(val, IFERROR(INDEX('Daily 쨈 raw'!$A:$ZZ, MATCH(AS$3, 'Daily 쨈 raw'!$A:$A, 0), MATCH($A27, 'Daily 쨈 raw'!$1:$1, 0)), ""), IF(val=0, "", val))</f>
        <v/>
      </c>
      <c r="AT27" s="44" t="str">
        <f t="array" ref="AT27">LET(val, IFERROR(INDEX('Daily 쨈 raw'!$A:$ZZ, MATCH(AT$3, 'Daily 쨈 raw'!$A:$A, 0), MATCH($A27, 'Daily 쨈 raw'!$1:$1, 0)), ""), IF(val=0, "", val))</f>
        <v/>
      </c>
      <c r="AU27" s="44" t="str">
        <f t="array" ref="AU27">LET(val, IFERROR(INDEX('Daily 쨈 raw'!$A:$ZZ, MATCH(AU$3, 'Daily 쨈 raw'!$A:$A, 0), MATCH($A27, 'Daily 쨈 raw'!$1:$1, 0)), ""), IF(val=0, "", val))</f>
        <v/>
      </c>
      <c r="AV27" s="44" t="str">
        <f t="array" ref="AV27">LET(val, IFERROR(INDEX('Daily 쨈 raw'!$A:$ZZ, MATCH(AV$3, 'Daily 쨈 raw'!$A:$A, 0), MATCH($A27, 'Daily 쨈 raw'!$1:$1, 0)), ""), IF(val=0, "", val))</f>
        <v/>
      </c>
      <c r="AW27" s="44" t="str">
        <f t="array" ref="AW27">LET(val, IFERROR(INDEX('Daily 쨈 raw'!$A:$ZZ, MATCH(AW$3, 'Daily 쨈 raw'!$A:$A, 0), MATCH($A27, 'Daily 쨈 raw'!$1:$1, 0)), ""), IF(val=0, "", val))</f>
        <v/>
      </c>
      <c r="AX27" s="44" t="str">
        <f t="array" ref="AX27">LET(val, IFERROR(INDEX('Daily 쨈 raw'!$A:$ZZ, MATCH(AX$3, 'Daily 쨈 raw'!$A:$A, 0), MATCH($A27, 'Daily 쨈 raw'!$1:$1, 0)), ""), IF(val=0, "", val))</f>
        <v/>
      </c>
      <c r="AY27" s="44" t="str">
        <f t="array" ref="AY27">LET(val, IFERROR(INDEX('Daily 쨈 raw'!$A:$ZZ, MATCH(AY$3, 'Daily 쨈 raw'!$A:$A, 0), MATCH($A27, 'Daily 쨈 raw'!$1:$1, 0)), ""), IF(val=0, "", val))</f>
        <v/>
      </c>
      <c r="AZ27" s="44" t="str">
        <f t="array" ref="AZ27">LET(val, IFERROR(INDEX('Daily 쨈 raw'!$A:$ZZ, MATCH(AZ$3, 'Daily 쨈 raw'!$A:$A, 0), MATCH($A27, 'Daily 쨈 raw'!$1:$1, 0)), ""), IF(val=0, "", val))</f>
        <v/>
      </c>
      <c r="BA27" s="44" t="str">
        <f t="array" ref="BA27">LET(val, IFERROR(INDEX('Daily 쨈 raw'!$A:$ZZ, MATCH(BA$3, 'Daily 쨈 raw'!$A:$A, 0), MATCH($A27, 'Daily 쨈 raw'!$1:$1, 0)), ""), IF(val=0, "", val))</f>
        <v/>
      </c>
      <c r="BB27" s="44" t="str">
        <f t="array" ref="BB27">LET(val, IFERROR(INDEX('Daily 쨈 raw'!$A:$ZZ, MATCH(BB$3, 'Daily 쨈 raw'!$A:$A, 0), MATCH($A27, 'Daily 쨈 raw'!$1:$1, 0)), ""), IF(val=0, "", val))</f>
        <v/>
      </c>
      <c r="BC27" s="44" t="str">
        <f t="array" ref="BC27">LET(val, IFERROR(INDEX('Daily 쨈 raw'!$A:$ZZ, MATCH(BC$3, 'Daily 쨈 raw'!$A:$A, 0), MATCH($A27, 'Daily 쨈 raw'!$1:$1, 0)), ""), IF(val=0, "", val))</f>
        <v/>
      </c>
      <c r="BD27" s="44" t="str">
        <f t="array" ref="BD27">LET(val, IFERROR(INDEX('Daily 쨈 raw'!$A:$ZZ, MATCH(BD$3, 'Daily 쨈 raw'!$A:$A, 0), MATCH($A27, 'Daily 쨈 raw'!$1:$1, 0)), ""), IF(val=0, "", val))</f>
        <v/>
      </c>
      <c r="BE27" s="44" t="str">
        <f t="array" ref="BE27">LET(val, IFERROR(INDEX('Daily 쨈 raw'!$A:$ZZ, MATCH(BE$3, 'Daily 쨈 raw'!$A:$A, 0), MATCH($A27, 'Daily 쨈 raw'!$1:$1, 0)), ""), IF(val=0, "", val))</f>
        <v/>
      </c>
      <c r="BF27" s="44" t="str">
        <f t="array" ref="BF27">LET(val, IFERROR(INDEX('Daily 쨈 raw'!$A:$ZZ, MATCH(BF$3, 'Daily 쨈 raw'!$A:$A, 0), MATCH($A27, 'Daily 쨈 raw'!$1:$1, 0)), ""), IF(val=0, "", val))</f>
        <v/>
      </c>
      <c r="BG27" s="44" t="str">
        <f t="array" ref="BG27">LET(val, IFERROR(INDEX('Daily 쨈 raw'!$A:$ZZ, MATCH(BG$3, 'Daily 쨈 raw'!$A:$A, 0), MATCH($A27, 'Daily 쨈 raw'!$1:$1, 0)), ""), IF(val=0, "", val))</f>
        <v/>
      </c>
      <c r="BH27" s="44" t="str">
        <f t="array" ref="BH27">LET(val, IFERROR(INDEX('Daily 쨈 raw'!$A:$ZZ, MATCH(BH$3, 'Daily 쨈 raw'!$A:$A, 0), MATCH($A27, 'Daily 쨈 raw'!$1:$1, 0)), ""), IF(val=0, "", val))</f>
        <v/>
      </c>
      <c r="BI27" s="44" t="str">
        <f t="array" ref="BI27">LET(val, IFERROR(INDEX('Daily 쨈 raw'!$A:$ZZ, MATCH(BI$3, 'Daily 쨈 raw'!$A:$A, 0), MATCH($A27, 'Daily 쨈 raw'!$1:$1, 0)), ""), IF(val=0, "", val))</f>
        <v/>
      </c>
      <c r="BJ27" s="44" t="str">
        <f t="array" ref="BJ27">LET(val, IFERROR(INDEX('Daily 쨈 raw'!$A:$ZZ, MATCH(BJ$3, 'Daily 쨈 raw'!$A:$A, 0), MATCH($A27, 'Daily 쨈 raw'!$1:$1, 0)), ""), IF(val=0, "", val))</f>
        <v/>
      </c>
      <c r="BK27" s="44" t="str">
        <f t="array" ref="BK27">LET(val, IFERROR(INDEX('Daily 쨈 raw'!$A:$ZZ, MATCH(BK$3, 'Daily 쨈 raw'!$A:$A, 0), MATCH($A27, 'Daily 쨈 raw'!$1:$1, 0)), ""), IF(val=0, "", val))</f>
        <v/>
      </c>
      <c r="BL27" s="44" t="str">
        <f t="array" ref="BL27">LET(val, IFERROR(INDEX('Daily 쨈 raw'!$A:$ZZ, MATCH(BL$3, 'Daily 쨈 raw'!$A:$A, 0), MATCH($A27, 'Daily 쨈 raw'!$1:$1, 0)), ""), IF(val=0, "", val))</f>
        <v/>
      </c>
      <c r="BM27" s="44" t="str">
        <f t="array" ref="BM27">LET(val, IFERROR(INDEX('Daily 쨈 raw'!$A:$ZZ, MATCH(BM$3, 'Daily 쨈 raw'!$A:$A, 0), MATCH($A27, 'Daily 쨈 raw'!$1:$1, 0)), ""), IF(val=0, "", val))</f>
        <v/>
      </c>
      <c r="BN27" s="44" t="str">
        <f t="array" ref="BN27">LET(val, IFERROR(INDEX('Daily 쨈 raw'!$A:$ZZ, MATCH(BN$3, 'Daily 쨈 raw'!$A:$A, 0), MATCH($A27, 'Daily 쨈 raw'!$1:$1, 0)), ""), IF(val=0, "", val))</f>
        <v/>
      </c>
      <c r="BO27" s="44" t="str">
        <f t="array" ref="BO27">LET(val, IFERROR(INDEX('Daily 쨈 raw'!$A:$ZZ, MATCH(BO$3, 'Daily 쨈 raw'!$A:$A, 0), MATCH($A27, 'Daily 쨈 raw'!$1:$1, 0)), ""), IF(val=0, "", val))</f>
        <v/>
      </c>
      <c r="BP27" s="44" t="str">
        <f t="array" ref="BP27">LET(val, IFERROR(INDEX('Daily 쨈 raw'!$A:$ZZ, MATCH(BP$3, 'Daily 쨈 raw'!$A:$A, 0), MATCH($A27, 'Daily 쨈 raw'!$1:$1, 0)), ""), IF(val=0, "", val))</f>
        <v/>
      </c>
      <c r="BQ27" s="44" t="str">
        <f t="array" ref="BQ27">LET(val, IFERROR(INDEX('Daily 쨈 raw'!$A:$ZZ, MATCH(BQ$3, 'Daily 쨈 raw'!$A:$A, 0), MATCH($A27, 'Daily 쨈 raw'!$1:$1, 0)), ""), IF(val=0, "", val))</f>
        <v/>
      </c>
      <c r="BR27" s="44" t="str">
        <f t="array" ref="BR27">LET(val, IFERROR(INDEX('Daily 쨈 raw'!$A:$ZZ, MATCH(BR$3, 'Daily 쨈 raw'!$A:$A, 0), MATCH($A27, 'Daily 쨈 raw'!$1:$1, 0)), ""), IF(val=0, "", val))</f>
        <v/>
      </c>
      <c r="BS27" s="44" t="str">
        <f t="array" ref="BS27">LET(val, IFERROR(INDEX('Daily 쨈 raw'!$A:$ZZ, MATCH(BS$3, 'Daily 쨈 raw'!$A:$A, 0), MATCH($A27, 'Daily 쨈 raw'!$1:$1, 0)), ""), IF(val=0, "", val))</f>
        <v/>
      </c>
      <c r="BT27" s="44" t="str">
        <f t="array" ref="BT27">LET(val, IFERROR(INDEX('Daily 쨈 raw'!$A:$ZZ, MATCH(BT$3, 'Daily 쨈 raw'!$A:$A, 0), MATCH($A27, 'Daily 쨈 raw'!$1:$1, 0)), ""), IF(val=0, "", val))</f>
        <v/>
      </c>
      <c r="BU27" s="44" t="str">
        <f t="array" ref="BU27">LET(val, IFERROR(INDEX('Daily 쨈 raw'!$A:$ZZ, MATCH(BU$3, 'Daily 쨈 raw'!$A:$A, 0), MATCH($A27, 'Daily 쨈 raw'!$1:$1, 0)), ""), IF(val=0, "", val))</f>
        <v/>
      </c>
      <c r="BV27" s="44" t="str">
        <f t="array" ref="BV27">LET(val, IFERROR(INDEX('Daily 쨈 raw'!$A:$ZZ, MATCH(BV$3, 'Daily 쨈 raw'!$A:$A, 0), MATCH($A27, 'Daily 쨈 raw'!$1:$1, 0)), ""), IF(val=0, "", val))</f>
        <v/>
      </c>
      <c r="BW27" s="44" t="str">
        <f t="array" ref="BW27">LET(val, IFERROR(INDEX('Daily 쨈 raw'!$A:$ZZ, MATCH(BW$3, 'Daily 쨈 raw'!$A:$A, 0), MATCH($A27, 'Daily 쨈 raw'!$1:$1, 0)), ""), IF(val=0, "", val))</f>
        <v/>
      </c>
      <c r="BX27" s="44" t="str">
        <f t="array" ref="BX27">LET(val, IFERROR(INDEX('Daily 쨈 raw'!$A:$ZZ, MATCH(BX$3, 'Daily 쨈 raw'!$A:$A, 0), MATCH($A27, 'Daily 쨈 raw'!$1:$1, 0)), ""), IF(val=0, "", val))</f>
        <v/>
      </c>
      <c r="BY27" s="44" t="str">
        <f t="array" ref="BY27">LET(val, IFERROR(INDEX('Daily 쨈 raw'!$A:$ZZ, MATCH(BY$3, 'Daily 쨈 raw'!$A:$A, 0), MATCH($A27, 'Daily 쨈 raw'!$1:$1, 0)), ""), IF(val=0, "", val))</f>
        <v/>
      </c>
      <c r="BZ27" s="44" t="str">
        <f t="array" ref="BZ27">LET(val, IFERROR(INDEX('Daily 쨈 raw'!$A:$ZZ, MATCH(BZ$3, 'Daily 쨈 raw'!$A:$A, 0), MATCH($A27, 'Daily 쨈 raw'!$1:$1, 0)), ""), IF(val=0, "", val))</f>
        <v/>
      </c>
      <c r="CA27" s="44" t="str">
        <f t="array" ref="CA27">LET(val, IFERROR(INDEX('Daily 쨈 raw'!$A:$ZZ, MATCH(CA$3, 'Daily 쨈 raw'!$A:$A, 0), MATCH($A27, 'Daily 쨈 raw'!$1:$1, 0)), ""), IF(val=0, "", val))</f>
        <v/>
      </c>
      <c r="CB27" s="44" t="str">
        <f t="array" ref="CB27">LET(val, IFERROR(INDEX('Daily 쨈 raw'!$A:$ZZ, MATCH(CB$3, 'Daily 쨈 raw'!$A:$A, 0), MATCH($A27, 'Daily 쨈 raw'!$1:$1, 0)), ""), IF(val=0, "", val))</f>
        <v/>
      </c>
      <c r="CC27" s="44" t="str">
        <f t="array" ref="CC27">LET(val, IFERROR(INDEX('Daily 쨈 raw'!$A:$ZZ, MATCH(CC$3, 'Daily 쨈 raw'!$A:$A, 0), MATCH($A27, 'Daily 쨈 raw'!$1:$1, 0)), ""), IF(val=0, "", val))</f>
        <v/>
      </c>
      <c r="CD27" s="44" t="str">
        <f t="array" ref="CD27">LET(val, IFERROR(INDEX('Daily 쨈 raw'!$A:$ZZ, MATCH(CD$3, 'Daily 쨈 raw'!$A:$A, 0), MATCH($A27, 'Daily 쨈 raw'!$1:$1, 0)), ""), IF(val=0, "", val))</f>
        <v/>
      </c>
      <c r="CE27" s="44" t="str">
        <f t="array" ref="CE27">LET(val, IFERROR(INDEX('Daily 쨈 raw'!$A:$ZZ, MATCH(CE$3, 'Daily 쨈 raw'!$A:$A, 0), MATCH($A27, 'Daily 쨈 raw'!$1:$1, 0)), ""), IF(val=0, "", val))</f>
        <v/>
      </c>
      <c r="CF27" s="44" t="str">
        <f t="array" ref="CF27">LET(val, IFERROR(INDEX('Daily 쨈 raw'!$A:$ZZ, MATCH(CF$3, 'Daily 쨈 raw'!$A:$A, 0), MATCH($A27, 'Daily 쨈 raw'!$1:$1, 0)), ""), IF(val=0, "", val))</f>
        <v/>
      </c>
      <c r="CG27" s="44" t="str">
        <f t="array" ref="CG27">LET(val, IFERROR(INDEX('Daily 쨈 raw'!$A:$ZZ, MATCH(CG$3, 'Daily 쨈 raw'!$A:$A, 0), MATCH($A27, 'Daily 쨈 raw'!$1:$1, 0)), ""), IF(val=0, "", val))</f>
        <v/>
      </c>
      <c r="CH27" s="44" t="str">
        <f t="array" ref="CH27">LET(val, IFERROR(INDEX('Daily 쨈 raw'!$A:$ZZ, MATCH(CH$3, 'Daily 쨈 raw'!$A:$A, 0), MATCH($A27, 'Daily 쨈 raw'!$1:$1, 0)), ""), IF(val=0, "", val))</f>
        <v/>
      </c>
      <c r="CI27" s="44" t="str">
        <f t="array" ref="CI27">LET(val, IFERROR(INDEX('Daily 쨈 raw'!$A:$ZZ, MATCH(CI$3, 'Daily 쨈 raw'!$A:$A, 0), MATCH($A27, 'Daily 쨈 raw'!$1:$1, 0)), ""), IF(val=0, "", val))</f>
        <v/>
      </c>
      <c r="CJ27" s="44" t="str">
        <f t="array" ref="CJ27">LET(val, IFERROR(INDEX('Daily 쨈 raw'!$A:$ZZ, MATCH(CJ$3, 'Daily 쨈 raw'!$A:$A, 0), MATCH($A27, 'Daily 쨈 raw'!$1:$1, 0)), ""), IF(val=0, "", val))</f>
        <v/>
      </c>
      <c r="CK27" s="44" t="str">
        <f t="array" ref="CK27">LET(val, IFERROR(INDEX('Daily 쨈 raw'!$A:$ZZ, MATCH(CK$3, 'Daily 쨈 raw'!$A:$A, 0), MATCH($A27, 'Daily 쨈 raw'!$1:$1, 0)), ""), IF(val=0, "", val))</f>
        <v/>
      </c>
      <c r="CL27" s="44" t="str">
        <f t="array" ref="CL27">LET(val, IFERROR(INDEX('Daily 쨈 raw'!$A:$ZZ, MATCH(CL$3, 'Daily 쨈 raw'!$A:$A, 0), MATCH($A27, 'Daily 쨈 raw'!$1:$1, 0)), ""), IF(val=0, "", val))</f>
        <v/>
      </c>
      <c r="CM27" s="44" t="str">
        <f t="array" ref="CM27">LET(val, IFERROR(INDEX('Daily 쨈 raw'!$A:$ZZ, MATCH(CM$3, 'Daily 쨈 raw'!$A:$A, 0), MATCH($A27, 'Daily 쨈 raw'!$1:$1, 0)), ""), IF(val=0, "", val))</f>
        <v/>
      </c>
      <c r="CN27" s="44" t="str">
        <f t="array" ref="CN27">LET(val, IFERROR(INDEX('Daily 쨈 raw'!$A:$ZZ, MATCH(CN$3, 'Daily 쨈 raw'!$A:$A, 0), MATCH($A27, 'Daily 쨈 raw'!$1:$1, 0)), ""), IF(val=0, "", val))</f>
        <v/>
      </c>
      <c r="CO27" s="44" t="str">
        <f t="array" ref="CO27">LET(val, IFERROR(INDEX('Daily 쨈 raw'!$A:$ZZ, MATCH(CO$3, 'Daily 쨈 raw'!$A:$A, 0), MATCH($A27, 'Daily 쨈 raw'!$1:$1, 0)), ""), IF(val=0, "", val))</f>
        <v/>
      </c>
      <c r="CP27" s="44" t="str">
        <f t="array" ref="CP27">LET(val, IFERROR(INDEX('Daily 쨈 raw'!$A:$ZZ, MATCH(CP$3, 'Daily 쨈 raw'!$A:$A, 0), MATCH($A27, 'Daily 쨈 raw'!$1:$1, 0)), ""), IF(val=0, "", val))</f>
        <v/>
      </c>
      <c r="CQ27" s="44" t="str">
        <f t="array" ref="CQ27">LET(val, IFERROR(INDEX('Daily 쨈 raw'!$A:$ZZ, MATCH(CQ$3, 'Daily 쨈 raw'!$A:$A, 0), MATCH($A27, 'Daily 쨈 raw'!$1:$1, 0)), ""), IF(val=0, "", val))</f>
        <v/>
      </c>
      <c r="CR27" s="44" t="str">
        <f t="array" ref="CR27">LET(val, IFERROR(INDEX('Daily 쨈 raw'!$A:$ZZ, MATCH(CR$3, 'Daily 쨈 raw'!$A:$A, 0), MATCH($A27, 'Daily 쨈 raw'!$1:$1, 0)), ""), IF(val=0, "", val))</f>
        <v/>
      </c>
      <c r="CS27" s="44" t="str">
        <f t="array" ref="CS27">LET(val, IFERROR(INDEX('Daily 쨈 raw'!$A:$ZZ, MATCH(CS$3, 'Daily 쨈 raw'!$A:$A, 0), MATCH($A27, 'Daily 쨈 raw'!$1:$1, 0)), ""), IF(val=0, "", val))</f>
        <v/>
      </c>
      <c r="CT27" s="44" t="str">
        <f t="array" ref="CT27">LET(val, IFERROR(INDEX('Daily 쨈 raw'!$A:$ZZ, MATCH(CT$3, 'Daily 쨈 raw'!$A:$A, 0), MATCH($A27, 'Daily 쨈 raw'!$1:$1, 0)), ""), IF(val=0, "", val))</f>
        <v/>
      </c>
      <c r="CU27" s="44" t="str">
        <f t="array" ref="CU27">LET(val, IFERROR(INDEX('Daily 쨈 raw'!$A:$ZZ, MATCH(CU$3, 'Daily 쨈 raw'!$A:$A, 0), MATCH($A27, 'Daily 쨈 raw'!$1:$1, 0)), ""), IF(val=0, "", val))</f>
        <v/>
      </c>
      <c r="CV27" s="44" t="str">
        <f t="array" ref="CV27">LET(val, IFERROR(INDEX('Daily 쨈 raw'!$A:$ZZ, MATCH(CV$3, 'Daily 쨈 raw'!$A:$A, 0), MATCH($A27, 'Daily 쨈 raw'!$1:$1, 0)), ""), IF(val=0, "", val))</f>
        <v/>
      </c>
      <c r="CW27" s="44" t="str">
        <f t="array" ref="CW27">LET(val, IFERROR(INDEX('Daily 쨈 raw'!$A:$ZZ, MATCH(CW$3, 'Daily 쨈 raw'!$A:$A, 0), MATCH($A27, 'Daily 쨈 raw'!$1:$1, 0)), ""), IF(val=0, "", val))</f>
        <v/>
      </c>
      <c r="CX27" s="44" t="str">
        <f t="array" ref="CX27">LET(val, IFERROR(INDEX('Daily 쨈 raw'!$A:$ZZ, MATCH(CX$3, 'Daily 쨈 raw'!$A:$A, 0), MATCH($A27, 'Daily 쨈 raw'!$1:$1, 0)), ""), IF(val=0, "", val))</f>
        <v/>
      </c>
      <c r="CY27" s="44" t="str">
        <f t="array" ref="CY27">LET(val, IFERROR(INDEX('Daily 쨈 raw'!$A:$ZZ, MATCH(CY$3, 'Daily 쨈 raw'!$A:$A, 0), MATCH($A27, 'Daily 쨈 raw'!$1:$1, 0)), ""), IF(val=0, "", val))</f>
        <v/>
      </c>
      <c r="CZ27" s="44" t="str">
        <f t="array" ref="CZ27">LET(val, IFERROR(INDEX('Daily 쨈 raw'!$A:$ZZ, MATCH(CZ$3, 'Daily 쨈 raw'!$A:$A, 0), MATCH($A27, 'Daily 쨈 raw'!$1:$1, 0)), ""), IF(val=0, "", val))</f>
        <v/>
      </c>
      <c r="DA27" s="44" t="str">
        <f t="array" ref="DA27">LET(val, IFERROR(INDEX('Daily 쨈 raw'!$A:$ZZ, MATCH(DA$3, 'Daily 쨈 raw'!$A:$A, 0), MATCH($A27, 'Daily 쨈 raw'!$1:$1, 0)), ""), IF(val=0, "", val))</f>
        <v/>
      </c>
      <c r="DB27" s="44" t="str">
        <f t="array" ref="DB27">LET(val, IFERROR(INDEX('Daily 쨈 raw'!$A:$ZZ, MATCH(DB$3, 'Daily 쨈 raw'!$A:$A, 0), MATCH($A27, 'Daily 쨈 raw'!$1:$1, 0)), ""), IF(val=0, "", val))</f>
        <v/>
      </c>
      <c r="DC27" s="44" t="str">
        <f t="array" ref="DC27">LET(val, IFERROR(INDEX('Daily 쨈 raw'!$A:$ZZ, MATCH(DC$3, 'Daily 쨈 raw'!$A:$A, 0), MATCH($A27, 'Daily 쨈 raw'!$1:$1, 0)), ""), IF(val=0, "", val))</f>
        <v/>
      </c>
      <c r="DD27" s="44" t="str">
        <f t="array" ref="DD27">LET(val, IFERROR(INDEX('Daily 쨈 raw'!$A:$ZZ, MATCH(DD$3, 'Daily 쨈 raw'!$A:$A, 0), MATCH($A27, 'Daily 쨈 raw'!$1:$1, 0)), ""), IF(val=0, "", val))</f>
        <v/>
      </c>
      <c r="DE27" s="44" t="str">
        <f t="array" ref="DE27">LET(val, IFERROR(INDEX('Daily 쨈 raw'!$A:$ZZ, MATCH(DE$3, 'Daily 쨈 raw'!$A:$A, 0), MATCH($A27, 'Daily 쨈 raw'!$1:$1, 0)), ""), IF(val=0, "", val))</f>
        <v/>
      </c>
      <c r="DF27" s="44" t="str">
        <f t="array" ref="DF27">LET(val, IFERROR(INDEX('Daily 쨈 raw'!$A:$ZZ, MATCH(DF$3, 'Daily 쨈 raw'!$A:$A, 0), MATCH($A27, 'Daily 쨈 raw'!$1:$1, 0)), ""), IF(val=0, "", val))</f>
        <v/>
      </c>
      <c r="DG27" s="44" t="str">
        <f t="array" ref="DG27">LET(val, IFERROR(INDEX('Daily 쨈 raw'!$A:$ZZ, MATCH(DG$3, 'Daily 쨈 raw'!$A:$A, 0), MATCH($A27, 'Daily 쨈 raw'!$1:$1, 0)), ""), IF(val=0, "", val))</f>
        <v/>
      </c>
      <c r="DH27" s="44" t="str">
        <f t="array" ref="DH27">LET(val, IFERROR(INDEX('Daily 쨈 raw'!$A:$ZZ, MATCH(DH$3, 'Daily 쨈 raw'!$A:$A, 0), MATCH($A27, 'Daily 쨈 raw'!$1:$1, 0)), ""), IF(val=0, "", val))</f>
        <v/>
      </c>
      <c r="DI27" s="44" t="str">
        <f t="array" ref="DI27">LET(val, IFERROR(INDEX('Daily 쨈 raw'!$A:$ZZ, MATCH(DI$3, 'Daily 쨈 raw'!$A:$A, 0), MATCH($A27, 'Daily 쨈 raw'!$1:$1, 0)), ""), IF(val=0, "", val))</f>
        <v/>
      </c>
      <c r="DJ27" s="44" t="str">
        <f t="array" ref="DJ27">LET(val, IFERROR(INDEX('Daily 쨈 raw'!$A:$ZZ, MATCH(DJ$3, 'Daily 쨈 raw'!$A:$A, 0), MATCH($A27, 'Daily 쨈 raw'!$1:$1, 0)), ""), IF(val=0, "", val))</f>
        <v/>
      </c>
      <c r="DK27" s="44" t="str">
        <f t="array" ref="DK27">LET(val, IFERROR(INDEX('Daily 쨈 raw'!$A:$ZZ, MATCH(DK$3, 'Daily 쨈 raw'!$A:$A, 0), MATCH($A27, 'Daily 쨈 raw'!$1:$1, 0)), ""), IF(val=0, "", val))</f>
        <v/>
      </c>
      <c r="DL27" s="44" t="str">
        <f t="array" ref="DL27">LET(val, IFERROR(INDEX('Daily 쨈 raw'!$A:$ZZ, MATCH(DL$3, 'Daily 쨈 raw'!$A:$A, 0), MATCH($A27, 'Daily 쨈 raw'!$1:$1, 0)), ""), IF(val=0, "", val))</f>
        <v/>
      </c>
      <c r="DM27" s="44" t="str">
        <f t="array" ref="DM27">LET(val, IFERROR(INDEX('Daily 쨈 raw'!$A:$ZZ, MATCH(DM$3, 'Daily 쨈 raw'!$A:$A, 0), MATCH($A27, 'Daily 쨈 raw'!$1:$1, 0)), ""), IF(val=0, "", val))</f>
        <v/>
      </c>
      <c r="DN27" s="44" t="str">
        <f t="array" ref="DN27">LET(val, IFERROR(INDEX('Daily 쨈 raw'!$A:$ZZ, MATCH(DN$3, 'Daily 쨈 raw'!$A:$A, 0), MATCH($A27, 'Daily 쨈 raw'!$1:$1, 0)), ""), IF(val=0, "", val))</f>
        <v/>
      </c>
      <c r="DO27" s="44" t="str">
        <f t="array" ref="DO27">LET(val, IFERROR(INDEX('Daily 쨈 raw'!$A:$ZZ, MATCH(DO$3, 'Daily 쨈 raw'!$A:$A, 0), MATCH($A27, 'Daily 쨈 raw'!$1:$1, 0)), ""), IF(val=0, "", val))</f>
        <v/>
      </c>
      <c r="DP27" s="44" t="str">
        <f t="array" ref="DP27">LET(val, IFERROR(INDEX('Daily 쨈 raw'!$A:$ZZ, MATCH(DP$3, 'Daily 쨈 raw'!$A:$A, 0), MATCH($A27, 'Daily 쨈 raw'!$1:$1, 0)), ""), IF(val=0, "", val))</f>
        <v/>
      </c>
      <c r="DQ27" s="44" t="str">
        <f t="array" ref="DQ27">LET(val, IFERROR(INDEX('Daily 쨈 raw'!$A:$ZZ, MATCH(DQ$3, 'Daily 쨈 raw'!$A:$A, 0), MATCH($A27, 'Daily 쨈 raw'!$1:$1, 0)), ""), IF(val=0, "", val))</f>
        <v/>
      </c>
      <c r="DR27" s="44" t="str">
        <f t="array" ref="DR27">LET(val, IFERROR(INDEX('Daily 쨈 raw'!$A:$ZZ, MATCH(DR$3, 'Daily 쨈 raw'!$A:$A, 0), MATCH($A27, 'Daily 쨈 raw'!$1:$1, 0)), ""), IF(val=0, "", val))</f>
        <v/>
      </c>
      <c r="DS27" s="44" t="str">
        <f t="array" ref="DS27">LET(val, IFERROR(INDEX('Daily 쨈 raw'!$A:$ZZ, MATCH(DS$3, 'Daily 쨈 raw'!$A:$A, 0), MATCH($A27, 'Daily 쨈 raw'!$1:$1, 0)), ""), IF(val=0, "", val))</f>
        <v/>
      </c>
      <c r="DT27" s="44" t="str">
        <f t="array" ref="DT27">LET(val, IFERROR(INDEX('Daily 쨈 raw'!$A:$ZZ, MATCH(DT$3, 'Daily 쨈 raw'!$A:$A, 0), MATCH($A27, 'Daily 쨈 raw'!$1:$1, 0)), ""), IF(val=0, "", val))</f>
        <v/>
      </c>
      <c r="DU27" s="44" t="str">
        <f t="array" ref="DU27">LET(val, IFERROR(INDEX('Daily 쨈 raw'!$A:$ZZ, MATCH(DU$3, 'Daily 쨈 raw'!$A:$A, 0), MATCH($A27, 'Daily 쨈 raw'!$1:$1, 0)), ""), IF(val=0, "", val))</f>
        <v/>
      </c>
      <c r="DV27" s="44" t="str">
        <f t="array" ref="DV27">LET(val, IFERROR(INDEX('Daily 쨈 raw'!$A:$ZZ, MATCH(DV$3, 'Daily 쨈 raw'!$A:$A, 0), MATCH($A27, 'Daily 쨈 raw'!$1:$1, 0)), ""), IF(val=0, "", val))</f>
        <v/>
      </c>
      <c r="DW27" s="44" t="str">
        <f t="array" ref="DW27">LET(val, IFERROR(INDEX('Daily 쨈 raw'!$A:$ZZ, MATCH(DW$3, 'Daily 쨈 raw'!$A:$A, 0), MATCH($A27, 'Daily 쨈 raw'!$1:$1, 0)), ""), IF(val=0, "", val))</f>
        <v/>
      </c>
      <c r="DX27" s="57"/>
      <c r="DY27" s="57"/>
      <c r="DZ27" s="57"/>
    </row>
    <row r="28" ht="22.5" customHeight="1">
      <c r="A28" s="16" t="s">
        <v>37</v>
      </c>
      <c r="B28" s="17" t="s">
        <v>86</v>
      </c>
      <c r="C28" s="44" t="str">
        <f t="array" ref="C28">LET(val, IFERROR(INDEX('Daily 쨈 raw'!$A:$ZZ, MATCH(C$3, 'Daily 쨈 raw'!$A:$A, 0), MATCH($A28, 'Daily 쨈 raw'!$1:$1, 0)), ""), IF(val=0, "", val))</f>
        <v/>
      </c>
      <c r="D28" s="44" t="str">
        <f t="array" ref="D28">LET(val, IFERROR(INDEX('Daily 쨈 raw'!$A:$ZZ, MATCH(D$3, 'Daily 쨈 raw'!$A:$A, 0), MATCH($A28, 'Daily 쨈 raw'!$1:$1, 0)), ""), IF(val=0, "", val))</f>
        <v/>
      </c>
      <c r="E28" s="44" t="str">
        <f t="array" ref="E28">LET(val, IFERROR(INDEX('Daily 쨈 raw'!$A:$ZZ, MATCH(E$3, 'Daily 쨈 raw'!$A:$A, 0), MATCH($A28, 'Daily 쨈 raw'!$1:$1, 0)), ""), IF(val=0, "", val))</f>
        <v/>
      </c>
      <c r="F28" s="44" t="str">
        <f t="array" ref="F28">LET(val, IFERROR(INDEX('Daily 쨈 raw'!$A:$ZZ, MATCH(F$3, 'Daily 쨈 raw'!$A:$A, 0), MATCH($A28, 'Daily 쨈 raw'!$1:$1, 0)), ""), IF(val=0, "", val))</f>
        <v/>
      </c>
      <c r="G28" s="44" t="str">
        <f t="array" ref="G28">LET(val, IFERROR(INDEX('Daily 쨈 raw'!$A:$ZZ, MATCH(G$3, 'Daily 쨈 raw'!$A:$A, 0), MATCH($A28, 'Daily 쨈 raw'!$1:$1, 0)), ""), IF(val=0, "", val))</f>
        <v/>
      </c>
      <c r="H28" s="44" t="str">
        <f t="array" ref="H28">LET(val, IFERROR(INDEX('Daily 쨈 raw'!$A:$ZZ, MATCH(H$3, 'Daily 쨈 raw'!$A:$A, 0), MATCH($A28, 'Daily 쨈 raw'!$1:$1, 0)), ""), IF(val=0, "", val))</f>
        <v/>
      </c>
      <c r="I28" s="44" t="str">
        <f t="array" ref="I28">LET(val, IFERROR(INDEX('Daily 쨈 raw'!$A:$ZZ, MATCH(I$3, 'Daily 쨈 raw'!$A:$A, 0), MATCH($A28, 'Daily 쨈 raw'!$1:$1, 0)), ""), IF(val=0, "", val))</f>
        <v/>
      </c>
      <c r="J28" s="44" t="str">
        <f t="array" ref="J28">LET(val, IFERROR(INDEX('Daily 쨈 raw'!$A:$ZZ, MATCH(J$3, 'Daily 쨈 raw'!$A:$A, 0), MATCH($A28, 'Daily 쨈 raw'!$1:$1, 0)), ""), IF(val=0, "", val))</f>
        <v/>
      </c>
      <c r="K28" s="44" t="str">
        <f t="array" ref="K28">LET(val, IFERROR(INDEX('Daily 쨈 raw'!$A:$ZZ, MATCH(K$3, 'Daily 쨈 raw'!$A:$A, 0), MATCH($A28, 'Daily 쨈 raw'!$1:$1, 0)), ""), IF(val=0, "", val))</f>
        <v/>
      </c>
      <c r="L28" s="44" t="str">
        <f t="array" ref="L28">LET(val, IFERROR(INDEX('Daily 쨈 raw'!$A:$ZZ, MATCH(L$3, 'Daily 쨈 raw'!$A:$A, 0), MATCH($A28, 'Daily 쨈 raw'!$1:$1, 0)), ""), IF(val=0, "", val))</f>
        <v/>
      </c>
      <c r="M28" s="44" t="str">
        <f t="array" ref="M28">LET(val, IFERROR(INDEX('Daily 쨈 raw'!$A:$ZZ, MATCH(M$3, 'Daily 쨈 raw'!$A:$A, 0), MATCH($A28, 'Daily 쨈 raw'!$1:$1, 0)), ""), IF(val=0, "", val))</f>
        <v/>
      </c>
      <c r="N28" s="44" t="str">
        <f t="array" ref="N28">LET(val, IFERROR(INDEX('Daily 쨈 raw'!$A:$ZZ, MATCH(N$3, 'Daily 쨈 raw'!$A:$A, 0), MATCH($A28, 'Daily 쨈 raw'!$1:$1, 0)), ""), IF(val=0, "", val))</f>
        <v/>
      </c>
      <c r="O28" s="44" t="str">
        <f t="array" ref="O28">LET(val, IFERROR(INDEX('Daily 쨈 raw'!$A:$ZZ, MATCH(O$3, 'Daily 쨈 raw'!$A:$A, 0), MATCH($A28, 'Daily 쨈 raw'!$1:$1, 0)), ""), IF(val=0, "", val))</f>
        <v/>
      </c>
      <c r="P28" s="44" t="str">
        <f t="array" ref="P28">LET(val, IFERROR(INDEX('Daily 쨈 raw'!$A:$ZZ, MATCH(P$3, 'Daily 쨈 raw'!$A:$A, 0), MATCH($A28, 'Daily 쨈 raw'!$1:$1, 0)), ""), IF(val=0, "", val))</f>
        <v/>
      </c>
      <c r="Q28" s="44" t="str">
        <f t="array" ref="Q28">LET(val, IFERROR(INDEX('Daily 쨈 raw'!$A:$ZZ, MATCH(Q$3, 'Daily 쨈 raw'!$A:$A, 0), MATCH($A28, 'Daily 쨈 raw'!$1:$1, 0)), ""), IF(val=0, "", val))</f>
        <v/>
      </c>
      <c r="R28" s="44" t="str">
        <f t="array" ref="R28">LET(val, IFERROR(INDEX('Daily 쨈 raw'!$A:$ZZ, MATCH(R$3, 'Daily 쨈 raw'!$A:$A, 0), MATCH($A28, 'Daily 쨈 raw'!$1:$1, 0)), ""), IF(val=0, "", val))</f>
        <v/>
      </c>
      <c r="S28" s="44" t="str">
        <f t="array" ref="S28">LET(val, IFERROR(INDEX('Daily 쨈 raw'!$A:$ZZ, MATCH(S$3, 'Daily 쨈 raw'!$A:$A, 0), MATCH($A28, 'Daily 쨈 raw'!$1:$1, 0)), ""), IF(val=0, "", val))</f>
        <v/>
      </c>
      <c r="T28" s="44" t="str">
        <f t="array" ref="T28">LET(val, IFERROR(INDEX('Daily 쨈 raw'!$A:$ZZ, MATCH(T$3, 'Daily 쨈 raw'!$A:$A, 0), MATCH($A28, 'Daily 쨈 raw'!$1:$1, 0)), ""), IF(val=0, "", val))</f>
        <v/>
      </c>
      <c r="U28" s="44" t="str">
        <f t="array" ref="U28">LET(val, IFERROR(INDEX('Daily 쨈 raw'!$A:$ZZ, MATCH(U$3, 'Daily 쨈 raw'!$A:$A, 0), MATCH($A28, 'Daily 쨈 raw'!$1:$1, 0)), ""), IF(val=0, "", val))</f>
        <v/>
      </c>
      <c r="V28" s="44" t="str">
        <f t="array" ref="V28">LET(val, IFERROR(INDEX('Daily 쨈 raw'!$A:$ZZ, MATCH(V$3, 'Daily 쨈 raw'!$A:$A, 0), MATCH($A28, 'Daily 쨈 raw'!$1:$1, 0)), ""), IF(val=0, "", val))</f>
        <v/>
      </c>
      <c r="W28" s="44" t="str">
        <f t="array" ref="W28">LET(val, IFERROR(INDEX('Daily 쨈 raw'!$A:$ZZ, MATCH(W$3, 'Daily 쨈 raw'!$A:$A, 0), MATCH($A28, 'Daily 쨈 raw'!$1:$1, 0)), ""), IF(val=0, "", val))</f>
        <v/>
      </c>
      <c r="X28" s="44" t="str">
        <f t="array" ref="X28">LET(val, IFERROR(INDEX('Daily 쨈 raw'!$A:$ZZ, MATCH(X$3, 'Daily 쨈 raw'!$A:$A, 0), MATCH($A28, 'Daily 쨈 raw'!$1:$1, 0)), ""), IF(val=0, "", val))</f>
        <v/>
      </c>
      <c r="Y28" s="44" t="str">
        <f t="array" ref="Y28">LET(val, IFERROR(INDEX('Daily 쨈 raw'!$A:$ZZ, MATCH(Y$3, 'Daily 쨈 raw'!$A:$A, 0), MATCH($A28, 'Daily 쨈 raw'!$1:$1, 0)), ""), IF(val=0, "", val))</f>
        <v/>
      </c>
      <c r="Z28" s="44" t="str">
        <f t="array" ref="Z28">LET(val, IFERROR(INDEX('Daily 쨈 raw'!$A:$ZZ, MATCH(Z$3, 'Daily 쨈 raw'!$A:$A, 0), MATCH($A28, 'Daily 쨈 raw'!$1:$1, 0)), ""), IF(val=0, "", val))</f>
        <v/>
      </c>
      <c r="AA28" s="44" t="str">
        <f t="array" ref="AA28">LET(val, IFERROR(INDEX('Daily 쨈 raw'!$A:$ZZ, MATCH(AA$3, 'Daily 쨈 raw'!$A:$A, 0), MATCH($A28, 'Daily 쨈 raw'!$1:$1, 0)), ""), IF(val=0, "", val))</f>
        <v/>
      </c>
      <c r="AB28" s="44" t="str">
        <f t="array" ref="AB28">LET(val, IFERROR(INDEX('Daily 쨈 raw'!$A:$ZZ, MATCH(AB$3, 'Daily 쨈 raw'!$A:$A, 0), MATCH($A28, 'Daily 쨈 raw'!$1:$1, 0)), ""), IF(val=0, "", val))</f>
        <v/>
      </c>
      <c r="AC28" s="44" t="str">
        <f t="array" ref="AC28">LET(val, IFERROR(INDEX('Daily 쨈 raw'!$A:$ZZ, MATCH(AC$3, 'Daily 쨈 raw'!$A:$A, 0), MATCH($A28, 'Daily 쨈 raw'!$1:$1, 0)), ""), IF(val=0, "", val))</f>
        <v/>
      </c>
      <c r="AD28" s="44" t="str">
        <f t="array" ref="AD28">LET(val, IFERROR(INDEX('Daily 쨈 raw'!$A:$ZZ, MATCH(AD$3, 'Daily 쨈 raw'!$A:$A, 0), MATCH($A28, 'Daily 쨈 raw'!$1:$1, 0)), ""), IF(val=0, "", val))</f>
        <v/>
      </c>
      <c r="AE28" s="44" t="str">
        <f t="array" ref="AE28">LET(val, IFERROR(INDEX('Daily 쨈 raw'!$A:$ZZ, MATCH(AE$3, 'Daily 쨈 raw'!$A:$A, 0), MATCH($A28, 'Daily 쨈 raw'!$1:$1, 0)), ""), IF(val=0, "", val))</f>
        <v/>
      </c>
      <c r="AF28" s="44" t="str">
        <f t="array" ref="AF28">LET(val, IFERROR(INDEX('Daily 쨈 raw'!$A:$ZZ, MATCH(AF$3, 'Daily 쨈 raw'!$A:$A, 0), MATCH($A28, 'Daily 쨈 raw'!$1:$1, 0)), ""), IF(val=0, "", val))</f>
        <v/>
      </c>
      <c r="AG28" s="44" t="str">
        <f t="array" ref="AG28">LET(val, IFERROR(INDEX('Daily 쨈 raw'!$A:$ZZ, MATCH(AG$3, 'Daily 쨈 raw'!$A:$A, 0), MATCH($A28, 'Daily 쨈 raw'!$1:$1, 0)), ""), IF(val=0, "", val))</f>
        <v/>
      </c>
      <c r="AH28" s="44" t="str">
        <f t="array" ref="AH28">LET(val, IFERROR(INDEX('Daily 쨈 raw'!$A:$ZZ, MATCH(AH$3, 'Daily 쨈 raw'!$A:$A, 0), MATCH($A28, 'Daily 쨈 raw'!$1:$1, 0)), ""), IF(val=0, "", val))</f>
        <v/>
      </c>
      <c r="AI28" s="44" t="str">
        <f t="array" ref="AI28">LET(val, IFERROR(INDEX('Daily 쨈 raw'!$A:$ZZ, MATCH(AI$3, 'Daily 쨈 raw'!$A:$A, 0), MATCH($A28, 'Daily 쨈 raw'!$1:$1, 0)), ""), IF(val=0, "", val))</f>
        <v/>
      </c>
      <c r="AJ28" s="44" t="str">
        <f t="array" ref="AJ28">LET(val, IFERROR(INDEX('Daily 쨈 raw'!$A:$ZZ, MATCH(AJ$3, 'Daily 쨈 raw'!$A:$A, 0), MATCH($A28, 'Daily 쨈 raw'!$1:$1, 0)), ""), IF(val=0, "", val))</f>
        <v/>
      </c>
      <c r="AK28" s="44" t="str">
        <f t="array" ref="AK28">LET(val, IFERROR(INDEX('Daily 쨈 raw'!$A:$ZZ, MATCH(AK$3, 'Daily 쨈 raw'!$A:$A, 0), MATCH($A28, 'Daily 쨈 raw'!$1:$1, 0)), ""), IF(val=0, "", val))</f>
        <v/>
      </c>
      <c r="AL28" s="44" t="str">
        <f t="array" ref="AL28">LET(val, IFERROR(INDEX('Daily 쨈 raw'!$A:$ZZ, MATCH(AL$3, 'Daily 쨈 raw'!$A:$A, 0), MATCH($A28, 'Daily 쨈 raw'!$1:$1, 0)), ""), IF(val=0, "", val))</f>
        <v/>
      </c>
      <c r="AM28" s="44" t="str">
        <f t="array" ref="AM28">LET(val, IFERROR(INDEX('Daily 쨈 raw'!$A:$ZZ, MATCH(AM$3, 'Daily 쨈 raw'!$A:$A, 0), MATCH($A28, 'Daily 쨈 raw'!$1:$1, 0)), ""), IF(val=0, "", val))</f>
        <v/>
      </c>
      <c r="AN28" s="44" t="str">
        <f t="array" ref="AN28">LET(val, IFERROR(INDEX('Daily 쨈 raw'!$A:$ZZ, MATCH(AN$3, 'Daily 쨈 raw'!$A:$A, 0), MATCH($A28, 'Daily 쨈 raw'!$1:$1, 0)), ""), IF(val=0, "", val))</f>
        <v/>
      </c>
      <c r="AO28" s="44" t="str">
        <f t="array" ref="AO28">LET(val, IFERROR(INDEX('Daily 쨈 raw'!$A:$ZZ, MATCH(AO$3, 'Daily 쨈 raw'!$A:$A, 0), MATCH($A28, 'Daily 쨈 raw'!$1:$1, 0)), ""), IF(val=0, "", val))</f>
        <v/>
      </c>
      <c r="AP28" s="44" t="str">
        <f t="array" ref="AP28">LET(val, IFERROR(INDEX('Daily 쨈 raw'!$A:$ZZ, MATCH(AP$3, 'Daily 쨈 raw'!$A:$A, 0), MATCH($A28, 'Daily 쨈 raw'!$1:$1, 0)), ""), IF(val=0, "", val))</f>
        <v/>
      </c>
      <c r="AQ28" s="44" t="str">
        <f t="array" ref="AQ28">LET(val, IFERROR(INDEX('Daily 쨈 raw'!$A:$ZZ, MATCH(AQ$3, 'Daily 쨈 raw'!$A:$A, 0), MATCH($A28, 'Daily 쨈 raw'!$1:$1, 0)), ""), IF(val=0, "", val))</f>
        <v/>
      </c>
      <c r="AR28" s="44" t="str">
        <f t="array" ref="AR28">LET(val, IFERROR(INDEX('Daily 쨈 raw'!$A:$ZZ, MATCH(AR$3, 'Daily 쨈 raw'!$A:$A, 0), MATCH($A28, 'Daily 쨈 raw'!$1:$1, 0)), ""), IF(val=0, "", val))</f>
        <v/>
      </c>
      <c r="AS28" s="44" t="str">
        <f t="array" ref="AS28">LET(val, IFERROR(INDEX('Daily 쨈 raw'!$A:$ZZ, MATCH(AS$3, 'Daily 쨈 raw'!$A:$A, 0), MATCH($A28, 'Daily 쨈 raw'!$1:$1, 0)), ""), IF(val=0, "", val))</f>
        <v/>
      </c>
      <c r="AT28" s="44" t="str">
        <f t="array" ref="AT28">LET(val, IFERROR(INDEX('Daily 쨈 raw'!$A:$ZZ, MATCH(AT$3, 'Daily 쨈 raw'!$A:$A, 0), MATCH($A28, 'Daily 쨈 raw'!$1:$1, 0)), ""), IF(val=0, "", val))</f>
        <v/>
      </c>
      <c r="AU28" s="44" t="str">
        <f t="array" ref="AU28">LET(val, IFERROR(INDEX('Daily 쨈 raw'!$A:$ZZ, MATCH(AU$3, 'Daily 쨈 raw'!$A:$A, 0), MATCH($A28, 'Daily 쨈 raw'!$1:$1, 0)), ""), IF(val=0, "", val))</f>
        <v/>
      </c>
      <c r="AV28" s="44" t="str">
        <f t="array" ref="AV28">LET(val, IFERROR(INDEX('Daily 쨈 raw'!$A:$ZZ, MATCH(AV$3, 'Daily 쨈 raw'!$A:$A, 0), MATCH($A28, 'Daily 쨈 raw'!$1:$1, 0)), ""), IF(val=0, "", val))</f>
        <v/>
      </c>
      <c r="AW28" s="44" t="str">
        <f t="array" ref="AW28">LET(val, IFERROR(INDEX('Daily 쨈 raw'!$A:$ZZ, MATCH(AW$3, 'Daily 쨈 raw'!$A:$A, 0), MATCH($A28, 'Daily 쨈 raw'!$1:$1, 0)), ""), IF(val=0, "", val))</f>
        <v/>
      </c>
      <c r="AX28" s="44" t="str">
        <f t="array" ref="AX28">LET(val, IFERROR(INDEX('Daily 쨈 raw'!$A:$ZZ, MATCH(AX$3, 'Daily 쨈 raw'!$A:$A, 0), MATCH($A28, 'Daily 쨈 raw'!$1:$1, 0)), ""), IF(val=0, "", val))</f>
        <v/>
      </c>
      <c r="AY28" s="44" t="str">
        <f t="array" ref="AY28">LET(val, IFERROR(INDEX('Daily 쨈 raw'!$A:$ZZ, MATCH(AY$3, 'Daily 쨈 raw'!$A:$A, 0), MATCH($A28, 'Daily 쨈 raw'!$1:$1, 0)), ""), IF(val=0, "", val))</f>
        <v/>
      </c>
      <c r="AZ28" s="44" t="str">
        <f t="array" ref="AZ28">LET(val, IFERROR(INDEX('Daily 쨈 raw'!$A:$ZZ, MATCH(AZ$3, 'Daily 쨈 raw'!$A:$A, 0), MATCH($A28, 'Daily 쨈 raw'!$1:$1, 0)), ""), IF(val=0, "", val))</f>
        <v/>
      </c>
      <c r="BA28" s="44" t="str">
        <f t="array" ref="BA28">LET(val, IFERROR(INDEX('Daily 쨈 raw'!$A:$ZZ, MATCH(BA$3, 'Daily 쨈 raw'!$A:$A, 0), MATCH($A28, 'Daily 쨈 raw'!$1:$1, 0)), ""), IF(val=0, "", val))</f>
        <v/>
      </c>
      <c r="BB28" s="44" t="str">
        <f t="array" ref="BB28">LET(val, IFERROR(INDEX('Daily 쨈 raw'!$A:$ZZ, MATCH(BB$3, 'Daily 쨈 raw'!$A:$A, 0), MATCH($A28, 'Daily 쨈 raw'!$1:$1, 0)), ""), IF(val=0, "", val))</f>
        <v/>
      </c>
      <c r="BC28" s="44" t="str">
        <f t="array" ref="BC28">LET(val, IFERROR(INDEX('Daily 쨈 raw'!$A:$ZZ, MATCH(BC$3, 'Daily 쨈 raw'!$A:$A, 0), MATCH($A28, 'Daily 쨈 raw'!$1:$1, 0)), ""), IF(val=0, "", val))</f>
        <v/>
      </c>
      <c r="BD28" s="44" t="str">
        <f t="array" ref="BD28">LET(val, IFERROR(INDEX('Daily 쨈 raw'!$A:$ZZ, MATCH(BD$3, 'Daily 쨈 raw'!$A:$A, 0), MATCH($A28, 'Daily 쨈 raw'!$1:$1, 0)), ""), IF(val=0, "", val))</f>
        <v/>
      </c>
      <c r="BE28" s="44" t="str">
        <f t="array" ref="BE28">LET(val, IFERROR(INDEX('Daily 쨈 raw'!$A:$ZZ, MATCH(BE$3, 'Daily 쨈 raw'!$A:$A, 0), MATCH($A28, 'Daily 쨈 raw'!$1:$1, 0)), ""), IF(val=0, "", val))</f>
        <v/>
      </c>
      <c r="BF28" s="44" t="str">
        <f t="array" ref="BF28">LET(val, IFERROR(INDEX('Daily 쨈 raw'!$A:$ZZ, MATCH(BF$3, 'Daily 쨈 raw'!$A:$A, 0), MATCH($A28, 'Daily 쨈 raw'!$1:$1, 0)), ""), IF(val=0, "", val))</f>
        <v/>
      </c>
      <c r="BG28" s="44" t="str">
        <f t="array" ref="BG28">LET(val, IFERROR(INDEX('Daily 쨈 raw'!$A:$ZZ, MATCH(BG$3, 'Daily 쨈 raw'!$A:$A, 0), MATCH($A28, 'Daily 쨈 raw'!$1:$1, 0)), ""), IF(val=0, "", val))</f>
        <v/>
      </c>
      <c r="BH28" s="44" t="str">
        <f t="array" ref="BH28">LET(val, IFERROR(INDEX('Daily 쨈 raw'!$A:$ZZ, MATCH(BH$3, 'Daily 쨈 raw'!$A:$A, 0), MATCH($A28, 'Daily 쨈 raw'!$1:$1, 0)), ""), IF(val=0, "", val))</f>
        <v/>
      </c>
      <c r="BI28" s="44" t="str">
        <f t="array" ref="BI28">LET(val, IFERROR(INDEX('Daily 쨈 raw'!$A:$ZZ, MATCH(BI$3, 'Daily 쨈 raw'!$A:$A, 0), MATCH($A28, 'Daily 쨈 raw'!$1:$1, 0)), ""), IF(val=0, "", val))</f>
        <v/>
      </c>
      <c r="BJ28" s="44" t="str">
        <f t="array" ref="BJ28">LET(val, IFERROR(INDEX('Daily 쨈 raw'!$A:$ZZ, MATCH(BJ$3, 'Daily 쨈 raw'!$A:$A, 0), MATCH($A28, 'Daily 쨈 raw'!$1:$1, 0)), ""), IF(val=0, "", val))</f>
        <v/>
      </c>
      <c r="BK28" s="44" t="str">
        <f t="array" ref="BK28">LET(val, IFERROR(INDEX('Daily 쨈 raw'!$A:$ZZ, MATCH(BK$3, 'Daily 쨈 raw'!$A:$A, 0), MATCH($A28, 'Daily 쨈 raw'!$1:$1, 0)), ""), IF(val=0, "", val))</f>
        <v/>
      </c>
      <c r="BL28" s="44" t="str">
        <f t="array" ref="BL28">LET(val, IFERROR(INDEX('Daily 쨈 raw'!$A:$ZZ, MATCH(BL$3, 'Daily 쨈 raw'!$A:$A, 0), MATCH($A28, 'Daily 쨈 raw'!$1:$1, 0)), ""), IF(val=0, "", val))</f>
        <v/>
      </c>
      <c r="BM28" s="44" t="str">
        <f t="array" ref="BM28">LET(val, IFERROR(INDEX('Daily 쨈 raw'!$A:$ZZ, MATCH(BM$3, 'Daily 쨈 raw'!$A:$A, 0), MATCH($A28, 'Daily 쨈 raw'!$1:$1, 0)), ""), IF(val=0, "", val))</f>
        <v/>
      </c>
      <c r="BN28" s="44" t="str">
        <f t="array" ref="BN28">LET(val, IFERROR(INDEX('Daily 쨈 raw'!$A:$ZZ, MATCH(BN$3, 'Daily 쨈 raw'!$A:$A, 0), MATCH($A28, 'Daily 쨈 raw'!$1:$1, 0)), ""), IF(val=0, "", val))</f>
        <v/>
      </c>
      <c r="BO28" s="44" t="str">
        <f t="array" ref="BO28">LET(val, IFERROR(INDEX('Daily 쨈 raw'!$A:$ZZ, MATCH(BO$3, 'Daily 쨈 raw'!$A:$A, 0), MATCH($A28, 'Daily 쨈 raw'!$1:$1, 0)), ""), IF(val=0, "", val))</f>
        <v/>
      </c>
      <c r="BP28" s="44" t="str">
        <f t="array" ref="BP28">LET(val, IFERROR(INDEX('Daily 쨈 raw'!$A:$ZZ, MATCH(BP$3, 'Daily 쨈 raw'!$A:$A, 0), MATCH($A28, 'Daily 쨈 raw'!$1:$1, 0)), ""), IF(val=0, "", val))</f>
        <v/>
      </c>
      <c r="BQ28" s="44" t="str">
        <f t="array" ref="BQ28">LET(val, IFERROR(INDEX('Daily 쨈 raw'!$A:$ZZ, MATCH(BQ$3, 'Daily 쨈 raw'!$A:$A, 0), MATCH($A28, 'Daily 쨈 raw'!$1:$1, 0)), ""), IF(val=0, "", val))</f>
        <v/>
      </c>
      <c r="BR28" s="44" t="str">
        <f t="array" ref="BR28">LET(val, IFERROR(INDEX('Daily 쨈 raw'!$A:$ZZ, MATCH(BR$3, 'Daily 쨈 raw'!$A:$A, 0), MATCH($A28, 'Daily 쨈 raw'!$1:$1, 0)), ""), IF(val=0, "", val))</f>
        <v/>
      </c>
      <c r="BS28" s="44" t="str">
        <f t="array" ref="BS28">LET(val, IFERROR(INDEX('Daily 쨈 raw'!$A:$ZZ, MATCH(BS$3, 'Daily 쨈 raw'!$A:$A, 0), MATCH($A28, 'Daily 쨈 raw'!$1:$1, 0)), ""), IF(val=0, "", val))</f>
        <v/>
      </c>
      <c r="BT28" s="44" t="str">
        <f t="array" ref="BT28">LET(val, IFERROR(INDEX('Daily 쨈 raw'!$A:$ZZ, MATCH(BT$3, 'Daily 쨈 raw'!$A:$A, 0), MATCH($A28, 'Daily 쨈 raw'!$1:$1, 0)), ""), IF(val=0, "", val))</f>
        <v/>
      </c>
      <c r="BU28" s="44" t="str">
        <f t="array" ref="BU28">LET(val, IFERROR(INDEX('Daily 쨈 raw'!$A:$ZZ, MATCH(BU$3, 'Daily 쨈 raw'!$A:$A, 0), MATCH($A28, 'Daily 쨈 raw'!$1:$1, 0)), ""), IF(val=0, "", val))</f>
        <v/>
      </c>
      <c r="BV28" s="44" t="str">
        <f t="array" ref="BV28">LET(val, IFERROR(INDEX('Daily 쨈 raw'!$A:$ZZ, MATCH(BV$3, 'Daily 쨈 raw'!$A:$A, 0), MATCH($A28, 'Daily 쨈 raw'!$1:$1, 0)), ""), IF(val=0, "", val))</f>
        <v/>
      </c>
      <c r="BW28" s="44" t="str">
        <f t="array" ref="BW28">LET(val, IFERROR(INDEX('Daily 쨈 raw'!$A:$ZZ, MATCH(BW$3, 'Daily 쨈 raw'!$A:$A, 0), MATCH($A28, 'Daily 쨈 raw'!$1:$1, 0)), ""), IF(val=0, "", val))</f>
        <v/>
      </c>
      <c r="BX28" s="44" t="str">
        <f t="array" ref="BX28">LET(val, IFERROR(INDEX('Daily 쨈 raw'!$A:$ZZ, MATCH(BX$3, 'Daily 쨈 raw'!$A:$A, 0), MATCH($A28, 'Daily 쨈 raw'!$1:$1, 0)), ""), IF(val=0, "", val))</f>
        <v/>
      </c>
      <c r="BY28" s="44" t="str">
        <f t="array" ref="BY28">LET(val, IFERROR(INDEX('Daily 쨈 raw'!$A:$ZZ, MATCH(BY$3, 'Daily 쨈 raw'!$A:$A, 0), MATCH($A28, 'Daily 쨈 raw'!$1:$1, 0)), ""), IF(val=0, "", val))</f>
        <v/>
      </c>
      <c r="BZ28" s="44" t="str">
        <f t="array" ref="BZ28">LET(val, IFERROR(INDEX('Daily 쨈 raw'!$A:$ZZ, MATCH(BZ$3, 'Daily 쨈 raw'!$A:$A, 0), MATCH($A28, 'Daily 쨈 raw'!$1:$1, 0)), ""), IF(val=0, "", val))</f>
        <v/>
      </c>
      <c r="CA28" s="44" t="str">
        <f t="array" ref="CA28">LET(val, IFERROR(INDEX('Daily 쨈 raw'!$A:$ZZ, MATCH(CA$3, 'Daily 쨈 raw'!$A:$A, 0), MATCH($A28, 'Daily 쨈 raw'!$1:$1, 0)), ""), IF(val=0, "", val))</f>
        <v/>
      </c>
      <c r="CB28" s="44" t="str">
        <f t="array" ref="CB28">LET(val, IFERROR(INDEX('Daily 쨈 raw'!$A:$ZZ, MATCH(CB$3, 'Daily 쨈 raw'!$A:$A, 0), MATCH($A28, 'Daily 쨈 raw'!$1:$1, 0)), ""), IF(val=0, "", val))</f>
        <v/>
      </c>
      <c r="CC28" s="44" t="str">
        <f t="array" ref="CC28">LET(val, IFERROR(INDEX('Daily 쨈 raw'!$A:$ZZ, MATCH(CC$3, 'Daily 쨈 raw'!$A:$A, 0), MATCH($A28, 'Daily 쨈 raw'!$1:$1, 0)), ""), IF(val=0, "", val))</f>
        <v/>
      </c>
      <c r="CD28" s="44" t="str">
        <f t="array" ref="CD28">LET(val, IFERROR(INDEX('Daily 쨈 raw'!$A:$ZZ, MATCH(CD$3, 'Daily 쨈 raw'!$A:$A, 0), MATCH($A28, 'Daily 쨈 raw'!$1:$1, 0)), ""), IF(val=0, "", val))</f>
        <v/>
      </c>
      <c r="CE28" s="44" t="str">
        <f t="array" ref="CE28">LET(val, IFERROR(INDEX('Daily 쨈 raw'!$A:$ZZ, MATCH(CE$3, 'Daily 쨈 raw'!$A:$A, 0), MATCH($A28, 'Daily 쨈 raw'!$1:$1, 0)), ""), IF(val=0, "", val))</f>
        <v/>
      </c>
      <c r="CF28" s="44" t="str">
        <f t="array" ref="CF28">LET(val, IFERROR(INDEX('Daily 쨈 raw'!$A:$ZZ, MATCH(CF$3, 'Daily 쨈 raw'!$A:$A, 0), MATCH($A28, 'Daily 쨈 raw'!$1:$1, 0)), ""), IF(val=0, "", val))</f>
        <v/>
      </c>
      <c r="CG28" s="44" t="str">
        <f t="array" ref="CG28">LET(val, IFERROR(INDEX('Daily 쨈 raw'!$A:$ZZ, MATCH(CG$3, 'Daily 쨈 raw'!$A:$A, 0), MATCH($A28, 'Daily 쨈 raw'!$1:$1, 0)), ""), IF(val=0, "", val))</f>
        <v/>
      </c>
      <c r="CH28" s="44" t="str">
        <f t="array" ref="CH28">LET(val, IFERROR(INDEX('Daily 쨈 raw'!$A:$ZZ, MATCH(CH$3, 'Daily 쨈 raw'!$A:$A, 0), MATCH($A28, 'Daily 쨈 raw'!$1:$1, 0)), ""), IF(val=0, "", val))</f>
        <v/>
      </c>
      <c r="CI28" s="44" t="str">
        <f t="array" ref="CI28">LET(val, IFERROR(INDEX('Daily 쨈 raw'!$A:$ZZ, MATCH(CI$3, 'Daily 쨈 raw'!$A:$A, 0), MATCH($A28, 'Daily 쨈 raw'!$1:$1, 0)), ""), IF(val=0, "", val))</f>
        <v/>
      </c>
      <c r="CJ28" s="44" t="str">
        <f t="array" ref="CJ28">LET(val, IFERROR(INDEX('Daily 쨈 raw'!$A:$ZZ, MATCH(CJ$3, 'Daily 쨈 raw'!$A:$A, 0), MATCH($A28, 'Daily 쨈 raw'!$1:$1, 0)), ""), IF(val=0, "", val))</f>
        <v/>
      </c>
      <c r="CK28" s="44" t="str">
        <f t="array" ref="CK28">LET(val, IFERROR(INDEX('Daily 쨈 raw'!$A:$ZZ, MATCH(CK$3, 'Daily 쨈 raw'!$A:$A, 0), MATCH($A28, 'Daily 쨈 raw'!$1:$1, 0)), ""), IF(val=0, "", val))</f>
        <v/>
      </c>
      <c r="CL28" s="44" t="str">
        <f t="array" ref="CL28">LET(val, IFERROR(INDEX('Daily 쨈 raw'!$A:$ZZ, MATCH(CL$3, 'Daily 쨈 raw'!$A:$A, 0), MATCH($A28, 'Daily 쨈 raw'!$1:$1, 0)), ""), IF(val=0, "", val))</f>
        <v/>
      </c>
      <c r="CM28" s="44" t="str">
        <f t="array" ref="CM28">LET(val, IFERROR(INDEX('Daily 쨈 raw'!$A:$ZZ, MATCH(CM$3, 'Daily 쨈 raw'!$A:$A, 0), MATCH($A28, 'Daily 쨈 raw'!$1:$1, 0)), ""), IF(val=0, "", val))</f>
        <v/>
      </c>
      <c r="CN28" s="44" t="str">
        <f t="array" ref="CN28">LET(val, IFERROR(INDEX('Daily 쨈 raw'!$A:$ZZ, MATCH(CN$3, 'Daily 쨈 raw'!$A:$A, 0), MATCH($A28, 'Daily 쨈 raw'!$1:$1, 0)), ""), IF(val=0, "", val))</f>
        <v/>
      </c>
      <c r="CO28" s="44" t="str">
        <f t="array" ref="CO28">LET(val, IFERROR(INDEX('Daily 쨈 raw'!$A:$ZZ, MATCH(CO$3, 'Daily 쨈 raw'!$A:$A, 0), MATCH($A28, 'Daily 쨈 raw'!$1:$1, 0)), ""), IF(val=0, "", val))</f>
        <v/>
      </c>
      <c r="CP28" s="44" t="str">
        <f t="array" ref="CP28">LET(val, IFERROR(INDEX('Daily 쨈 raw'!$A:$ZZ, MATCH(CP$3, 'Daily 쨈 raw'!$A:$A, 0), MATCH($A28, 'Daily 쨈 raw'!$1:$1, 0)), ""), IF(val=0, "", val))</f>
        <v/>
      </c>
      <c r="CQ28" s="44" t="str">
        <f t="array" ref="CQ28">LET(val, IFERROR(INDEX('Daily 쨈 raw'!$A:$ZZ, MATCH(CQ$3, 'Daily 쨈 raw'!$A:$A, 0), MATCH($A28, 'Daily 쨈 raw'!$1:$1, 0)), ""), IF(val=0, "", val))</f>
        <v/>
      </c>
      <c r="CR28" s="44" t="str">
        <f t="array" ref="CR28">LET(val, IFERROR(INDEX('Daily 쨈 raw'!$A:$ZZ, MATCH(CR$3, 'Daily 쨈 raw'!$A:$A, 0), MATCH($A28, 'Daily 쨈 raw'!$1:$1, 0)), ""), IF(val=0, "", val))</f>
        <v/>
      </c>
      <c r="CS28" s="44" t="str">
        <f t="array" ref="CS28">LET(val, IFERROR(INDEX('Daily 쨈 raw'!$A:$ZZ, MATCH(CS$3, 'Daily 쨈 raw'!$A:$A, 0), MATCH($A28, 'Daily 쨈 raw'!$1:$1, 0)), ""), IF(val=0, "", val))</f>
        <v/>
      </c>
      <c r="CT28" s="44" t="str">
        <f t="array" ref="CT28">LET(val, IFERROR(INDEX('Daily 쨈 raw'!$A:$ZZ, MATCH(CT$3, 'Daily 쨈 raw'!$A:$A, 0), MATCH($A28, 'Daily 쨈 raw'!$1:$1, 0)), ""), IF(val=0, "", val))</f>
        <v/>
      </c>
      <c r="CU28" s="44" t="str">
        <f t="array" ref="CU28">LET(val, IFERROR(INDEX('Daily 쨈 raw'!$A:$ZZ, MATCH(CU$3, 'Daily 쨈 raw'!$A:$A, 0), MATCH($A28, 'Daily 쨈 raw'!$1:$1, 0)), ""), IF(val=0, "", val))</f>
        <v/>
      </c>
      <c r="CV28" s="44" t="str">
        <f t="array" ref="CV28">LET(val, IFERROR(INDEX('Daily 쨈 raw'!$A:$ZZ, MATCH(CV$3, 'Daily 쨈 raw'!$A:$A, 0), MATCH($A28, 'Daily 쨈 raw'!$1:$1, 0)), ""), IF(val=0, "", val))</f>
        <v/>
      </c>
      <c r="CW28" s="44" t="str">
        <f t="array" ref="CW28">LET(val, IFERROR(INDEX('Daily 쨈 raw'!$A:$ZZ, MATCH(CW$3, 'Daily 쨈 raw'!$A:$A, 0), MATCH($A28, 'Daily 쨈 raw'!$1:$1, 0)), ""), IF(val=0, "", val))</f>
        <v/>
      </c>
      <c r="CX28" s="44" t="str">
        <f t="array" ref="CX28">LET(val, IFERROR(INDEX('Daily 쨈 raw'!$A:$ZZ, MATCH(CX$3, 'Daily 쨈 raw'!$A:$A, 0), MATCH($A28, 'Daily 쨈 raw'!$1:$1, 0)), ""), IF(val=0, "", val))</f>
        <v/>
      </c>
      <c r="CY28" s="44" t="str">
        <f t="array" ref="CY28">LET(val, IFERROR(INDEX('Daily 쨈 raw'!$A:$ZZ, MATCH(CY$3, 'Daily 쨈 raw'!$A:$A, 0), MATCH($A28, 'Daily 쨈 raw'!$1:$1, 0)), ""), IF(val=0, "", val))</f>
        <v/>
      </c>
      <c r="CZ28" s="44" t="str">
        <f t="array" ref="CZ28">LET(val, IFERROR(INDEX('Daily 쨈 raw'!$A:$ZZ, MATCH(CZ$3, 'Daily 쨈 raw'!$A:$A, 0), MATCH($A28, 'Daily 쨈 raw'!$1:$1, 0)), ""), IF(val=0, "", val))</f>
        <v/>
      </c>
      <c r="DA28" s="44" t="str">
        <f t="array" ref="DA28">LET(val, IFERROR(INDEX('Daily 쨈 raw'!$A:$ZZ, MATCH(DA$3, 'Daily 쨈 raw'!$A:$A, 0), MATCH($A28, 'Daily 쨈 raw'!$1:$1, 0)), ""), IF(val=0, "", val))</f>
        <v/>
      </c>
      <c r="DB28" s="44" t="str">
        <f t="array" ref="DB28">LET(val, IFERROR(INDEX('Daily 쨈 raw'!$A:$ZZ, MATCH(DB$3, 'Daily 쨈 raw'!$A:$A, 0), MATCH($A28, 'Daily 쨈 raw'!$1:$1, 0)), ""), IF(val=0, "", val))</f>
        <v/>
      </c>
      <c r="DC28" s="44" t="str">
        <f t="array" ref="DC28">LET(val, IFERROR(INDEX('Daily 쨈 raw'!$A:$ZZ, MATCH(DC$3, 'Daily 쨈 raw'!$A:$A, 0), MATCH($A28, 'Daily 쨈 raw'!$1:$1, 0)), ""), IF(val=0, "", val))</f>
        <v/>
      </c>
      <c r="DD28" s="44" t="str">
        <f t="array" ref="DD28">LET(val, IFERROR(INDEX('Daily 쨈 raw'!$A:$ZZ, MATCH(DD$3, 'Daily 쨈 raw'!$A:$A, 0), MATCH($A28, 'Daily 쨈 raw'!$1:$1, 0)), ""), IF(val=0, "", val))</f>
        <v/>
      </c>
      <c r="DE28" s="44" t="str">
        <f t="array" ref="DE28">LET(val, IFERROR(INDEX('Daily 쨈 raw'!$A:$ZZ, MATCH(DE$3, 'Daily 쨈 raw'!$A:$A, 0), MATCH($A28, 'Daily 쨈 raw'!$1:$1, 0)), ""), IF(val=0, "", val))</f>
        <v/>
      </c>
      <c r="DF28" s="44" t="str">
        <f t="array" ref="DF28">LET(val, IFERROR(INDEX('Daily 쨈 raw'!$A:$ZZ, MATCH(DF$3, 'Daily 쨈 raw'!$A:$A, 0), MATCH($A28, 'Daily 쨈 raw'!$1:$1, 0)), ""), IF(val=0, "", val))</f>
        <v/>
      </c>
      <c r="DG28" s="44" t="str">
        <f t="array" ref="DG28">LET(val, IFERROR(INDEX('Daily 쨈 raw'!$A:$ZZ, MATCH(DG$3, 'Daily 쨈 raw'!$A:$A, 0), MATCH($A28, 'Daily 쨈 raw'!$1:$1, 0)), ""), IF(val=0, "", val))</f>
        <v/>
      </c>
      <c r="DH28" s="44" t="str">
        <f t="array" ref="DH28">LET(val, IFERROR(INDEX('Daily 쨈 raw'!$A:$ZZ, MATCH(DH$3, 'Daily 쨈 raw'!$A:$A, 0), MATCH($A28, 'Daily 쨈 raw'!$1:$1, 0)), ""), IF(val=0, "", val))</f>
        <v/>
      </c>
      <c r="DI28" s="44" t="str">
        <f t="array" ref="DI28">LET(val, IFERROR(INDEX('Daily 쨈 raw'!$A:$ZZ, MATCH(DI$3, 'Daily 쨈 raw'!$A:$A, 0), MATCH($A28, 'Daily 쨈 raw'!$1:$1, 0)), ""), IF(val=0, "", val))</f>
        <v/>
      </c>
      <c r="DJ28" s="44" t="str">
        <f t="array" ref="DJ28">LET(val, IFERROR(INDEX('Daily 쨈 raw'!$A:$ZZ, MATCH(DJ$3, 'Daily 쨈 raw'!$A:$A, 0), MATCH($A28, 'Daily 쨈 raw'!$1:$1, 0)), ""), IF(val=0, "", val))</f>
        <v/>
      </c>
      <c r="DK28" s="44" t="str">
        <f t="array" ref="DK28">LET(val, IFERROR(INDEX('Daily 쨈 raw'!$A:$ZZ, MATCH(DK$3, 'Daily 쨈 raw'!$A:$A, 0), MATCH($A28, 'Daily 쨈 raw'!$1:$1, 0)), ""), IF(val=0, "", val))</f>
        <v/>
      </c>
      <c r="DL28" s="44" t="str">
        <f t="array" ref="DL28">LET(val, IFERROR(INDEX('Daily 쨈 raw'!$A:$ZZ, MATCH(DL$3, 'Daily 쨈 raw'!$A:$A, 0), MATCH($A28, 'Daily 쨈 raw'!$1:$1, 0)), ""), IF(val=0, "", val))</f>
        <v/>
      </c>
      <c r="DM28" s="44" t="str">
        <f t="array" ref="DM28">LET(val, IFERROR(INDEX('Daily 쨈 raw'!$A:$ZZ, MATCH(DM$3, 'Daily 쨈 raw'!$A:$A, 0), MATCH($A28, 'Daily 쨈 raw'!$1:$1, 0)), ""), IF(val=0, "", val))</f>
        <v/>
      </c>
      <c r="DN28" s="44" t="str">
        <f t="array" ref="DN28">LET(val, IFERROR(INDEX('Daily 쨈 raw'!$A:$ZZ, MATCH(DN$3, 'Daily 쨈 raw'!$A:$A, 0), MATCH($A28, 'Daily 쨈 raw'!$1:$1, 0)), ""), IF(val=0, "", val))</f>
        <v/>
      </c>
      <c r="DO28" s="44" t="str">
        <f t="array" ref="DO28">LET(val, IFERROR(INDEX('Daily 쨈 raw'!$A:$ZZ, MATCH(DO$3, 'Daily 쨈 raw'!$A:$A, 0), MATCH($A28, 'Daily 쨈 raw'!$1:$1, 0)), ""), IF(val=0, "", val))</f>
        <v/>
      </c>
      <c r="DP28" s="44" t="str">
        <f t="array" ref="DP28">LET(val, IFERROR(INDEX('Daily 쨈 raw'!$A:$ZZ, MATCH(DP$3, 'Daily 쨈 raw'!$A:$A, 0), MATCH($A28, 'Daily 쨈 raw'!$1:$1, 0)), ""), IF(val=0, "", val))</f>
        <v/>
      </c>
      <c r="DQ28" s="44" t="str">
        <f t="array" ref="DQ28">LET(val, IFERROR(INDEX('Daily 쨈 raw'!$A:$ZZ, MATCH(DQ$3, 'Daily 쨈 raw'!$A:$A, 0), MATCH($A28, 'Daily 쨈 raw'!$1:$1, 0)), ""), IF(val=0, "", val))</f>
        <v/>
      </c>
      <c r="DR28" s="44" t="str">
        <f t="array" ref="DR28">LET(val, IFERROR(INDEX('Daily 쨈 raw'!$A:$ZZ, MATCH(DR$3, 'Daily 쨈 raw'!$A:$A, 0), MATCH($A28, 'Daily 쨈 raw'!$1:$1, 0)), ""), IF(val=0, "", val))</f>
        <v/>
      </c>
      <c r="DS28" s="44" t="str">
        <f t="array" ref="DS28">LET(val, IFERROR(INDEX('Daily 쨈 raw'!$A:$ZZ, MATCH(DS$3, 'Daily 쨈 raw'!$A:$A, 0), MATCH($A28, 'Daily 쨈 raw'!$1:$1, 0)), ""), IF(val=0, "", val))</f>
        <v/>
      </c>
      <c r="DT28" s="44" t="str">
        <f t="array" ref="DT28">LET(val, IFERROR(INDEX('Daily 쨈 raw'!$A:$ZZ, MATCH(DT$3, 'Daily 쨈 raw'!$A:$A, 0), MATCH($A28, 'Daily 쨈 raw'!$1:$1, 0)), ""), IF(val=0, "", val))</f>
        <v/>
      </c>
      <c r="DU28" s="44" t="str">
        <f t="array" ref="DU28">LET(val, IFERROR(INDEX('Daily 쨈 raw'!$A:$ZZ, MATCH(DU$3, 'Daily 쨈 raw'!$A:$A, 0), MATCH($A28, 'Daily 쨈 raw'!$1:$1, 0)), ""), IF(val=0, "", val))</f>
        <v/>
      </c>
      <c r="DV28" s="44" t="str">
        <f t="array" ref="DV28">LET(val, IFERROR(INDEX('Daily 쨈 raw'!$A:$ZZ, MATCH(DV$3, 'Daily 쨈 raw'!$A:$A, 0), MATCH($A28, 'Daily 쨈 raw'!$1:$1, 0)), ""), IF(val=0, "", val))</f>
        <v/>
      </c>
      <c r="DW28" s="44" t="str">
        <f t="array" ref="DW28">LET(val, IFERROR(INDEX('Daily 쨈 raw'!$A:$ZZ, MATCH(DW$3, 'Daily 쨈 raw'!$A:$A, 0), MATCH($A28, 'Daily 쨈 raw'!$1:$1, 0)), ""), IF(val=0, "", val))</f>
        <v/>
      </c>
      <c r="DX28" s="57"/>
      <c r="DY28" s="57"/>
      <c r="DZ28" s="57"/>
    </row>
    <row r="29" ht="22.5" customHeight="1">
      <c r="A29" s="16" t="s">
        <v>39</v>
      </c>
      <c r="B29" s="17" t="s">
        <v>87</v>
      </c>
      <c r="C29" s="44" t="str">
        <f t="array" ref="C29">LET(val, IFERROR(INDEX('Daily 쨈 raw'!$A:$ZZ, MATCH(C$3, 'Daily 쨈 raw'!$A:$A, 0), MATCH($A29, 'Daily 쨈 raw'!$1:$1, 0)), ""), IF(val=0, "", val))</f>
        <v/>
      </c>
      <c r="D29" s="44" t="str">
        <f t="array" ref="D29">LET(val, IFERROR(INDEX('Daily 쨈 raw'!$A:$ZZ, MATCH(D$3, 'Daily 쨈 raw'!$A:$A, 0), MATCH($A29, 'Daily 쨈 raw'!$1:$1, 0)), ""), IF(val=0, "", val))</f>
        <v/>
      </c>
      <c r="E29" s="44" t="str">
        <f t="array" ref="E29">LET(val, IFERROR(INDEX('Daily 쨈 raw'!$A:$ZZ, MATCH(E$3, 'Daily 쨈 raw'!$A:$A, 0), MATCH($A29, 'Daily 쨈 raw'!$1:$1, 0)), ""), IF(val=0, "", val))</f>
        <v/>
      </c>
      <c r="F29" s="44" t="str">
        <f t="array" ref="F29">LET(val, IFERROR(INDEX('Daily 쨈 raw'!$A:$ZZ, MATCH(F$3, 'Daily 쨈 raw'!$A:$A, 0), MATCH($A29, 'Daily 쨈 raw'!$1:$1, 0)), ""), IF(val=0, "", val))</f>
        <v/>
      </c>
      <c r="G29" s="44" t="str">
        <f t="array" ref="G29">LET(val, IFERROR(INDEX('Daily 쨈 raw'!$A:$ZZ, MATCH(G$3, 'Daily 쨈 raw'!$A:$A, 0), MATCH($A29, 'Daily 쨈 raw'!$1:$1, 0)), ""), IF(val=0, "", val))</f>
        <v/>
      </c>
      <c r="H29" s="44" t="str">
        <f t="array" ref="H29">LET(val, IFERROR(INDEX('Daily 쨈 raw'!$A:$ZZ, MATCH(H$3, 'Daily 쨈 raw'!$A:$A, 0), MATCH($A29, 'Daily 쨈 raw'!$1:$1, 0)), ""), IF(val=0, "", val))</f>
        <v/>
      </c>
      <c r="I29" s="44" t="str">
        <f t="array" ref="I29">LET(val, IFERROR(INDEX('Daily 쨈 raw'!$A:$ZZ, MATCH(I$3, 'Daily 쨈 raw'!$A:$A, 0), MATCH($A29, 'Daily 쨈 raw'!$1:$1, 0)), ""), IF(val=0, "", val))</f>
        <v/>
      </c>
      <c r="J29" s="44" t="str">
        <f t="array" ref="J29">LET(val, IFERROR(INDEX('Daily 쨈 raw'!$A:$ZZ, MATCH(J$3, 'Daily 쨈 raw'!$A:$A, 0), MATCH($A29, 'Daily 쨈 raw'!$1:$1, 0)), ""), IF(val=0, "", val))</f>
        <v/>
      </c>
      <c r="K29" s="44" t="str">
        <f t="array" ref="K29">LET(val, IFERROR(INDEX('Daily 쨈 raw'!$A:$ZZ, MATCH(K$3, 'Daily 쨈 raw'!$A:$A, 0), MATCH($A29, 'Daily 쨈 raw'!$1:$1, 0)), ""), IF(val=0, "", val))</f>
        <v/>
      </c>
      <c r="L29" s="44" t="str">
        <f t="array" ref="L29">LET(val, IFERROR(INDEX('Daily 쨈 raw'!$A:$ZZ, MATCH(L$3, 'Daily 쨈 raw'!$A:$A, 0), MATCH($A29, 'Daily 쨈 raw'!$1:$1, 0)), ""), IF(val=0, "", val))</f>
        <v/>
      </c>
      <c r="M29" s="44" t="str">
        <f t="array" ref="M29">LET(val, IFERROR(INDEX('Daily 쨈 raw'!$A:$ZZ, MATCH(M$3, 'Daily 쨈 raw'!$A:$A, 0), MATCH($A29, 'Daily 쨈 raw'!$1:$1, 0)), ""), IF(val=0, "", val))</f>
        <v/>
      </c>
      <c r="N29" s="44" t="str">
        <f t="array" ref="N29">LET(val, IFERROR(INDEX('Daily 쨈 raw'!$A:$ZZ, MATCH(N$3, 'Daily 쨈 raw'!$A:$A, 0), MATCH($A29, 'Daily 쨈 raw'!$1:$1, 0)), ""), IF(val=0, "", val))</f>
        <v/>
      </c>
      <c r="O29" s="44" t="str">
        <f t="array" ref="O29">LET(val, IFERROR(INDEX('Daily 쨈 raw'!$A:$ZZ, MATCH(O$3, 'Daily 쨈 raw'!$A:$A, 0), MATCH($A29, 'Daily 쨈 raw'!$1:$1, 0)), ""), IF(val=0, "", val))</f>
        <v/>
      </c>
      <c r="P29" s="44" t="str">
        <f t="array" ref="P29">LET(val, IFERROR(INDEX('Daily 쨈 raw'!$A:$ZZ, MATCH(P$3, 'Daily 쨈 raw'!$A:$A, 0), MATCH($A29, 'Daily 쨈 raw'!$1:$1, 0)), ""), IF(val=0, "", val))</f>
        <v/>
      </c>
      <c r="Q29" s="44" t="str">
        <f t="array" ref="Q29">LET(val, IFERROR(INDEX('Daily 쨈 raw'!$A:$ZZ, MATCH(Q$3, 'Daily 쨈 raw'!$A:$A, 0), MATCH($A29, 'Daily 쨈 raw'!$1:$1, 0)), ""), IF(val=0, "", val))</f>
        <v/>
      </c>
      <c r="R29" s="44" t="str">
        <f t="array" ref="R29">LET(val, IFERROR(INDEX('Daily 쨈 raw'!$A:$ZZ, MATCH(R$3, 'Daily 쨈 raw'!$A:$A, 0), MATCH($A29, 'Daily 쨈 raw'!$1:$1, 0)), ""), IF(val=0, "", val))</f>
        <v/>
      </c>
      <c r="S29" s="44" t="str">
        <f t="array" ref="S29">LET(val, IFERROR(INDEX('Daily 쨈 raw'!$A:$ZZ, MATCH(S$3, 'Daily 쨈 raw'!$A:$A, 0), MATCH($A29, 'Daily 쨈 raw'!$1:$1, 0)), ""), IF(val=0, "", val))</f>
        <v/>
      </c>
      <c r="T29" s="44" t="str">
        <f t="array" ref="T29">LET(val, IFERROR(INDEX('Daily 쨈 raw'!$A:$ZZ, MATCH(T$3, 'Daily 쨈 raw'!$A:$A, 0), MATCH($A29, 'Daily 쨈 raw'!$1:$1, 0)), ""), IF(val=0, "", val))</f>
        <v/>
      </c>
      <c r="U29" s="44" t="str">
        <f t="array" ref="U29">LET(val, IFERROR(INDEX('Daily 쨈 raw'!$A:$ZZ, MATCH(U$3, 'Daily 쨈 raw'!$A:$A, 0), MATCH($A29, 'Daily 쨈 raw'!$1:$1, 0)), ""), IF(val=0, "", val))</f>
        <v/>
      </c>
      <c r="V29" s="44" t="str">
        <f t="array" ref="V29">LET(val, IFERROR(INDEX('Daily 쨈 raw'!$A:$ZZ, MATCH(V$3, 'Daily 쨈 raw'!$A:$A, 0), MATCH($A29, 'Daily 쨈 raw'!$1:$1, 0)), ""), IF(val=0, "", val))</f>
        <v/>
      </c>
      <c r="W29" s="44" t="str">
        <f t="array" ref="W29">LET(val, IFERROR(INDEX('Daily 쨈 raw'!$A:$ZZ, MATCH(W$3, 'Daily 쨈 raw'!$A:$A, 0), MATCH($A29, 'Daily 쨈 raw'!$1:$1, 0)), ""), IF(val=0, "", val))</f>
        <v/>
      </c>
      <c r="X29" s="44" t="str">
        <f t="array" ref="X29">LET(val, IFERROR(INDEX('Daily 쨈 raw'!$A:$ZZ, MATCH(X$3, 'Daily 쨈 raw'!$A:$A, 0), MATCH($A29, 'Daily 쨈 raw'!$1:$1, 0)), ""), IF(val=0, "", val))</f>
        <v/>
      </c>
      <c r="Y29" s="44" t="str">
        <f t="array" ref="Y29">LET(val, IFERROR(INDEX('Daily 쨈 raw'!$A:$ZZ, MATCH(Y$3, 'Daily 쨈 raw'!$A:$A, 0), MATCH($A29, 'Daily 쨈 raw'!$1:$1, 0)), ""), IF(val=0, "", val))</f>
        <v/>
      </c>
      <c r="Z29" s="44" t="str">
        <f t="array" ref="Z29">LET(val, IFERROR(INDEX('Daily 쨈 raw'!$A:$ZZ, MATCH(Z$3, 'Daily 쨈 raw'!$A:$A, 0), MATCH($A29, 'Daily 쨈 raw'!$1:$1, 0)), ""), IF(val=0, "", val))</f>
        <v/>
      </c>
      <c r="AA29" s="44" t="str">
        <f t="array" ref="AA29">LET(val, IFERROR(INDEX('Daily 쨈 raw'!$A:$ZZ, MATCH(AA$3, 'Daily 쨈 raw'!$A:$A, 0), MATCH($A29, 'Daily 쨈 raw'!$1:$1, 0)), ""), IF(val=0, "", val))</f>
        <v/>
      </c>
      <c r="AB29" s="44" t="str">
        <f t="array" ref="AB29">LET(val, IFERROR(INDEX('Daily 쨈 raw'!$A:$ZZ, MATCH(AB$3, 'Daily 쨈 raw'!$A:$A, 0), MATCH($A29, 'Daily 쨈 raw'!$1:$1, 0)), ""), IF(val=0, "", val))</f>
        <v/>
      </c>
      <c r="AC29" s="44" t="str">
        <f t="array" ref="AC29">LET(val, IFERROR(INDEX('Daily 쨈 raw'!$A:$ZZ, MATCH(AC$3, 'Daily 쨈 raw'!$A:$A, 0), MATCH($A29, 'Daily 쨈 raw'!$1:$1, 0)), ""), IF(val=0, "", val))</f>
        <v/>
      </c>
      <c r="AD29" s="44" t="str">
        <f t="array" ref="AD29">LET(val, IFERROR(INDEX('Daily 쨈 raw'!$A:$ZZ, MATCH(AD$3, 'Daily 쨈 raw'!$A:$A, 0), MATCH($A29, 'Daily 쨈 raw'!$1:$1, 0)), ""), IF(val=0, "", val))</f>
        <v/>
      </c>
      <c r="AE29" s="44" t="str">
        <f t="array" ref="AE29">LET(val, IFERROR(INDEX('Daily 쨈 raw'!$A:$ZZ, MATCH(AE$3, 'Daily 쨈 raw'!$A:$A, 0), MATCH($A29, 'Daily 쨈 raw'!$1:$1, 0)), ""), IF(val=0, "", val))</f>
        <v/>
      </c>
      <c r="AF29" s="44" t="str">
        <f t="array" ref="AF29">LET(val, IFERROR(INDEX('Daily 쨈 raw'!$A:$ZZ, MATCH(AF$3, 'Daily 쨈 raw'!$A:$A, 0), MATCH($A29, 'Daily 쨈 raw'!$1:$1, 0)), ""), IF(val=0, "", val))</f>
        <v/>
      </c>
      <c r="AG29" s="44" t="str">
        <f t="array" ref="AG29">LET(val, IFERROR(INDEX('Daily 쨈 raw'!$A:$ZZ, MATCH(AG$3, 'Daily 쨈 raw'!$A:$A, 0), MATCH($A29, 'Daily 쨈 raw'!$1:$1, 0)), ""), IF(val=0, "", val))</f>
        <v/>
      </c>
      <c r="AH29" s="44" t="str">
        <f t="array" ref="AH29">LET(val, IFERROR(INDEX('Daily 쨈 raw'!$A:$ZZ, MATCH(AH$3, 'Daily 쨈 raw'!$A:$A, 0), MATCH($A29, 'Daily 쨈 raw'!$1:$1, 0)), ""), IF(val=0, "", val))</f>
        <v/>
      </c>
      <c r="AI29" s="44" t="str">
        <f t="array" ref="AI29">LET(val, IFERROR(INDEX('Daily 쨈 raw'!$A:$ZZ, MATCH(AI$3, 'Daily 쨈 raw'!$A:$A, 0), MATCH($A29, 'Daily 쨈 raw'!$1:$1, 0)), ""), IF(val=0, "", val))</f>
        <v/>
      </c>
      <c r="AJ29" s="44" t="str">
        <f t="array" ref="AJ29">LET(val, IFERROR(INDEX('Daily 쨈 raw'!$A:$ZZ, MATCH(AJ$3, 'Daily 쨈 raw'!$A:$A, 0), MATCH($A29, 'Daily 쨈 raw'!$1:$1, 0)), ""), IF(val=0, "", val))</f>
        <v/>
      </c>
      <c r="AK29" s="44" t="str">
        <f t="array" ref="AK29">LET(val, IFERROR(INDEX('Daily 쨈 raw'!$A:$ZZ, MATCH(AK$3, 'Daily 쨈 raw'!$A:$A, 0), MATCH($A29, 'Daily 쨈 raw'!$1:$1, 0)), ""), IF(val=0, "", val))</f>
        <v/>
      </c>
      <c r="AL29" s="44" t="str">
        <f t="array" ref="AL29">LET(val, IFERROR(INDEX('Daily 쨈 raw'!$A:$ZZ, MATCH(AL$3, 'Daily 쨈 raw'!$A:$A, 0), MATCH($A29, 'Daily 쨈 raw'!$1:$1, 0)), ""), IF(val=0, "", val))</f>
        <v/>
      </c>
      <c r="AM29" s="44" t="str">
        <f t="array" ref="AM29">LET(val, IFERROR(INDEX('Daily 쨈 raw'!$A:$ZZ, MATCH(AM$3, 'Daily 쨈 raw'!$A:$A, 0), MATCH($A29, 'Daily 쨈 raw'!$1:$1, 0)), ""), IF(val=0, "", val))</f>
        <v/>
      </c>
      <c r="AN29" s="44" t="str">
        <f t="array" ref="AN29">LET(val, IFERROR(INDEX('Daily 쨈 raw'!$A:$ZZ, MATCH(AN$3, 'Daily 쨈 raw'!$A:$A, 0), MATCH($A29, 'Daily 쨈 raw'!$1:$1, 0)), ""), IF(val=0, "", val))</f>
        <v/>
      </c>
      <c r="AO29" s="44" t="str">
        <f t="array" ref="AO29">LET(val, IFERROR(INDEX('Daily 쨈 raw'!$A:$ZZ, MATCH(AO$3, 'Daily 쨈 raw'!$A:$A, 0), MATCH($A29, 'Daily 쨈 raw'!$1:$1, 0)), ""), IF(val=0, "", val))</f>
        <v/>
      </c>
      <c r="AP29" s="44" t="str">
        <f t="array" ref="AP29">LET(val, IFERROR(INDEX('Daily 쨈 raw'!$A:$ZZ, MATCH(AP$3, 'Daily 쨈 raw'!$A:$A, 0), MATCH($A29, 'Daily 쨈 raw'!$1:$1, 0)), ""), IF(val=0, "", val))</f>
        <v/>
      </c>
      <c r="AQ29" s="44" t="str">
        <f t="array" ref="AQ29">LET(val, IFERROR(INDEX('Daily 쨈 raw'!$A:$ZZ, MATCH(AQ$3, 'Daily 쨈 raw'!$A:$A, 0), MATCH($A29, 'Daily 쨈 raw'!$1:$1, 0)), ""), IF(val=0, "", val))</f>
        <v/>
      </c>
      <c r="AR29" s="44" t="str">
        <f t="array" ref="AR29">LET(val, IFERROR(INDEX('Daily 쨈 raw'!$A:$ZZ, MATCH(AR$3, 'Daily 쨈 raw'!$A:$A, 0), MATCH($A29, 'Daily 쨈 raw'!$1:$1, 0)), ""), IF(val=0, "", val))</f>
        <v/>
      </c>
      <c r="AS29" s="44" t="str">
        <f t="array" ref="AS29">LET(val, IFERROR(INDEX('Daily 쨈 raw'!$A:$ZZ, MATCH(AS$3, 'Daily 쨈 raw'!$A:$A, 0), MATCH($A29, 'Daily 쨈 raw'!$1:$1, 0)), ""), IF(val=0, "", val))</f>
        <v/>
      </c>
      <c r="AT29" s="44" t="str">
        <f t="array" ref="AT29">LET(val, IFERROR(INDEX('Daily 쨈 raw'!$A:$ZZ, MATCH(AT$3, 'Daily 쨈 raw'!$A:$A, 0), MATCH($A29, 'Daily 쨈 raw'!$1:$1, 0)), ""), IF(val=0, "", val))</f>
        <v/>
      </c>
      <c r="AU29" s="44" t="str">
        <f t="array" ref="AU29">LET(val, IFERROR(INDEX('Daily 쨈 raw'!$A:$ZZ, MATCH(AU$3, 'Daily 쨈 raw'!$A:$A, 0), MATCH($A29, 'Daily 쨈 raw'!$1:$1, 0)), ""), IF(val=0, "", val))</f>
        <v/>
      </c>
      <c r="AV29" s="44" t="str">
        <f t="array" ref="AV29">LET(val, IFERROR(INDEX('Daily 쨈 raw'!$A:$ZZ, MATCH(AV$3, 'Daily 쨈 raw'!$A:$A, 0), MATCH($A29, 'Daily 쨈 raw'!$1:$1, 0)), ""), IF(val=0, "", val))</f>
        <v/>
      </c>
      <c r="AW29" s="44" t="str">
        <f t="array" ref="AW29">LET(val, IFERROR(INDEX('Daily 쨈 raw'!$A:$ZZ, MATCH(AW$3, 'Daily 쨈 raw'!$A:$A, 0), MATCH($A29, 'Daily 쨈 raw'!$1:$1, 0)), ""), IF(val=0, "", val))</f>
        <v/>
      </c>
      <c r="AX29" s="44" t="str">
        <f t="array" ref="AX29">LET(val, IFERROR(INDEX('Daily 쨈 raw'!$A:$ZZ, MATCH(AX$3, 'Daily 쨈 raw'!$A:$A, 0), MATCH($A29, 'Daily 쨈 raw'!$1:$1, 0)), ""), IF(val=0, "", val))</f>
        <v/>
      </c>
      <c r="AY29" s="44" t="str">
        <f t="array" ref="AY29">LET(val, IFERROR(INDEX('Daily 쨈 raw'!$A:$ZZ, MATCH(AY$3, 'Daily 쨈 raw'!$A:$A, 0), MATCH($A29, 'Daily 쨈 raw'!$1:$1, 0)), ""), IF(val=0, "", val))</f>
        <v/>
      </c>
      <c r="AZ29" s="44" t="str">
        <f t="array" ref="AZ29">LET(val, IFERROR(INDEX('Daily 쨈 raw'!$A:$ZZ, MATCH(AZ$3, 'Daily 쨈 raw'!$A:$A, 0), MATCH($A29, 'Daily 쨈 raw'!$1:$1, 0)), ""), IF(val=0, "", val))</f>
        <v/>
      </c>
      <c r="BA29" s="44" t="str">
        <f t="array" ref="BA29">LET(val, IFERROR(INDEX('Daily 쨈 raw'!$A:$ZZ, MATCH(BA$3, 'Daily 쨈 raw'!$A:$A, 0), MATCH($A29, 'Daily 쨈 raw'!$1:$1, 0)), ""), IF(val=0, "", val))</f>
        <v/>
      </c>
      <c r="BB29" s="44" t="str">
        <f t="array" ref="BB29">LET(val, IFERROR(INDEX('Daily 쨈 raw'!$A:$ZZ, MATCH(BB$3, 'Daily 쨈 raw'!$A:$A, 0), MATCH($A29, 'Daily 쨈 raw'!$1:$1, 0)), ""), IF(val=0, "", val))</f>
        <v/>
      </c>
      <c r="BC29" s="44" t="str">
        <f t="array" ref="BC29">LET(val, IFERROR(INDEX('Daily 쨈 raw'!$A:$ZZ, MATCH(BC$3, 'Daily 쨈 raw'!$A:$A, 0), MATCH($A29, 'Daily 쨈 raw'!$1:$1, 0)), ""), IF(val=0, "", val))</f>
        <v/>
      </c>
      <c r="BD29" s="44" t="str">
        <f t="array" ref="BD29">LET(val, IFERROR(INDEX('Daily 쨈 raw'!$A:$ZZ, MATCH(BD$3, 'Daily 쨈 raw'!$A:$A, 0), MATCH($A29, 'Daily 쨈 raw'!$1:$1, 0)), ""), IF(val=0, "", val))</f>
        <v/>
      </c>
      <c r="BE29" s="44" t="str">
        <f t="array" ref="BE29">LET(val, IFERROR(INDEX('Daily 쨈 raw'!$A:$ZZ, MATCH(BE$3, 'Daily 쨈 raw'!$A:$A, 0), MATCH($A29, 'Daily 쨈 raw'!$1:$1, 0)), ""), IF(val=0, "", val))</f>
        <v/>
      </c>
      <c r="BF29" s="44" t="str">
        <f t="array" ref="BF29">LET(val, IFERROR(INDEX('Daily 쨈 raw'!$A:$ZZ, MATCH(BF$3, 'Daily 쨈 raw'!$A:$A, 0), MATCH($A29, 'Daily 쨈 raw'!$1:$1, 0)), ""), IF(val=0, "", val))</f>
        <v/>
      </c>
      <c r="BG29" s="44" t="str">
        <f t="array" ref="BG29">LET(val, IFERROR(INDEX('Daily 쨈 raw'!$A:$ZZ, MATCH(BG$3, 'Daily 쨈 raw'!$A:$A, 0), MATCH($A29, 'Daily 쨈 raw'!$1:$1, 0)), ""), IF(val=0, "", val))</f>
        <v/>
      </c>
      <c r="BH29" s="44" t="str">
        <f t="array" ref="BH29">LET(val, IFERROR(INDEX('Daily 쨈 raw'!$A:$ZZ, MATCH(BH$3, 'Daily 쨈 raw'!$A:$A, 0), MATCH($A29, 'Daily 쨈 raw'!$1:$1, 0)), ""), IF(val=0, "", val))</f>
        <v/>
      </c>
      <c r="BI29" s="44" t="str">
        <f t="array" ref="BI29">LET(val, IFERROR(INDEX('Daily 쨈 raw'!$A:$ZZ, MATCH(BI$3, 'Daily 쨈 raw'!$A:$A, 0), MATCH($A29, 'Daily 쨈 raw'!$1:$1, 0)), ""), IF(val=0, "", val))</f>
        <v/>
      </c>
      <c r="BJ29" s="44" t="str">
        <f t="array" ref="BJ29">LET(val, IFERROR(INDEX('Daily 쨈 raw'!$A:$ZZ, MATCH(BJ$3, 'Daily 쨈 raw'!$A:$A, 0), MATCH($A29, 'Daily 쨈 raw'!$1:$1, 0)), ""), IF(val=0, "", val))</f>
        <v/>
      </c>
      <c r="BK29" s="44" t="str">
        <f t="array" ref="BK29">LET(val, IFERROR(INDEX('Daily 쨈 raw'!$A:$ZZ, MATCH(BK$3, 'Daily 쨈 raw'!$A:$A, 0), MATCH($A29, 'Daily 쨈 raw'!$1:$1, 0)), ""), IF(val=0, "", val))</f>
        <v/>
      </c>
      <c r="BL29" s="44" t="str">
        <f t="array" ref="BL29">LET(val, IFERROR(INDEX('Daily 쨈 raw'!$A:$ZZ, MATCH(BL$3, 'Daily 쨈 raw'!$A:$A, 0), MATCH($A29, 'Daily 쨈 raw'!$1:$1, 0)), ""), IF(val=0, "", val))</f>
        <v/>
      </c>
      <c r="BM29" s="44" t="str">
        <f t="array" ref="BM29">LET(val, IFERROR(INDEX('Daily 쨈 raw'!$A:$ZZ, MATCH(BM$3, 'Daily 쨈 raw'!$A:$A, 0), MATCH($A29, 'Daily 쨈 raw'!$1:$1, 0)), ""), IF(val=0, "", val))</f>
        <v/>
      </c>
      <c r="BN29" s="44" t="str">
        <f t="array" ref="BN29">LET(val, IFERROR(INDEX('Daily 쨈 raw'!$A:$ZZ, MATCH(BN$3, 'Daily 쨈 raw'!$A:$A, 0), MATCH($A29, 'Daily 쨈 raw'!$1:$1, 0)), ""), IF(val=0, "", val))</f>
        <v/>
      </c>
      <c r="BO29" s="44" t="str">
        <f t="array" ref="BO29">LET(val, IFERROR(INDEX('Daily 쨈 raw'!$A:$ZZ, MATCH(BO$3, 'Daily 쨈 raw'!$A:$A, 0), MATCH($A29, 'Daily 쨈 raw'!$1:$1, 0)), ""), IF(val=0, "", val))</f>
        <v/>
      </c>
      <c r="BP29" s="44" t="str">
        <f t="array" ref="BP29">LET(val, IFERROR(INDEX('Daily 쨈 raw'!$A:$ZZ, MATCH(BP$3, 'Daily 쨈 raw'!$A:$A, 0), MATCH($A29, 'Daily 쨈 raw'!$1:$1, 0)), ""), IF(val=0, "", val))</f>
        <v/>
      </c>
      <c r="BQ29" s="44" t="str">
        <f t="array" ref="BQ29">LET(val, IFERROR(INDEX('Daily 쨈 raw'!$A:$ZZ, MATCH(BQ$3, 'Daily 쨈 raw'!$A:$A, 0), MATCH($A29, 'Daily 쨈 raw'!$1:$1, 0)), ""), IF(val=0, "", val))</f>
        <v/>
      </c>
      <c r="BR29" s="44" t="str">
        <f t="array" ref="BR29">LET(val, IFERROR(INDEX('Daily 쨈 raw'!$A:$ZZ, MATCH(BR$3, 'Daily 쨈 raw'!$A:$A, 0), MATCH($A29, 'Daily 쨈 raw'!$1:$1, 0)), ""), IF(val=0, "", val))</f>
        <v/>
      </c>
      <c r="BS29" s="44" t="str">
        <f t="array" ref="BS29">LET(val, IFERROR(INDEX('Daily 쨈 raw'!$A:$ZZ, MATCH(BS$3, 'Daily 쨈 raw'!$A:$A, 0), MATCH($A29, 'Daily 쨈 raw'!$1:$1, 0)), ""), IF(val=0, "", val))</f>
        <v/>
      </c>
      <c r="BT29" s="44" t="str">
        <f t="array" ref="BT29">LET(val, IFERROR(INDEX('Daily 쨈 raw'!$A:$ZZ, MATCH(BT$3, 'Daily 쨈 raw'!$A:$A, 0), MATCH($A29, 'Daily 쨈 raw'!$1:$1, 0)), ""), IF(val=0, "", val))</f>
        <v/>
      </c>
      <c r="BU29" s="44" t="str">
        <f t="array" ref="BU29">LET(val, IFERROR(INDEX('Daily 쨈 raw'!$A:$ZZ, MATCH(BU$3, 'Daily 쨈 raw'!$A:$A, 0), MATCH($A29, 'Daily 쨈 raw'!$1:$1, 0)), ""), IF(val=0, "", val))</f>
        <v/>
      </c>
      <c r="BV29" s="44" t="str">
        <f t="array" ref="BV29">LET(val, IFERROR(INDEX('Daily 쨈 raw'!$A:$ZZ, MATCH(BV$3, 'Daily 쨈 raw'!$A:$A, 0), MATCH($A29, 'Daily 쨈 raw'!$1:$1, 0)), ""), IF(val=0, "", val))</f>
        <v/>
      </c>
      <c r="BW29" s="44" t="str">
        <f t="array" ref="BW29">LET(val, IFERROR(INDEX('Daily 쨈 raw'!$A:$ZZ, MATCH(BW$3, 'Daily 쨈 raw'!$A:$A, 0), MATCH($A29, 'Daily 쨈 raw'!$1:$1, 0)), ""), IF(val=0, "", val))</f>
        <v/>
      </c>
      <c r="BX29" s="44" t="str">
        <f t="array" ref="BX29">LET(val, IFERROR(INDEX('Daily 쨈 raw'!$A:$ZZ, MATCH(BX$3, 'Daily 쨈 raw'!$A:$A, 0), MATCH($A29, 'Daily 쨈 raw'!$1:$1, 0)), ""), IF(val=0, "", val))</f>
        <v/>
      </c>
      <c r="BY29" s="44" t="str">
        <f t="array" ref="BY29">LET(val, IFERROR(INDEX('Daily 쨈 raw'!$A:$ZZ, MATCH(BY$3, 'Daily 쨈 raw'!$A:$A, 0), MATCH($A29, 'Daily 쨈 raw'!$1:$1, 0)), ""), IF(val=0, "", val))</f>
        <v/>
      </c>
      <c r="BZ29" s="44" t="str">
        <f t="array" ref="BZ29">LET(val, IFERROR(INDEX('Daily 쨈 raw'!$A:$ZZ, MATCH(BZ$3, 'Daily 쨈 raw'!$A:$A, 0), MATCH($A29, 'Daily 쨈 raw'!$1:$1, 0)), ""), IF(val=0, "", val))</f>
        <v/>
      </c>
      <c r="CA29" s="44" t="str">
        <f t="array" ref="CA29">LET(val, IFERROR(INDEX('Daily 쨈 raw'!$A:$ZZ, MATCH(CA$3, 'Daily 쨈 raw'!$A:$A, 0), MATCH($A29, 'Daily 쨈 raw'!$1:$1, 0)), ""), IF(val=0, "", val))</f>
        <v/>
      </c>
      <c r="CB29" s="44" t="str">
        <f t="array" ref="CB29">LET(val, IFERROR(INDEX('Daily 쨈 raw'!$A:$ZZ, MATCH(CB$3, 'Daily 쨈 raw'!$A:$A, 0), MATCH($A29, 'Daily 쨈 raw'!$1:$1, 0)), ""), IF(val=0, "", val))</f>
        <v/>
      </c>
      <c r="CC29" s="44" t="str">
        <f t="array" ref="CC29">LET(val, IFERROR(INDEX('Daily 쨈 raw'!$A:$ZZ, MATCH(CC$3, 'Daily 쨈 raw'!$A:$A, 0), MATCH($A29, 'Daily 쨈 raw'!$1:$1, 0)), ""), IF(val=0, "", val))</f>
        <v/>
      </c>
      <c r="CD29" s="44" t="str">
        <f t="array" ref="CD29">LET(val, IFERROR(INDEX('Daily 쨈 raw'!$A:$ZZ, MATCH(CD$3, 'Daily 쨈 raw'!$A:$A, 0), MATCH($A29, 'Daily 쨈 raw'!$1:$1, 0)), ""), IF(val=0, "", val))</f>
        <v/>
      </c>
      <c r="CE29" s="44" t="str">
        <f t="array" ref="CE29">LET(val, IFERROR(INDEX('Daily 쨈 raw'!$A:$ZZ, MATCH(CE$3, 'Daily 쨈 raw'!$A:$A, 0), MATCH($A29, 'Daily 쨈 raw'!$1:$1, 0)), ""), IF(val=0, "", val))</f>
        <v/>
      </c>
      <c r="CF29" s="44" t="str">
        <f t="array" ref="CF29">LET(val, IFERROR(INDEX('Daily 쨈 raw'!$A:$ZZ, MATCH(CF$3, 'Daily 쨈 raw'!$A:$A, 0), MATCH($A29, 'Daily 쨈 raw'!$1:$1, 0)), ""), IF(val=0, "", val))</f>
        <v/>
      </c>
      <c r="CG29" s="44" t="str">
        <f t="array" ref="CG29">LET(val, IFERROR(INDEX('Daily 쨈 raw'!$A:$ZZ, MATCH(CG$3, 'Daily 쨈 raw'!$A:$A, 0), MATCH($A29, 'Daily 쨈 raw'!$1:$1, 0)), ""), IF(val=0, "", val))</f>
        <v/>
      </c>
      <c r="CH29" s="44" t="str">
        <f t="array" ref="CH29">LET(val, IFERROR(INDEX('Daily 쨈 raw'!$A:$ZZ, MATCH(CH$3, 'Daily 쨈 raw'!$A:$A, 0), MATCH($A29, 'Daily 쨈 raw'!$1:$1, 0)), ""), IF(val=0, "", val))</f>
        <v/>
      </c>
      <c r="CI29" s="44" t="str">
        <f t="array" ref="CI29">LET(val, IFERROR(INDEX('Daily 쨈 raw'!$A:$ZZ, MATCH(CI$3, 'Daily 쨈 raw'!$A:$A, 0), MATCH($A29, 'Daily 쨈 raw'!$1:$1, 0)), ""), IF(val=0, "", val))</f>
        <v/>
      </c>
      <c r="CJ29" s="44" t="str">
        <f t="array" ref="CJ29">LET(val, IFERROR(INDEX('Daily 쨈 raw'!$A:$ZZ, MATCH(CJ$3, 'Daily 쨈 raw'!$A:$A, 0), MATCH($A29, 'Daily 쨈 raw'!$1:$1, 0)), ""), IF(val=0, "", val))</f>
        <v/>
      </c>
      <c r="CK29" s="44" t="str">
        <f t="array" ref="CK29">LET(val, IFERROR(INDEX('Daily 쨈 raw'!$A:$ZZ, MATCH(CK$3, 'Daily 쨈 raw'!$A:$A, 0), MATCH($A29, 'Daily 쨈 raw'!$1:$1, 0)), ""), IF(val=0, "", val))</f>
        <v/>
      </c>
      <c r="CL29" s="44" t="str">
        <f t="array" ref="CL29">LET(val, IFERROR(INDEX('Daily 쨈 raw'!$A:$ZZ, MATCH(CL$3, 'Daily 쨈 raw'!$A:$A, 0), MATCH($A29, 'Daily 쨈 raw'!$1:$1, 0)), ""), IF(val=0, "", val))</f>
        <v/>
      </c>
      <c r="CM29" s="44" t="str">
        <f t="array" ref="CM29">LET(val, IFERROR(INDEX('Daily 쨈 raw'!$A:$ZZ, MATCH(CM$3, 'Daily 쨈 raw'!$A:$A, 0), MATCH($A29, 'Daily 쨈 raw'!$1:$1, 0)), ""), IF(val=0, "", val))</f>
        <v/>
      </c>
      <c r="CN29" s="44" t="str">
        <f t="array" ref="CN29">LET(val, IFERROR(INDEX('Daily 쨈 raw'!$A:$ZZ, MATCH(CN$3, 'Daily 쨈 raw'!$A:$A, 0), MATCH($A29, 'Daily 쨈 raw'!$1:$1, 0)), ""), IF(val=0, "", val))</f>
        <v/>
      </c>
      <c r="CO29" s="44" t="str">
        <f t="array" ref="CO29">LET(val, IFERROR(INDEX('Daily 쨈 raw'!$A:$ZZ, MATCH(CO$3, 'Daily 쨈 raw'!$A:$A, 0), MATCH($A29, 'Daily 쨈 raw'!$1:$1, 0)), ""), IF(val=0, "", val))</f>
        <v/>
      </c>
      <c r="CP29" s="44" t="str">
        <f t="array" ref="CP29">LET(val, IFERROR(INDEX('Daily 쨈 raw'!$A:$ZZ, MATCH(CP$3, 'Daily 쨈 raw'!$A:$A, 0), MATCH($A29, 'Daily 쨈 raw'!$1:$1, 0)), ""), IF(val=0, "", val))</f>
        <v/>
      </c>
      <c r="CQ29" s="44" t="str">
        <f t="array" ref="CQ29">LET(val, IFERROR(INDEX('Daily 쨈 raw'!$A:$ZZ, MATCH(CQ$3, 'Daily 쨈 raw'!$A:$A, 0), MATCH($A29, 'Daily 쨈 raw'!$1:$1, 0)), ""), IF(val=0, "", val))</f>
        <v/>
      </c>
      <c r="CR29" s="44" t="str">
        <f t="array" ref="CR29">LET(val, IFERROR(INDEX('Daily 쨈 raw'!$A:$ZZ, MATCH(CR$3, 'Daily 쨈 raw'!$A:$A, 0), MATCH($A29, 'Daily 쨈 raw'!$1:$1, 0)), ""), IF(val=0, "", val))</f>
        <v/>
      </c>
      <c r="CS29" s="44" t="str">
        <f t="array" ref="CS29">LET(val, IFERROR(INDEX('Daily 쨈 raw'!$A:$ZZ, MATCH(CS$3, 'Daily 쨈 raw'!$A:$A, 0), MATCH($A29, 'Daily 쨈 raw'!$1:$1, 0)), ""), IF(val=0, "", val))</f>
        <v/>
      </c>
      <c r="CT29" s="44" t="str">
        <f t="array" ref="CT29">LET(val, IFERROR(INDEX('Daily 쨈 raw'!$A:$ZZ, MATCH(CT$3, 'Daily 쨈 raw'!$A:$A, 0), MATCH($A29, 'Daily 쨈 raw'!$1:$1, 0)), ""), IF(val=0, "", val))</f>
        <v/>
      </c>
      <c r="CU29" s="44" t="str">
        <f t="array" ref="CU29">LET(val, IFERROR(INDEX('Daily 쨈 raw'!$A:$ZZ, MATCH(CU$3, 'Daily 쨈 raw'!$A:$A, 0), MATCH($A29, 'Daily 쨈 raw'!$1:$1, 0)), ""), IF(val=0, "", val))</f>
        <v/>
      </c>
      <c r="CV29" s="44" t="str">
        <f t="array" ref="CV29">LET(val, IFERROR(INDEX('Daily 쨈 raw'!$A:$ZZ, MATCH(CV$3, 'Daily 쨈 raw'!$A:$A, 0), MATCH($A29, 'Daily 쨈 raw'!$1:$1, 0)), ""), IF(val=0, "", val))</f>
        <v/>
      </c>
      <c r="CW29" s="44" t="str">
        <f t="array" ref="CW29">LET(val, IFERROR(INDEX('Daily 쨈 raw'!$A:$ZZ, MATCH(CW$3, 'Daily 쨈 raw'!$A:$A, 0), MATCH($A29, 'Daily 쨈 raw'!$1:$1, 0)), ""), IF(val=0, "", val))</f>
        <v/>
      </c>
      <c r="CX29" s="44" t="str">
        <f t="array" ref="CX29">LET(val, IFERROR(INDEX('Daily 쨈 raw'!$A:$ZZ, MATCH(CX$3, 'Daily 쨈 raw'!$A:$A, 0), MATCH($A29, 'Daily 쨈 raw'!$1:$1, 0)), ""), IF(val=0, "", val))</f>
        <v/>
      </c>
      <c r="CY29" s="44" t="str">
        <f t="array" ref="CY29">LET(val, IFERROR(INDEX('Daily 쨈 raw'!$A:$ZZ, MATCH(CY$3, 'Daily 쨈 raw'!$A:$A, 0), MATCH($A29, 'Daily 쨈 raw'!$1:$1, 0)), ""), IF(val=0, "", val))</f>
        <v/>
      </c>
      <c r="CZ29" s="44" t="str">
        <f t="array" ref="CZ29">LET(val, IFERROR(INDEX('Daily 쨈 raw'!$A:$ZZ, MATCH(CZ$3, 'Daily 쨈 raw'!$A:$A, 0), MATCH($A29, 'Daily 쨈 raw'!$1:$1, 0)), ""), IF(val=0, "", val))</f>
        <v/>
      </c>
      <c r="DA29" s="44" t="str">
        <f t="array" ref="DA29">LET(val, IFERROR(INDEX('Daily 쨈 raw'!$A:$ZZ, MATCH(DA$3, 'Daily 쨈 raw'!$A:$A, 0), MATCH($A29, 'Daily 쨈 raw'!$1:$1, 0)), ""), IF(val=0, "", val))</f>
        <v/>
      </c>
      <c r="DB29" s="44" t="str">
        <f t="array" ref="DB29">LET(val, IFERROR(INDEX('Daily 쨈 raw'!$A:$ZZ, MATCH(DB$3, 'Daily 쨈 raw'!$A:$A, 0), MATCH($A29, 'Daily 쨈 raw'!$1:$1, 0)), ""), IF(val=0, "", val))</f>
        <v/>
      </c>
      <c r="DC29" s="44" t="str">
        <f t="array" ref="DC29">LET(val, IFERROR(INDEX('Daily 쨈 raw'!$A:$ZZ, MATCH(DC$3, 'Daily 쨈 raw'!$A:$A, 0), MATCH($A29, 'Daily 쨈 raw'!$1:$1, 0)), ""), IF(val=0, "", val))</f>
        <v/>
      </c>
      <c r="DD29" s="44" t="str">
        <f t="array" ref="DD29">LET(val, IFERROR(INDEX('Daily 쨈 raw'!$A:$ZZ, MATCH(DD$3, 'Daily 쨈 raw'!$A:$A, 0), MATCH($A29, 'Daily 쨈 raw'!$1:$1, 0)), ""), IF(val=0, "", val))</f>
        <v/>
      </c>
      <c r="DE29" s="44" t="str">
        <f t="array" ref="DE29">LET(val, IFERROR(INDEX('Daily 쨈 raw'!$A:$ZZ, MATCH(DE$3, 'Daily 쨈 raw'!$A:$A, 0), MATCH($A29, 'Daily 쨈 raw'!$1:$1, 0)), ""), IF(val=0, "", val))</f>
        <v/>
      </c>
      <c r="DF29" s="44" t="str">
        <f t="array" ref="DF29">LET(val, IFERROR(INDEX('Daily 쨈 raw'!$A:$ZZ, MATCH(DF$3, 'Daily 쨈 raw'!$A:$A, 0), MATCH($A29, 'Daily 쨈 raw'!$1:$1, 0)), ""), IF(val=0, "", val))</f>
        <v/>
      </c>
      <c r="DG29" s="44" t="str">
        <f t="array" ref="DG29">LET(val, IFERROR(INDEX('Daily 쨈 raw'!$A:$ZZ, MATCH(DG$3, 'Daily 쨈 raw'!$A:$A, 0), MATCH($A29, 'Daily 쨈 raw'!$1:$1, 0)), ""), IF(val=0, "", val))</f>
        <v/>
      </c>
      <c r="DH29" s="44" t="str">
        <f t="array" ref="DH29">LET(val, IFERROR(INDEX('Daily 쨈 raw'!$A:$ZZ, MATCH(DH$3, 'Daily 쨈 raw'!$A:$A, 0), MATCH($A29, 'Daily 쨈 raw'!$1:$1, 0)), ""), IF(val=0, "", val))</f>
        <v/>
      </c>
      <c r="DI29" s="44" t="str">
        <f t="array" ref="DI29">LET(val, IFERROR(INDEX('Daily 쨈 raw'!$A:$ZZ, MATCH(DI$3, 'Daily 쨈 raw'!$A:$A, 0), MATCH($A29, 'Daily 쨈 raw'!$1:$1, 0)), ""), IF(val=0, "", val))</f>
        <v/>
      </c>
      <c r="DJ29" s="44" t="str">
        <f t="array" ref="DJ29">LET(val, IFERROR(INDEX('Daily 쨈 raw'!$A:$ZZ, MATCH(DJ$3, 'Daily 쨈 raw'!$A:$A, 0), MATCH($A29, 'Daily 쨈 raw'!$1:$1, 0)), ""), IF(val=0, "", val))</f>
        <v/>
      </c>
      <c r="DK29" s="44" t="str">
        <f t="array" ref="DK29">LET(val, IFERROR(INDEX('Daily 쨈 raw'!$A:$ZZ, MATCH(DK$3, 'Daily 쨈 raw'!$A:$A, 0), MATCH($A29, 'Daily 쨈 raw'!$1:$1, 0)), ""), IF(val=0, "", val))</f>
        <v/>
      </c>
      <c r="DL29" s="44" t="str">
        <f t="array" ref="DL29">LET(val, IFERROR(INDEX('Daily 쨈 raw'!$A:$ZZ, MATCH(DL$3, 'Daily 쨈 raw'!$A:$A, 0), MATCH($A29, 'Daily 쨈 raw'!$1:$1, 0)), ""), IF(val=0, "", val))</f>
        <v/>
      </c>
      <c r="DM29" s="44" t="str">
        <f t="array" ref="DM29">LET(val, IFERROR(INDEX('Daily 쨈 raw'!$A:$ZZ, MATCH(DM$3, 'Daily 쨈 raw'!$A:$A, 0), MATCH($A29, 'Daily 쨈 raw'!$1:$1, 0)), ""), IF(val=0, "", val))</f>
        <v/>
      </c>
      <c r="DN29" s="44" t="str">
        <f t="array" ref="DN29">LET(val, IFERROR(INDEX('Daily 쨈 raw'!$A:$ZZ, MATCH(DN$3, 'Daily 쨈 raw'!$A:$A, 0), MATCH($A29, 'Daily 쨈 raw'!$1:$1, 0)), ""), IF(val=0, "", val))</f>
        <v/>
      </c>
      <c r="DO29" s="44" t="str">
        <f t="array" ref="DO29">LET(val, IFERROR(INDEX('Daily 쨈 raw'!$A:$ZZ, MATCH(DO$3, 'Daily 쨈 raw'!$A:$A, 0), MATCH($A29, 'Daily 쨈 raw'!$1:$1, 0)), ""), IF(val=0, "", val))</f>
        <v/>
      </c>
      <c r="DP29" s="44" t="str">
        <f t="array" ref="DP29">LET(val, IFERROR(INDEX('Daily 쨈 raw'!$A:$ZZ, MATCH(DP$3, 'Daily 쨈 raw'!$A:$A, 0), MATCH($A29, 'Daily 쨈 raw'!$1:$1, 0)), ""), IF(val=0, "", val))</f>
        <v/>
      </c>
      <c r="DQ29" s="44" t="str">
        <f t="array" ref="DQ29">LET(val, IFERROR(INDEX('Daily 쨈 raw'!$A:$ZZ, MATCH(DQ$3, 'Daily 쨈 raw'!$A:$A, 0), MATCH($A29, 'Daily 쨈 raw'!$1:$1, 0)), ""), IF(val=0, "", val))</f>
        <v/>
      </c>
      <c r="DR29" s="44" t="str">
        <f t="array" ref="DR29">LET(val, IFERROR(INDEX('Daily 쨈 raw'!$A:$ZZ, MATCH(DR$3, 'Daily 쨈 raw'!$A:$A, 0), MATCH($A29, 'Daily 쨈 raw'!$1:$1, 0)), ""), IF(val=0, "", val))</f>
        <v/>
      </c>
      <c r="DS29" s="44" t="str">
        <f t="array" ref="DS29">LET(val, IFERROR(INDEX('Daily 쨈 raw'!$A:$ZZ, MATCH(DS$3, 'Daily 쨈 raw'!$A:$A, 0), MATCH($A29, 'Daily 쨈 raw'!$1:$1, 0)), ""), IF(val=0, "", val))</f>
        <v/>
      </c>
      <c r="DT29" s="44" t="str">
        <f t="array" ref="DT29">LET(val, IFERROR(INDEX('Daily 쨈 raw'!$A:$ZZ, MATCH(DT$3, 'Daily 쨈 raw'!$A:$A, 0), MATCH($A29, 'Daily 쨈 raw'!$1:$1, 0)), ""), IF(val=0, "", val))</f>
        <v/>
      </c>
      <c r="DU29" s="44" t="str">
        <f t="array" ref="DU29">LET(val, IFERROR(INDEX('Daily 쨈 raw'!$A:$ZZ, MATCH(DU$3, 'Daily 쨈 raw'!$A:$A, 0), MATCH($A29, 'Daily 쨈 raw'!$1:$1, 0)), ""), IF(val=0, "", val))</f>
        <v/>
      </c>
      <c r="DV29" s="44" t="str">
        <f t="array" ref="DV29">LET(val, IFERROR(INDEX('Daily 쨈 raw'!$A:$ZZ, MATCH(DV$3, 'Daily 쨈 raw'!$A:$A, 0), MATCH($A29, 'Daily 쨈 raw'!$1:$1, 0)), ""), IF(val=0, "", val))</f>
        <v/>
      </c>
      <c r="DW29" s="44" t="str">
        <f t="array" ref="DW29">LET(val, IFERROR(INDEX('Daily 쨈 raw'!$A:$ZZ, MATCH(DW$3, 'Daily 쨈 raw'!$A:$A, 0), MATCH($A29, 'Daily 쨈 raw'!$1:$1, 0)), ""), IF(val=0, "", val))</f>
        <v/>
      </c>
      <c r="DX29" s="57"/>
      <c r="DY29" s="57"/>
      <c r="DZ29" s="57"/>
    </row>
    <row r="30" ht="22.5" customHeight="1">
      <c r="A30" s="16" t="s">
        <v>41</v>
      </c>
      <c r="B30" s="17" t="s">
        <v>42</v>
      </c>
      <c r="C30" s="44">
        <f t="array" ref="C30">LET(val, IFERROR(INDEX('Daily 쨈 raw'!$A:$ZZ, MATCH(C$3, 'Daily 쨈 raw'!$A:$A, 0), MATCH($A30, 'Daily 쨈 raw'!$1:$1, 0)), ""), IF(val=0, "", val))</f>
        <v>362</v>
      </c>
      <c r="D30" s="44">
        <f t="array" ref="D30">LET(val, IFERROR(INDEX('Daily 쨈 raw'!$A:$ZZ, MATCH(D$3, 'Daily 쨈 raw'!$A:$A, 0), MATCH($A30, 'Daily 쨈 raw'!$1:$1, 0)), ""), IF(val=0, "", val))</f>
        <v>474</v>
      </c>
      <c r="E30" s="44">
        <f t="array" ref="E30">LET(val, IFERROR(INDEX('Daily 쨈 raw'!$A:$ZZ, MATCH(E$3, 'Daily 쨈 raw'!$A:$A, 0), MATCH($A30, 'Daily 쨈 raw'!$1:$1, 0)), ""), IF(val=0, "", val))</f>
        <v>396</v>
      </c>
      <c r="F30" s="44">
        <f t="array" ref="F30">LET(val, IFERROR(INDEX('Daily 쨈 raw'!$A:$ZZ, MATCH(F$3, 'Daily 쨈 raw'!$A:$A, 0), MATCH($A30, 'Daily 쨈 raw'!$1:$1, 0)), ""), IF(val=0, "", val))</f>
        <v>459</v>
      </c>
      <c r="G30" s="44">
        <f t="array" ref="G30">LET(val, IFERROR(INDEX('Daily 쨈 raw'!$A:$ZZ, MATCH(G$3, 'Daily 쨈 raw'!$A:$A, 0), MATCH($A30, 'Daily 쨈 raw'!$1:$1, 0)), ""), IF(val=0, "", val))</f>
        <v>393</v>
      </c>
      <c r="H30" s="44">
        <f t="array" ref="H30">LET(val, IFERROR(INDEX('Daily 쨈 raw'!$A:$ZZ, MATCH(H$3, 'Daily 쨈 raw'!$A:$A, 0), MATCH($A30, 'Daily 쨈 raw'!$1:$1, 0)), ""), IF(val=0, "", val))</f>
        <v>382</v>
      </c>
      <c r="I30" s="44">
        <f t="array" ref="I30">LET(val, IFERROR(INDEX('Daily 쨈 raw'!$A:$ZZ, MATCH(I$3, 'Daily 쨈 raw'!$A:$A, 0), MATCH($A30, 'Daily 쨈 raw'!$1:$1, 0)), ""), IF(val=0, "", val))</f>
        <v>410</v>
      </c>
      <c r="J30" s="44">
        <f t="array" ref="J30">LET(val, IFERROR(INDEX('Daily 쨈 raw'!$A:$ZZ, MATCH(J$3, 'Daily 쨈 raw'!$A:$A, 0), MATCH($A30, 'Daily 쨈 raw'!$1:$1, 0)), ""), IF(val=0, "", val))</f>
        <v>372</v>
      </c>
      <c r="K30" s="44">
        <f t="array" ref="K30">LET(val, IFERROR(INDEX('Daily 쨈 raw'!$A:$ZZ, MATCH(K$3, 'Daily 쨈 raw'!$A:$A, 0), MATCH($A30, 'Daily 쨈 raw'!$1:$1, 0)), ""), IF(val=0, "", val))</f>
        <v>502</v>
      </c>
      <c r="L30" s="44">
        <f t="array" ref="L30">LET(val, IFERROR(INDEX('Daily 쨈 raw'!$A:$ZZ, MATCH(L$3, 'Daily 쨈 raw'!$A:$A, 0), MATCH($A30, 'Daily 쨈 raw'!$1:$1, 0)), ""), IF(val=0, "", val))</f>
        <v>447</v>
      </c>
      <c r="M30" s="44">
        <f t="array" ref="M30">LET(val, IFERROR(INDEX('Daily 쨈 raw'!$A:$ZZ, MATCH(M$3, 'Daily 쨈 raw'!$A:$A, 0), MATCH($A30, 'Daily 쨈 raw'!$1:$1, 0)), ""), IF(val=0, "", val))</f>
        <v>568</v>
      </c>
      <c r="N30" s="44">
        <f t="array" ref="N30">LET(val, IFERROR(INDEX('Daily 쨈 raw'!$A:$ZZ, MATCH(N$3, 'Daily 쨈 raw'!$A:$A, 0), MATCH($A30, 'Daily 쨈 raw'!$1:$1, 0)), ""), IF(val=0, "", val))</f>
        <v>469</v>
      </c>
      <c r="O30" s="44">
        <f t="array" ref="O30">LET(val, IFERROR(INDEX('Daily 쨈 raw'!$A:$ZZ, MATCH(O$3, 'Daily 쨈 raw'!$A:$A, 0), MATCH($A30, 'Daily 쨈 raw'!$1:$1, 0)), ""), IF(val=0, "", val))</f>
        <v>423</v>
      </c>
      <c r="P30" s="44">
        <f t="array" ref="P30">LET(val, IFERROR(INDEX('Daily 쨈 raw'!$A:$ZZ, MATCH(P$3, 'Daily 쨈 raw'!$A:$A, 0), MATCH($A30, 'Daily 쨈 raw'!$1:$1, 0)), ""), IF(val=0, "", val))</f>
        <v>477</v>
      </c>
      <c r="Q30" s="44">
        <f t="array" ref="Q30">LET(val, IFERROR(INDEX('Daily 쨈 raw'!$A:$ZZ, MATCH(Q$3, 'Daily 쨈 raw'!$A:$A, 0), MATCH($A30, 'Daily 쨈 raw'!$1:$1, 0)), ""), IF(val=0, "", val))</f>
        <v>385</v>
      </c>
      <c r="R30" s="44">
        <f t="array" ref="R30">LET(val, IFERROR(INDEX('Daily 쨈 raw'!$A:$ZZ, MATCH(R$3, 'Daily 쨈 raw'!$A:$A, 0), MATCH($A30, 'Daily 쨈 raw'!$1:$1, 0)), ""), IF(val=0, "", val))</f>
        <v>420</v>
      </c>
      <c r="S30" s="44">
        <f t="array" ref="S30">LET(val, IFERROR(INDEX('Daily 쨈 raw'!$A:$ZZ, MATCH(S$3, 'Daily 쨈 raw'!$A:$A, 0), MATCH($A30, 'Daily 쨈 raw'!$1:$1, 0)), ""), IF(val=0, "", val))</f>
        <v>556</v>
      </c>
      <c r="T30" s="44">
        <f t="array" ref="T30">LET(val, IFERROR(INDEX('Daily 쨈 raw'!$A:$ZZ, MATCH(T$3, 'Daily 쨈 raw'!$A:$A, 0), MATCH($A30, 'Daily 쨈 raw'!$1:$1, 0)), ""), IF(val=0, "", val))</f>
        <v>475</v>
      </c>
      <c r="U30" s="44">
        <f t="array" ref="U30">LET(val, IFERROR(INDEX('Daily 쨈 raw'!$A:$ZZ, MATCH(U$3, 'Daily 쨈 raw'!$A:$A, 0), MATCH($A30, 'Daily 쨈 raw'!$1:$1, 0)), ""), IF(val=0, "", val))</f>
        <v>424</v>
      </c>
      <c r="V30" s="44">
        <f t="array" ref="V30">LET(val, IFERROR(INDEX('Daily 쨈 raw'!$A:$ZZ, MATCH(V$3, 'Daily 쨈 raw'!$A:$A, 0), MATCH($A30, 'Daily 쨈 raw'!$1:$1, 0)), ""), IF(val=0, "", val))</f>
        <v>421</v>
      </c>
      <c r="W30" s="44">
        <f t="array" ref="W30">LET(val, IFERROR(INDEX('Daily 쨈 raw'!$A:$ZZ, MATCH(W$3, 'Daily 쨈 raw'!$A:$A, 0), MATCH($A30, 'Daily 쨈 raw'!$1:$1, 0)), ""), IF(val=0, "", val))</f>
        <v>506</v>
      </c>
      <c r="X30" s="44">
        <f t="array" ref="X30">LET(val, IFERROR(INDEX('Daily 쨈 raw'!$A:$ZZ, MATCH(X$3, 'Daily 쨈 raw'!$A:$A, 0), MATCH($A30, 'Daily 쨈 raw'!$1:$1, 0)), ""), IF(val=0, "", val))</f>
        <v>534</v>
      </c>
      <c r="Y30" s="44">
        <f t="array" ref="Y30">LET(val, IFERROR(INDEX('Daily 쨈 raw'!$A:$ZZ, MATCH(Y$3, 'Daily 쨈 raw'!$A:$A, 0), MATCH($A30, 'Daily 쨈 raw'!$1:$1, 0)), ""), IF(val=0, "", val))</f>
        <v>525</v>
      </c>
      <c r="Z30" s="44">
        <f t="array" ref="Z30">LET(val, IFERROR(INDEX('Daily 쨈 raw'!$A:$ZZ, MATCH(Z$3, 'Daily 쨈 raw'!$A:$A, 0), MATCH($A30, 'Daily 쨈 raw'!$1:$1, 0)), ""), IF(val=0, "", val))</f>
        <v>360</v>
      </c>
      <c r="AA30" s="44">
        <f t="array" ref="AA30">LET(val, IFERROR(INDEX('Daily 쨈 raw'!$A:$ZZ, MATCH(AA$3, 'Daily 쨈 raw'!$A:$A, 0), MATCH($A30, 'Daily 쨈 raw'!$1:$1, 0)), ""), IF(val=0, "", val))</f>
        <v>440</v>
      </c>
      <c r="AB30" s="44">
        <f t="array" ref="AB30">LET(val, IFERROR(INDEX('Daily 쨈 raw'!$A:$ZZ, MATCH(AB$3, 'Daily 쨈 raw'!$A:$A, 0), MATCH($A30, 'Daily 쨈 raw'!$1:$1, 0)), ""), IF(val=0, "", val))</f>
        <v>431</v>
      </c>
      <c r="AC30" s="44">
        <f t="array" ref="AC30">LET(val, IFERROR(INDEX('Daily 쨈 raw'!$A:$ZZ, MATCH(AC$3, 'Daily 쨈 raw'!$A:$A, 0), MATCH($A30, 'Daily 쨈 raw'!$1:$1, 0)), ""), IF(val=0, "", val))</f>
        <v>372</v>
      </c>
      <c r="AD30" s="44">
        <f t="array" ref="AD30">LET(val, IFERROR(INDEX('Daily 쨈 raw'!$A:$ZZ, MATCH(AD$3, 'Daily 쨈 raw'!$A:$A, 0), MATCH($A30, 'Daily 쨈 raw'!$1:$1, 0)), ""), IF(val=0, "", val))</f>
        <v>391</v>
      </c>
      <c r="AE30" s="44">
        <f t="array" ref="AE30">LET(val, IFERROR(INDEX('Daily 쨈 raw'!$A:$ZZ, MATCH(AE$3, 'Daily 쨈 raw'!$A:$A, 0), MATCH($A30, 'Daily 쨈 raw'!$1:$1, 0)), ""), IF(val=0, "", val))</f>
        <v>361</v>
      </c>
      <c r="AF30" s="44">
        <f t="array" ref="AF30">LET(val, IFERROR(INDEX('Daily 쨈 raw'!$A:$ZZ, MATCH(AF$3, 'Daily 쨈 raw'!$A:$A, 0), MATCH($A30, 'Daily 쨈 raw'!$1:$1, 0)), ""), IF(val=0, "", val))</f>
        <v>446</v>
      </c>
      <c r="AG30" s="44">
        <f t="array" ref="AG30">LET(val, IFERROR(INDEX('Daily 쨈 raw'!$A:$ZZ, MATCH(AG$3, 'Daily 쨈 raw'!$A:$A, 0), MATCH($A30, 'Daily 쨈 raw'!$1:$1, 0)), ""), IF(val=0, "", val))</f>
        <v>465</v>
      </c>
      <c r="AH30" s="44">
        <f t="array" ref="AH30">LET(val, IFERROR(INDEX('Daily 쨈 raw'!$A:$ZZ, MATCH(AH$3, 'Daily 쨈 raw'!$A:$A, 0), MATCH($A30, 'Daily 쨈 raw'!$1:$1, 0)), ""), IF(val=0, "", val))</f>
        <v>517</v>
      </c>
      <c r="AI30" s="44">
        <f t="array" ref="AI30">LET(val, IFERROR(INDEX('Daily 쨈 raw'!$A:$ZZ, MATCH(AI$3, 'Daily 쨈 raw'!$A:$A, 0), MATCH($A30, 'Daily 쨈 raw'!$1:$1, 0)), ""), IF(val=0, "", val))</f>
        <v>419</v>
      </c>
      <c r="AJ30" s="44">
        <f t="array" ref="AJ30">LET(val, IFERROR(INDEX('Daily 쨈 raw'!$A:$ZZ, MATCH(AJ$3, 'Daily 쨈 raw'!$A:$A, 0), MATCH($A30, 'Daily 쨈 raw'!$1:$1, 0)), ""), IF(val=0, "", val))</f>
        <v>427</v>
      </c>
      <c r="AK30" s="44">
        <f t="array" ref="AK30">LET(val, IFERROR(INDEX('Daily 쨈 raw'!$A:$ZZ, MATCH(AK$3, 'Daily 쨈 raw'!$A:$A, 0), MATCH($A30, 'Daily 쨈 raw'!$1:$1, 0)), ""), IF(val=0, "", val))</f>
        <v>538</v>
      </c>
      <c r="AL30" s="44">
        <f t="array" ref="AL30">LET(val, IFERROR(INDEX('Daily 쨈 raw'!$A:$ZZ, MATCH(AL$3, 'Daily 쨈 raw'!$A:$A, 0), MATCH($A30, 'Daily 쨈 raw'!$1:$1, 0)), ""), IF(val=0, "", val))</f>
        <v>521</v>
      </c>
      <c r="AM30" s="44">
        <f t="array" ref="AM30">LET(val, IFERROR(INDEX('Daily 쨈 raw'!$A:$ZZ, MATCH(AM$3, 'Daily 쨈 raw'!$A:$A, 0), MATCH($A30, 'Daily 쨈 raw'!$1:$1, 0)), ""), IF(val=0, "", val))</f>
        <v>418</v>
      </c>
      <c r="AN30" s="44">
        <f t="array" ref="AN30">LET(val, IFERROR(INDEX('Daily 쨈 raw'!$A:$ZZ, MATCH(AN$3, 'Daily 쨈 raw'!$A:$A, 0), MATCH($A30, 'Daily 쨈 raw'!$1:$1, 0)), ""), IF(val=0, "", val))</f>
        <v>283</v>
      </c>
      <c r="AO30" s="44">
        <f t="array" ref="AO30">LET(val, IFERROR(INDEX('Daily 쨈 raw'!$A:$ZZ, MATCH(AO$3, 'Daily 쨈 raw'!$A:$A, 0), MATCH($A30, 'Daily 쨈 raw'!$1:$1, 0)), ""), IF(val=0, "", val))</f>
        <v>423</v>
      </c>
      <c r="AP30" s="44">
        <f t="array" ref="AP30">LET(val, IFERROR(INDEX('Daily 쨈 raw'!$A:$ZZ, MATCH(AP$3, 'Daily 쨈 raw'!$A:$A, 0), MATCH($A30, 'Daily 쨈 raw'!$1:$1, 0)), ""), IF(val=0, "", val))</f>
        <v>329</v>
      </c>
      <c r="AQ30" s="44">
        <f t="array" ref="AQ30">LET(val, IFERROR(INDEX('Daily 쨈 raw'!$A:$ZZ, MATCH(AQ$3, 'Daily 쨈 raw'!$A:$A, 0), MATCH($A30, 'Daily 쨈 raw'!$1:$1, 0)), ""), IF(val=0, "", val))</f>
        <v>362</v>
      </c>
      <c r="AR30" s="44">
        <f t="array" ref="AR30">LET(val, IFERROR(INDEX('Daily 쨈 raw'!$A:$ZZ, MATCH(AR$3, 'Daily 쨈 raw'!$A:$A, 0), MATCH($A30, 'Daily 쨈 raw'!$1:$1, 0)), ""), IF(val=0, "", val))</f>
        <v>360</v>
      </c>
      <c r="AS30" s="44">
        <f t="array" ref="AS30">LET(val, IFERROR(INDEX('Daily 쨈 raw'!$A:$ZZ, MATCH(AS$3, 'Daily 쨈 raw'!$A:$A, 0), MATCH($A30, 'Daily 쨈 raw'!$1:$1, 0)), ""), IF(val=0, "", val))</f>
        <v>284</v>
      </c>
      <c r="AT30" s="44">
        <f t="array" ref="AT30">LET(val, IFERROR(INDEX('Daily 쨈 raw'!$A:$ZZ, MATCH(AT$3, 'Daily 쨈 raw'!$A:$A, 0), MATCH($A30, 'Daily 쨈 raw'!$1:$1, 0)), ""), IF(val=0, "", val))</f>
        <v>324</v>
      </c>
      <c r="AU30" s="44">
        <f t="array" ref="AU30">LET(val, IFERROR(INDEX('Daily 쨈 raw'!$A:$ZZ, MATCH(AU$3, 'Daily 쨈 raw'!$A:$A, 0), MATCH($A30, 'Daily 쨈 raw'!$1:$1, 0)), ""), IF(val=0, "", val))</f>
        <v>366</v>
      </c>
      <c r="AV30" s="44">
        <f t="array" ref="AV30">LET(val, IFERROR(INDEX('Daily 쨈 raw'!$A:$ZZ, MATCH(AV$3, 'Daily 쨈 raw'!$A:$A, 0), MATCH($A30, 'Daily 쨈 raw'!$1:$1, 0)), ""), IF(val=0, "", val))</f>
        <v>343</v>
      </c>
      <c r="AW30" s="44">
        <f t="array" ref="AW30">LET(val, IFERROR(INDEX('Daily 쨈 raw'!$A:$ZZ, MATCH(AW$3, 'Daily 쨈 raw'!$A:$A, 0), MATCH($A30, 'Daily 쨈 raw'!$1:$1, 0)), ""), IF(val=0, "", val))</f>
        <v>274</v>
      </c>
      <c r="AX30" s="44">
        <f t="array" ref="AX30">LET(val, IFERROR(INDEX('Daily 쨈 raw'!$A:$ZZ, MATCH(AX$3, 'Daily 쨈 raw'!$A:$A, 0), MATCH($A30, 'Daily 쨈 raw'!$1:$1, 0)), ""), IF(val=0, "", val))</f>
        <v>261</v>
      </c>
      <c r="AY30" s="44">
        <f t="array" ref="AY30">LET(val, IFERROR(INDEX('Daily 쨈 raw'!$A:$ZZ, MATCH(AY$3, 'Daily 쨈 raw'!$A:$A, 0), MATCH($A30, 'Daily 쨈 raw'!$1:$1, 0)), ""), IF(val=0, "", val))</f>
        <v>313</v>
      </c>
      <c r="AZ30" s="44">
        <f t="array" ref="AZ30">LET(val, IFERROR(INDEX('Daily 쨈 raw'!$A:$ZZ, MATCH(AZ$3, 'Daily 쨈 raw'!$A:$A, 0), MATCH($A30, 'Daily 쨈 raw'!$1:$1, 0)), ""), IF(val=0, "", val))</f>
        <v>426</v>
      </c>
      <c r="BA30" s="44">
        <f t="array" ref="BA30">LET(val, IFERROR(INDEX('Daily 쨈 raw'!$A:$ZZ, MATCH(BA$3, 'Daily 쨈 raw'!$A:$A, 0), MATCH($A30, 'Daily 쨈 raw'!$1:$1, 0)), ""), IF(val=0, "", val))</f>
        <v>445</v>
      </c>
      <c r="BB30" s="44">
        <f t="array" ref="BB30">LET(val, IFERROR(INDEX('Daily 쨈 raw'!$A:$ZZ, MATCH(BB$3, 'Daily 쨈 raw'!$A:$A, 0), MATCH($A30, 'Daily 쨈 raw'!$1:$1, 0)), ""), IF(val=0, "", val))</f>
        <v>317</v>
      </c>
      <c r="BC30" s="44">
        <f t="array" ref="BC30">LET(val, IFERROR(INDEX('Daily 쨈 raw'!$A:$ZZ, MATCH(BC$3, 'Daily 쨈 raw'!$A:$A, 0), MATCH($A30, 'Daily 쨈 raw'!$1:$1, 0)), ""), IF(val=0, "", val))</f>
        <v>535</v>
      </c>
      <c r="BD30" s="44">
        <f t="array" ref="BD30">LET(val, IFERROR(INDEX('Daily 쨈 raw'!$A:$ZZ, MATCH(BD$3, 'Daily 쨈 raw'!$A:$A, 0), MATCH($A30, 'Daily 쨈 raw'!$1:$1, 0)), ""), IF(val=0, "", val))</f>
        <v>401</v>
      </c>
      <c r="BE30" s="44">
        <f t="array" ref="BE30">LET(val, IFERROR(INDEX('Daily 쨈 raw'!$A:$ZZ, MATCH(BE$3, 'Daily 쨈 raw'!$A:$A, 0), MATCH($A30, 'Daily 쨈 raw'!$1:$1, 0)), ""), IF(val=0, "", val))</f>
        <v>566</v>
      </c>
      <c r="BF30" s="44">
        <f t="array" ref="BF30">LET(val, IFERROR(INDEX('Daily 쨈 raw'!$A:$ZZ, MATCH(BF$3, 'Daily 쨈 raw'!$A:$A, 0), MATCH($A30, 'Daily 쨈 raw'!$1:$1, 0)), ""), IF(val=0, "", val))</f>
        <v>766</v>
      </c>
      <c r="BG30" s="44">
        <f t="array" ref="BG30">LET(val, IFERROR(INDEX('Daily 쨈 raw'!$A:$ZZ, MATCH(BG$3, 'Daily 쨈 raw'!$A:$A, 0), MATCH($A30, 'Daily 쨈 raw'!$1:$1, 0)), ""), IF(val=0, "", val))</f>
        <v>337</v>
      </c>
      <c r="BH30" s="44">
        <f t="array" ref="BH30">LET(val, IFERROR(INDEX('Daily 쨈 raw'!$A:$ZZ, MATCH(BH$3, 'Daily 쨈 raw'!$A:$A, 0), MATCH($A30, 'Daily 쨈 raw'!$1:$1, 0)), ""), IF(val=0, "", val))</f>
        <v>360</v>
      </c>
      <c r="BI30" s="44">
        <f t="array" ref="BI30">LET(val, IFERROR(INDEX('Daily 쨈 raw'!$A:$ZZ, MATCH(BI$3, 'Daily 쨈 raw'!$A:$A, 0), MATCH($A30, 'Daily 쨈 raw'!$1:$1, 0)), ""), IF(val=0, "", val))</f>
        <v>395</v>
      </c>
      <c r="BJ30" s="44">
        <f t="array" ref="BJ30">LET(val, IFERROR(INDEX('Daily 쨈 raw'!$A:$ZZ, MATCH(BJ$3, 'Daily 쨈 raw'!$A:$A, 0), MATCH($A30, 'Daily 쨈 raw'!$1:$1, 0)), ""), IF(val=0, "", val))</f>
        <v>506</v>
      </c>
      <c r="BK30" s="44">
        <f t="array" ref="BK30">LET(val, IFERROR(INDEX('Daily 쨈 raw'!$A:$ZZ, MATCH(BK$3, 'Daily 쨈 raw'!$A:$A, 0), MATCH($A30, 'Daily 쨈 raw'!$1:$1, 0)), ""), IF(val=0, "", val))</f>
        <v>449</v>
      </c>
      <c r="BL30" s="44">
        <f t="array" ref="BL30">LET(val, IFERROR(INDEX('Daily 쨈 raw'!$A:$ZZ, MATCH(BL$3, 'Daily 쨈 raw'!$A:$A, 0), MATCH($A30, 'Daily 쨈 raw'!$1:$1, 0)), ""), IF(val=0, "", val))</f>
        <v>403</v>
      </c>
      <c r="BM30" s="44">
        <f t="array" ref="BM30">LET(val, IFERROR(INDEX('Daily 쨈 raw'!$A:$ZZ, MATCH(BM$3, 'Daily 쨈 raw'!$A:$A, 0), MATCH($A30, 'Daily 쨈 raw'!$1:$1, 0)), ""), IF(val=0, "", val))</f>
        <v>458</v>
      </c>
      <c r="BN30" s="44">
        <f t="array" ref="BN30">LET(val, IFERROR(INDEX('Daily 쨈 raw'!$A:$ZZ, MATCH(BN$3, 'Daily 쨈 raw'!$A:$A, 0), MATCH($A30, 'Daily 쨈 raw'!$1:$1, 0)), ""), IF(val=0, "", val))</f>
        <v>601</v>
      </c>
      <c r="BO30" s="44">
        <f t="array" ref="BO30">LET(val, IFERROR(INDEX('Daily 쨈 raw'!$A:$ZZ, MATCH(BO$3, 'Daily 쨈 raw'!$A:$A, 0), MATCH($A30, 'Daily 쨈 raw'!$1:$1, 0)), ""), IF(val=0, "", val))</f>
        <v>498</v>
      </c>
      <c r="BP30" s="44">
        <f t="array" ref="BP30">LET(val, IFERROR(INDEX('Daily 쨈 raw'!$A:$ZZ, MATCH(BP$3, 'Daily 쨈 raw'!$A:$A, 0), MATCH($A30, 'Daily 쨈 raw'!$1:$1, 0)), ""), IF(val=0, "", val))</f>
        <v>689</v>
      </c>
      <c r="BQ30" s="44">
        <f t="array" ref="BQ30">LET(val, IFERROR(INDEX('Daily 쨈 raw'!$A:$ZZ, MATCH(BQ$3, 'Daily 쨈 raw'!$A:$A, 0), MATCH($A30, 'Daily 쨈 raw'!$1:$1, 0)), ""), IF(val=0, "", val))</f>
        <v>683</v>
      </c>
      <c r="BR30" s="44">
        <f t="array" ref="BR30">LET(val, IFERROR(INDEX('Daily 쨈 raw'!$A:$ZZ, MATCH(BR$3, 'Daily 쨈 raw'!$A:$A, 0), MATCH($A30, 'Daily 쨈 raw'!$1:$1, 0)), ""), IF(val=0, "", val))</f>
        <v>613</v>
      </c>
      <c r="BS30" s="44">
        <f t="array" ref="BS30">LET(val, IFERROR(INDEX('Daily 쨈 raw'!$A:$ZZ, MATCH(BS$3, 'Daily 쨈 raw'!$A:$A, 0), MATCH($A30, 'Daily 쨈 raw'!$1:$1, 0)), ""), IF(val=0, "", val))</f>
        <v>502</v>
      </c>
      <c r="BT30" s="44">
        <f t="array" ref="BT30">LET(val, IFERROR(INDEX('Daily 쨈 raw'!$A:$ZZ, MATCH(BT$3, 'Daily 쨈 raw'!$A:$A, 0), MATCH($A30, 'Daily 쨈 raw'!$1:$1, 0)), ""), IF(val=0, "", val))</f>
        <v>726</v>
      </c>
      <c r="BU30" s="44">
        <f t="array" ref="BU30">LET(val, IFERROR(INDEX('Daily 쨈 raw'!$A:$ZZ, MATCH(BU$3, 'Daily 쨈 raw'!$A:$A, 0), MATCH($A30, 'Daily 쨈 raw'!$1:$1, 0)), ""), IF(val=0, "", val))</f>
        <v>554</v>
      </c>
      <c r="BV30" s="44">
        <f t="array" ref="BV30">LET(val, IFERROR(INDEX('Daily 쨈 raw'!$A:$ZZ, MATCH(BV$3, 'Daily 쨈 raw'!$A:$A, 0), MATCH($A30, 'Daily 쨈 raw'!$1:$1, 0)), ""), IF(val=0, "", val))</f>
        <v>662</v>
      </c>
      <c r="BW30" s="44">
        <f t="array" ref="BW30">LET(val, IFERROR(INDEX('Daily 쨈 raw'!$A:$ZZ, MATCH(BW$3, 'Daily 쨈 raw'!$A:$A, 0), MATCH($A30, 'Daily 쨈 raw'!$1:$1, 0)), ""), IF(val=0, "", val))</f>
        <v>247</v>
      </c>
      <c r="BX30" s="44">
        <f t="array" ref="BX30">LET(val, IFERROR(INDEX('Daily 쨈 raw'!$A:$ZZ, MATCH(BX$3, 'Daily 쨈 raw'!$A:$A, 0), MATCH($A30, 'Daily 쨈 raw'!$1:$1, 0)), ""), IF(val=0, "", val))</f>
        <v>316</v>
      </c>
      <c r="BY30" s="44">
        <f t="array" ref="BY30">LET(val, IFERROR(INDEX('Daily 쨈 raw'!$A:$ZZ, MATCH(BY$3, 'Daily 쨈 raw'!$A:$A, 0), MATCH($A30, 'Daily 쨈 raw'!$1:$1, 0)), ""), IF(val=0, "", val))</f>
        <v>311</v>
      </c>
      <c r="BZ30" s="44">
        <f t="array" ref="BZ30">LET(val, IFERROR(INDEX('Daily 쨈 raw'!$A:$ZZ, MATCH(BZ$3, 'Daily 쨈 raw'!$A:$A, 0), MATCH($A30, 'Daily 쨈 raw'!$1:$1, 0)), ""), IF(val=0, "", val))</f>
        <v>314</v>
      </c>
      <c r="CA30" s="44">
        <f t="array" ref="CA30">LET(val, IFERROR(INDEX('Daily 쨈 raw'!$A:$ZZ, MATCH(CA$3, 'Daily 쨈 raw'!$A:$A, 0), MATCH($A30, 'Daily 쨈 raw'!$1:$1, 0)), ""), IF(val=0, "", val))</f>
        <v>588</v>
      </c>
      <c r="CB30" s="44">
        <f t="array" ref="CB30">LET(val, IFERROR(INDEX('Daily 쨈 raw'!$A:$ZZ, MATCH(CB$3, 'Daily 쨈 raw'!$A:$A, 0), MATCH($A30, 'Daily 쨈 raw'!$1:$1, 0)), ""), IF(val=0, "", val))</f>
        <v>610</v>
      </c>
      <c r="CC30" s="44">
        <f t="array" ref="CC30">LET(val, IFERROR(INDEX('Daily 쨈 raw'!$A:$ZZ, MATCH(CC$3, 'Daily 쨈 raw'!$A:$A, 0), MATCH($A30, 'Daily 쨈 raw'!$1:$1, 0)), ""), IF(val=0, "", val))</f>
        <v>499</v>
      </c>
      <c r="CD30" s="44">
        <f t="array" ref="CD30">LET(val, IFERROR(INDEX('Daily 쨈 raw'!$A:$ZZ, MATCH(CD$3, 'Daily 쨈 raw'!$A:$A, 0), MATCH($A30, 'Daily 쨈 raw'!$1:$1, 0)), ""), IF(val=0, "", val))</f>
        <v>673</v>
      </c>
      <c r="CE30" s="44">
        <f t="array" ref="CE30">LET(val, IFERROR(INDEX('Daily 쨈 raw'!$A:$ZZ, MATCH(CE$3, 'Daily 쨈 raw'!$A:$A, 0), MATCH($A30, 'Daily 쨈 raw'!$1:$1, 0)), ""), IF(val=0, "", val))</f>
        <v>589</v>
      </c>
      <c r="CF30" s="44">
        <f t="array" ref="CF30">LET(val, IFERROR(INDEX('Daily 쨈 raw'!$A:$ZZ, MATCH(CF$3, 'Daily 쨈 raw'!$A:$A, 0), MATCH($A30, 'Daily 쨈 raw'!$1:$1, 0)), ""), IF(val=0, "", val))</f>
        <v>634</v>
      </c>
      <c r="CG30" s="44">
        <f t="array" ref="CG30">LET(val, IFERROR(INDEX('Daily 쨈 raw'!$A:$ZZ, MATCH(CG$3, 'Daily 쨈 raw'!$A:$A, 0), MATCH($A30, 'Daily 쨈 raw'!$1:$1, 0)), ""), IF(val=0, "", val))</f>
        <v>667</v>
      </c>
      <c r="CH30" s="44">
        <f t="array" ref="CH30">LET(val, IFERROR(INDEX('Daily 쨈 raw'!$A:$ZZ, MATCH(CH$3, 'Daily 쨈 raw'!$A:$A, 0), MATCH($A30, 'Daily 쨈 raw'!$1:$1, 0)), ""), IF(val=0, "", val))</f>
        <v>636</v>
      </c>
      <c r="CI30" s="44">
        <f t="array" ref="CI30">LET(val, IFERROR(INDEX('Daily 쨈 raw'!$A:$ZZ, MATCH(CI$3, 'Daily 쨈 raw'!$A:$A, 0), MATCH($A30, 'Daily 쨈 raw'!$1:$1, 0)), ""), IF(val=0, "", val))</f>
        <v>680</v>
      </c>
      <c r="CJ30" s="44">
        <f t="array" ref="CJ30">LET(val, IFERROR(INDEX('Daily 쨈 raw'!$A:$ZZ, MATCH(CJ$3, 'Daily 쨈 raw'!$A:$A, 0), MATCH($A30, 'Daily 쨈 raw'!$1:$1, 0)), ""), IF(val=0, "", val))</f>
        <v>709</v>
      </c>
      <c r="CK30" s="44">
        <f t="array" ref="CK30">LET(val, IFERROR(INDEX('Daily 쨈 raw'!$A:$ZZ, MATCH(CK$3, 'Daily 쨈 raw'!$A:$A, 0), MATCH($A30, 'Daily 쨈 raw'!$1:$1, 0)), ""), IF(val=0, "", val))</f>
        <v>577</v>
      </c>
      <c r="CL30" s="44">
        <f t="array" ref="CL30">LET(val, IFERROR(INDEX('Daily 쨈 raw'!$A:$ZZ, MATCH(CL$3, 'Daily 쨈 raw'!$A:$A, 0), MATCH($A30, 'Daily 쨈 raw'!$1:$1, 0)), ""), IF(val=0, "", val))</f>
        <v>550</v>
      </c>
      <c r="CM30" s="44">
        <f t="array" ref="CM30">LET(val, IFERROR(INDEX('Daily 쨈 raw'!$A:$ZZ, MATCH(CM$3, 'Daily 쨈 raw'!$A:$A, 0), MATCH($A30, 'Daily 쨈 raw'!$1:$1, 0)), ""), IF(val=0, "", val))</f>
        <v>594</v>
      </c>
      <c r="CN30" s="44">
        <f t="array" ref="CN30">LET(val, IFERROR(INDEX('Daily 쨈 raw'!$A:$ZZ, MATCH(CN$3, 'Daily 쨈 raw'!$A:$A, 0), MATCH($A30, 'Daily 쨈 raw'!$1:$1, 0)), ""), IF(val=0, "", val))</f>
        <v>477</v>
      </c>
      <c r="CO30" s="44">
        <f t="array" ref="CO30">LET(val, IFERROR(INDEX('Daily 쨈 raw'!$A:$ZZ, MATCH(CO$3, 'Daily 쨈 raw'!$A:$A, 0), MATCH($A30, 'Daily 쨈 raw'!$1:$1, 0)), ""), IF(val=0, "", val))</f>
        <v>839</v>
      </c>
      <c r="CP30" s="44" t="str">
        <f t="array" ref="CP30">LET(val, IFERROR(INDEX('Daily 쨈 raw'!$A:$ZZ, MATCH(CP$3, 'Daily 쨈 raw'!$A:$A, 0), MATCH($A30, 'Daily 쨈 raw'!$1:$1, 0)), ""), IF(val=0, "", val))</f>
        <v/>
      </c>
      <c r="CQ30" s="44" t="str">
        <f t="array" ref="CQ30">LET(val, IFERROR(INDEX('Daily 쨈 raw'!$A:$ZZ, MATCH(CQ$3, 'Daily 쨈 raw'!$A:$A, 0), MATCH($A30, 'Daily 쨈 raw'!$1:$1, 0)), ""), IF(val=0, "", val))</f>
        <v/>
      </c>
      <c r="CR30" s="44" t="str">
        <f t="array" ref="CR30">LET(val, IFERROR(INDEX('Daily 쨈 raw'!$A:$ZZ, MATCH(CR$3, 'Daily 쨈 raw'!$A:$A, 0), MATCH($A30, 'Daily 쨈 raw'!$1:$1, 0)), ""), IF(val=0, "", val))</f>
        <v/>
      </c>
      <c r="CS30" s="44" t="str">
        <f t="array" ref="CS30">LET(val, IFERROR(INDEX('Daily 쨈 raw'!$A:$ZZ, MATCH(CS$3, 'Daily 쨈 raw'!$A:$A, 0), MATCH($A30, 'Daily 쨈 raw'!$1:$1, 0)), ""), IF(val=0, "", val))</f>
        <v/>
      </c>
      <c r="CT30" s="44" t="str">
        <f t="array" ref="CT30">LET(val, IFERROR(INDEX('Daily 쨈 raw'!$A:$ZZ, MATCH(CT$3, 'Daily 쨈 raw'!$A:$A, 0), MATCH($A30, 'Daily 쨈 raw'!$1:$1, 0)), ""), IF(val=0, "", val))</f>
        <v/>
      </c>
      <c r="CU30" s="44" t="str">
        <f t="array" ref="CU30">LET(val, IFERROR(INDEX('Daily 쨈 raw'!$A:$ZZ, MATCH(CU$3, 'Daily 쨈 raw'!$A:$A, 0), MATCH($A30, 'Daily 쨈 raw'!$1:$1, 0)), ""), IF(val=0, "", val))</f>
        <v/>
      </c>
      <c r="CV30" s="44" t="str">
        <f t="array" ref="CV30">LET(val, IFERROR(INDEX('Daily 쨈 raw'!$A:$ZZ, MATCH(CV$3, 'Daily 쨈 raw'!$A:$A, 0), MATCH($A30, 'Daily 쨈 raw'!$1:$1, 0)), ""), IF(val=0, "", val))</f>
        <v/>
      </c>
      <c r="CW30" s="44" t="str">
        <f t="array" ref="CW30">LET(val, IFERROR(INDEX('Daily 쨈 raw'!$A:$ZZ, MATCH(CW$3, 'Daily 쨈 raw'!$A:$A, 0), MATCH($A30, 'Daily 쨈 raw'!$1:$1, 0)), ""), IF(val=0, "", val))</f>
        <v/>
      </c>
      <c r="CX30" s="44" t="str">
        <f t="array" ref="CX30">LET(val, IFERROR(INDEX('Daily 쨈 raw'!$A:$ZZ, MATCH(CX$3, 'Daily 쨈 raw'!$A:$A, 0), MATCH($A30, 'Daily 쨈 raw'!$1:$1, 0)), ""), IF(val=0, "", val))</f>
        <v/>
      </c>
      <c r="CY30" s="44" t="str">
        <f t="array" ref="CY30">LET(val, IFERROR(INDEX('Daily 쨈 raw'!$A:$ZZ, MATCH(CY$3, 'Daily 쨈 raw'!$A:$A, 0), MATCH($A30, 'Daily 쨈 raw'!$1:$1, 0)), ""), IF(val=0, "", val))</f>
        <v/>
      </c>
      <c r="CZ30" s="44" t="str">
        <f t="array" ref="CZ30">LET(val, IFERROR(INDEX('Daily 쨈 raw'!$A:$ZZ, MATCH(CZ$3, 'Daily 쨈 raw'!$A:$A, 0), MATCH($A30, 'Daily 쨈 raw'!$1:$1, 0)), ""), IF(val=0, "", val))</f>
        <v/>
      </c>
      <c r="DA30" s="44" t="str">
        <f t="array" ref="DA30">LET(val, IFERROR(INDEX('Daily 쨈 raw'!$A:$ZZ, MATCH(DA$3, 'Daily 쨈 raw'!$A:$A, 0), MATCH($A30, 'Daily 쨈 raw'!$1:$1, 0)), ""), IF(val=0, "", val))</f>
        <v/>
      </c>
      <c r="DB30" s="44" t="str">
        <f t="array" ref="DB30">LET(val, IFERROR(INDEX('Daily 쨈 raw'!$A:$ZZ, MATCH(DB$3, 'Daily 쨈 raw'!$A:$A, 0), MATCH($A30, 'Daily 쨈 raw'!$1:$1, 0)), ""), IF(val=0, "", val))</f>
        <v/>
      </c>
      <c r="DC30" s="44" t="str">
        <f t="array" ref="DC30">LET(val, IFERROR(INDEX('Daily 쨈 raw'!$A:$ZZ, MATCH(DC$3, 'Daily 쨈 raw'!$A:$A, 0), MATCH($A30, 'Daily 쨈 raw'!$1:$1, 0)), ""), IF(val=0, "", val))</f>
        <v/>
      </c>
      <c r="DD30" s="44" t="str">
        <f t="array" ref="DD30">LET(val, IFERROR(INDEX('Daily 쨈 raw'!$A:$ZZ, MATCH(DD$3, 'Daily 쨈 raw'!$A:$A, 0), MATCH($A30, 'Daily 쨈 raw'!$1:$1, 0)), ""), IF(val=0, "", val))</f>
        <v/>
      </c>
      <c r="DE30" s="44" t="str">
        <f t="array" ref="DE30">LET(val, IFERROR(INDEX('Daily 쨈 raw'!$A:$ZZ, MATCH(DE$3, 'Daily 쨈 raw'!$A:$A, 0), MATCH($A30, 'Daily 쨈 raw'!$1:$1, 0)), ""), IF(val=0, "", val))</f>
        <v/>
      </c>
      <c r="DF30" s="44" t="str">
        <f t="array" ref="DF30">LET(val, IFERROR(INDEX('Daily 쨈 raw'!$A:$ZZ, MATCH(DF$3, 'Daily 쨈 raw'!$A:$A, 0), MATCH($A30, 'Daily 쨈 raw'!$1:$1, 0)), ""), IF(val=0, "", val))</f>
        <v/>
      </c>
      <c r="DG30" s="44" t="str">
        <f t="array" ref="DG30">LET(val, IFERROR(INDEX('Daily 쨈 raw'!$A:$ZZ, MATCH(DG$3, 'Daily 쨈 raw'!$A:$A, 0), MATCH($A30, 'Daily 쨈 raw'!$1:$1, 0)), ""), IF(val=0, "", val))</f>
        <v/>
      </c>
      <c r="DH30" s="44" t="str">
        <f t="array" ref="DH30">LET(val, IFERROR(INDEX('Daily 쨈 raw'!$A:$ZZ, MATCH(DH$3, 'Daily 쨈 raw'!$A:$A, 0), MATCH($A30, 'Daily 쨈 raw'!$1:$1, 0)), ""), IF(val=0, "", val))</f>
        <v/>
      </c>
      <c r="DI30" s="44" t="str">
        <f t="array" ref="DI30">LET(val, IFERROR(INDEX('Daily 쨈 raw'!$A:$ZZ, MATCH(DI$3, 'Daily 쨈 raw'!$A:$A, 0), MATCH($A30, 'Daily 쨈 raw'!$1:$1, 0)), ""), IF(val=0, "", val))</f>
        <v/>
      </c>
      <c r="DJ30" s="44" t="str">
        <f t="array" ref="DJ30">LET(val, IFERROR(INDEX('Daily 쨈 raw'!$A:$ZZ, MATCH(DJ$3, 'Daily 쨈 raw'!$A:$A, 0), MATCH($A30, 'Daily 쨈 raw'!$1:$1, 0)), ""), IF(val=0, "", val))</f>
        <v/>
      </c>
      <c r="DK30" s="44" t="str">
        <f t="array" ref="DK30">LET(val, IFERROR(INDEX('Daily 쨈 raw'!$A:$ZZ, MATCH(DK$3, 'Daily 쨈 raw'!$A:$A, 0), MATCH($A30, 'Daily 쨈 raw'!$1:$1, 0)), ""), IF(val=0, "", val))</f>
        <v/>
      </c>
      <c r="DL30" s="44" t="str">
        <f t="array" ref="DL30">LET(val, IFERROR(INDEX('Daily 쨈 raw'!$A:$ZZ, MATCH(DL$3, 'Daily 쨈 raw'!$A:$A, 0), MATCH($A30, 'Daily 쨈 raw'!$1:$1, 0)), ""), IF(val=0, "", val))</f>
        <v/>
      </c>
      <c r="DM30" s="44" t="str">
        <f t="array" ref="DM30">LET(val, IFERROR(INDEX('Daily 쨈 raw'!$A:$ZZ, MATCH(DM$3, 'Daily 쨈 raw'!$A:$A, 0), MATCH($A30, 'Daily 쨈 raw'!$1:$1, 0)), ""), IF(val=0, "", val))</f>
        <v/>
      </c>
      <c r="DN30" s="44" t="str">
        <f t="array" ref="DN30">LET(val, IFERROR(INDEX('Daily 쨈 raw'!$A:$ZZ, MATCH(DN$3, 'Daily 쨈 raw'!$A:$A, 0), MATCH($A30, 'Daily 쨈 raw'!$1:$1, 0)), ""), IF(val=0, "", val))</f>
        <v/>
      </c>
      <c r="DO30" s="44" t="str">
        <f t="array" ref="DO30">LET(val, IFERROR(INDEX('Daily 쨈 raw'!$A:$ZZ, MATCH(DO$3, 'Daily 쨈 raw'!$A:$A, 0), MATCH($A30, 'Daily 쨈 raw'!$1:$1, 0)), ""), IF(val=0, "", val))</f>
        <v/>
      </c>
      <c r="DP30" s="44" t="str">
        <f t="array" ref="DP30">LET(val, IFERROR(INDEX('Daily 쨈 raw'!$A:$ZZ, MATCH(DP$3, 'Daily 쨈 raw'!$A:$A, 0), MATCH($A30, 'Daily 쨈 raw'!$1:$1, 0)), ""), IF(val=0, "", val))</f>
        <v/>
      </c>
      <c r="DQ30" s="44" t="str">
        <f t="array" ref="DQ30">LET(val, IFERROR(INDEX('Daily 쨈 raw'!$A:$ZZ, MATCH(DQ$3, 'Daily 쨈 raw'!$A:$A, 0), MATCH($A30, 'Daily 쨈 raw'!$1:$1, 0)), ""), IF(val=0, "", val))</f>
        <v/>
      </c>
      <c r="DR30" s="44" t="str">
        <f t="array" ref="DR30">LET(val, IFERROR(INDEX('Daily 쨈 raw'!$A:$ZZ, MATCH(DR$3, 'Daily 쨈 raw'!$A:$A, 0), MATCH($A30, 'Daily 쨈 raw'!$1:$1, 0)), ""), IF(val=0, "", val))</f>
        <v/>
      </c>
      <c r="DS30" s="44" t="str">
        <f t="array" ref="DS30">LET(val, IFERROR(INDEX('Daily 쨈 raw'!$A:$ZZ, MATCH(DS$3, 'Daily 쨈 raw'!$A:$A, 0), MATCH($A30, 'Daily 쨈 raw'!$1:$1, 0)), ""), IF(val=0, "", val))</f>
        <v/>
      </c>
      <c r="DT30" s="44" t="str">
        <f t="array" ref="DT30">LET(val, IFERROR(INDEX('Daily 쨈 raw'!$A:$ZZ, MATCH(DT$3, 'Daily 쨈 raw'!$A:$A, 0), MATCH($A30, 'Daily 쨈 raw'!$1:$1, 0)), ""), IF(val=0, "", val))</f>
        <v/>
      </c>
      <c r="DU30" s="44" t="str">
        <f t="array" ref="DU30">LET(val, IFERROR(INDEX('Daily 쨈 raw'!$A:$ZZ, MATCH(DU$3, 'Daily 쨈 raw'!$A:$A, 0), MATCH($A30, 'Daily 쨈 raw'!$1:$1, 0)), ""), IF(val=0, "", val))</f>
        <v/>
      </c>
      <c r="DV30" s="44" t="str">
        <f t="array" ref="DV30">LET(val, IFERROR(INDEX('Daily 쨈 raw'!$A:$ZZ, MATCH(DV$3, 'Daily 쨈 raw'!$A:$A, 0), MATCH($A30, 'Daily 쨈 raw'!$1:$1, 0)), ""), IF(val=0, "", val))</f>
        <v/>
      </c>
      <c r="DW30" s="44" t="str">
        <f t="array" ref="DW30">LET(val, IFERROR(INDEX('Daily 쨈 raw'!$A:$ZZ, MATCH(DW$3, 'Daily 쨈 raw'!$A:$A, 0), MATCH($A30, 'Daily 쨈 raw'!$1:$1, 0)), ""), IF(val=0, "", val))</f>
        <v/>
      </c>
      <c r="DX30" s="57"/>
      <c r="DY30" s="57"/>
      <c r="DZ30" s="57"/>
    </row>
    <row r="31" ht="22.5" customHeight="1">
      <c r="A31" s="16" t="s">
        <v>43</v>
      </c>
      <c r="B31" s="17" t="s">
        <v>44</v>
      </c>
      <c r="C31" s="44">
        <f t="array" ref="C31">LET(val, IFERROR(INDEX('Daily 쨈 raw'!$A:$ZZ, MATCH(C$3, 'Daily 쨈 raw'!$A:$A, 0), MATCH($A31, 'Daily 쨈 raw'!$1:$1, 0)), ""), IF(val=0, "", val))</f>
        <v>161</v>
      </c>
      <c r="D31" s="44">
        <f t="array" ref="D31">LET(val, IFERROR(INDEX('Daily 쨈 raw'!$A:$ZZ, MATCH(D$3, 'Daily 쨈 raw'!$A:$A, 0), MATCH($A31, 'Daily 쨈 raw'!$1:$1, 0)), ""), IF(val=0, "", val))</f>
        <v>245</v>
      </c>
      <c r="E31" s="44">
        <f t="array" ref="E31">LET(val, IFERROR(INDEX('Daily 쨈 raw'!$A:$ZZ, MATCH(E$3, 'Daily 쨈 raw'!$A:$A, 0), MATCH($A31, 'Daily 쨈 raw'!$1:$1, 0)), ""), IF(val=0, "", val))</f>
        <v>162</v>
      </c>
      <c r="F31" s="44">
        <f t="array" ref="F31">LET(val, IFERROR(INDEX('Daily 쨈 raw'!$A:$ZZ, MATCH(F$3, 'Daily 쨈 raw'!$A:$A, 0), MATCH($A31, 'Daily 쨈 raw'!$1:$1, 0)), ""), IF(val=0, "", val))</f>
        <v>212</v>
      </c>
      <c r="G31" s="44">
        <f t="array" ref="G31">LET(val, IFERROR(INDEX('Daily 쨈 raw'!$A:$ZZ, MATCH(G$3, 'Daily 쨈 raw'!$A:$A, 0), MATCH($A31, 'Daily 쨈 raw'!$1:$1, 0)), ""), IF(val=0, "", val))</f>
        <v>175</v>
      </c>
      <c r="H31" s="44">
        <f t="array" ref="H31">LET(val, IFERROR(INDEX('Daily 쨈 raw'!$A:$ZZ, MATCH(H$3, 'Daily 쨈 raw'!$A:$A, 0), MATCH($A31, 'Daily 쨈 raw'!$1:$1, 0)), ""), IF(val=0, "", val))</f>
        <v>132</v>
      </c>
      <c r="I31" s="44">
        <f t="array" ref="I31">LET(val, IFERROR(INDEX('Daily 쨈 raw'!$A:$ZZ, MATCH(I$3, 'Daily 쨈 raw'!$A:$A, 0), MATCH($A31, 'Daily 쨈 raw'!$1:$1, 0)), ""), IF(val=0, "", val))</f>
        <v>140</v>
      </c>
      <c r="J31" s="44">
        <f t="array" ref="J31">LET(val, IFERROR(INDEX('Daily 쨈 raw'!$A:$ZZ, MATCH(J$3, 'Daily 쨈 raw'!$A:$A, 0), MATCH($A31, 'Daily 쨈 raw'!$1:$1, 0)), ""), IF(val=0, "", val))</f>
        <v>141</v>
      </c>
      <c r="K31" s="44">
        <f t="array" ref="K31">LET(val, IFERROR(INDEX('Daily 쨈 raw'!$A:$ZZ, MATCH(K$3, 'Daily 쨈 raw'!$A:$A, 0), MATCH($A31, 'Daily 쨈 raw'!$1:$1, 0)), ""), IF(val=0, "", val))</f>
        <v>244</v>
      </c>
      <c r="L31" s="44">
        <f t="array" ref="L31">LET(val, IFERROR(INDEX('Daily 쨈 raw'!$A:$ZZ, MATCH(L$3, 'Daily 쨈 raw'!$A:$A, 0), MATCH($A31, 'Daily 쨈 raw'!$1:$1, 0)), ""), IF(val=0, "", val))</f>
        <v>181</v>
      </c>
      <c r="M31" s="44">
        <f t="array" ref="M31">LET(val, IFERROR(INDEX('Daily 쨈 raw'!$A:$ZZ, MATCH(M$3, 'Daily 쨈 raw'!$A:$A, 0), MATCH($A31, 'Daily 쨈 raw'!$1:$1, 0)), ""), IF(val=0, "", val))</f>
        <v>260</v>
      </c>
      <c r="N31" s="44">
        <f t="array" ref="N31">LET(val, IFERROR(INDEX('Daily 쨈 raw'!$A:$ZZ, MATCH(N$3, 'Daily 쨈 raw'!$A:$A, 0), MATCH($A31, 'Daily 쨈 raw'!$1:$1, 0)), ""), IF(val=0, "", val))</f>
        <v>242</v>
      </c>
      <c r="O31" s="44">
        <f t="array" ref="O31">LET(val, IFERROR(INDEX('Daily 쨈 raw'!$A:$ZZ, MATCH(O$3, 'Daily 쨈 raw'!$A:$A, 0), MATCH($A31, 'Daily 쨈 raw'!$1:$1, 0)), ""), IF(val=0, "", val))</f>
        <v>171</v>
      </c>
      <c r="P31" s="44">
        <f t="array" ref="P31">LET(val, IFERROR(INDEX('Daily 쨈 raw'!$A:$ZZ, MATCH(P$3, 'Daily 쨈 raw'!$A:$A, 0), MATCH($A31, 'Daily 쨈 raw'!$1:$1, 0)), ""), IF(val=0, "", val))</f>
        <v>191</v>
      </c>
      <c r="Q31" s="44">
        <f t="array" ref="Q31">LET(val, IFERROR(INDEX('Daily 쨈 raw'!$A:$ZZ, MATCH(Q$3, 'Daily 쨈 raw'!$A:$A, 0), MATCH($A31, 'Daily 쨈 raw'!$1:$1, 0)), ""), IF(val=0, "", val))</f>
        <v>150</v>
      </c>
      <c r="R31" s="44">
        <f t="array" ref="R31">LET(val, IFERROR(INDEX('Daily 쨈 raw'!$A:$ZZ, MATCH(R$3, 'Daily 쨈 raw'!$A:$A, 0), MATCH($A31, 'Daily 쨈 raw'!$1:$1, 0)), ""), IF(val=0, "", val))</f>
        <v>158</v>
      </c>
      <c r="S31" s="44">
        <f t="array" ref="S31">LET(val, IFERROR(INDEX('Daily 쨈 raw'!$A:$ZZ, MATCH(S$3, 'Daily 쨈 raw'!$A:$A, 0), MATCH($A31, 'Daily 쨈 raw'!$1:$1, 0)), ""), IF(val=0, "", val))</f>
        <v>245</v>
      </c>
      <c r="T31" s="44">
        <f t="array" ref="T31">LET(val, IFERROR(INDEX('Daily 쨈 raw'!$A:$ZZ, MATCH(T$3, 'Daily 쨈 raw'!$A:$A, 0), MATCH($A31, 'Daily 쨈 raw'!$1:$1, 0)), ""), IF(val=0, "", val))</f>
        <v>202</v>
      </c>
      <c r="U31" s="44">
        <f t="array" ref="U31">LET(val, IFERROR(INDEX('Daily 쨈 raw'!$A:$ZZ, MATCH(U$3, 'Daily 쨈 raw'!$A:$A, 0), MATCH($A31, 'Daily 쨈 raw'!$1:$1, 0)), ""), IF(val=0, "", val))</f>
        <v>165</v>
      </c>
      <c r="V31" s="44">
        <f t="array" ref="V31">LET(val, IFERROR(INDEX('Daily 쨈 raw'!$A:$ZZ, MATCH(V$3, 'Daily 쨈 raw'!$A:$A, 0), MATCH($A31, 'Daily 쨈 raw'!$1:$1, 0)), ""), IF(val=0, "", val))</f>
        <v>188</v>
      </c>
      <c r="W31" s="44">
        <f t="array" ref="W31">LET(val, IFERROR(INDEX('Daily 쨈 raw'!$A:$ZZ, MATCH(W$3, 'Daily 쨈 raw'!$A:$A, 0), MATCH($A31, 'Daily 쨈 raw'!$1:$1, 0)), ""), IF(val=0, "", val))</f>
        <v>172</v>
      </c>
      <c r="X31" s="44">
        <f t="array" ref="X31">LET(val, IFERROR(INDEX('Daily 쨈 raw'!$A:$ZZ, MATCH(X$3, 'Daily 쨈 raw'!$A:$A, 0), MATCH($A31, 'Daily 쨈 raw'!$1:$1, 0)), ""), IF(val=0, "", val))</f>
        <v>178</v>
      </c>
      <c r="Y31" s="44">
        <f t="array" ref="Y31">LET(val, IFERROR(INDEX('Daily 쨈 raw'!$A:$ZZ, MATCH(Y$3, 'Daily 쨈 raw'!$A:$A, 0), MATCH($A31, 'Daily 쨈 raw'!$1:$1, 0)), ""), IF(val=0, "", val))</f>
        <v>153</v>
      </c>
      <c r="Z31" s="44">
        <f t="array" ref="Z31">LET(val, IFERROR(INDEX('Daily 쨈 raw'!$A:$ZZ, MATCH(Z$3, 'Daily 쨈 raw'!$A:$A, 0), MATCH($A31, 'Daily 쨈 raw'!$1:$1, 0)), ""), IF(val=0, "", val))</f>
        <v>87</v>
      </c>
      <c r="AA31" s="44">
        <f t="array" ref="AA31">LET(val, IFERROR(INDEX('Daily 쨈 raw'!$A:$ZZ, MATCH(AA$3, 'Daily 쨈 raw'!$A:$A, 0), MATCH($A31, 'Daily 쨈 raw'!$1:$1, 0)), ""), IF(val=0, "", val))</f>
        <v>121</v>
      </c>
      <c r="AB31" s="44">
        <f t="array" ref="AB31">LET(val, IFERROR(INDEX('Daily 쨈 raw'!$A:$ZZ, MATCH(AB$3, 'Daily 쨈 raw'!$A:$A, 0), MATCH($A31, 'Daily 쨈 raw'!$1:$1, 0)), ""), IF(val=0, "", val))</f>
        <v>111</v>
      </c>
      <c r="AC31" s="44">
        <f t="array" ref="AC31">LET(val, IFERROR(INDEX('Daily 쨈 raw'!$A:$ZZ, MATCH(AC$3, 'Daily 쨈 raw'!$A:$A, 0), MATCH($A31, 'Daily 쨈 raw'!$1:$1, 0)), ""), IF(val=0, "", val))</f>
        <v>98</v>
      </c>
      <c r="AD31" s="44">
        <f t="array" ref="AD31">LET(val, IFERROR(INDEX('Daily 쨈 raw'!$A:$ZZ, MATCH(AD$3, 'Daily 쨈 raw'!$A:$A, 0), MATCH($A31, 'Daily 쨈 raw'!$1:$1, 0)), ""), IF(val=0, "", val))</f>
        <v>107</v>
      </c>
      <c r="AE31" s="44">
        <f t="array" ref="AE31">LET(val, IFERROR(INDEX('Daily 쨈 raw'!$A:$ZZ, MATCH(AE$3, 'Daily 쨈 raw'!$A:$A, 0), MATCH($A31, 'Daily 쨈 raw'!$1:$1, 0)), ""), IF(val=0, "", val))</f>
        <v>114</v>
      </c>
      <c r="AF31" s="44">
        <f t="array" ref="AF31">LET(val, IFERROR(INDEX('Daily 쨈 raw'!$A:$ZZ, MATCH(AF$3, 'Daily 쨈 raw'!$A:$A, 0), MATCH($A31, 'Daily 쨈 raw'!$1:$1, 0)), ""), IF(val=0, "", val))</f>
        <v>211</v>
      </c>
      <c r="AG31" s="44">
        <f t="array" ref="AG31">LET(val, IFERROR(INDEX('Daily 쨈 raw'!$A:$ZZ, MATCH(AG$3, 'Daily 쨈 raw'!$A:$A, 0), MATCH($A31, 'Daily 쨈 raw'!$1:$1, 0)), ""), IF(val=0, "", val))</f>
        <v>246</v>
      </c>
      <c r="AH31" s="44">
        <f t="array" ref="AH31">LET(val, IFERROR(INDEX('Daily 쨈 raw'!$A:$ZZ, MATCH(AH$3, 'Daily 쨈 raw'!$A:$A, 0), MATCH($A31, 'Daily 쨈 raw'!$1:$1, 0)), ""), IF(val=0, "", val))</f>
        <v>269</v>
      </c>
      <c r="AI31" s="44">
        <f t="array" ref="AI31">LET(val, IFERROR(INDEX('Daily 쨈 raw'!$A:$ZZ, MATCH(AI$3, 'Daily 쨈 raw'!$A:$A, 0), MATCH($A31, 'Daily 쨈 raw'!$1:$1, 0)), ""), IF(val=0, "", val))</f>
        <v>184</v>
      </c>
      <c r="AJ31" s="44">
        <f t="array" ref="AJ31">LET(val, IFERROR(INDEX('Daily 쨈 raw'!$A:$ZZ, MATCH(AJ$3, 'Daily 쨈 raw'!$A:$A, 0), MATCH($A31, 'Daily 쨈 raw'!$1:$1, 0)), ""), IF(val=0, "", val))</f>
        <v>183</v>
      </c>
      <c r="AK31" s="44">
        <f t="array" ref="AK31">LET(val, IFERROR(INDEX('Daily 쨈 raw'!$A:$ZZ, MATCH(AK$3, 'Daily 쨈 raw'!$A:$A, 0), MATCH($A31, 'Daily 쨈 raw'!$1:$1, 0)), ""), IF(val=0, "", val))</f>
        <v>227</v>
      </c>
      <c r="AL31" s="44">
        <f t="array" ref="AL31">LET(val, IFERROR(INDEX('Daily 쨈 raw'!$A:$ZZ, MATCH(AL$3, 'Daily 쨈 raw'!$A:$A, 0), MATCH($A31, 'Daily 쨈 raw'!$1:$1, 0)), ""), IF(val=0, "", val))</f>
        <v>174</v>
      </c>
      <c r="AM31" s="44">
        <f t="array" ref="AM31">LET(val, IFERROR(INDEX('Daily 쨈 raw'!$A:$ZZ, MATCH(AM$3, 'Daily 쨈 raw'!$A:$A, 0), MATCH($A31, 'Daily 쨈 raw'!$1:$1, 0)), ""), IF(val=0, "", val))</f>
        <v>121</v>
      </c>
      <c r="AN31" s="44">
        <f t="array" ref="AN31">LET(val, IFERROR(INDEX('Daily 쨈 raw'!$A:$ZZ, MATCH(AN$3, 'Daily 쨈 raw'!$A:$A, 0), MATCH($A31, 'Daily 쨈 raw'!$1:$1, 0)), ""), IF(val=0, "", val))</f>
        <v>98</v>
      </c>
      <c r="AO31" s="44">
        <f t="array" ref="AO31">LET(val, IFERROR(INDEX('Daily 쨈 raw'!$A:$ZZ, MATCH(AO$3, 'Daily 쨈 raw'!$A:$A, 0), MATCH($A31, 'Daily 쨈 raw'!$1:$1, 0)), ""), IF(val=0, "", val))</f>
        <v>162</v>
      </c>
      <c r="AP31" s="44">
        <f t="array" ref="AP31">LET(val, IFERROR(INDEX('Daily 쨈 raw'!$A:$ZZ, MATCH(AP$3, 'Daily 쨈 raw'!$A:$A, 0), MATCH($A31, 'Daily 쨈 raw'!$1:$1, 0)), ""), IF(val=0, "", val))</f>
        <v>93</v>
      </c>
      <c r="AQ31" s="44">
        <f t="array" ref="AQ31">LET(val, IFERROR(INDEX('Daily 쨈 raw'!$A:$ZZ, MATCH(AQ$3, 'Daily 쨈 raw'!$A:$A, 0), MATCH($A31, 'Daily 쨈 raw'!$1:$1, 0)), ""), IF(val=0, "", val))</f>
        <v>101</v>
      </c>
      <c r="AR31" s="44">
        <f t="array" ref="AR31">LET(val, IFERROR(INDEX('Daily 쨈 raw'!$A:$ZZ, MATCH(AR$3, 'Daily 쨈 raw'!$A:$A, 0), MATCH($A31, 'Daily 쨈 raw'!$1:$1, 0)), ""), IF(val=0, "", val))</f>
        <v>120</v>
      </c>
      <c r="AS31" s="44">
        <f t="array" ref="AS31">LET(val, IFERROR(INDEX('Daily 쨈 raw'!$A:$ZZ, MATCH(AS$3, 'Daily 쨈 raw'!$A:$A, 0), MATCH($A31, 'Daily 쨈 raw'!$1:$1, 0)), ""), IF(val=0, "", val))</f>
        <v>81</v>
      </c>
      <c r="AT31" s="44">
        <f t="array" ref="AT31">LET(val, IFERROR(INDEX('Daily 쨈 raw'!$A:$ZZ, MATCH(AT$3, 'Daily 쨈 raw'!$A:$A, 0), MATCH($A31, 'Daily 쨈 raw'!$1:$1, 0)), ""), IF(val=0, "", val))</f>
        <v>96</v>
      </c>
      <c r="AU31" s="44">
        <f t="array" ref="AU31">LET(val, IFERROR(INDEX('Daily 쨈 raw'!$A:$ZZ, MATCH(AU$3, 'Daily 쨈 raw'!$A:$A, 0), MATCH($A31, 'Daily 쨈 raw'!$1:$1, 0)), ""), IF(val=0, "", val))</f>
        <v>86</v>
      </c>
      <c r="AV31" s="44">
        <f t="array" ref="AV31">LET(val, IFERROR(INDEX('Daily 쨈 raw'!$A:$ZZ, MATCH(AV$3, 'Daily 쨈 raw'!$A:$A, 0), MATCH($A31, 'Daily 쨈 raw'!$1:$1, 0)), ""), IF(val=0, "", val))</f>
        <v>100</v>
      </c>
      <c r="AW31" s="44">
        <f t="array" ref="AW31">LET(val, IFERROR(INDEX('Daily 쨈 raw'!$A:$ZZ, MATCH(AW$3, 'Daily 쨈 raw'!$A:$A, 0), MATCH($A31, 'Daily 쨈 raw'!$1:$1, 0)), ""), IF(val=0, "", val))</f>
        <v>67</v>
      </c>
      <c r="AX31" s="44">
        <f t="array" ref="AX31">LET(val, IFERROR(INDEX('Daily 쨈 raw'!$A:$ZZ, MATCH(AX$3, 'Daily 쨈 raw'!$A:$A, 0), MATCH($A31, 'Daily 쨈 raw'!$1:$1, 0)), ""), IF(val=0, "", val))</f>
        <v>74</v>
      </c>
      <c r="AY31" s="44">
        <f t="array" ref="AY31">LET(val, IFERROR(INDEX('Daily 쨈 raw'!$A:$ZZ, MATCH(AY$3, 'Daily 쨈 raw'!$A:$A, 0), MATCH($A31, 'Daily 쨈 raw'!$1:$1, 0)), ""), IF(val=0, "", val))</f>
        <v>90</v>
      </c>
      <c r="AZ31" s="44">
        <f t="array" ref="AZ31">LET(val, IFERROR(INDEX('Daily 쨈 raw'!$A:$ZZ, MATCH(AZ$3, 'Daily 쨈 raw'!$A:$A, 0), MATCH($A31, 'Daily 쨈 raw'!$1:$1, 0)), ""), IF(val=0, "", val))</f>
        <v>101</v>
      </c>
      <c r="BA31" s="44">
        <f t="array" ref="BA31">LET(val, IFERROR(INDEX('Daily 쨈 raw'!$A:$ZZ, MATCH(BA$3, 'Daily 쨈 raw'!$A:$A, 0), MATCH($A31, 'Daily 쨈 raw'!$1:$1, 0)), ""), IF(val=0, "", val))</f>
        <v>104</v>
      </c>
      <c r="BB31" s="44">
        <f t="array" ref="BB31">LET(val, IFERROR(INDEX('Daily 쨈 raw'!$A:$ZZ, MATCH(BB$3, 'Daily 쨈 raw'!$A:$A, 0), MATCH($A31, 'Daily 쨈 raw'!$1:$1, 0)), ""), IF(val=0, "", val))</f>
        <v>70</v>
      </c>
      <c r="BC31" s="44">
        <f t="array" ref="BC31">LET(val, IFERROR(INDEX('Daily 쨈 raw'!$A:$ZZ, MATCH(BC$3, 'Daily 쨈 raw'!$A:$A, 0), MATCH($A31, 'Daily 쨈 raw'!$1:$1, 0)), ""), IF(val=0, "", val))</f>
        <v>106</v>
      </c>
      <c r="BD31" s="44">
        <f t="array" ref="BD31">LET(val, IFERROR(INDEX('Daily 쨈 raw'!$A:$ZZ, MATCH(BD$3, 'Daily 쨈 raw'!$A:$A, 0), MATCH($A31, 'Daily 쨈 raw'!$1:$1, 0)), ""), IF(val=0, "", val))</f>
        <v>98</v>
      </c>
      <c r="BE31" s="44">
        <f t="array" ref="BE31">LET(val, IFERROR(INDEX('Daily 쨈 raw'!$A:$ZZ, MATCH(BE$3, 'Daily 쨈 raw'!$A:$A, 0), MATCH($A31, 'Daily 쨈 raw'!$1:$1, 0)), ""), IF(val=0, "", val))</f>
        <v>118</v>
      </c>
      <c r="BF31" s="44">
        <f t="array" ref="BF31">LET(val, IFERROR(INDEX('Daily 쨈 raw'!$A:$ZZ, MATCH(BF$3, 'Daily 쨈 raw'!$A:$A, 0), MATCH($A31, 'Daily 쨈 raw'!$1:$1, 0)), ""), IF(val=0, "", val))</f>
        <v>142</v>
      </c>
      <c r="BG31" s="44">
        <f t="array" ref="BG31">LET(val, IFERROR(INDEX('Daily 쨈 raw'!$A:$ZZ, MATCH(BG$3, 'Daily 쨈 raw'!$A:$A, 0), MATCH($A31, 'Daily 쨈 raw'!$1:$1, 0)), ""), IF(val=0, "", val))</f>
        <v>86</v>
      </c>
      <c r="BH31" s="44">
        <f t="array" ref="BH31">LET(val, IFERROR(INDEX('Daily 쨈 raw'!$A:$ZZ, MATCH(BH$3, 'Daily 쨈 raw'!$A:$A, 0), MATCH($A31, 'Daily 쨈 raw'!$1:$1, 0)), ""), IF(val=0, "", val))</f>
        <v>79</v>
      </c>
      <c r="BI31" s="44">
        <f t="array" ref="BI31">LET(val, IFERROR(INDEX('Daily 쨈 raw'!$A:$ZZ, MATCH(BI$3, 'Daily 쨈 raw'!$A:$A, 0), MATCH($A31, 'Daily 쨈 raw'!$1:$1, 0)), ""), IF(val=0, "", val))</f>
        <v>98</v>
      </c>
      <c r="BJ31" s="44">
        <f t="array" ref="BJ31">LET(val, IFERROR(INDEX('Daily 쨈 raw'!$A:$ZZ, MATCH(BJ$3, 'Daily 쨈 raw'!$A:$A, 0), MATCH($A31, 'Daily 쨈 raw'!$1:$1, 0)), ""), IF(val=0, "", val))</f>
        <v>151</v>
      </c>
      <c r="BK31" s="44">
        <f t="array" ref="BK31">LET(val, IFERROR(INDEX('Daily 쨈 raw'!$A:$ZZ, MATCH(BK$3, 'Daily 쨈 raw'!$A:$A, 0), MATCH($A31, 'Daily 쨈 raw'!$1:$1, 0)), ""), IF(val=0, "", val))</f>
        <v>132</v>
      </c>
      <c r="BL31" s="44">
        <f t="array" ref="BL31">LET(val, IFERROR(INDEX('Daily 쨈 raw'!$A:$ZZ, MATCH(BL$3, 'Daily 쨈 raw'!$A:$A, 0), MATCH($A31, 'Daily 쨈 raw'!$1:$1, 0)), ""), IF(val=0, "", val))</f>
        <v>122</v>
      </c>
      <c r="BM31" s="44">
        <f t="array" ref="BM31">LET(val, IFERROR(INDEX('Daily 쨈 raw'!$A:$ZZ, MATCH(BM$3, 'Daily 쨈 raw'!$A:$A, 0), MATCH($A31, 'Daily 쨈 raw'!$1:$1, 0)), ""), IF(val=0, "", val))</f>
        <v>166</v>
      </c>
      <c r="BN31" s="44">
        <f t="array" ref="BN31">LET(val, IFERROR(INDEX('Daily 쨈 raw'!$A:$ZZ, MATCH(BN$3, 'Daily 쨈 raw'!$A:$A, 0), MATCH($A31, 'Daily 쨈 raw'!$1:$1, 0)), ""), IF(val=0, "", val))</f>
        <v>96</v>
      </c>
      <c r="BO31" s="44">
        <f t="array" ref="BO31">LET(val, IFERROR(INDEX('Daily 쨈 raw'!$A:$ZZ, MATCH(BO$3, 'Daily 쨈 raw'!$A:$A, 0), MATCH($A31, 'Daily 쨈 raw'!$1:$1, 0)), ""), IF(val=0, "", val))</f>
        <v>110</v>
      </c>
      <c r="BP31" s="44">
        <f t="array" ref="BP31">LET(val, IFERROR(INDEX('Daily 쨈 raw'!$A:$ZZ, MATCH(BP$3, 'Daily 쨈 raw'!$A:$A, 0), MATCH($A31, 'Daily 쨈 raw'!$1:$1, 0)), ""), IF(val=0, "", val))</f>
        <v>140</v>
      </c>
      <c r="BQ31" s="44">
        <f t="array" ref="BQ31">LET(val, IFERROR(INDEX('Daily 쨈 raw'!$A:$ZZ, MATCH(BQ$3, 'Daily 쨈 raw'!$A:$A, 0), MATCH($A31, 'Daily 쨈 raw'!$1:$1, 0)), ""), IF(val=0, "", val))</f>
        <v>154</v>
      </c>
      <c r="BR31" s="44">
        <f t="array" ref="BR31">LET(val, IFERROR(INDEX('Daily 쨈 raw'!$A:$ZZ, MATCH(BR$3, 'Daily 쨈 raw'!$A:$A, 0), MATCH($A31, 'Daily 쨈 raw'!$1:$1, 0)), ""), IF(val=0, "", val))</f>
        <v>131</v>
      </c>
      <c r="BS31" s="44">
        <f t="array" ref="BS31">LET(val, IFERROR(INDEX('Daily 쨈 raw'!$A:$ZZ, MATCH(BS$3, 'Daily 쨈 raw'!$A:$A, 0), MATCH($A31, 'Daily 쨈 raw'!$1:$1, 0)), ""), IF(val=0, "", val))</f>
        <v>113</v>
      </c>
      <c r="BT31" s="44">
        <f t="array" ref="BT31">LET(val, IFERROR(INDEX('Daily 쨈 raw'!$A:$ZZ, MATCH(BT$3, 'Daily 쨈 raw'!$A:$A, 0), MATCH($A31, 'Daily 쨈 raw'!$1:$1, 0)), ""), IF(val=0, "", val))</f>
        <v>121</v>
      </c>
      <c r="BU31" s="44">
        <f t="array" ref="BU31">LET(val, IFERROR(INDEX('Daily 쨈 raw'!$A:$ZZ, MATCH(BU$3, 'Daily 쨈 raw'!$A:$A, 0), MATCH($A31, 'Daily 쨈 raw'!$1:$1, 0)), ""), IF(val=0, "", val))</f>
        <v>89</v>
      </c>
      <c r="BV31" s="44">
        <f t="array" ref="BV31">LET(val, IFERROR(INDEX('Daily 쨈 raw'!$A:$ZZ, MATCH(BV$3, 'Daily 쨈 raw'!$A:$A, 0), MATCH($A31, 'Daily 쨈 raw'!$1:$1, 0)), ""), IF(val=0, "", val))</f>
        <v>123</v>
      </c>
      <c r="BW31" s="44">
        <f t="array" ref="BW31">LET(val, IFERROR(INDEX('Daily 쨈 raw'!$A:$ZZ, MATCH(BW$3, 'Daily 쨈 raw'!$A:$A, 0), MATCH($A31, 'Daily 쨈 raw'!$1:$1, 0)), ""), IF(val=0, "", val))</f>
        <v>135</v>
      </c>
      <c r="BX31" s="44">
        <f t="array" ref="BX31">LET(val, IFERROR(INDEX('Daily 쨈 raw'!$A:$ZZ, MATCH(BX$3, 'Daily 쨈 raw'!$A:$A, 0), MATCH($A31, 'Daily 쨈 raw'!$1:$1, 0)), ""), IF(val=0, "", val))</f>
        <v>199</v>
      </c>
      <c r="BY31" s="44">
        <f t="array" ref="BY31">LET(val, IFERROR(INDEX('Daily 쨈 raw'!$A:$ZZ, MATCH(BY$3, 'Daily 쨈 raw'!$A:$A, 0), MATCH($A31, 'Daily 쨈 raw'!$1:$1, 0)), ""), IF(val=0, "", val))</f>
        <v>176</v>
      </c>
      <c r="BZ31" s="44">
        <f t="array" ref="BZ31">LET(val, IFERROR(INDEX('Daily 쨈 raw'!$A:$ZZ, MATCH(BZ$3, 'Daily 쨈 raw'!$A:$A, 0), MATCH($A31, 'Daily 쨈 raw'!$1:$1, 0)), ""), IF(val=0, "", val))</f>
        <v>208</v>
      </c>
      <c r="CA31" s="44">
        <f t="array" ref="CA31">LET(val, IFERROR(INDEX('Daily 쨈 raw'!$A:$ZZ, MATCH(CA$3, 'Daily 쨈 raw'!$A:$A, 0), MATCH($A31, 'Daily 쨈 raw'!$1:$1, 0)), ""), IF(val=0, "", val))</f>
        <v>253</v>
      </c>
      <c r="CB31" s="44">
        <f t="array" ref="CB31">LET(val, IFERROR(INDEX('Daily 쨈 raw'!$A:$ZZ, MATCH(CB$3, 'Daily 쨈 raw'!$A:$A, 0), MATCH($A31, 'Daily 쨈 raw'!$1:$1, 0)), ""), IF(val=0, "", val))</f>
        <v>395</v>
      </c>
      <c r="CC31" s="44">
        <f t="array" ref="CC31">LET(val, IFERROR(INDEX('Daily 쨈 raw'!$A:$ZZ, MATCH(CC$3, 'Daily 쨈 raw'!$A:$A, 0), MATCH($A31, 'Daily 쨈 raw'!$1:$1, 0)), ""), IF(val=0, "", val))</f>
        <v>302</v>
      </c>
      <c r="CD31" s="44">
        <f t="array" ref="CD31">LET(val, IFERROR(INDEX('Daily 쨈 raw'!$A:$ZZ, MATCH(CD$3, 'Daily 쨈 raw'!$A:$A, 0), MATCH($A31, 'Daily 쨈 raw'!$1:$1, 0)), ""), IF(val=0, "", val))</f>
        <v>411</v>
      </c>
      <c r="CE31" s="44">
        <f t="array" ref="CE31">LET(val, IFERROR(INDEX('Daily 쨈 raw'!$A:$ZZ, MATCH(CE$3, 'Daily 쨈 raw'!$A:$A, 0), MATCH($A31, 'Daily 쨈 raw'!$1:$1, 0)), ""), IF(val=0, "", val))</f>
        <v>363</v>
      </c>
      <c r="CF31" s="44">
        <f t="array" ref="CF31">LET(val, IFERROR(INDEX('Daily 쨈 raw'!$A:$ZZ, MATCH(CF$3, 'Daily 쨈 raw'!$A:$A, 0), MATCH($A31, 'Daily 쨈 raw'!$1:$1, 0)), ""), IF(val=0, "", val))</f>
        <v>414</v>
      </c>
      <c r="CG31" s="44">
        <f t="array" ref="CG31">LET(val, IFERROR(INDEX('Daily 쨈 raw'!$A:$ZZ, MATCH(CG$3, 'Daily 쨈 raw'!$A:$A, 0), MATCH($A31, 'Daily 쨈 raw'!$1:$1, 0)), ""), IF(val=0, "", val))</f>
        <v>461</v>
      </c>
      <c r="CH31" s="44">
        <f t="array" ref="CH31">LET(val, IFERROR(INDEX('Daily 쨈 raw'!$A:$ZZ, MATCH(CH$3, 'Daily 쨈 raw'!$A:$A, 0), MATCH($A31, 'Daily 쨈 raw'!$1:$1, 0)), ""), IF(val=0, "", val))</f>
        <v>431</v>
      </c>
      <c r="CI31" s="44">
        <f t="array" ref="CI31">LET(val, IFERROR(INDEX('Daily 쨈 raw'!$A:$ZZ, MATCH(CI$3, 'Daily 쨈 raw'!$A:$A, 0), MATCH($A31, 'Daily 쨈 raw'!$1:$1, 0)), ""), IF(val=0, "", val))</f>
        <v>507</v>
      </c>
      <c r="CJ31" s="44">
        <f t="array" ref="CJ31">LET(val, IFERROR(INDEX('Daily 쨈 raw'!$A:$ZZ, MATCH(CJ$3, 'Daily 쨈 raw'!$A:$A, 0), MATCH($A31, 'Daily 쨈 raw'!$1:$1, 0)), ""), IF(val=0, "", val))</f>
        <v>547</v>
      </c>
      <c r="CK31" s="44">
        <f t="array" ref="CK31">LET(val, IFERROR(INDEX('Daily 쨈 raw'!$A:$ZZ, MATCH(CK$3, 'Daily 쨈 raw'!$A:$A, 0), MATCH($A31, 'Daily 쨈 raw'!$1:$1, 0)), ""), IF(val=0, "", val))</f>
        <v>460</v>
      </c>
      <c r="CL31" s="44">
        <f t="array" ref="CL31">LET(val, IFERROR(INDEX('Daily 쨈 raw'!$A:$ZZ, MATCH(CL$3, 'Daily 쨈 raw'!$A:$A, 0), MATCH($A31, 'Daily 쨈 raw'!$1:$1, 0)), ""), IF(val=0, "", val))</f>
        <v>429</v>
      </c>
      <c r="CM31" s="44">
        <f t="array" ref="CM31">LET(val, IFERROR(INDEX('Daily 쨈 raw'!$A:$ZZ, MATCH(CM$3, 'Daily 쨈 raw'!$A:$A, 0), MATCH($A31, 'Daily 쨈 raw'!$1:$1, 0)), ""), IF(val=0, "", val))</f>
        <v>450</v>
      </c>
      <c r="CN31" s="44">
        <f t="array" ref="CN31">LET(val, IFERROR(INDEX('Daily 쨈 raw'!$A:$ZZ, MATCH(CN$3, 'Daily 쨈 raw'!$A:$A, 0), MATCH($A31, 'Daily 쨈 raw'!$1:$1, 0)), ""), IF(val=0, "", val))</f>
        <v>385</v>
      </c>
      <c r="CO31" s="44">
        <f t="array" ref="CO31">LET(val, IFERROR(INDEX('Daily 쨈 raw'!$A:$ZZ, MATCH(CO$3, 'Daily 쨈 raw'!$A:$A, 0), MATCH($A31, 'Daily 쨈 raw'!$1:$1, 0)), ""), IF(val=0, "", val))</f>
        <v>644</v>
      </c>
      <c r="CP31" s="44" t="str">
        <f t="array" ref="CP31">LET(val, IFERROR(INDEX('Daily 쨈 raw'!$A:$ZZ, MATCH(CP$3, 'Daily 쨈 raw'!$A:$A, 0), MATCH($A31, 'Daily 쨈 raw'!$1:$1, 0)), ""), IF(val=0, "", val))</f>
        <v/>
      </c>
      <c r="CQ31" s="44" t="str">
        <f t="array" ref="CQ31">LET(val, IFERROR(INDEX('Daily 쨈 raw'!$A:$ZZ, MATCH(CQ$3, 'Daily 쨈 raw'!$A:$A, 0), MATCH($A31, 'Daily 쨈 raw'!$1:$1, 0)), ""), IF(val=0, "", val))</f>
        <v/>
      </c>
      <c r="CR31" s="44" t="str">
        <f t="array" ref="CR31">LET(val, IFERROR(INDEX('Daily 쨈 raw'!$A:$ZZ, MATCH(CR$3, 'Daily 쨈 raw'!$A:$A, 0), MATCH($A31, 'Daily 쨈 raw'!$1:$1, 0)), ""), IF(val=0, "", val))</f>
        <v/>
      </c>
      <c r="CS31" s="44" t="str">
        <f t="array" ref="CS31">LET(val, IFERROR(INDEX('Daily 쨈 raw'!$A:$ZZ, MATCH(CS$3, 'Daily 쨈 raw'!$A:$A, 0), MATCH($A31, 'Daily 쨈 raw'!$1:$1, 0)), ""), IF(val=0, "", val))</f>
        <v/>
      </c>
      <c r="CT31" s="44" t="str">
        <f t="array" ref="CT31">LET(val, IFERROR(INDEX('Daily 쨈 raw'!$A:$ZZ, MATCH(CT$3, 'Daily 쨈 raw'!$A:$A, 0), MATCH($A31, 'Daily 쨈 raw'!$1:$1, 0)), ""), IF(val=0, "", val))</f>
        <v/>
      </c>
      <c r="CU31" s="44" t="str">
        <f t="array" ref="CU31">LET(val, IFERROR(INDEX('Daily 쨈 raw'!$A:$ZZ, MATCH(CU$3, 'Daily 쨈 raw'!$A:$A, 0), MATCH($A31, 'Daily 쨈 raw'!$1:$1, 0)), ""), IF(val=0, "", val))</f>
        <v/>
      </c>
      <c r="CV31" s="44" t="str">
        <f t="array" ref="CV31">LET(val, IFERROR(INDEX('Daily 쨈 raw'!$A:$ZZ, MATCH(CV$3, 'Daily 쨈 raw'!$A:$A, 0), MATCH($A31, 'Daily 쨈 raw'!$1:$1, 0)), ""), IF(val=0, "", val))</f>
        <v/>
      </c>
      <c r="CW31" s="44" t="str">
        <f t="array" ref="CW31">LET(val, IFERROR(INDEX('Daily 쨈 raw'!$A:$ZZ, MATCH(CW$3, 'Daily 쨈 raw'!$A:$A, 0), MATCH($A31, 'Daily 쨈 raw'!$1:$1, 0)), ""), IF(val=0, "", val))</f>
        <v/>
      </c>
      <c r="CX31" s="44" t="str">
        <f t="array" ref="CX31">LET(val, IFERROR(INDEX('Daily 쨈 raw'!$A:$ZZ, MATCH(CX$3, 'Daily 쨈 raw'!$A:$A, 0), MATCH($A31, 'Daily 쨈 raw'!$1:$1, 0)), ""), IF(val=0, "", val))</f>
        <v/>
      </c>
      <c r="CY31" s="44" t="str">
        <f t="array" ref="CY31">LET(val, IFERROR(INDEX('Daily 쨈 raw'!$A:$ZZ, MATCH(CY$3, 'Daily 쨈 raw'!$A:$A, 0), MATCH($A31, 'Daily 쨈 raw'!$1:$1, 0)), ""), IF(val=0, "", val))</f>
        <v/>
      </c>
      <c r="CZ31" s="44" t="str">
        <f t="array" ref="CZ31">LET(val, IFERROR(INDEX('Daily 쨈 raw'!$A:$ZZ, MATCH(CZ$3, 'Daily 쨈 raw'!$A:$A, 0), MATCH($A31, 'Daily 쨈 raw'!$1:$1, 0)), ""), IF(val=0, "", val))</f>
        <v/>
      </c>
      <c r="DA31" s="44" t="str">
        <f t="array" ref="DA31">LET(val, IFERROR(INDEX('Daily 쨈 raw'!$A:$ZZ, MATCH(DA$3, 'Daily 쨈 raw'!$A:$A, 0), MATCH($A31, 'Daily 쨈 raw'!$1:$1, 0)), ""), IF(val=0, "", val))</f>
        <v/>
      </c>
      <c r="DB31" s="44" t="str">
        <f t="array" ref="DB31">LET(val, IFERROR(INDEX('Daily 쨈 raw'!$A:$ZZ, MATCH(DB$3, 'Daily 쨈 raw'!$A:$A, 0), MATCH($A31, 'Daily 쨈 raw'!$1:$1, 0)), ""), IF(val=0, "", val))</f>
        <v/>
      </c>
      <c r="DC31" s="44" t="str">
        <f t="array" ref="DC31">LET(val, IFERROR(INDEX('Daily 쨈 raw'!$A:$ZZ, MATCH(DC$3, 'Daily 쨈 raw'!$A:$A, 0), MATCH($A31, 'Daily 쨈 raw'!$1:$1, 0)), ""), IF(val=0, "", val))</f>
        <v/>
      </c>
      <c r="DD31" s="44" t="str">
        <f t="array" ref="DD31">LET(val, IFERROR(INDEX('Daily 쨈 raw'!$A:$ZZ, MATCH(DD$3, 'Daily 쨈 raw'!$A:$A, 0), MATCH($A31, 'Daily 쨈 raw'!$1:$1, 0)), ""), IF(val=0, "", val))</f>
        <v/>
      </c>
      <c r="DE31" s="44" t="str">
        <f t="array" ref="DE31">LET(val, IFERROR(INDEX('Daily 쨈 raw'!$A:$ZZ, MATCH(DE$3, 'Daily 쨈 raw'!$A:$A, 0), MATCH($A31, 'Daily 쨈 raw'!$1:$1, 0)), ""), IF(val=0, "", val))</f>
        <v/>
      </c>
      <c r="DF31" s="44" t="str">
        <f t="array" ref="DF31">LET(val, IFERROR(INDEX('Daily 쨈 raw'!$A:$ZZ, MATCH(DF$3, 'Daily 쨈 raw'!$A:$A, 0), MATCH($A31, 'Daily 쨈 raw'!$1:$1, 0)), ""), IF(val=0, "", val))</f>
        <v/>
      </c>
      <c r="DG31" s="44" t="str">
        <f t="array" ref="DG31">LET(val, IFERROR(INDEX('Daily 쨈 raw'!$A:$ZZ, MATCH(DG$3, 'Daily 쨈 raw'!$A:$A, 0), MATCH($A31, 'Daily 쨈 raw'!$1:$1, 0)), ""), IF(val=0, "", val))</f>
        <v/>
      </c>
      <c r="DH31" s="44" t="str">
        <f t="array" ref="DH31">LET(val, IFERROR(INDEX('Daily 쨈 raw'!$A:$ZZ, MATCH(DH$3, 'Daily 쨈 raw'!$A:$A, 0), MATCH($A31, 'Daily 쨈 raw'!$1:$1, 0)), ""), IF(val=0, "", val))</f>
        <v/>
      </c>
      <c r="DI31" s="44" t="str">
        <f t="array" ref="DI31">LET(val, IFERROR(INDEX('Daily 쨈 raw'!$A:$ZZ, MATCH(DI$3, 'Daily 쨈 raw'!$A:$A, 0), MATCH($A31, 'Daily 쨈 raw'!$1:$1, 0)), ""), IF(val=0, "", val))</f>
        <v/>
      </c>
      <c r="DJ31" s="44" t="str">
        <f t="array" ref="DJ31">LET(val, IFERROR(INDEX('Daily 쨈 raw'!$A:$ZZ, MATCH(DJ$3, 'Daily 쨈 raw'!$A:$A, 0), MATCH($A31, 'Daily 쨈 raw'!$1:$1, 0)), ""), IF(val=0, "", val))</f>
        <v/>
      </c>
      <c r="DK31" s="44" t="str">
        <f t="array" ref="DK31">LET(val, IFERROR(INDEX('Daily 쨈 raw'!$A:$ZZ, MATCH(DK$3, 'Daily 쨈 raw'!$A:$A, 0), MATCH($A31, 'Daily 쨈 raw'!$1:$1, 0)), ""), IF(val=0, "", val))</f>
        <v/>
      </c>
      <c r="DL31" s="44" t="str">
        <f t="array" ref="DL31">LET(val, IFERROR(INDEX('Daily 쨈 raw'!$A:$ZZ, MATCH(DL$3, 'Daily 쨈 raw'!$A:$A, 0), MATCH($A31, 'Daily 쨈 raw'!$1:$1, 0)), ""), IF(val=0, "", val))</f>
        <v/>
      </c>
      <c r="DM31" s="44" t="str">
        <f t="array" ref="DM31">LET(val, IFERROR(INDEX('Daily 쨈 raw'!$A:$ZZ, MATCH(DM$3, 'Daily 쨈 raw'!$A:$A, 0), MATCH($A31, 'Daily 쨈 raw'!$1:$1, 0)), ""), IF(val=0, "", val))</f>
        <v/>
      </c>
      <c r="DN31" s="44" t="str">
        <f t="array" ref="DN31">LET(val, IFERROR(INDEX('Daily 쨈 raw'!$A:$ZZ, MATCH(DN$3, 'Daily 쨈 raw'!$A:$A, 0), MATCH($A31, 'Daily 쨈 raw'!$1:$1, 0)), ""), IF(val=0, "", val))</f>
        <v/>
      </c>
      <c r="DO31" s="44" t="str">
        <f t="array" ref="DO31">LET(val, IFERROR(INDEX('Daily 쨈 raw'!$A:$ZZ, MATCH(DO$3, 'Daily 쨈 raw'!$A:$A, 0), MATCH($A31, 'Daily 쨈 raw'!$1:$1, 0)), ""), IF(val=0, "", val))</f>
        <v/>
      </c>
      <c r="DP31" s="44" t="str">
        <f t="array" ref="DP31">LET(val, IFERROR(INDEX('Daily 쨈 raw'!$A:$ZZ, MATCH(DP$3, 'Daily 쨈 raw'!$A:$A, 0), MATCH($A31, 'Daily 쨈 raw'!$1:$1, 0)), ""), IF(val=0, "", val))</f>
        <v/>
      </c>
      <c r="DQ31" s="44" t="str">
        <f t="array" ref="DQ31">LET(val, IFERROR(INDEX('Daily 쨈 raw'!$A:$ZZ, MATCH(DQ$3, 'Daily 쨈 raw'!$A:$A, 0), MATCH($A31, 'Daily 쨈 raw'!$1:$1, 0)), ""), IF(val=0, "", val))</f>
        <v/>
      </c>
      <c r="DR31" s="44" t="str">
        <f t="array" ref="DR31">LET(val, IFERROR(INDEX('Daily 쨈 raw'!$A:$ZZ, MATCH(DR$3, 'Daily 쨈 raw'!$A:$A, 0), MATCH($A31, 'Daily 쨈 raw'!$1:$1, 0)), ""), IF(val=0, "", val))</f>
        <v/>
      </c>
      <c r="DS31" s="44" t="str">
        <f t="array" ref="DS31">LET(val, IFERROR(INDEX('Daily 쨈 raw'!$A:$ZZ, MATCH(DS$3, 'Daily 쨈 raw'!$A:$A, 0), MATCH($A31, 'Daily 쨈 raw'!$1:$1, 0)), ""), IF(val=0, "", val))</f>
        <v/>
      </c>
      <c r="DT31" s="44" t="str">
        <f t="array" ref="DT31">LET(val, IFERROR(INDEX('Daily 쨈 raw'!$A:$ZZ, MATCH(DT$3, 'Daily 쨈 raw'!$A:$A, 0), MATCH($A31, 'Daily 쨈 raw'!$1:$1, 0)), ""), IF(val=0, "", val))</f>
        <v/>
      </c>
      <c r="DU31" s="44" t="str">
        <f t="array" ref="DU31">LET(val, IFERROR(INDEX('Daily 쨈 raw'!$A:$ZZ, MATCH(DU$3, 'Daily 쨈 raw'!$A:$A, 0), MATCH($A31, 'Daily 쨈 raw'!$1:$1, 0)), ""), IF(val=0, "", val))</f>
        <v/>
      </c>
      <c r="DV31" s="44" t="str">
        <f t="array" ref="DV31">LET(val, IFERROR(INDEX('Daily 쨈 raw'!$A:$ZZ, MATCH(DV$3, 'Daily 쨈 raw'!$A:$A, 0), MATCH($A31, 'Daily 쨈 raw'!$1:$1, 0)), ""), IF(val=0, "", val))</f>
        <v/>
      </c>
      <c r="DW31" s="44" t="str">
        <f t="array" ref="DW31">LET(val, IFERROR(INDEX('Daily 쨈 raw'!$A:$ZZ, MATCH(DW$3, 'Daily 쨈 raw'!$A:$A, 0), MATCH($A31, 'Daily 쨈 raw'!$1:$1, 0)), ""), IF(val=0, "", val))</f>
        <v/>
      </c>
      <c r="DX31" s="57"/>
      <c r="DY31" s="57"/>
      <c r="DZ31" s="57"/>
    </row>
    <row r="32" ht="22.5" customHeight="1">
      <c r="A32" s="16" t="s">
        <v>45</v>
      </c>
      <c r="B32" s="17" t="s">
        <v>22</v>
      </c>
      <c r="C32" s="44">
        <f t="array" ref="C32">LET(val, IFERROR(INDEX('Daily 쨈 raw'!$A:$ZZ, MATCH(C$3, 'Daily 쨈 raw'!$A:$A, 0), MATCH($A32, 'Daily 쨈 raw'!$1:$1, 0)), ""), IF(val=0, "", val))</f>
        <v>91</v>
      </c>
      <c r="D32" s="44">
        <f t="array" ref="D32">LET(val, IFERROR(INDEX('Daily 쨈 raw'!$A:$ZZ, MATCH(D$3, 'Daily 쨈 raw'!$A:$A, 0), MATCH($A32, 'Daily 쨈 raw'!$1:$1, 0)), ""), IF(val=0, "", val))</f>
        <v>155</v>
      </c>
      <c r="E32" s="44">
        <f t="array" ref="E32">LET(val, IFERROR(INDEX('Daily 쨈 raw'!$A:$ZZ, MATCH(E$3, 'Daily 쨈 raw'!$A:$A, 0), MATCH($A32, 'Daily 쨈 raw'!$1:$1, 0)), ""), IF(val=0, "", val))</f>
        <v>87</v>
      </c>
      <c r="F32" s="44">
        <f t="array" ref="F32">LET(val, IFERROR(INDEX('Daily 쨈 raw'!$A:$ZZ, MATCH(F$3, 'Daily 쨈 raw'!$A:$A, 0), MATCH($A32, 'Daily 쨈 raw'!$1:$1, 0)), ""), IF(val=0, "", val))</f>
        <v>116</v>
      </c>
      <c r="G32" s="44">
        <f t="array" ref="G32">LET(val, IFERROR(INDEX('Daily 쨈 raw'!$A:$ZZ, MATCH(G$3, 'Daily 쨈 raw'!$A:$A, 0), MATCH($A32, 'Daily 쨈 raw'!$1:$1, 0)), ""), IF(val=0, "", val))</f>
        <v>106</v>
      </c>
      <c r="H32" s="44">
        <f t="array" ref="H32">LET(val, IFERROR(INDEX('Daily 쨈 raw'!$A:$ZZ, MATCH(H$3, 'Daily 쨈 raw'!$A:$A, 0), MATCH($A32, 'Daily 쨈 raw'!$1:$1, 0)), ""), IF(val=0, "", val))</f>
        <v>50</v>
      </c>
      <c r="I32" s="44">
        <f t="array" ref="I32">LET(val, IFERROR(INDEX('Daily 쨈 raw'!$A:$ZZ, MATCH(I$3, 'Daily 쨈 raw'!$A:$A, 0), MATCH($A32, 'Daily 쨈 raw'!$1:$1, 0)), ""), IF(val=0, "", val))</f>
        <v>57</v>
      </c>
      <c r="J32" s="44">
        <f t="array" ref="J32">LET(val, IFERROR(INDEX('Daily 쨈 raw'!$A:$ZZ, MATCH(J$3, 'Daily 쨈 raw'!$A:$A, 0), MATCH($A32, 'Daily 쨈 raw'!$1:$1, 0)), ""), IF(val=0, "", val))</f>
        <v>54</v>
      </c>
      <c r="K32" s="44">
        <f t="array" ref="K32">LET(val, IFERROR(INDEX('Daily 쨈 raw'!$A:$ZZ, MATCH(K$3, 'Daily 쨈 raw'!$A:$A, 0), MATCH($A32, 'Daily 쨈 raw'!$1:$1, 0)), ""), IF(val=0, "", val))</f>
        <v>91</v>
      </c>
      <c r="L32" s="44">
        <f t="array" ref="L32">LET(val, IFERROR(INDEX('Daily 쨈 raw'!$A:$ZZ, MATCH(L$3, 'Daily 쨈 raw'!$A:$A, 0), MATCH($A32, 'Daily 쨈 raw'!$1:$1, 0)), ""), IF(val=0, "", val))</f>
        <v>78</v>
      </c>
      <c r="M32" s="44">
        <f t="array" ref="M32">LET(val, IFERROR(INDEX('Daily 쨈 raw'!$A:$ZZ, MATCH(M$3, 'Daily 쨈 raw'!$A:$A, 0), MATCH($A32, 'Daily 쨈 raw'!$1:$1, 0)), ""), IF(val=0, "", val))</f>
        <v>87</v>
      </c>
      <c r="N32" s="44">
        <f t="array" ref="N32">LET(val, IFERROR(INDEX('Daily 쨈 raw'!$A:$ZZ, MATCH(N$3, 'Daily 쨈 raw'!$A:$A, 0), MATCH($A32, 'Daily 쨈 raw'!$1:$1, 0)), ""), IF(val=0, "", val))</f>
        <v>62</v>
      </c>
      <c r="O32" s="44">
        <f t="array" ref="O32">LET(val, IFERROR(INDEX('Daily 쨈 raw'!$A:$ZZ, MATCH(O$3, 'Daily 쨈 raw'!$A:$A, 0), MATCH($A32, 'Daily 쨈 raw'!$1:$1, 0)), ""), IF(val=0, "", val))</f>
        <v>41</v>
      </c>
      <c r="P32" s="44">
        <f t="array" ref="P32">LET(val, IFERROR(INDEX('Daily 쨈 raw'!$A:$ZZ, MATCH(P$3, 'Daily 쨈 raw'!$A:$A, 0), MATCH($A32, 'Daily 쨈 raw'!$1:$1, 0)), ""), IF(val=0, "", val))</f>
        <v>36</v>
      </c>
      <c r="Q32" s="44">
        <f t="array" ref="Q32">LET(val, IFERROR(INDEX('Daily 쨈 raw'!$A:$ZZ, MATCH(Q$3, 'Daily 쨈 raw'!$A:$A, 0), MATCH($A32, 'Daily 쨈 raw'!$1:$1, 0)), ""), IF(val=0, "", val))</f>
        <v>20</v>
      </c>
      <c r="R32" s="44">
        <f t="array" ref="R32">LET(val, IFERROR(INDEX('Daily 쨈 raw'!$A:$ZZ, MATCH(R$3, 'Daily 쨈 raw'!$A:$A, 0), MATCH($A32, 'Daily 쨈 raw'!$1:$1, 0)), ""), IF(val=0, "", val))</f>
        <v>49</v>
      </c>
      <c r="S32" s="44">
        <f t="array" ref="S32">LET(val, IFERROR(INDEX('Daily 쨈 raw'!$A:$ZZ, MATCH(S$3, 'Daily 쨈 raw'!$A:$A, 0), MATCH($A32, 'Daily 쨈 raw'!$1:$1, 0)), ""), IF(val=0, "", val))</f>
        <v>124</v>
      </c>
      <c r="T32" s="44">
        <f t="array" ref="T32">LET(val, IFERROR(INDEX('Daily 쨈 raw'!$A:$ZZ, MATCH(T$3, 'Daily 쨈 raw'!$A:$A, 0), MATCH($A32, 'Daily 쨈 raw'!$1:$1, 0)), ""), IF(val=0, "", val))</f>
        <v>59</v>
      </c>
      <c r="U32" s="44">
        <f t="array" ref="U32">LET(val, IFERROR(INDEX('Daily 쨈 raw'!$A:$ZZ, MATCH(U$3, 'Daily 쨈 raw'!$A:$A, 0), MATCH($A32, 'Daily 쨈 raw'!$1:$1, 0)), ""), IF(val=0, "", val))</f>
        <v>47</v>
      </c>
      <c r="V32" s="44">
        <f t="array" ref="V32">LET(val, IFERROR(INDEX('Daily 쨈 raw'!$A:$ZZ, MATCH(V$3, 'Daily 쨈 raw'!$A:$A, 0), MATCH($A32, 'Daily 쨈 raw'!$1:$1, 0)), ""), IF(val=0, "", val))</f>
        <v>42</v>
      </c>
      <c r="W32" s="44">
        <f t="array" ref="W32">LET(val, IFERROR(INDEX('Daily 쨈 raw'!$A:$ZZ, MATCH(W$3, 'Daily 쨈 raw'!$A:$A, 0), MATCH($A32, 'Daily 쨈 raw'!$1:$1, 0)), ""), IF(val=0, "", val))</f>
        <v>50</v>
      </c>
      <c r="X32" s="44">
        <f t="array" ref="X32">LET(val, IFERROR(INDEX('Daily 쨈 raw'!$A:$ZZ, MATCH(X$3, 'Daily 쨈 raw'!$A:$A, 0), MATCH($A32, 'Daily 쨈 raw'!$1:$1, 0)), ""), IF(val=0, "", val))</f>
        <v>54</v>
      </c>
      <c r="Y32" s="44">
        <f t="array" ref="Y32">LET(val, IFERROR(INDEX('Daily 쨈 raw'!$A:$ZZ, MATCH(Y$3, 'Daily 쨈 raw'!$A:$A, 0), MATCH($A32, 'Daily 쨈 raw'!$1:$1, 0)), ""), IF(val=0, "", val))</f>
        <v>51</v>
      </c>
      <c r="Z32" s="44">
        <f t="array" ref="Z32">LET(val, IFERROR(INDEX('Daily 쨈 raw'!$A:$ZZ, MATCH(Z$3, 'Daily 쨈 raw'!$A:$A, 0), MATCH($A32, 'Daily 쨈 raw'!$1:$1, 0)), ""), IF(val=0, "", val))</f>
        <v>22</v>
      </c>
      <c r="AA32" s="44">
        <f t="array" ref="AA32">LET(val, IFERROR(INDEX('Daily 쨈 raw'!$A:$ZZ, MATCH(AA$3, 'Daily 쨈 raw'!$A:$A, 0), MATCH($A32, 'Daily 쨈 raw'!$1:$1, 0)), ""), IF(val=0, "", val))</f>
        <v>22</v>
      </c>
      <c r="AB32" s="44">
        <f t="array" ref="AB32">LET(val, IFERROR(INDEX('Daily 쨈 raw'!$A:$ZZ, MATCH(AB$3, 'Daily 쨈 raw'!$A:$A, 0), MATCH($A32, 'Daily 쨈 raw'!$1:$1, 0)), ""), IF(val=0, "", val))</f>
        <v>32</v>
      </c>
      <c r="AC32" s="44">
        <f t="array" ref="AC32">LET(val, IFERROR(INDEX('Daily 쨈 raw'!$A:$ZZ, MATCH(AC$3, 'Daily 쨈 raw'!$A:$A, 0), MATCH($A32, 'Daily 쨈 raw'!$1:$1, 0)), ""), IF(val=0, "", val))</f>
        <v>19</v>
      </c>
      <c r="AD32" s="44">
        <f t="array" ref="AD32">LET(val, IFERROR(INDEX('Daily 쨈 raw'!$A:$ZZ, MATCH(AD$3, 'Daily 쨈 raw'!$A:$A, 0), MATCH($A32, 'Daily 쨈 raw'!$1:$1, 0)), ""), IF(val=0, "", val))</f>
        <v>21</v>
      </c>
      <c r="AE32" s="44">
        <f t="array" ref="AE32">LET(val, IFERROR(INDEX('Daily 쨈 raw'!$A:$ZZ, MATCH(AE$3, 'Daily 쨈 raw'!$A:$A, 0), MATCH($A32, 'Daily 쨈 raw'!$1:$1, 0)), ""), IF(val=0, "", val))</f>
        <v>32</v>
      </c>
      <c r="AF32" s="44">
        <f t="array" ref="AF32">LET(val, IFERROR(INDEX('Daily 쨈 raw'!$A:$ZZ, MATCH(AF$3, 'Daily 쨈 raw'!$A:$A, 0), MATCH($A32, 'Daily 쨈 raw'!$1:$1, 0)), ""), IF(val=0, "", val))</f>
        <v>60</v>
      </c>
      <c r="AG32" s="44">
        <f t="array" ref="AG32">LET(val, IFERROR(INDEX('Daily 쨈 raw'!$A:$ZZ, MATCH(AG$3, 'Daily 쨈 raw'!$A:$A, 0), MATCH($A32, 'Daily 쨈 raw'!$1:$1, 0)), ""), IF(val=0, "", val))</f>
        <v>81</v>
      </c>
      <c r="AH32" s="44">
        <f t="array" ref="AH32">LET(val, IFERROR(INDEX('Daily 쨈 raw'!$A:$ZZ, MATCH(AH$3, 'Daily 쨈 raw'!$A:$A, 0), MATCH($A32, 'Daily 쨈 raw'!$1:$1, 0)), ""), IF(val=0, "", val))</f>
        <v>117</v>
      </c>
      <c r="AI32" s="44">
        <f t="array" ref="AI32">LET(val, IFERROR(INDEX('Daily 쨈 raw'!$A:$ZZ, MATCH(AI$3, 'Daily 쨈 raw'!$A:$A, 0), MATCH($A32, 'Daily 쨈 raw'!$1:$1, 0)), ""), IF(val=0, "", val))</f>
        <v>63</v>
      </c>
      <c r="AJ32" s="44">
        <f t="array" ref="AJ32">LET(val, IFERROR(INDEX('Daily 쨈 raw'!$A:$ZZ, MATCH(AJ$3, 'Daily 쨈 raw'!$A:$A, 0), MATCH($A32, 'Daily 쨈 raw'!$1:$1, 0)), ""), IF(val=0, "", val))</f>
        <v>51</v>
      </c>
      <c r="AK32" s="44">
        <f t="array" ref="AK32">LET(val, IFERROR(INDEX('Daily 쨈 raw'!$A:$ZZ, MATCH(AK$3, 'Daily 쨈 raw'!$A:$A, 0), MATCH($A32, 'Daily 쨈 raw'!$1:$1, 0)), ""), IF(val=0, "", val))</f>
        <v>66</v>
      </c>
      <c r="AL32" s="44">
        <f t="array" ref="AL32">LET(val, IFERROR(INDEX('Daily 쨈 raw'!$A:$ZZ, MATCH(AL$3, 'Daily 쨈 raw'!$A:$A, 0), MATCH($A32, 'Daily 쨈 raw'!$1:$1, 0)), ""), IF(val=0, "", val))</f>
        <v>57</v>
      </c>
      <c r="AM32" s="44">
        <f t="array" ref="AM32">LET(val, IFERROR(INDEX('Daily 쨈 raw'!$A:$ZZ, MATCH(AM$3, 'Daily 쨈 raw'!$A:$A, 0), MATCH($A32, 'Daily 쨈 raw'!$1:$1, 0)), ""), IF(val=0, "", val))</f>
        <v>38</v>
      </c>
      <c r="AN32" s="44">
        <f t="array" ref="AN32">LET(val, IFERROR(INDEX('Daily 쨈 raw'!$A:$ZZ, MATCH(AN$3, 'Daily 쨈 raw'!$A:$A, 0), MATCH($A32, 'Daily 쨈 raw'!$1:$1, 0)), ""), IF(val=0, "", val))</f>
        <v>20</v>
      </c>
      <c r="AO32" s="44">
        <f t="array" ref="AO32">LET(val, IFERROR(INDEX('Daily 쨈 raw'!$A:$ZZ, MATCH(AO$3, 'Daily 쨈 raw'!$A:$A, 0), MATCH($A32, 'Daily 쨈 raw'!$1:$1, 0)), ""), IF(val=0, "", val))</f>
        <v>47</v>
      </c>
      <c r="AP32" s="44">
        <f t="array" ref="AP32">LET(val, IFERROR(INDEX('Daily 쨈 raw'!$A:$ZZ, MATCH(AP$3, 'Daily 쨈 raw'!$A:$A, 0), MATCH($A32, 'Daily 쨈 raw'!$1:$1, 0)), ""), IF(val=0, "", val))</f>
        <v>17</v>
      </c>
      <c r="AQ32" s="44">
        <f t="array" ref="AQ32">LET(val, IFERROR(INDEX('Daily 쨈 raw'!$A:$ZZ, MATCH(AQ$3, 'Daily 쨈 raw'!$A:$A, 0), MATCH($A32, 'Daily 쨈 raw'!$1:$1, 0)), ""), IF(val=0, "", val))</f>
        <v>26</v>
      </c>
      <c r="AR32" s="44">
        <f t="array" ref="AR32">LET(val, IFERROR(INDEX('Daily 쨈 raw'!$A:$ZZ, MATCH(AR$3, 'Daily 쨈 raw'!$A:$A, 0), MATCH($A32, 'Daily 쨈 raw'!$1:$1, 0)), ""), IF(val=0, "", val))</f>
        <v>36</v>
      </c>
      <c r="AS32" s="44">
        <f t="array" ref="AS32">LET(val, IFERROR(INDEX('Daily 쨈 raw'!$A:$ZZ, MATCH(AS$3, 'Daily 쨈 raw'!$A:$A, 0), MATCH($A32, 'Daily 쨈 raw'!$1:$1, 0)), ""), IF(val=0, "", val))</f>
        <v>25</v>
      </c>
      <c r="AT32" s="44">
        <f t="array" ref="AT32">LET(val, IFERROR(INDEX('Daily 쨈 raw'!$A:$ZZ, MATCH(AT$3, 'Daily 쨈 raw'!$A:$A, 0), MATCH($A32, 'Daily 쨈 raw'!$1:$1, 0)), ""), IF(val=0, "", val))</f>
        <v>25</v>
      </c>
      <c r="AU32" s="44">
        <f t="array" ref="AU32">LET(val, IFERROR(INDEX('Daily 쨈 raw'!$A:$ZZ, MATCH(AU$3, 'Daily 쨈 raw'!$A:$A, 0), MATCH($A32, 'Daily 쨈 raw'!$1:$1, 0)), ""), IF(val=0, "", val))</f>
        <v>17</v>
      </c>
      <c r="AV32" s="44">
        <f t="array" ref="AV32">LET(val, IFERROR(INDEX('Daily 쨈 raw'!$A:$ZZ, MATCH(AV$3, 'Daily 쨈 raw'!$A:$A, 0), MATCH($A32, 'Daily 쨈 raw'!$1:$1, 0)), ""), IF(val=0, "", val))</f>
        <v>22</v>
      </c>
      <c r="AW32" s="44">
        <f t="array" ref="AW32">LET(val, IFERROR(INDEX('Daily 쨈 raw'!$A:$ZZ, MATCH(AW$3, 'Daily 쨈 raw'!$A:$A, 0), MATCH($A32, 'Daily 쨈 raw'!$1:$1, 0)), ""), IF(val=0, "", val))</f>
        <v>16</v>
      </c>
      <c r="AX32" s="44">
        <f t="array" ref="AX32">LET(val, IFERROR(INDEX('Daily 쨈 raw'!$A:$ZZ, MATCH(AX$3, 'Daily 쨈 raw'!$A:$A, 0), MATCH($A32, 'Daily 쨈 raw'!$1:$1, 0)), ""), IF(val=0, "", val))</f>
        <v>10</v>
      </c>
      <c r="AY32" s="44">
        <f t="array" ref="AY32">LET(val, IFERROR(INDEX('Daily 쨈 raw'!$A:$ZZ, MATCH(AY$3, 'Daily 쨈 raw'!$A:$A, 0), MATCH($A32, 'Daily 쨈 raw'!$1:$1, 0)), ""), IF(val=0, "", val))</f>
        <v>17</v>
      </c>
      <c r="AZ32" s="44">
        <f t="array" ref="AZ32">LET(val, IFERROR(INDEX('Daily 쨈 raw'!$A:$ZZ, MATCH(AZ$3, 'Daily 쨈 raw'!$A:$A, 0), MATCH($A32, 'Daily 쨈 raw'!$1:$1, 0)), ""), IF(val=0, "", val))</f>
        <v>29</v>
      </c>
      <c r="BA32" s="44">
        <f t="array" ref="BA32">LET(val, IFERROR(INDEX('Daily 쨈 raw'!$A:$ZZ, MATCH(BA$3, 'Daily 쨈 raw'!$A:$A, 0), MATCH($A32, 'Daily 쨈 raw'!$1:$1, 0)), ""), IF(val=0, "", val))</f>
        <v>24</v>
      </c>
      <c r="BB32" s="44">
        <f t="array" ref="BB32">LET(val, IFERROR(INDEX('Daily 쨈 raw'!$A:$ZZ, MATCH(BB$3, 'Daily 쨈 raw'!$A:$A, 0), MATCH($A32, 'Daily 쨈 raw'!$1:$1, 0)), ""), IF(val=0, "", val))</f>
        <v>17</v>
      </c>
      <c r="BC32" s="44">
        <f t="array" ref="BC32">LET(val, IFERROR(INDEX('Daily 쨈 raw'!$A:$ZZ, MATCH(BC$3, 'Daily 쨈 raw'!$A:$A, 0), MATCH($A32, 'Daily 쨈 raw'!$1:$1, 0)), ""), IF(val=0, "", val))</f>
        <v>6</v>
      </c>
      <c r="BD32" s="44">
        <f t="array" ref="BD32">LET(val, IFERROR(INDEX('Daily 쨈 raw'!$A:$ZZ, MATCH(BD$3, 'Daily 쨈 raw'!$A:$A, 0), MATCH($A32, 'Daily 쨈 raw'!$1:$1, 0)), ""), IF(val=0, "", val))</f>
        <v>16</v>
      </c>
      <c r="BE32" s="44">
        <f t="array" ref="BE32">LET(val, IFERROR(INDEX('Daily 쨈 raw'!$A:$ZZ, MATCH(BE$3, 'Daily 쨈 raw'!$A:$A, 0), MATCH($A32, 'Daily 쨈 raw'!$1:$1, 0)), ""), IF(val=0, "", val))</f>
        <v>21</v>
      </c>
      <c r="BF32" s="44">
        <f t="array" ref="BF32">LET(val, IFERROR(INDEX('Daily 쨈 raw'!$A:$ZZ, MATCH(BF$3, 'Daily 쨈 raw'!$A:$A, 0), MATCH($A32, 'Daily 쨈 raw'!$1:$1, 0)), ""), IF(val=0, "", val))</f>
        <v>9</v>
      </c>
      <c r="BG32" s="44">
        <f t="array" ref="BG32">LET(val, IFERROR(INDEX('Daily 쨈 raw'!$A:$ZZ, MATCH(BG$3, 'Daily 쨈 raw'!$A:$A, 0), MATCH($A32, 'Daily 쨈 raw'!$1:$1, 0)), ""), IF(val=0, "", val))</f>
        <v>10</v>
      </c>
      <c r="BH32" s="44">
        <f t="array" ref="BH32">LET(val, IFERROR(INDEX('Daily 쨈 raw'!$A:$ZZ, MATCH(BH$3, 'Daily 쨈 raw'!$A:$A, 0), MATCH($A32, 'Daily 쨈 raw'!$1:$1, 0)), ""), IF(val=0, "", val))</f>
        <v>16</v>
      </c>
      <c r="BI32" s="44">
        <f t="array" ref="BI32">LET(val, IFERROR(INDEX('Daily 쨈 raw'!$A:$ZZ, MATCH(BI$3, 'Daily 쨈 raw'!$A:$A, 0), MATCH($A32, 'Daily 쨈 raw'!$1:$1, 0)), ""), IF(val=0, "", val))</f>
        <v>20</v>
      </c>
      <c r="BJ32" s="44">
        <f t="array" ref="BJ32">LET(val, IFERROR(INDEX('Daily 쨈 raw'!$A:$ZZ, MATCH(BJ$3, 'Daily 쨈 raw'!$A:$A, 0), MATCH($A32, 'Daily 쨈 raw'!$1:$1, 0)), ""), IF(val=0, "", val))</f>
        <v>24</v>
      </c>
      <c r="BK32" s="44">
        <f t="array" ref="BK32">LET(val, IFERROR(INDEX('Daily 쨈 raw'!$A:$ZZ, MATCH(BK$3, 'Daily 쨈 raw'!$A:$A, 0), MATCH($A32, 'Daily 쨈 raw'!$1:$1, 0)), ""), IF(val=0, "", val))</f>
        <v>21</v>
      </c>
      <c r="BL32" s="44">
        <f t="array" ref="BL32">LET(val, IFERROR(INDEX('Daily 쨈 raw'!$A:$ZZ, MATCH(BL$3, 'Daily 쨈 raw'!$A:$A, 0), MATCH($A32, 'Daily 쨈 raw'!$1:$1, 0)), ""), IF(val=0, "", val))</f>
        <v>14</v>
      </c>
      <c r="BM32" s="44">
        <f t="array" ref="BM32">LET(val, IFERROR(INDEX('Daily 쨈 raw'!$A:$ZZ, MATCH(BM$3, 'Daily 쨈 raw'!$A:$A, 0), MATCH($A32, 'Daily 쨈 raw'!$1:$1, 0)), ""), IF(val=0, "", val))</f>
        <v>18</v>
      </c>
      <c r="BN32" s="44">
        <f t="array" ref="BN32">LET(val, IFERROR(INDEX('Daily 쨈 raw'!$A:$ZZ, MATCH(BN$3, 'Daily 쨈 raw'!$A:$A, 0), MATCH($A32, 'Daily 쨈 raw'!$1:$1, 0)), ""), IF(val=0, "", val))</f>
        <v>12</v>
      </c>
      <c r="BO32" s="44">
        <f t="array" ref="BO32">LET(val, IFERROR(INDEX('Daily 쨈 raw'!$A:$ZZ, MATCH(BO$3, 'Daily 쨈 raw'!$A:$A, 0), MATCH($A32, 'Daily 쨈 raw'!$1:$1, 0)), ""), IF(val=0, "", val))</f>
        <v>28</v>
      </c>
      <c r="BP32" s="44">
        <f t="array" ref="BP32">LET(val, IFERROR(INDEX('Daily 쨈 raw'!$A:$ZZ, MATCH(BP$3, 'Daily 쨈 raw'!$A:$A, 0), MATCH($A32, 'Daily 쨈 raw'!$1:$1, 0)), ""), IF(val=0, "", val))</f>
        <v>43</v>
      </c>
      <c r="BQ32" s="44">
        <f t="array" ref="BQ32">LET(val, IFERROR(INDEX('Daily 쨈 raw'!$A:$ZZ, MATCH(BQ$3, 'Daily 쨈 raw'!$A:$A, 0), MATCH($A32, 'Daily 쨈 raw'!$1:$1, 0)), ""), IF(val=0, "", val))</f>
        <v>29</v>
      </c>
      <c r="BR32" s="44">
        <f t="array" ref="BR32">LET(val, IFERROR(INDEX('Daily 쨈 raw'!$A:$ZZ, MATCH(BR$3, 'Daily 쨈 raw'!$A:$A, 0), MATCH($A32, 'Daily 쨈 raw'!$1:$1, 0)), ""), IF(val=0, "", val))</f>
        <v>18</v>
      </c>
      <c r="BS32" s="44">
        <f t="array" ref="BS32">LET(val, IFERROR(INDEX('Daily 쨈 raw'!$A:$ZZ, MATCH(BS$3, 'Daily 쨈 raw'!$A:$A, 0), MATCH($A32, 'Daily 쨈 raw'!$1:$1, 0)), ""), IF(val=0, "", val))</f>
        <v>25</v>
      </c>
      <c r="BT32" s="44">
        <f t="array" ref="BT32">LET(val, IFERROR(INDEX('Daily 쨈 raw'!$A:$ZZ, MATCH(BT$3, 'Daily 쨈 raw'!$A:$A, 0), MATCH($A32, 'Daily 쨈 raw'!$1:$1, 0)), ""), IF(val=0, "", val))</f>
        <v>16</v>
      </c>
      <c r="BU32" s="44">
        <f t="array" ref="BU32">LET(val, IFERROR(INDEX('Daily 쨈 raw'!$A:$ZZ, MATCH(BU$3, 'Daily 쨈 raw'!$A:$A, 0), MATCH($A32, 'Daily 쨈 raw'!$1:$1, 0)), ""), IF(val=0, "", val))</f>
        <v>15</v>
      </c>
      <c r="BV32" s="44">
        <f t="array" ref="BV32">LET(val, IFERROR(INDEX('Daily 쨈 raw'!$A:$ZZ, MATCH(BV$3, 'Daily 쨈 raw'!$A:$A, 0), MATCH($A32, 'Daily 쨈 raw'!$1:$1, 0)), ""), IF(val=0, "", val))</f>
        <v>29</v>
      </c>
      <c r="BW32" s="44">
        <f t="array" ref="BW32">LET(val, IFERROR(INDEX('Daily 쨈 raw'!$A:$ZZ, MATCH(BW$3, 'Daily 쨈 raw'!$A:$A, 0), MATCH($A32, 'Daily 쨈 raw'!$1:$1, 0)), ""), IF(val=0, "", val))</f>
        <v>95</v>
      </c>
      <c r="BX32" s="44">
        <f t="array" ref="BX32">LET(val, IFERROR(INDEX('Daily 쨈 raw'!$A:$ZZ, MATCH(BX$3, 'Daily 쨈 raw'!$A:$A, 0), MATCH($A32, 'Daily 쨈 raw'!$1:$1, 0)), ""), IF(val=0, "", val))</f>
        <v>94</v>
      </c>
      <c r="BY32" s="44">
        <f t="array" ref="BY32">LET(val, IFERROR(INDEX('Daily 쨈 raw'!$A:$ZZ, MATCH(BY$3, 'Daily 쨈 raw'!$A:$A, 0), MATCH($A32, 'Daily 쨈 raw'!$1:$1, 0)), ""), IF(val=0, "", val))</f>
        <v>112</v>
      </c>
      <c r="BZ32" s="44">
        <f t="array" ref="BZ32">LET(val, IFERROR(INDEX('Daily 쨈 raw'!$A:$ZZ, MATCH(BZ$3, 'Daily 쨈 raw'!$A:$A, 0), MATCH($A32, 'Daily 쨈 raw'!$1:$1, 0)), ""), IF(val=0, "", val))</f>
        <v>134</v>
      </c>
      <c r="CA32" s="44">
        <f t="array" ref="CA32">LET(val, IFERROR(INDEX('Daily 쨈 raw'!$A:$ZZ, MATCH(CA$3, 'Daily 쨈 raw'!$A:$A, 0), MATCH($A32, 'Daily 쨈 raw'!$1:$1, 0)), ""), IF(val=0, "", val))</f>
        <v>137</v>
      </c>
      <c r="CB32" s="44">
        <f t="array" ref="CB32">LET(val, IFERROR(INDEX('Daily 쨈 raw'!$A:$ZZ, MATCH(CB$3, 'Daily 쨈 raw'!$A:$A, 0), MATCH($A32, 'Daily 쨈 raw'!$1:$1, 0)), ""), IF(val=0, "", val))</f>
        <v>249</v>
      </c>
      <c r="CC32" s="44">
        <f t="array" ref="CC32">LET(val, IFERROR(INDEX('Daily 쨈 raw'!$A:$ZZ, MATCH(CC$3, 'Daily 쨈 raw'!$A:$A, 0), MATCH($A32, 'Daily 쨈 raw'!$1:$1, 0)), ""), IF(val=0, "", val))</f>
        <v>178</v>
      </c>
      <c r="CD32" s="44">
        <f t="array" ref="CD32">LET(val, IFERROR(INDEX('Daily 쨈 raw'!$A:$ZZ, MATCH(CD$3, 'Daily 쨈 raw'!$A:$A, 0), MATCH($A32, 'Daily 쨈 raw'!$1:$1, 0)), ""), IF(val=0, "", val))</f>
        <v>227</v>
      </c>
      <c r="CE32" s="44">
        <f t="array" ref="CE32">LET(val, IFERROR(INDEX('Daily 쨈 raw'!$A:$ZZ, MATCH(CE$3, 'Daily 쨈 raw'!$A:$A, 0), MATCH($A32, 'Daily 쨈 raw'!$1:$1, 0)), ""), IF(val=0, "", val))</f>
        <v>193</v>
      </c>
      <c r="CF32" s="44">
        <f t="array" ref="CF32">LET(val, IFERROR(INDEX('Daily 쨈 raw'!$A:$ZZ, MATCH(CF$3, 'Daily 쨈 raw'!$A:$A, 0), MATCH($A32, 'Daily 쨈 raw'!$1:$1, 0)), ""), IF(val=0, "", val))</f>
        <v>202</v>
      </c>
      <c r="CG32" s="44">
        <f t="array" ref="CG32">LET(val, IFERROR(INDEX('Daily 쨈 raw'!$A:$ZZ, MATCH(CG$3, 'Daily 쨈 raw'!$A:$A, 0), MATCH($A32, 'Daily 쨈 raw'!$1:$1, 0)), ""), IF(val=0, "", val))</f>
        <v>227</v>
      </c>
      <c r="CH32" s="44">
        <f t="array" ref="CH32">LET(val, IFERROR(INDEX('Daily 쨈 raw'!$A:$ZZ, MATCH(CH$3, 'Daily 쨈 raw'!$A:$A, 0), MATCH($A32, 'Daily 쨈 raw'!$1:$1, 0)), ""), IF(val=0, "", val))</f>
        <v>229</v>
      </c>
      <c r="CI32" s="44">
        <f t="array" ref="CI32">LET(val, IFERROR(INDEX('Daily 쨈 raw'!$A:$ZZ, MATCH(CI$3, 'Daily 쨈 raw'!$A:$A, 0), MATCH($A32, 'Daily 쨈 raw'!$1:$1, 0)), ""), IF(val=0, "", val))</f>
        <v>222</v>
      </c>
      <c r="CJ32" s="44">
        <f t="array" ref="CJ32">LET(val, IFERROR(INDEX('Daily 쨈 raw'!$A:$ZZ, MATCH(CJ$3, 'Daily 쨈 raw'!$A:$A, 0), MATCH($A32, 'Daily 쨈 raw'!$1:$1, 0)), ""), IF(val=0, "", val))</f>
        <v>253</v>
      </c>
      <c r="CK32" s="44">
        <f t="array" ref="CK32">LET(val, IFERROR(INDEX('Daily 쨈 raw'!$A:$ZZ, MATCH(CK$3, 'Daily 쨈 raw'!$A:$A, 0), MATCH($A32, 'Daily 쨈 raw'!$1:$1, 0)), ""), IF(val=0, "", val))</f>
        <v>211</v>
      </c>
      <c r="CL32" s="44">
        <f t="array" ref="CL32">LET(val, IFERROR(INDEX('Daily 쨈 raw'!$A:$ZZ, MATCH(CL$3, 'Daily 쨈 raw'!$A:$A, 0), MATCH($A32, 'Daily 쨈 raw'!$1:$1, 0)), ""), IF(val=0, "", val))</f>
        <v>174</v>
      </c>
      <c r="CM32" s="44">
        <f t="array" ref="CM32">LET(val, IFERROR(INDEX('Daily 쨈 raw'!$A:$ZZ, MATCH(CM$3, 'Daily 쨈 raw'!$A:$A, 0), MATCH($A32, 'Daily 쨈 raw'!$1:$1, 0)), ""), IF(val=0, "", val))</f>
        <v>199</v>
      </c>
      <c r="CN32" s="44">
        <f t="array" ref="CN32">LET(val, IFERROR(INDEX('Daily 쨈 raw'!$A:$ZZ, MATCH(CN$3, 'Daily 쨈 raw'!$A:$A, 0), MATCH($A32, 'Daily 쨈 raw'!$1:$1, 0)), ""), IF(val=0, "", val))</f>
        <v>161</v>
      </c>
      <c r="CO32" s="44">
        <f t="array" ref="CO32">LET(val, IFERROR(INDEX('Daily 쨈 raw'!$A:$ZZ, MATCH(CO$3, 'Daily 쨈 raw'!$A:$A, 0), MATCH($A32, 'Daily 쨈 raw'!$1:$1, 0)), ""), IF(val=0, "", val))</f>
        <v>250</v>
      </c>
      <c r="CP32" s="44" t="str">
        <f t="array" ref="CP32">LET(val, IFERROR(INDEX('Daily 쨈 raw'!$A:$ZZ, MATCH(CP$3, 'Daily 쨈 raw'!$A:$A, 0), MATCH($A32, 'Daily 쨈 raw'!$1:$1, 0)), ""), IF(val=0, "", val))</f>
        <v/>
      </c>
      <c r="CQ32" s="44" t="str">
        <f t="array" ref="CQ32">LET(val, IFERROR(INDEX('Daily 쨈 raw'!$A:$ZZ, MATCH(CQ$3, 'Daily 쨈 raw'!$A:$A, 0), MATCH($A32, 'Daily 쨈 raw'!$1:$1, 0)), ""), IF(val=0, "", val))</f>
        <v/>
      </c>
      <c r="CR32" s="44" t="str">
        <f t="array" ref="CR32">LET(val, IFERROR(INDEX('Daily 쨈 raw'!$A:$ZZ, MATCH(CR$3, 'Daily 쨈 raw'!$A:$A, 0), MATCH($A32, 'Daily 쨈 raw'!$1:$1, 0)), ""), IF(val=0, "", val))</f>
        <v/>
      </c>
      <c r="CS32" s="44" t="str">
        <f t="array" ref="CS32">LET(val, IFERROR(INDEX('Daily 쨈 raw'!$A:$ZZ, MATCH(CS$3, 'Daily 쨈 raw'!$A:$A, 0), MATCH($A32, 'Daily 쨈 raw'!$1:$1, 0)), ""), IF(val=0, "", val))</f>
        <v/>
      </c>
      <c r="CT32" s="44" t="str">
        <f t="array" ref="CT32">LET(val, IFERROR(INDEX('Daily 쨈 raw'!$A:$ZZ, MATCH(CT$3, 'Daily 쨈 raw'!$A:$A, 0), MATCH($A32, 'Daily 쨈 raw'!$1:$1, 0)), ""), IF(val=0, "", val))</f>
        <v/>
      </c>
      <c r="CU32" s="44" t="str">
        <f t="array" ref="CU32">LET(val, IFERROR(INDEX('Daily 쨈 raw'!$A:$ZZ, MATCH(CU$3, 'Daily 쨈 raw'!$A:$A, 0), MATCH($A32, 'Daily 쨈 raw'!$1:$1, 0)), ""), IF(val=0, "", val))</f>
        <v/>
      </c>
      <c r="CV32" s="44" t="str">
        <f t="array" ref="CV32">LET(val, IFERROR(INDEX('Daily 쨈 raw'!$A:$ZZ, MATCH(CV$3, 'Daily 쨈 raw'!$A:$A, 0), MATCH($A32, 'Daily 쨈 raw'!$1:$1, 0)), ""), IF(val=0, "", val))</f>
        <v/>
      </c>
      <c r="CW32" s="44" t="str">
        <f t="array" ref="CW32">LET(val, IFERROR(INDEX('Daily 쨈 raw'!$A:$ZZ, MATCH(CW$3, 'Daily 쨈 raw'!$A:$A, 0), MATCH($A32, 'Daily 쨈 raw'!$1:$1, 0)), ""), IF(val=0, "", val))</f>
        <v/>
      </c>
      <c r="CX32" s="44" t="str">
        <f t="array" ref="CX32">LET(val, IFERROR(INDEX('Daily 쨈 raw'!$A:$ZZ, MATCH(CX$3, 'Daily 쨈 raw'!$A:$A, 0), MATCH($A32, 'Daily 쨈 raw'!$1:$1, 0)), ""), IF(val=0, "", val))</f>
        <v/>
      </c>
      <c r="CY32" s="44" t="str">
        <f t="array" ref="CY32">LET(val, IFERROR(INDEX('Daily 쨈 raw'!$A:$ZZ, MATCH(CY$3, 'Daily 쨈 raw'!$A:$A, 0), MATCH($A32, 'Daily 쨈 raw'!$1:$1, 0)), ""), IF(val=0, "", val))</f>
        <v/>
      </c>
      <c r="CZ32" s="44" t="str">
        <f t="array" ref="CZ32">LET(val, IFERROR(INDEX('Daily 쨈 raw'!$A:$ZZ, MATCH(CZ$3, 'Daily 쨈 raw'!$A:$A, 0), MATCH($A32, 'Daily 쨈 raw'!$1:$1, 0)), ""), IF(val=0, "", val))</f>
        <v/>
      </c>
      <c r="DA32" s="44" t="str">
        <f t="array" ref="DA32">LET(val, IFERROR(INDEX('Daily 쨈 raw'!$A:$ZZ, MATCH(DA$3, 'Daily 쨈 raw'!$A:$A, 0), MATCH($A32, 'Daily 쨈 raw'!$1:$1, 0)), ""), IF(val=0, "", val))</f>
        <v/>
      </c>
      <c r="DB32" s="44" t="str">
        <f t="array" ref="DB32">LET(val, IFERROR(INDEX('Daily 쨈 raw'!$A:$ZZ, MATCH(DB$3, 'Daily 쨈 raw'!$A:$A, 0), MATCH($A32, 'Daily 쨈 raw'!$1:$1, 0)), ""), IF(val=0, "", val))</f>
        <v/>
      </c>
      <c r="DC32" s="44" t="str">
        <f t="array" ref="DC32">LET(val, IFERROR(INDEX('Daily 쨈 raw'!$A:$ZZ, MATCH(DC$3, 'Daily 쨈 raw'!$A:$A, 0), MATCH($A32, 'Daily 쨈 raw'!$1:$1, 0)), ""), IF(val=0, "", val))</f>
        <v/>
      </c>
      <c r="DD32" s="44" t="str">
        <f t="array" ref="DD32">LET(val, IFERROR(INDEX('Daily 쨈 raw'!$A:$ZZ, MATCH(DD$3, 'Daily 쨈 raw'!$A:$A, 0), MATCH($A32, 'Daily 쨈 raw'!$1:$1, 0)), ""), IF(val=0, "", val))</f>
        <v/>
      </c>
      <c r="DE32" s="44" t="str">
        <f t="array" ref="DE32">LET(val, IFERROR(INDEX('Daily 쨈 raw'!$A:$ZZ, MATCH(DE$3, 'Daily 쨈 raw'!$A:$A, 0), MATCH($A32, 'Daily 쨈 raw'!$1:$1, 0)), ""), IF(val=0, "", val))</f>
        <v/>
      </c>
      <c r="DF32" s="44" t="str">
        <f t="array" ref="DF32">LET(val, IFERROR(INDEX('Daily 쨈 raw'!$A:$ZZ, MATCH(DF$3, 'Daily 쨈 raw'!$A:$A, 0), MATCH($A32, 'Daily 쨈 raw'!$1:$1, 0)), ""), IF(val=0, "", val))</f>
        <v/>
      </c>
      <c r="DG32" s="44" t="str">
        <f t="array" ref="DG32">LET(val, IFERROR(INDEX('Daily 쨈 raw'!$A:$ZZ, MATCH(DG$3, 'Daily 쨈 raw'!$A:$A, 0), MATCH($A32, 'Daily 쨈 raw'!$1:$1, 0)), ""), IF(val=0, "", val))</f>
        <v/>
      </c>
      <c r="DH32" s="44" t="str">
        <f t="array" ref="DH32">LET(val, IFERROR(INDEX('Daily 쨈 raw'!$A:$ZZ, MATCH(DH$3, 'Daily 쨈 raw'!$A:$A, 0), MATCH($A32, 'Daily 쨈 raw'!$1:$1, 0)), ""), IF(val=0, "", val))</f>
        <v/>
      </c>
      <c r="DI32" s="44" t="str">
        <f t="array" ref="DI32">LET(val, IFERROR(INDEX('Daily 쨈 raw'!$A:$ZZ, MATCH(DI$3, 'Daily 쨈 raw'!$A:$A, 0), MATCH($A32, 'Daily 쨈 raw'!$1:$1, 0)), ""), IF(val=0, "", val))</f>
        <v/>
      </c>
      <c r="DJ32" s="44" t="str">
        <f t="array" ref="DJ32">LET(val, IFERROR(INDEX('Daily 쨈 raw'!$A:$ZZ, MATCH(DJ$3, 'Daily 쨈 raw'!$A:$A, 0), MATCH($A32, 'Daily 쨈 raw'!$1:$1, 0)), ""), IF(val=0, "", val))</f>
        <v/>
      </c>
      <c r="DK32" s="44" t="str">
        <f t="array" ref="DK32">LET(val, IFERROR(INDEX('Daily 쨈 raw'!$A:$ZZ, MATCH(DK$3, 'Daily 쨈 raw'!$A:$A, 0), MATCH($A32, 'Daily 쨈 raw'!$1:$1, 0)), ""), IF(val=0, "", val))</f>
        <v/>
      </c>
      <c r="DL32" s="44" t="str">
        <f t="array" ref="DL32">LET(val, IFERROR(INDEX('Daily 쨈 raw'!$A:$ZZ, MATCH(DL$3, 'Daily 쨈 raw'!$A:$A, 0), MATCH($A32, 'Daily 쨈 raw'!$1:$1, 0)), ""), IF(val=0, "", val))</f>
        <v/>
      </c>
      <c r="DM32" s="44" t="str">
        <f t="array" ref="DM32">LET(val, IFERROR(INDEX('Daily 쨈 raw'!$A:$ZZ, MATCH(DM$3, 'Daily 쨈 raw'!$A:$A, 0), MATCH($A32, 'Daily 쨈 raw'!$1:$1, 0)), ""), IF(val=0, "", val))</f>
        <v/>
      </c>
      <c r="DN32" s="44" t="str">
        <f t="array" ref="DN32">LET(val, IFERROR(INDEX('Daily 쨈 raw'!$A:$ZZ, MATCH(DN$3, 'Daily 쨈 raw'!$A:$A, 0), MATCH($A32, 'Daily 쨈 raw'!$1:$1, 0)), ""), IF(val=0, "", val))</f>
        <v/>
      </c>
      <c r="DO32" s="44" t="str">
        <f t="array" ref="DO32">LET(val, IFERROR(INDEX('Daily 쨈 raw'!$A:$ZZ, MATCH(DO$3, 'Daily 쨈 raw'!$A:$A, 0), MATCH($A32, 'Daily 쨈 raw'!$1:$1, 0)), ""), IF(val=0, "", val))</f>
        <v/>
      </c>
      <c r="DP32" s="44" t="str">
        <f t="array" ref="DP32">LET(val, IFERROR(INDEX('Daily 쨈 raw'!$A:$ZZ, MATCH(DP$3, 'Daily 쨈 raw'!$A:$A, 0), MATCH($A32, 'Daily 쨈 raw'!$1:$1, 0)), ""), IF(val=0, "", val))</f>
        <v/>
      </c>
      <c r="DQ32" s="44" t="str">
        <f t="array" ref="DQ32">LET(val, IFERROR(INDEX('Daily 쨈 raw'!$A:$ZZ, MATCH(DQ$3, 'Daily 쨈 raw'!$A:$A, 0), MATCH($A32, 'Daily 쨈 raw'!$1:$1, 0)), ""), IF(val=0, "", val))</f>
        <v/>
      </c>
      <c r="DR32" s="44" t="str">
        <f t="array" ref="DR32">LET(val, IFERROR(INDEX('Daily 쨈 raw'!$A:$ZZ, MATCH(DR$3, 'Daily 쨈 raw'!$A:$A, 0), MATCH($A32, 'Daily 쨈 raw'!$1:$1, 0)), ""), IF(val=0, "", val))</f>
        <v/>
      </c>
      <c r="DS32" s="44" t="str">
        <f t="array" ref="DS32">LET(val, IFERROR(INDEX('Daily 쨈 raw'!$A:$ZZ, MATCH(DS$3, 'Daily 쨈 raw'!$A:$A, 0), MATCH($A32, 'Daily 쨈 raw'!$1:$1, 0)), ""), IF(val=0, "", val))</f>
        <v/>
      </c>
      <c r="DT32" s="44" t="str">
        <f t="array" ref="DT32">LET(val, IFERROR(INDEX('Daily 쨈 raw'!$A:$ZZ, MATCH(DT$3, 'Daily 쨈 raw'!$A:$A, 0), MATCH($A32, 'Daily 쨈 raw'!$1:$1, 0)), ""), IF(val=0, "", val))</f>
        <v/>
      </c>
      <c r="DU32" s="44" t="str">
        <f t="array" ref="DU32">LET(val, IFERROR(INDEX('Daily 쨈 raw'!$A:$ZZ, MATCH(DU$3, 'Daily 쨈 raw'!$A:$A, 0), MATCH($A32, 'Daily 쨈 raw'!$1:$1, 0)), ""), IF(val=0, "", val))</f>
        <v/>
      </c>
      <c r="DV32" s="44" t="str">
        <f t="array" ref="DV32">LET(val, IFERROR(INDEX('Daily 쨈 raw'!$A:$ZZ, MATCH(DV$3, 'Daily 쨈 raw'!$A:$A, 0), MATCH($A32, 'Daily 쨈 raw'!$1:$1, 0)), ""), IF(val=0, "", val))</f>
        <v/>
      </c>
      <c r="DW32" s="44" t="str">
        <f t="array" ref="DW32">LET(val, IFERROR(INDEX('Daily 쨈 raw'!$A:$ZZ, MATCH(DW$3, 'Daily 쨈 raw'!$A:$A, 0), MATCH($A32, 'Daily 쨈 raw'!$1:$1, 0)), ""), IF(val=0, "", val))</f>
        <v/>
      </c>
      <c r="DX32" s="57"/>
      <c r="DY32" s="57"/>
      <c r="DZ32" s="57"/>
    </row>
    <row r="33" ht="22.5" customHeight="1">
      <c r="A33" s="16" t="s">
        <v>46</v>
      </c>
      <c r="B33" s="17" t="s">
        <v>47</v>
      </c>
      <c r="C33" s="44">
        <f t="array" ref="C33">LET(val, IFERROR(INDEX('Daily 쨈 raw'!$A:$ZZ, MATCH(C$3, 'Daily 쨈 raw'!$A:$A, 0), MATCH($A33, 'Daily 쨈 raw'!$1:$1, 0)), ""), IF(val=0, "", val))</f>
        <v>32</v>
      </c>
      <c r="D33" s="44">
        <f t="array" ref="D33">LET(val, IFERROR(INDEX('Daily 쨈 raw'!$A:$ZZ, MATCH(D$3, 'Daily 쨈 raw'!$A:$A, 0), MATCH($A33, 'Daily 쨈 raw'!$1:$1, 0)), ""), IF(val=0, "", val))</f>
        <v>59</v>
      </c>
      <c r="E33" s="44">
        <f t="array" ref="E33">LET(val, IFERROR(INDEX('Daily 쨈 raw'!$A:$ZZ, MATCH(E$3, 'Daily 쨈 raw'!$A:$A, 0), MATCH($A33, 'Daily 쨈 raw'!$1:$1, 0)), ""), IF(val=0, "", val))</f>
        <v>38</v>
      </c>
      <c r="F33" s="44">
        <f t="array" ref="F33">LET(val, IFERROR(INDEX('Daily 쨈 raw'!$A:$ZZ, MATCH(F$3, 'Daily 쨈 raw'!$A:$A, 0), MATCH($A33, 'Daily 쨈 raw'!$1:$1, 0)), ""), IF(val=0, "", val))</f>
        <v>40</v>
      </c>
      <c r="G33" s="44">
        <f t="array" ref="G33">LET(val, IFERROR(INDEX('Daily 쨈 raw'!$A:$ZZ, MATCH(G$3, 'Daily 쨈 raw'!$A:$A, 0), MATCH($A33, 'Daily 쨈 raw'!$1:$1, 0)), ""), IF(val=0, "", val))</f>
        <v>47</v>
      </c>
      <c r="H33" s="44">
        <f t="array" ref="H33">LET(val, IFERROR(INDEX('Daily 쨈 raw'!$A:$ZZ, MATCH(H$3, 'Daily 쨈 raw'!$A:$A, 0), MATCH($A33, 'Daily 쨈 raw'!$1:$1, 0)), ""), IF(val=0, "", val))</f>
        <v>43</v>
      </c>
      <c r="I33" s="44">
        <f t="array" ref="I33">LET(val, IFERROR(INDEX('Daily 쨈 raw'!$A:$ZZ, MATCH(I$3, 'Daily 쨈 raw'!$A:$A, 0), MATCH($A33, 'Daily 쨈 raw'!$1:$1, 0)), ""), IF(val=0, "", val))</f>
        <v>43</v>
      </c>
      <c r="J33" s="44">
        <f t="array" ref="J33">LET(val, IFERROR(INDEX('Daily 쨈 raw'!$A:$ZZ, MATCH(J$3, 'Daily 쨈 raw'!$A:$A, 0), MATCH($A33, 'Daily 쨈 raw'!$1:$1, 0)), ""), IF(val=0, "", val))</f>
        <v>35</v>
      </c>
      <c r="K33" s="44">
        <f t="array" ref="K33">LET(val, IFERROR(INDEX('Daily 쨈 raw'!$A:$ZZ, MATCH(K$3, 'Daily 쨈 raw'!$A:$A, 0), MATCH($A33, 'Daily 쨈 raw'!$1:$1, 0)), ""), IF(val=0, "", val))</f>
        <v>95</v>
      </c>
      <c r="L33" s="44">
        <f t="array" ref="L33">LET(val, IFERROR(INDEX('Daily 쨈 raw'!$A:$ZZ, MATCH(L$3, 'Daily 쨈 raw'!$A:$A, 0), MATCH($A33, 'Daily 쨈 raw'!$1:$1, 0)), ""), IF(val=0, "", val))</f>
        <v>75</v>
      </c>
      <c r="M33" s="44">
        <f t="array" ref="M33">LET(val, IFERROR(INDEX('Daily 쨈 raw'!$A:$ZZ, MATCH(M$3, 'Daily 쨈 raw'!$A:$A, 0), MATCH($A33, 'Daily 쨈 raw'!$1:$1, 0)), ""), IF(val=0, "", val))</f>
        <v>86</v>
      </c>
      <c r="N33" s="44">
        <f t="array" ref="N33">LET(val, IFERROR(INDEX('Daily 쨈 raw'!$A:$ZZ, MATCH(N$3, 'Daily 쨈 raw'!$A:$A, 0), MATCH($A33, 'Daily 쨈 raw'!$1:$1, 0)), ""), IF(val=0, "", val))</f>
        <v>87</v>
      </c>
      <c r="O33" s="44">
        <f t="array" ref="O33">LET(val, IFERROR(INDEX('Daily 쨈 raw'!$A:$ZZ, MATCH(O$3, 'Daily 쨈 raw'!$A:$A, 0), MATCH($A33, 'Daily 쨈 raw'!$1:$1, 0)), ""), IF(val=0, "", val))</f>
        <v>60</v>
      </c>
      <c r="P33" s="44">
        <f t="array" ref="P33">LET(val, IFERROR(INDEX('Daily 쨈 raw'!$A:$ZZ, MATCH(P$3, 'Daily 쨈 raw'!$A:$A, 0), MATCH($A33, 'Daily 쨈 raw'!$1:$1, 0)), ""), IF(val=0, "", val))</f>
        <v>75</v>
      </c>
      <c r="Q33" s="44">
        <f t="array" ref="Q33">LET(val, IFERROR(INDEX('Daily 쨈 raw'!$A:$ZZ, MATCH(Q$3, 'Daily 쨈 raw'!$A:$A, 0), MATCH($A33, 'Daily 쨈 raw'!$1:$1, 0)), ""), IF(val=0, "", val))</f>
        <v>51</v>
      </c>
      <c r="R33" s="44">
        <f t="array" ref="R33">LET(val, IFERROR(INDEX('Daily 쨈 raw'!$A:$ZZ, MATCH(R$3, 'Daily 쨈 raw'!$A:$A, 0), MATCH($A33, 'Daily 쨈 raw'!$1:$1, 0)), ""), IF(val=0, "", val))</f>
        <v>53</v>
      </c>
      <c r="S33" s="44">
        <f t="array" ref="S33">LET(val, IFERROR(INDEX('Daily 쨈 raw'!$A:$ZZ, MATCH(S$3, 'Daily 쨈 raw'!$A:$A, 0), MATCH($A33, 'Daily 쨈 raw'!$1:$1, 0)), ""), IF(val=0, "", val))</f>
        <v>68</v>
      </c>
      <c r="T33" s="44">
        <f t="array" ref="T33">LET(val, IFERROR(INDEX('Daily 쨈 raw'!$A:$ZZ, MATCH(T$3, 'Daily 쨈 raw'!$A:$A, 0), MATCH($A33, 'Daily 쨈 raw'!$1:$1, 0)), ""), IF(val=0, "", val))</f>
        <v>71</v>
      </c>
      <c r="U33" s="44">
        <f t="array" ref="U33">LET(val, IFERROR(INDEX('Daily 쨈 raw'!$A:$ZZ, MATCH(U$3, 'Daily 쨈 raw'!$A:$A, 0), MATCH($A33, 'Daily 쨈 raw'!$1:$1, 0)), ""), IF(val=0, "", val))</f>
        <v>60</v>
      </c>
      <c r="V33" s="44">
        <f t="array" ref="V33">LET(val, IFERROR(INDEX('Daily 쨈 raw'!$A:$ZZ, MATCH(V$3, 'Daily 쨈 raw'!$A:$A, 0), MATCH($A33, 'Daily 쨈 raw'!$1:$1, 0)), ""), IF(val=0, "", val))</f>
        <v>54</v>
      </c>
      <c r="W33" s="44">
        <f t="array" ref="W33">LET(val, IFERROR(INDEX('Daily 쨈 raw'!$A:$ZZ, MATCH(W$3, 'Daily 쨈 raw'!$A:$A, 0), MATCH($A33, 'Daily 쨈 raw'!$1:$1, 0)), ""), IF(val=0, "", val))</f>
        <v>59</v>
      </c>
      <c r="X33" s="44">
        <f t="array" ref="X33">LET(val, IFERROR(INDEX('Daily 쨈 raw'!$A:$ZZ, MATCH(X$3, 'Daily 쨈 raw'!$A:$A, 0), MATCH($A33, 'Daily 쨈 raw'!$1:$1, 0)), ""), IF(val=0, "", val))</f>
        <v>60</v>
      </c>
      <c r="Y33" s="44">
        <f t="array" ref="Y33">LET(val, IFERROR(INDEX('Daily 쨈 raw'!$A:$ZZ, MATCH(Y$3, 'Daily 쨈 raw'!$A:$A, 0), MATCH($A33, 'Daily 쨈 raw'!$1:$1, 0)), ""), IF(val=0, "", val))</f>
        <v>59</v>
      </c>
      <c r="Z33" s="44">
        <f t="array" ref="Z33">LET(val, IFERROR(INDEX('Daily 쨈 raw'!$A:$ZZ, MATCH(Z$3, 'Daily 쨈 raw'!$A:$A, 0), MATCH($A33, 'Daily 쨈 raw'!$1:$1, 0)), ""), IF(val=0, "", val))</f>
        <v>36</v>
      </c>
      <c r="AA33" s="44">
        <f t="array" ref="AA33">LET(val, IFERROR(INDEX('Daily 쨈 raw'!$A:$ZZ, MATCH(AA$3, 'Daily 쨈 raw'!$A:$A, 0), MATCH($A33, 'Daily 쨈 raw'!$1:$1, 0)), ""), IF(val=0, "", val))</f>
        <v>35</v>
      </c>
      <c r="AB33" s="44">
        <f t="array" ref="AB33">LET(val, IFERROR(INDEX('Daily 쨈 raw'!$A:$ZZ, MATCH(AB$3, 'Daily 쨈 raw'!$A:$A, 0), MATCH($A33, 'Daily 쨈 raw'!$1:$1, 0)), ""), IF(val=0, "", val))</f>
        <v>40</v>
      </c>
      <c r="AC33" s="44">
        <f t="array" ref="AC33">LET(val, IFERROR(INDEX('Daily 쨈 raw'!$A:$ZZ, MATCH(AC$3, 'Daily 쨈 raw'!$A:$A, 0), MATCH($A33, 'Daily 쨈 raw'!$1:$1, 0)), ""), IF(val=0, "", val))</f>
        <v>25</v>
      </c>
      <c r="AD33" s="44">
        <f t="array" ref="AD33">LET(val, IFERROR(INDEX('Daily 쨈 raw'!$A:$ZZ, MATCH(AD$3, 'Daily 쨈 raw'!$A:$A, 0), MATCH($A33, 'Daily 쨈 raw'!$1:$1, 0)), ""), IF(val=0, "", val))</f>
        <v>29</v>
      </c>
      <c r="AE33" s="44">
        <f t="array" ref="AE33">LET(val, IFERROR(INDEX('Daily 쨈 raw'!$A:$ZZ, MATCH(AE$3, 'Daily 쨈 raw'!$A:$A, 0), MATCH($A33, 'Daily 쨈 raw'!$1:$1, 0)), ""), IF(val=0, "", val))</f>
        <v>44</v>
      </c>
      <c r="AF33" s="44">
        <f t="array" ref="AF33">LET(val, IFERROR(INDEX('Daily 쨈 raw'!$A:$ZZ, MATCH(AF$3, 'Daily 쨈 raw'!$A:$A, 0), MATCH($A33, 'Daily 쨈 raw'!$1:$1, 0)), ""), IF(val=0, "", val))</f>
        <v>87</v>
      </c>
      <c r="AG33" s="44">
        <f t="array" ref="AG33">LET(val, IFERROR(INDEX('Daily 쨈 raw'!$A:$ZZ, MATCH(AG$3, 'Daily 쨈 raw'!$A:$A, 0), MATCH($A33, 'Daily 쨈 raw'!$1:$1, 0)), ""), IF(val=0, "", val))</f>
        <v>112</v>
      </c>
      <c r="AH33" s="44">
        <f t="array" ref="AH33">LET(val, IFERROR(INDEX('Daily 쨈 raw'!$A:$ZZ, MATCH(AH$3, 'Daily 쨈 raw'!$A:$A, 0), MATCH($A33, 'Daily 쨈 raw'!$1:$1, 0)), ""), IF(val=0, "", val))</f>
        <v>113</v>
      </c>
      <c r="AI33" s="44">
        <f t="array" ref="AI33">LET(val, IFERROR(INDEX('Daily 쨈 raw'!$A:$ZZ, MATCH(AI$3, 'Daily 쨈 raw'!$A:$A, 0), MATCH($A33, 'Daily 쨈 raw'!$1:$1, 0)), ""), IF(val=0, "", val))</f>
        <v>87</v>
      </c>
      <c r="AJ33" s="44">
        <f t="array" ref="AJ33">LET(val, IFERROR(INDEX('Daily 쨈 raw'!$A:$ZZ, MATCH(AJ$3, 'Daily 쨈 raw'!$A:$A, 0), MATCH($A33, 'Daily 쨈 raw'!$1:$1, 0)), ""), IF(val=0, "", val))</f>
        <v>91</v>
      </c>
      <c r="AK33" s="44">
        <f t="array" ref="AK33">LET(val, IFERROR(INDEX('Daily 쨈 raw'!$A:$ZZ, MATCH(AK$3, 'Daily 쨈 raw'!$A:$A, 0), MATCH($A33, 'Daily 쨈 raw'!$1:$1, 0)), ""), IF(val=0, "", val))</f>
        <v>86</v>
      </c>
      <c r="AL33" s="44">
        <f t="array" ref="AL33">LET(val, IFERROR(INDEX('Daily 쨈 raw'!$A:$ZZ, MATCH(AL$3, 'Daily 쨈 raw'!$A:$A, 0), MATCH($A33, 'Daily 쨈 raw'!$1:$1, 0)), ""), IF(val=0, "", val))</f>
        <v>81</v>
      </c>
      <c r="AM33" s="44">
        <f t="array" ref="AM33">LET(val, IFERROR(INDEX('Daily 쨈 raw'!$A:$ZZ, MATCH(AM$3, 'Daily 쨈 raw'!$A:$A, 0), MATCH($A33, 'Daily 쨈 raw'!$1:$1, 0)), ""), IF(val=0, "", val))</f>
        <v>35</v>
      </c>
      <c r="AN33" s="44">
        <f t="array" ref="AN33">LET(val, IFERROR(INDEX('Daily 쨈 raw'!$A:$ZZ, MATCH(AN$3, 'Daily 쨈 raw'!$A:$A, 0), MATCH($A33, 'Daily 쨈 raw'!$1:$1, 0)), ""), IF(val=0, "", val))</f>
        <v>36</v>
      </c>
      <c r="AO33" s="44">
        <f t="array" ref="AO33">LET(val, IFERROR(INDEX('Daily 쨈 raw'!$A:$ZZ, MATCH(AO$3, 'Daily 쨈 raw'!$A:$A, 0), MATCH($A33, 'Daily 쨈 raw'!$1:$1, 0)), ""), IF(val=0, "", val))</f>
        <v>54</v>
      </c>
      <c r="AP33" s="44">
        <f t="array" ref="AP33">LET(val, IFERROR(INDEX('Daily 쨈 raw'!$A:$ZZ, MATCH(AP$3, 'Daily 쨈 raw'!$A:$A, 0), MATCH($A33, 'Daily 쨈 raw'!$1:$1, 0)), ""), IF(val=0, "", val))</f>
        <v>30</v>
      </c>
      <c r="AQ33" s="44">
        <f t="array" ref="AQ33">LET(val, IFERROR(INDEX('Daily 쨈 raw'!$A:$ZZ, MATCH(AQ$3, 'Daily 쨈 raw'!$A:$A, 0), MATCH($A33, 'Daily 쨈 raw'!$1:$1, 0)), ""), IF(val=0, "", val))</f>
        <v>32</v>
      </c>
      <c r="AR33" s="44">
        <f t="array" ref="AR33">LET(val, IFERROR(INDEX('Daily 쨈 raw'!$A:$ZZ, MATCH(AR$3, 'Daily 쨈 raw'!$A:$A, 0), MATCH($A33, 'Daily 쨈 raw'!$1:$1, 0)), ""), IF(val=0, "", val))</f>
        <v>36</v>
      </c>
      <c r="AS33" s="44">
        <f t="array" ref="AS33">LET(val, IFERROR(INDEX('Daily 쨈 raw'!$A:$ZZ, MATCH(AS$3, 'Daily 쨈 raw'!$A:$A, 0), MATCH($A33, 'Daily 쨈 raw'!$1:$1, 0)), ""), IF(val=0, "", val))</f>
        <v>25</v>
      </c>
      <c r="AT33" s="44">
        <f t="array" ref="AT33">LET(val, IFERROR(INDEX('Daily 쨈 raw'!$A:$ZZ, MATCH(AT$3, 'Daily 쨈 raw'!$A:$A, 0), MATCH($A33, 'Daily 쨈 raw'!$1:$1, 0)), ""), IF(val=0, "", val))</f>
        <v>34</v>
      </c>
      <c r="AU33" s="44">
        <f t="array" ref="AU33">LET(val, IFERROR(INDEX('Daily 쨈 raw'!$A:$ZZ, MATCH(AU$3, 'Daily 쨈 raw'!$A:$A, 0), MATCH($A33, 'Daily 쨈 raw'!$1:$1, 0)), ""), IF(val=0, "", val))</f>
        <v>27</v>
      </c>
      <c r="AV33" s="44">
        <f t="array" ref="AV33">LET(val, IFERROR(INDEX('Daily 쨈 raw'!$A:$ZZ, MATCH(AV$3, 'Daily 쨈 raw'!$A:$A, 0), MATCH($A33, 'Daily 쨈 raw'!$1:$1, 0)), ""), IF(val=0, "", val))</f>
        <v>22</v>
      </c>
      <c r="AW33" s="44">
        <f t="array" ref="AW33">LET(val, IFERROR(INDEX('Daily 쨈 raw'!$A:$ZZ, MATCH(AW$3, 'Daily 쨈 raw'!$A:$A, 0), MATCH($A33, 'Daily 쨈 raw'!$1:$1, 0)), ""), IF(val=0, "", val))</f>
        <v>17</v>
      </c>
      <c r="AX33" s="44">
        <f t="array" ref="AX33">LET(val, IFERROR(INDEX('Daily 쨈 raw'!$A:$ZZ, MATCH(AX$3, 'Daily 쨈 raw'!$A:$A, 0), MATCH($A33, 'Daily 쨈 raw'!$1:$1, 0)), ""), IF(val=0, "", val))</f>
        <v>10</v>
      </c>
      <c r="AY33" s="44">
        <f t="array" ref="AY33">LET(val, IFERROR(INDEX('Daily 쨈 raw'!$A:$ZZ, MATCH(AY$3, 'Daily 쨈 raw'!$A:$A, 0), MATCH($A33, 'Daily 쨈 raw'!$1:$1, 0)), ""), IF(val=0, "", val))</f>
        <v>20</v>
      </c>
      <c r="AZ33" s="44">
        <f t="array" ref="AZ33">LET(val, IFERROR(INDEX('Daily 쨈 raw'!$A:$ZZ, MATCH(AZ$3, 'Daily 쨈 raw'!$A:$A, 0), MATCH($A33, 'Daily 쨈 raw'!$1:$1, 0)), ""), IF(val=0, "", val))</f>
        <v>34</v>
      </c>
      <c r="BA33" s="44">
        <f t="array" ref="BA33">LET(val, IFERROR(INDEX('Daily 쨈 raw'!$A:$ZZ, MATCH(BA$3, 'Daily 쨈 raw'!$A:$A, 0), MATCH($A33, 'Daily 쨈 raw'!$1:$1, 0)), ""), IF(val=0, "", val))</f>
        <v>24</v>
      </c>
      <c r="BB33" s="44">
        <f t="array" ref="BB33">LET(val, IFERROR(INDEX('Daily 쨈 raw'!$A:$ZZ, MATCH(BB$3, 'Daily 쨈 raw'!$A:$A, 0), MATCH($A33, 'Daily 쨈 raw'!$1:$1, 0)), ""), IF(val=0, "", val))</f>
        <v>17</v>
      </c>
      <c r="BC33" s="44">
        <f t="array" ref="BC33">LET(val, IFERROR(INDEX('Daily 쨈 raw'!$A:$ZZ, MATCH(BC$3, 'Daily 쨈 raw'!$A:$A, 0), MATCH($A33, 'Daily 쨈 raw'!$1:$1, 0)), ""), IF(val=0, "", val))</f>
        <v>27</v>
      </c>
      <c r="BD33" s="44">
        <f t="array" ref="BD33">LET(val, IFERROR(INDEX('Daily 쨈 raw'!$A:$ZZ, MATCH(BD$3, 'Daily 쨈 raw'!$A:$A, 0), MATCH($A33, 'Daily 쨈 raw'!$1:$1, 0)), ""), IF(val=0, "", val))</f>
        <v>29</v>
      </c>
      <c r="BE33" s="44">
        <f t="array" ref="BE33">LET(val, IFERROR(INDEX('Daily 쨈 raw'!$A:$ZZ, MATCH(BE$3, 'Daily 쨈 raw'!$A:$A, 0), MATCH($A33, 'Daily 쨈 raw'!$1:$1, 0)), ""), IF(val=0, "", val))</f>
        <v>44</v>
      </c>
      <c r="BF33" s="44">
        <f t="array" ref="BF33">LET(val, IFERROR(INDEX('Daily 쨈 raw'!$A:$ZZ, MATCH(BF$3, 'Daily 쨈 raw'!$A:$A, 0), MATCH($A33, 'Daily 쨈 raw'!$1:$1, 0)), ""), IF(val=0, "", val))</f>
        <v>43</v>
      </c>
      <c r="BG33" s="44">
        <f t="array" ref="BG33">LET(val, IFERROR(INDEX('Daily 쨈 raw'!$A:$ZZ, MATCH(BG$3, 'Daily 쨈 raw'!$A:$A, 0), MATCH($A33, 'Daily 쨈 raw'!$1:$1, 0)), ""), IF(val=0, "", val))</f>
        <v>23</v>
      </c>
      <c r="BH33" s="44">
        <f t="array" ref="BH33">LET(val, IFERROR(INDEX('Daily 쨈 raw'!$A:$ZZ, MATCH(BH$3, 'Daily 쨈 raw'!$A:$A, 0), MATCH($A33, 'Daily 쨈 raw'!$1:$1, 0)), ""), IF(val=0, "", val))</f>
        <v>24</v>
      </c>
      <c r="BI33" s="44">
        <f t="array" ref="BI33">LET(val, IFERROR(INDEX('Daily 쨈 raw'!$A:$ZZ, MATCH(BI$3, 'Daily 쨈 raw'!$A:$A, 0), MATCH($A33, 'Daily 쨈 raw'!$1:$1, 0)), ""), IF(val=0, "", val))</f>
        <v>24</v>
      </c>
      <c r="BJ33" s="44">
        <f t="array" ref="BJ33">LET(val, IFERROR(INDEX('Daily 쨈 raw'!$A:$ZZ, MATCH(BJ$3, 'Daily 쨈 raw'!$A:$A, 0), MATCH($A33, 'Daily 쨈 raw'!$1:$1, 0)), ""), IF(val=0, "", val))</f>
        <v>36</v>
      </c>
      <c r="BK33" s="44">
        <f t="array" ref="BK33">LET(val, IFERROR(INDEX('Daily 쨈 raw'!$A:$ZZ, MATCH(BK$3, 'Daily 쨈 raw'!$A:$A, 0), MATCH($A33, 'Daily 쨈 raw'!$1:$1, 0)), ""), IF(val=0, "", val))</f>
        <v>35</v>
      </c>
      <c r="BL33" s="44">
        <f t="array" ref="BL33">LET(val, IFERROR(INDEX('Daily 쨈 raw'!$A:$ZZ, MATCH(BL$3, 'Daily 쨈 raw'!$A:$A, 0), MATCH($A33, 'Daily 쨈 raw'!$1:$1, 0)), ""), IF(val=0, "", val))</f>
        <v>33</v>
      </c>
      <c r="BM33" s="44">
        <f t="array" ref="BM33">LET(val, IFERROR(INDEX('Daily 쨈 raw'!$A:$ZZ, MATCH(BM$3, 'Daily 쨈 raw'!$A:$A, 0), MATCH($A33, 'Daily 쨈 raw'!$1:$1, 0)), ""), IF(val=0, "", val))</f>
        <v>54</v>
      </c>
      <c r="BN33" s="44">
        <f t="array" ref="BN33">LET(val, IFERROR(INDEX('Daily 쨈 raw'!$A:$ZZ, MATCH(BN$3, 'Daily 쨈 raw'!$A:$A, 0), MATCH($A33, 'Daily 쨈 raw'!$1:$1, 0)), ""), IF(val=0, "", val))</f>
        <v>29</v>
      </c>
      <c r="BO33" s="44">
        <f t="array" ref="BO33">LET(val, IFERROR(INDEX('Daily 쨈 raw'!$A:$ZZ, MATCH(BO$3, 'Daily 쨈 raw'!$A:$A, 0), MATCH($A33, 'Daily 쨈 raw'!$1:$1, 0)), ""), IF(val=0, "", val))</f>
        <v>23</v>
      </c>
      <c r="BP33" s="44">
        <f t="array" ref="BP33">LET(val, IFERROR(INDEX('Daily 쨈 raw'!$A:$ZZ, MATCH(BP$3, 'Daily 쨈 raw'!$A:$A, 0), MATCH($A33, 'Daily 쨈 raw'!$1:$1, 0)), ""), IF(val=0, "", val))</f>
        <v>35</v>
      </c>
      <c r="BQ33" s="44">
        <f t="array" ref="BQ33">LET(val, IFERROR(INDEX('Daily 쨈 raw'!$A:$ZZ, MATCH(BQ$3, 'Daily 쨈 raw'!$A:$A, 0), MATCH($A33, 'Daily 쨈 raw'!$1:$1, 0)), ""), IF(val=0, "", val))</f>
        <v>37</v>
      </c>
      <c r="BR33" s="44">
        <f t="array" ref="BR33">LET(val, IFERROR(INDEX('Daily 쨈 raw'!$A:$ZZ, MATCH(BR$3, 'Daily 쨈 raw'!$A:$A, 0), MATCH($A33, 'Daily 쨈 raw'!$1:$1, 0)), ""), IF(val=0, "", val))</f>
        <v>31</v>
      </c>
      <c r="BS33" s="44">
        <f t="array" ref="BS33">LET(val, IFERROR(INDEX('Daily 쨈 raw'!$A:$ZZ, MATCH(BS$3, 'Daily 쨈 raw'!$A:$A, 0), MATCH($A33, 'Daily 쨈 raw'!$1:$1, 0)), ""), IF(val=0, "", val))</f>
        <v>34</v>
      </c>
      <c r="BT33" s="44">
        <f t="array" ref="BT33">LET(val, IFERROR(INDEX('Daily 쨈 raw'!$A:$ZZ, MATCH(BT$3, 'Daily 쨈 raw'!$A:$A, 0), MATCH($A33, 'Daily 쨈 raw'!$1:$1, 0)), ""), IF(val=0, "", val))</f>
        <v>33</v>
      </c>
      <c r="BU33" s="44">
        <f t="array" ref="BU33">LET(val, IFERROR(INDEX('Daily 쨈 raw'!$A:$ZZ, MATCH(BU$3, 'Daily 쨈 raw'!$A:$A, 0), MATCH($A33, 'Daily 쨈 raw'!$1:$1, 0)), ""), IF(val=0, "", val))</f>
        <v>21</v>
      </c>
      <c r="BV33" s="44">
        <f t="array" ref="BV33">LET(val, IFERROR(INDEX('Daily 쨈 raw'!$A:$ZZ, MATCH(BV$3, 'Daily 쨈 raw'!$A:$A, 0), MATCH($A33, 'Daily 쨈 raw'!$1:$1, 0)), ""), IF(val=0, "", val))</f>
        <v>26</v>
      </c>
      <c r="BW33" s="44">
        <f t="array" ref="BW33">LET(val, IFERROR(INDEX('Daily 쨈 raw'!$A:$ZZ, MATCH(BW$3, 'Daily 쨈 raw'!$A:$A, 0), MATCH($A33, 'Daily 쨈 raw'!$1:$1, 0)), ""), IF(val=0, "", val))</f>
        <v>62</v>
      </c>
      <c r="BX33" s="44">
        <f t="array" ref="BX33">LET(val, IFERROR(INDEX('Daily 쨈 raw'!$A:$ZZ, MATCH(BX$3, 'Daily 쨈 raw'!$A:$A, 0), MATCH($A33, 'Daily 쨈 raw'!$1:$1, 0)), ""), IF(val=0, "", val))</f>
        <v>129</v>
      </c>
      <c r="BY33" s="44">
        <f t="array" ref="BY33">LET(val, IFERROR(INDEX('Daily 쨈 raw'!$A:$ZZ, MATCH(BY$3, 'Daily 쨈 raw'!$A:$A, 0), MATCH($A33, 'Daily 쨈 raw'!$1:$1, 0)), ""), IF(val=0, "", val))</f>
        <v>107</v>
      </c>
      <c r="BZ33" s="44">
        <f t="array" ref="BZ33">LET(val, IFERROR(INDEX('Daily 쨈 raw'!$A:$ZZ, MATCH(BZ$3, 'Daily 쨈 raw'!$A:$A, 0), MATCH($A33, 'Daily 쨈 raw'!$1:$1, 0)), ""), IF(val=0, "", val))</f>
        <v>122</v>
      </c>
      <c r="CA33" s="44">
        <f t="array" ref="CA33">LET(val, IFERROR(INDEX('Daily 쨈 raw'!$A:$ZZ, MATCH(CA$3, 'Daily 쨈 raw'!$A:$A, 0), MATCH($A33, 'Daily 쨈 raw'!$1:$1, 0)), ""), IF(val=0, "", val))</f>
        <v>155</v>
      </c>
      <c r="CB33" s="44">
        <f t="array" ref="CB33">LET(val, IFERROR(INDEX('Daily 쨈 raw'!$A:$ZZ, MATCH(CB$3, 'Daily 쨈 raw'!$A:$A, 0), MATCH($A33, 'Daily 쨈 raw'!$1:$1, 0)), ""), IF(val=0, "", val))</f>
        <v>162</v>
      </c>
      <c r="CC33" s="44">
        <f t="array" ref="CC33">LET(val, IFERROR(INDEX('Daily 쨈 raw'!$A:$ZZ, MATCH(CC$3, 'Daily 쨈 raw'!$A:$A, 0), MATCH($A33, 'Daily 쨈 raw'!$1:$1, 0)), ""), IF(val=0, "", val))</f>
        <v>152</v>
      </c>
      <c r="CD33" s="44">
        <f t="array" ref="CD33">LET(val, IFERROR(INDEX('Daily 쨈 raw'!$A:$ZZ, MATCH(CD$3, 'Daily 쨈 raw'!$A:$A, 0), MATCH($A33, 'Daily 쨈 raw'!$1:$1, 0)), ""), IF(val=0, "", val))</f>
        <v>240</v>
      </c>
      <c r="CE33" s="44">
        <f t="array" ref="CE33">LET(val, IFERROR(INDEX('Daily 쨈 raw'!$A:$ZZ, MATCH(CE$3, 'Daily 쨈 raw'!$A:$A, 0), MATCH($A33, 'Daily 쨈 raw'!$1:$1, 0)), ""), IF(val=0, "", val))</f>
        <v>198</v>
      </c>
      <c r="CF33" s="44">
        <f t="array" ref="CF33">LET(val, IFERROR(INDEX('Daily 쨈 raw'!$A:$ZZ, MATCH(CF$3, 'Daily 쨈 raw'!$A:$A, 0), MATCH($A33, 'Daily 쨈 raw'!$1:$1, 0)), ""), IF(val=0, "", val))</f>
        <v>232</v>
      </c>
      <c r="CG33" s="44">
        <f t="array" ref="CG33">LET(val, IFERROR(INDEX('Daily 쨈 raw'!$A:$ZZ, MATCH(CG$3, 'Daily 쨈 raw'!$A:$A, 0), MATCH($A33, 'Daily 쨈 raw'!$1:$1, 0)), ""), IF(val=0, "", val))</f>
        <v>278</v>
      </c>
      <c r="CH33" s="44">
        <f t="array" ref="CH33">LET(val, IFERROR(INDEX('Daily 쨈 raw'!$A:$ZZ, MATCH(CH$3, 'Daily 쨈 raw'!$A:$A, 0), MATCH($A33, 'Daily 쨈 raw'!$1:$1, 0)), ""), IF(val=0, "", val))</f>
        <v>254</v>
      </c>
      <c r="CI33" s="44">
        <f t="array" ref="CI33">LET(val, IFERROR(INDEX('Daily 쨈 raw'!$A:$ZZ, MATCH(CI$3, 'Daily 쨈 raw'!$A:$A, 0), MATCH($A33, 'Daily 쨈 raw'!$1:$1, 0)), ""), IF(val=0, "", val))</f>
        <v>287</v>
      </c>
      <c r="CJ33" s="44">
        <f t="array" ref="CJ33">LET(val, IFERROR(INDEX('Daily 쨈 raw'!$A:$ZZ, MATCH(CJ$3, 'Daily 쨈 raw'!$A:$A, 0), MATCH($A33, 'Daily 쨈 raw'!$1:$1, 0)), ""), IF(val=0, "", val))</f>
        <v>276</v>
      </c>
      <c r="CK33" s="44">
        <f t="array" ref="CK33">LET(val, IFERROR(INDEX('Daily 쨈 raw'!$A:$ZZ, MATCH(CK$3, 'Daily 쨈 raw'!$A:$A, 0), MATCH($A33, 'Daily 쨈 raw'!$1:$1, 0)), ""), IF(val=0, "", val))</f>
        <v>256</v>
      </c>
      <c r="CL33" s="44">
        <f t="array" ref="CL33">LET(val, IFERROR(INDEX('Daily 쨈 raw'!$A:$ZZ, MATCH(CL$3, 'Daily 쨈 raw'!$A:$A, 0), MATCH($A33, 'Daily 쨈 raw'!$1:$1, 0)), ""), IF(val=0, "", val))</f>
        <v>238</v>
      </c>
      <c r="CM33" s="44">
        <f t="array" ref="CM33">LET(val, IFERROR(INDEX('Daily 쨈 raw'!$A:$ZZ, MATCH(CM$3, 'Daily 쨈 raw'!$A:$A, 0), MATCH($A33, 'Daily 쨈 raw'!$1:$1, 0)), ""), IF(val=0, "", val))</f>
        <v>256</v>
      </c>
      <c r="CN33" s="44">
        <f t="array" ref="CN33">LET(val, IFERROR(INDEX('Daily 쨈 raw'!$A:$ZZ, MATCH(CN$3, 'Daily 쨈 raw'!$A:$A, 0), MATCH($A33, 'Daily 쨈 raw'!$1:$1, 0)), ""), IF(val=0, "", val))</f>
        <v>191</v>
      </c>
      <c r="CO33" s="44">
        <f t="array" ref="CO33">LET(val, IFERROR(INDEX('Daily 쨈 raw'!$A:$ZZ, MATCH(CO$3, 'Daily 쨈 raw'!$A:$A, 0), MATCH($A33, 'Daily 쨈 raw'!$1:$1, 0)), ""), IF(val=0, "", val))</f>
        <v>366</v>
      </c>
      <c r="CP33" s="44" t="str">
        <f t="array" ref="CP33">LET(val, IFERROR(INDEX('Daily 쨈 raw'!$A:$ZZ, MATCH(CP$3, 'Daily 쨈 raw'!$A:$A, 0), MATCH($A33, 'Daily 쨈 raw'!$1:$1, 0)), ""), IF(val=0, "", val))</f>
        <v/>
      </c>
      <c r="CQ33" s="44" t="str">
        <f t="array" ref="CQ33">LET(val, IFERROR(INDEX('Daily 쨈 raw'!$A:$ZZ, MATCH(CQ$3, 'Daily 쨈 raw'!$A:$A, 0), MATCH($A33, 'Daily 쨈 raw'!$1:$1, 0)), ""), IF(val=0, "", val))</f>
        <v/>
      </c>
      <c r="CR33" s="44" t="str">
        <f t="array" ref="CR33">LET(val, IFERROR(INDEX('Daily 쨈 raw'!$A:$ZZ, MATCH(CR$3, 'Daily 쨈 raw'!$A:$A, 0), MATCH($A33, 'Daily 쨈 raw'!$1:$1, 0)), ""), IF(val=0, "", val))</f>
        <v/>
      </c>
      <c r="CS33" s="44" t="str">
        <f t="array" ref="CS33">LET(val, IFERROR(INDEX('Daily 쨈 raw'!$A:$ZZ, MATCH(CS$3, 'Daily 쨈 raw'!$A:$A, 0), MATCH($A33, 'Daily 쨈 raw'!$1:$1, 0)), ""), IF(val=0, "", val))</f>
        <v/>
      </c>
      <c r="CT33" s="44" t="str">
        <f t="array" ref="CT33">LET(val, IFERROR(INDEX('Daily 쨈 raw'!$A:$ZZ, MATCH(CT$3, 'Daily 쨈 raw'!$A:$A, 0), MATCH($A33, 'Daily 쨈 raw'!$1:$1, 0)), ""), IF(val=0, "", val))</f>
        <v/>
      </c>
      <c r="CU33" s="44" t="str">
        <f t="array" ref="CU33">LET(val, IFERROR(INDEX('Daily 쨈 raw'!$A:$ZZ, MATCH(CU$3, 'Daily 쨈 raw'!$A:$A, 0), MATCH($A33, 'Daily 쨈 raw'!$1:$1, 0)), ""), IF(val=0, "", val))</f>
        <v/>
      </c>
      <c r="CV33" s="44" t="str">
        <f t="array" ref="CV33">LET(val, IFERROR(INDEX('Daily 쨈 raw'!$A:$ZZ, MATCH(CV$3, 'Daily 쨈 raw'!$A:$A, 0), MATCH($A33, 'Daily 쨈 raw'!$1:$1, 0)), ""), IF(val=0, "", val))</f>
        <v/>
      </c>
      <c r="CW33" s="44" t="str">
        <f t="array" ref="CW33">LET(val, IFERROR(INDEX('Daily 쨈 raw'!$A:$ZZ, MATCH(CW$3, 'Daily 쨈 raw'!$A:$A, 0), MATCH($A33, 'Daily 쨈 raw'!$1:$1, 0)), ""), IF(val=0, "", val))</f>
        <v/>
      </c>
      <c r="CX33" s="44" t="str">
        <f t="array" ref="CX33">LET(val, IFERROR(INDEX('Daily 쨈 raw'!$A:$ZZ, MATCH(CX$3, 'Daily 쨈 raw'!$A:$A, 0), MATCH($A33, 'Daily 쨈 raw'!$1:$1, 0)), ""), IF(val=0, "", val))</f>
        <v/>
      </c>
      <c r="CY33" s="44" t="str">
        <f t="array" ref="CY33">LET(val, IFERROR(INDEX('Daily 쨈 raw'!$A:$ZZ, MATCH(CY$3, 'Daily 쨈 raw'!$A:$A, 0), MATCH($A33, 'Daily 쨈 raw'!$1:$1, 0)), ""), IF(val=0, "", val))</f>
        <v/>
      </c>
      <c r="CZ33" s="44" t="str">
        <f t="array" ref="CZ33">LET(val, IFERROR(INDEX('Daily 쨈 raw'!$A:$ZZ, MATCH(CZ$3, 'Daily 쨈 raw'!$A:$A, 0), MATCH($A33, 'Daily 쨈 raw'!$1:$1, 0)), ""), IF(val=0, "", val))</f>
        <v/>
      </c>
      <c r="DA33" s="44" t="str">
        <f t="array" ref="DA33">LET(val, IFERROR(INDEX('Daily 쨈 raw'!$A:$ZZ, MATCH(DA$3, 'Daily 쨈 raw'!$A:$A, 0), MATCH($A33, 'Daily 쨈 raw'!$1:$1, 0)), ""), IF(val=0, "", val))</f>
        <v/>
      </c>
      <c r="DB33" s="44" t="str">
        <f t="array" ref="DB33">LET(val, IFERROR(INDEX('Daily 쨈 raw'!$A:$ZZ, MATCH(DB$3, 'Daily 쨈 raw'!$A:$A, 0), MATCH($A33, 'Daily 쨈 raw'!$1:$1, 0)), ""), IF(val=0, "", val))</f>
        <v/>
      </c>
      <c r="DC33" s="44" t="str">
        <f t="array" ref="DC33">LET(val, IFERROR(INDEX('Daily 쨈 raw'!$A:$ZZ, MATCH(DC$3, 'Daily 쨈 raw'!$A:$A, 0), MATCH($A33, 'Daily 쨈 raw'!$1:$1, 0)), ""), IF(val=0, "", val))</f>
        <v/>
      </c>
      <c r="DD33" s="44" t="str">
        <f t="array" ref="DD33">LET(val, IFERROR(INDEX('Daily 쨈 raw'!$A:$ZZ, MATCH(DD$3, 'Daily 쨈 raw'!$A:$A, 0), MATCH($A33, 'Daily 쨈 raw'!$1:$1, 0)), ""), IF(val=0, "", val))</f>
        <v/>
      </c>
      <c r="DE33" s="44" t="str">
        <f t="array" ref="DE33">LET(val, IFERROR(INDEX('Daily 쨈 raw'!$A:$ZZ, MATCH(DE$3, 'Daily 쨈 raw'!$A:$A, 0), MATCH($A33, 'Daily 쨈 raw'!$1:$1, 0)), ""), IF(val=0, "", val))</f>
        <v/>
      </c>
      <c r="DF33" s="44" t="str">
        <f t="array" ref="DF33">LET(val, IFERROR(INDEX('Daily 쨈 raw'!$A:$ZZ, MATCH(DF$3, 'Daily 쨈 raw'!$A:$A, 0), MATCH($A33, 'Daily 쨈 raw'!$1:$1, 0)), ""), IF(val=0, "", val))</f>
        <v/>
      </c>
      <c r="DG33" s="44" t="str">
        <f t="array" ref="DG33">LET(val, IFERROR(INDEX('Daily 쨈 raw'!$A:$ZZ, MATCH(DG$3, 'Daily 쨈 raw'!$A:$A, 0), MATCH($A33, 'Daily 쨈 raw'!$1:$1, 0)), ""), IF(val=0, "", val))</f>
        <v/>
      </c>
      <c r="DH33" s="44" t="str">
        <f t="array" ref="DH33">LET(val, IFERROR(INDEX('Daily 쨈 raw'!$A:$ZZ, MATCH(DH$3, 'Daily 쨈 raw'!$A:$A, 0), MATCH($A33, 'Daily 쨈 raw'!$1:$1, 0)), ""), IF(val=0, "", val))</f>
        <v/>
      </c>
      <c r="DI33" s="44" t="str">
        <f t="array" ref="DI33">LET(val, IFERROR(INDEX('Daily 쨈 raw'!$A:$ZZ, MATCH(DI$3, 'Daily 쨈 raw'!$A:$A, 0), MATCH($A33, 'Daily 쨈 raw'!$1:$1, 0)), ""), IF(val=0, "", val))</f>
        <v/>
      </c>
      <c r="DJ33" s="44" t="str">
        <f t="array" ref="DJ33">LET(val, IFERROR(INDEX('Daily 쨈 raw'!$A:$ZZ, MATCH(DJ$3, 'Daily 쨈 raw'!$A:$A, 0), MATCH($A33, 'Daily 쨈 raw'!$1:$1, 0)), ""), IF(val=0, "", val))</f>
        <v/>
      </c>
      <c r="DK33" s="44" t="str">
        <f t="array" ref="DK33">LET(val, IFERROR(INDEX('Daily 쨈 raw'!$A:$ZZ, MATCH(DK$3, 'Daily 쨈 raw'!$A:$A, 0), MATCH($A33, 'Daily 쨈 raw'!$1:$1, 0)), ""), IF(val=0, "", val))</f>
        <v/>
      </c>
      <c r="DL33" s="44" t="str">
        <f t="array" ref="DL33">LET(val, IFERROR(INDEX('Daily 쨈 raw'!$A:$ZZ, MATCH(DL$3, 'Daily 쨈 raw'!$A:$A, 0), MATCH($A33, 'Daily 쨈 raw'!$1:$1, 0)), ""), IF(val=0, "", val))</f>
        <v/>
      </c>
      <c r="DM33" s="44" t="str">
        <f t="array" ref="DM33">LET(val, IFERROR(INDEX('Daily 쨈 raw'!$A:$ZZ, MATCH(DM$3, 'Daily 쨈 raw'!$A:$A, 0), MATCH($A33, 'Daily 쨈 raw'!$1:$1, 0)), ""), IF(val=0, "", val))</f>
        <v/>
      </c>
      <c r="DN33" s="44" t="str">
        <f t="array" ref="DN33">LET(val, IFERROR(INDEX('Daily 쨈 raw'!$A:$ZZ, MATCH(DN$3, 'Daily 쨈 raw'!$A:$A, 0), MATCH($A33, 'Daily 쨈 raw'!$1:$1, 0)), ""), IF(val=0, "", val))</f>
        <v/>
      </c>
      <c r="DO33" s="44" t="str">
        <f t="array" ref="DO33">LET(val, IFERROR(INDEX('Daily 쨈 raw'!$A:$ZZ, MATCH(DO$3, 'Daily 쨈 raw'!$A:$A, 0), MATCH($A33, 'Daily 쨈 raw'!$1:$1, 0)), ""), IF(val=0, "", val))</f>
        <v/>
      </c>
      <c r="DP33" s="44" t="str">
        <f t="array" ref="DP33">LET(val, IFERROR(INDEX('Daily 쨈 raw'!$A:$ZZ, MATCH(DP$3, 'Daily 쨈 raw'!$A:$A, 0), MATCH($A33, 'Daily 쨈 raw'!$1:$1, 0)), ""), IF(val=0, "", val))</f>
        <v/>
      </c>
      <c r="DQ33" s="44" t="str">
        <f t="array" ref="DQ33">LET(val, IFERROR(INDEX('Daily 쨈 raw'!$A:$ZZ, MATCH(DQ$3, 'Daily 쨈 raw'!$A:$A, 0), MATCH($A33, 'Daily 쨈 raw'!$1:$1, 0)), ""), IF(val=0, "", val))</f>
        <v/>
      </c>
      <c r="DR33" s="44" t="str">
        <f t="array" ref="DR33">LET(val, IFERROR(INDEX('Daily 쨈 raw'!$A:$ZZ, MATCH(DR$3, 'Daily 쨈 raw'!$A:$A, 0), MATCH($A33, 'Daily 쨈 raw'!$1:$1, 0)), ""), IF(val=0, "", val))</f>
        <v/>
      </c>
      <c r="DS33" s="44" t="str">
        <f t="array" ref="DS33">LET(val, IFERROR(INDEX('Daily 쨈 raw'!$A:$ZZ, MATCH(DS$3, 'Daily 쨈 raw'!$A:$A, 0), MATCH($A33, 'Daily 쨈 raw'!$1:$1, 0)), ""), IF(val=0, "", val))</f>
        <v/>
      </c>
      <c r="DT33" s="44" t="str">
        <f t="array" ref="DT33">LET(val, IFERROR(INDEX('Daily 쨈 raw'!$A:$ZZ, MATCH(DT$3, 'Daily 쨈 raw'!$A:$A, 0), MATCH($A33, 'Daily 쨈 raw'!$1:$1, 0)), ""), IF(val=0, "", val))</f>
        <v/>
      </c>
      <c r="DU33" s="44" t="str">
        <f t="array" ref="DU33">LET(val, IFERROR(INDEX('Daily 쨈 raw'!$A:$ZZ, MATCH(DU$3, 'Daily 쨈 raw'!$A:$A, 0), MATCH($A33, 'Daily 쨈 raw'!$1:$1, 0)), ""), IF(val=0, "", val))</f>
        <v/>
      </c>
      <c r="DV33" s="44" t="str">
        <f t="array" ref="DV33">LET(val, IFERROR(INDEX('Daily 쨈 raw'!$A:$ZZ, MATCH(DV$3, 'Daily 쨈 raw'!$A:$A, 0), MATCH($A33, 'Daily 쨈 raw'!$1:$1, 0)), ""), IF(val=0, "", val))</f>
        <v/>
      </c>
      <c r="DW33" s="44" t="str">
        <f t="array" ref="DW33">LET(val, IFERROR(INDEX('Daily 쨈 raw'!$A:$ZZ, MATCH(DW$3, 'Daily 쨈 raw'!$A:$A, 0), MATCH($A33, 'Daily 쨈 raw'!$1:$1, 0)), ""), IF(val=0, "", val))</f>
        <v/>
      </c>
      <c r="DX33" s="57"/>
      <c r="DY33" s="57"/>
      <c r="DZ33" s="57"/>
    </row>
    <row r="34" ht="22.5" customHeight="1">
      <c r="A34" s="16" t="s">
        <v>48</v>
      </c>
      <c r="B34" s="17" t="s">
        <v>20</v>
      </c>
      <c r="C34" s="44">
        <f t="array" ref="C34">LET(val, IFERROR(INDEX('Daily 쨈 raw'!$A:$ZZ, MATCH(C$3, 'Daily 쨈 raw'!$A:$A, 0), MATCH($A34, 'Daily 쨈 raw'!$1:$1, 0)), ""), IF(val=0, "", val))</f>
        <v>3</v>
      </c>
      <c r="D34" s="44">
        <f t="array" ref="D34">LET(val, IFERROR(INDEX('Daily 쨈 raw'!$A:$ZZ, MATCH(D$3, 'Daily 쨈 raw'!$A:$A, 0), MATCH($A34, 'Daily 쨈 raw'!$1:$1, 0)), ""), IF(val=0, "", val))</f>
        <v>5</v>
      </c>
      <c r="E34" s="44">
        <f t="array" ref="E34">LET(val, IFERROR(INDEX('Daily 쨈 raw'!$A:$ZZ, MATCH(E$3, 'Daily 쨈 raw'!$A:$A, 0), MATCH($A34, 'Daily 쨈 raw'!$1:$1, 0)), ""), IF(val=0, "", val))</f>
        <v>8</v>
      </c>
      <c r="F34" s="44">
        <f t="array" ref="F34">LET(val, IFERROR(INDEX('Daily 쨈 raw'!$A:$ZZ, MATCH(F$3, 'Daily 쨈 raw'!$A:$A, 0), MATCH($A34, 'Daily 쨈 raw'!$1:$1, 0)), ""), IF(val=0, "", val))</f>
        <v>5</v>
      </c>
      <c r="G34" s="44">
        <f t="array" ref="G34">LET(val, IFERROR(INDEX('Daily 쨈 raw'!$A:$ZZ, MATCH(G$3, 'Daily 쨈 raw'!$A:$A, 0), MATCH($A34, 'Daily 쨈 raw'!$1:$1, 0)), ""), IF(val=0, "", val))</f>
        <v>7</v>
      </c>
      <c r="H34" s="44">
        <f t="array" ref="H34">LET(val, IFERROR(INDEX('Daily 쨈 raw'!$A:$ZZ, MATCH(H$3, 'Daily 쨈 raw'!$A:$A, 0), MATCH($A34, 'Daily 쨈 raw'!$1:$1, 0)), ""), IF(val=0, "", val))</f>
        <v>8</v>
      </c>
      <c r="I34" s="44">
        <f t="array" ref="I34">LET(val, IFERROR(INDEX('Daily 쨈 raw'!$A:$ZZ, MATCH(I$3, 'Daily 쨈 raw'!$A:$A, 0), MATCH($A34, 'Daily 쨈 raw'!$1:$1, 0)), ""), IF(val=0, "", val))</f>
        <v>3</v>
      </c>
      <c r="J34" s="44">
        <f t="array" ref="J34">LET(val, IFERROR(INDEX('Daily 쨈 raw'!$A:$ZZ, MATCH(J$3, 'Daily 쨈 raw'!$A:$A, 0), MATCH($A34, 'Daily 쨈 raw'!$1:$1, 0)), ""), IF(val=0, "", val))</f>
        <v>3</v>
      </c>
      <c r="K34" s="44">
        <f t="array" ref="K34">LET(val, IFERROR(INDEX('Daily 쨈 raw'!$A:$ZZ, MATCH(K$3, 'Daily 쨈 raw'!$A:$A, 0), MATCH($A34, 'Daily 쨈 raw'!$1:$1, 0)), ""), IF(val=0, "", val))</f>
        <v>15</v>
      </c>
      <c r="L34" s="44">
        <f t="array" ref="L34">LET(val, IFERROR(INDEX('Daily 쨈 raw'!$A:$ZZ, MATCH(L$3, 'Daily 쨈 raw'!$A:$A, 0), MATCH($A34, 'Daily 쨈 raw'!$1:$1, 0)), ""), IF(val=0, "", val))</f>
        <v>21</v>
      </c>
      <c r="M34" s="44">
        <f t="array" ref="M34">LET(val, IFERROR(INDEX('Daily 쨈 raw'!$A:$ZZ, MATCH(M$3, 'Daily 쨈 raw'!$A:$A, 0), MATCH($A34, 'Daily 쨈 raw'!$1:$1, 0)), ""), IF(val=0, "", val))</f>
        <v>11</v>
      </c>
      <c r="N34" s="44">
        <f t="array" ref="N34">LET(val, IFERROR(INDEX('Daily 쨈 raw'!$A:$ZZ, MATCH(N$3, 'Daily 쨈 raw'!$A:$A, 0), MATCH($A34, 'Daily 쨈 raw'!$1:$1, 0)), ""), IF(val=0, "", val))</f>
        <v>18</v>
      </c>
      <c r="O34" s="44">
        <f t="array" ref="O34">LET(val, IFERROR(INDEX('Daily 쨈 raw'!$A:$ZZ, MATCH(O$3, 'Daily 쨈 raw'!$A:$A, 0), MATCH($A34, 'Daily 쨈 raw'!$1:$1, 0)), ""), IF(val=0, "", val))</f>
        <v>15</v>
      </c>
      <c r="P34" s="44">
        <f t="array" ref="P34">LET(val, IFERROR(INDEX('Daily 쨈 raw'!$A:$ZZ, MATCH(P$3, 'Daily 쨈 raw'!$A:$A, 0), MATCH($A34, 'Daily 쨈 raw'!$1:$1, 0)), ""), IF(val=0, "", val))</f>
        <v>13</v>
      </c>
      <c r="Q34" s="44">
        <f t="array" ref="Q34">LET(val, IFERROR(INDEX('Daily 쨈 raw'!$A:$ZZ, MATCH(Q$3, 'Daily 쨈 raw'!$A:$A, 0), MATCH($A34, 'Daily 쨈 raw'!$1:$1, 0)), ""), IF(val=0, "", val))</f>
        <v>5</v>
      </c>
      <c r="R34" s="44">
        <f t="array" ref="R34">LET(val, IFERROR(INDEX('Daily 쨈 raw'!$A:$ZZ, MATCH(R$3, 'Daily 쨈 raw'!$A:$A, 0), MATCH($A34, 'Daily 쨈 raw'!$1:$1, 0)), ""), IF(val=0, "", val))</f>
        <v>12</v>
      </c>
      <c r="S34" s="44">
        <f t="array" ref="S34">LET(val, IFERROR(INDEX('Daily 쨈 raw'!$A:$ZZ, MATCH(S$3, 'Daily 쨈 raw'!$A:$A, 0), MATCH($A34, 'Daily 쨈 raw'!$1:$1, 0)), ""), IF(val=0, "", val))</f>
        <v>15</v>
      </c>
      <c r="T34" s="44">
        <f t="array" ref="T34">LET(val, IFERROR(INDEX('Daily 쨈 raw'!$A:$ZZ, MATCH(T$3, 'Daily 쨈 raw'!$A:$A, 0), MATCH($A34, 'Daily 쨈 raw'!$1:$1, 0)), ""), IF(val=0, "", val))</f>
        <v>11</v>
      </c>
      <c r="U34" s="44">
        <f t="array" ref="U34">LET(val, IFERROR(INDEX('Daily 쨈 raw'!$A:$ZZ, MATCH(U$3, 'Daily 쨈 raw'!$A:$A, 0), MATCH($A34, 'Daily 쨈 raw'!$1:$1, 0)), ""), IF(val=0, "", val))</f>
        <v>9</v>
      </c>
      <c r="V34" s="44">
        <f t="array" ref="V34">LET(val, IFERROR(INDEX('Daily 쨈 raw'!$A:$ZZ, MATCH(V$3, 'Daily 쨈 raw'!$A:$A, 0), MATCH($A34, 'Daily 쨈 raw'!$1:$1, 0)), ""), IF(val=0, "", val))</f>
        <v>11</v>
      </c>
      <c r="W34" s="44">
        <f t="array" ref="W34">LET(val, IFERROR(INDEX('Daily 쨈 raw'!$A:$ZZ, MATCH(W$3, 'Daily 쨈 raw'!$A:$A, 0), MATCH($A34, 'Daily 쨈 raw'!$1:$1, 0)), ""), IF(val=0, "", val))</f>
        <v>13</v>
      </c>
      <c r="X34" s="44">
        <f t="array" ref="X34">LET(val, IFERROR(INDEX('Daily 쨈 raw'!$A:$ZZ, MATCH(X$3, 'Daily 쨈 raw'!$A:$A, 0), MATCH($A34, 'Daily 쨈 raw'!$1:$1, 0)), ""), IF(val=0, "", val))</f>
        <v>13</v>
      </c>
      <c r="Y34" s="44">
        <f t="array" ref="Y34">LET(val, IFERROR(INDEX('Daily 쨈 raw'!$A:$ZZ, MATCH(Y$3, 'Daily 쨈 raw'!$A:$A, 0), MATCH($A34, 'Daily 쨈 raw'!$1:$1, 0)), ""), IF(val=0, "", val))</f>
        <v>8</v>
      </c>
      <c r="Z34" s="44">
        <f t="array" ref="Z34">LET(val, IFERROR(INDEX('Daily 쨈 raw'!$A:$ZZ, MATCH(Z$3, 'Daily 쨈 raw'!$A:$A, 0), MATCH($A34, 'Daily 쨈 raw'!$1:$1, 0)), ""), IF(val=0, "", val))</f>
        <v>7</v>
      </c>
      <c r="AA34" s="44">
        <f t="array" ref="AA34">LET(val, IFERROR(INDEX('Daily 쨈 raw'!$A:$ZZ, MATCH(AA$3, 'Daily 쨈 raw'!$A:$A, 0), MATCH($A34, 'Daily 쨈 raw'!$1:$1, 0)), ""), IF(val=0, "", val))</f>
        <v>4</v>
      </c>
      <c r="AB34" s="44">
        <f t="array" ref="AB34">LET(val, IFERROR(INDEX('Daily 쨈 raw'!$A:$ZZ, MATCH(AB$3, 'Daily 쨈 raw'!$A:$A, 0), MATCH($A34, 'Daily 쨈 raw'!$1:$1, 0)), ""), IF(val=0, "", val))</f>
        <v>5</v>
      </c>
      <c r="AC34" s="44">
        <f t="array" ref="AC34">LET(val, IFERROR(INDEX('Daily 쨈 raw'!$A:$ZZ, MATCH(AC$3, 'Daily 쨈 raw'!$A:$A, 0), MATCH($A34, 'Daily 쨈 raw'!$1:$1, 0)), ""), IF(val=0, "", val))</f>
        <v>2</v>
      </c>
      <c r="AD34" s="44">
        <f t="array" ref="AD34">LET(val, IFERROR(INDEX('Daily 쨈 raw'!$A:$ZZ, MATCH(AD$3, 'Daily 쨈 raw'!$A:$A, 0), MATCH($A34, 'Daily 쨈 raw'!$1:$1, 0)), ""), IF(val=0, "", val))</f>
        <v>4</v>
      </c>
      <c r="AE34" s="44">
        <f t="array" ref="AE34">LET(val, IFERROR(INDEX('Daily 쨈 raw'!$A:$ZZ, MATCH(AE$3, 'Daily 쨈 raw'!$A:$A, 0), MATCH($A34, 'Daily 쨈 raw'!$1:$1, 0)), ""), IF(val=0, "", val))</f>
        <v>8</v>
      </c>
      <c r="AF34" s="44">
        <f t="array" ref="AF34">LET(val, IFERROR(INDEX('Daily 쨈 raw'!$A:$ZZ, MATCH(AF$3, 'Daily 쨈 raw'!$A:$A, 0), MATCH($A34, 'Daily 쨈 raw'!$1:$1, 0)), ""), IF(val=0, "", val))</f>
        <v>22</v>
      </c>
      <c r="AG34" s="44">
        <f t="array" ref="AG34">LET(val, IFERROR(INDEX('Daily 쨈 raw'!$A:$ZZ, MATCH(AG$3, 'Daily 쨈 raw'!$A:$A, 0), MATCH($A34, 'Daily 쨈 raw'!$1:$1, 0)), ""), IF(val=0, "", val))</f>
        <v>25</v>
      </c>
      <c r="AH34" s="44">
        <f t="array" ref="AH34">LET(val, IFERROR(INDEX('Daily 쨈 raw'!$A:$ZZ, MATCH(AH$3, 'Daily 쨈 raw'!$A:$A, 0), MATCH($A34, 'Daily 쨈 raw'!$1:$1, 0)), ""), IF(val=0, "", val))</f>
        <v>30</v>
      </c>
      <c r="AI34" s="44">
        <f t="array" ref="AI34">LET(val, IFERROR(INDEX('Daily 쨈 raw'!$A:$ZZ, MATCH(AI$3, 'Daily 쨈 raw'!$A:$A, 0), MATCH($A34, 'Daily 쨈 raw'!$1:$1, 0)), ""), IF(val=0, "", val))</f>
        <v>18</v>
      </c>
      <c r="AJ34" s="44">
        <f t="array" ref="AJ34">LET(val, IFERROR(INDEX('Daily 쨈 raw'!$A:$ZZ, MATCH(AJ$3, 'Daily 쨈 raw'!$A:$A, 0), MATCH($A34, 'Daily 쨈 raw'!$1:$1, 0)), ""), IF(val=0, "", val))</f>
        <v>18</v>
      </c>
      <c r="AK34" s="44">
        <f t="array" ref="AK34">LET(val, IFERROR(INDEX('Daily 쨈 raw'!$A:$ZZ, MATCH(AK$3, 'Daily 쨈 raw'!$A:$A, 0), MATCH($A34, 'Daily 쨈 raw'!$1:$1, 0)), ""), IF(val=0, "", val))</f>
        <v>14</v>
      </c>
      <c r="AL34" s="44">
        <f t="array" ref="AL34">LET(val, IFERROR(INDEX('Daily 쨈 raw'!$A:$ZZ, MATCH(AL$3, 'Daily 쨈 raw'!$A:$A, 0), MATCH($A34, 'Daily 쨈 raw'!$1:$1, 0)), ""), IF(val=0, "", val))</f>
        <v>18</v>
      </c>
      <c r="AM34" s="44">
        <f t="array" ref="AM34">LET(val, IFERROR(INDEX('Daily 쨈 raw'!$A:$ZZ, MATCH(AM$3, 'Daily 쨈 raw'!$A:$A, 0), MATCH($A34, 'Daily 쨈 raw'!$1:$1, 0)), ""), IF(val=0, "", val))</f>
        <v>9</v>
      </c>
      <c r="AN34" s="44">
        <f t="array" ref="AN34">LET(val, IFERROR(INDEX('Daily 쨈 raw'!$A:$ZZ, MATCH(AN$3, 'Daily 쨈 raw'!$A:$A, 0), MATCH($A34, 'Daily 쨈 raw'!$1:$1, 0)), ""), IF(val=0, "", val))</f>
        <v>6</v>
      </c>
      <c r="AO34" s="44">
        <f t="array" ref="AO34">LET(val, IFERROR(INDEX('Daily 쨈 raw'!$A:$ZZ, MATCH(AO$3, 'Daily 쨈 raw'!$A:$A, 0), MATCH($A34, 'Daily 쨈 raw'!$1:$1, 0)), ""), IF(val=0, "", val))</f>
        <v>10</v>
      </c>
      <c r="AP34" s="44">
        <f t="array" ref="AP34">LET(val, IFERROR(INDEX('Daily 쨈 raw'!$A:$ZZ, MATCH(AP$3, 'Daily 쨈 raw'!$A:$A, 0), MATCH($A34, 'Daily 쨈 raw'!$1:$1, 0)), ""), IF(val=0, "", val))</f>
        <v>2</v>
      </c>
      <c r="AQ34" s="44">
        <f t="array" ref="AQ34">LET(val, IFERROR(INDEX('Daily 쨈 raw'!$A:$ZZ, MATCH(AQ$3, 'Daily 쨈 raw'!$A:$A, 0), MATCH($A34, 'Daily 쨈 raw'!$1:$1, 0)), ""), IF(val=0, "", val))</f>
        <v>7</v>
      </c>
      <c r="AR34" s="44">
        <f t="array" ref="AR34">LET(val, IFERROR(INDEX('Daily 쨈 raw'!$A:$ZZ, MATCH(AR$3, 'Daily 쨈 raw'!$A:$A, 0), MATCH($A34, 'Daily 쨈 raw'!$1:$1, 0)), ""), IF(val=0, "", val))</f>
        <v>4</v>
      </c>
      <c r="AS34" s="44">
        <f t="array" ref="AS34">LET(val, IFERROR(INDEX('Daily 쨈 raw'!$A:$ZZ, MATCH(AS$3, 'Daily 쨈 raw'!$A:$A, 0), MATCH($A34, 'Daily 쨈 raw'!$1:$1, 0)), ""), IF(val=0, "", val))</f>
        <v>3</v>
      </c>
      <c r="AT34" s="44">
        <f t="array" ref="AT34">LET(val, IFERROR(INDEX('Daily 쨈 raw'!$A:$ZZ, MATCH(AT$3, 'Daily 쨈 raw'!$A:$A, 0), MATCH($A34, 'Daily 쨈 raw'!$1:$1, 0)), ""), IF(val=0, "", val))</f>
        <v>10</v>
      </c>
      <c r="AU34" s="44">
        <f t="array" ref="AU34">LET(val, IFERROR(INDEX('Daily 쨈 raw'!$A:$ZZ, MATCH(AU$3, 'Daily 쨈 raw'!$A:$A, 0), MATCH($A34, 'Daily 쨈 raw'!$1:$1, 0)), ""), IF(val=0, "", val))</f>
        <v>2</v>
      </c>
      <c r="AV34" s="44">
        <f t="array" ref="AV34">LET(val, IFERROR(INDEX('Daily 쨈 raw'!$A:$ZZ, MATCH(AV$3, 'Daily 쨈 raw'!$A:$A, 0), MATCH($A34, 'Daily 쨈 raw'!$1:$1, 0)), ""), IF(val=0, "", val))</f>
        <v>7</v>
      </c>
      <c r="AW34" s="44">
        <f t="array" ref="AW34">LET(val, IFERROR(INDEX('Daily 쨈 raw'!$A:$ZZ, MATCH(AW$3, 'Daily 쨈 raw'!$A:$A, 0), MATCH($A34, 'Daily 쨈 raw'!$1:$1, 0)), ""), IF(val=0, "", val))</f>
        <v>4</v>
      </c>
      <c r="AX34" s="44">
        <f t="array" ref="AX34">LET(val, IFERROR(INDEX('Daily 쨈 raw'!$A:$ZZ, MATCH(AX$3, 'Daily 쨈 raw'!$A:$A, 0), MATCH($A34, 'Daily 쨈 raw'!$1:$1, 0)), ""), IF(val=0, "", val))</f>
        <v>1</v>
      </c>
      <c r="AY34" s="44">
        <f t="array" ref="AY34">LET(val, IFERROR(INDEX('Daily 쨈 raw'!$A:$ZZ, MATCH(AY$3, 'Daily 쨈 raw'!$A:$A, 0), MATCH($A34, 'Daily 쨈 raw'!$1:$1, 0)), ""), IF(val=0, "", val))</f>
        <v>3</v>
      </c>
      <c r="AZ34" s="44">
        <f t="array" ref="AZ34">LET(val, IFERROR(INDEX('Daily 쨈 raw'!$A:$ZZ, MATCH(AZ$3, 'Daily 쨈 raw'!$A:$A, 0), MATCH($A34, 'Daily 쨈 raw'!$1:$1, 0)), ""), IF(val=0, "", val))</f>
        <v>10</v>
      </c>
      <c r="BA34" s="44">
        <f t="array" ref="BA34">LET(val, IFERROR(INDEX('Daily 쨈 raw'!$A:$ZZ, MATCH(BA$3, 'Daily 쨈 raw'!$A:$A, 0), MATCH($A34, 'Daily 쨈 raw'!$1:$1, 0)), ""), IF(val=0, "", val))</f>
        <v>6</v>
      </c>
      <c r="BB34" s="44">
        <f t="array" ref="BB34">LET(val, IFERROR(INDEX('Daily 쨈 raw'!$A:$ZZ, MATCH(BB$3, 'Daily 쨈 raw'!$A:$A, 0), MATCH($A34, 'Daily 쨈 raw'!$1:$1, 0)), ""), IF(val=0, "", val))</f>
        <v>3</v>
      </c>
      <c r="BC34" s="44">
        <f t="array" ref="BC34">LET(val, IFERROR(INDEX('Daily 쨈 raw'!$A:$ZZ, MATCH(BC$3, 'Daily 쨈 raw'!$A:$A, 0), MATCH($A34, 'Daily 쨈 raw'!$1:$1, 0)), ""), IF(val=0, "", val))</f>
        <v>1</v>
      </c>
      <c r="BD34" s="44">
        <f t="array" ref="BD34">LET(val, IFERROR(INDEX('Daily 쨈 raw'!$A:$ZZ, MATCH(BD$3, 'Daily 쨈 raw'!$A:$A, 0), MATCH($A34, 'Daily 쨈 raw'!$1:$1, 0)), ""), IF(val=0, "", val))</f>
        <v>7</v>
      </c>
      <c r="BE34" s="44">
        <f t="array" ref="BE34">LET(val, IFERROR(INDEX('Daily 쨈 raw'!$A:$ZZ, MATCH(BE$3, 'Daily 쨈 raw'!$A:$A, 0), MATCH($A34, 'Daily 쨈 raw'!$1:$1, 0)), ""), IF(val=0, "", val))</f>
        <v>7</v>
      </c>
      <c r="BF34" s="44">
        <f t="array" ref="BF34">LET(val, IFERROR(INDEX('Daily 쨈 raw'!$A:$ZZ, MATCH(BF$3, 'Daily 쨈 raw'!$A:$A, 0), MATCH($A34, 'Daily 쨈 raw'!$1:$1, 0)), ""), IF(val=0, "", val))</f>
        <v>3</v>
      </c>
      <c r="BG34" s="44">
        <f t="array" ref="BG34">LET(val, IFERROR(INDEX('Daily 쨈 raw'!$A:$ZZ, MATCH(BG$3, 'Daily 쨈 raw'!$A:$A, 0), MATCH($A34, 'Daily 쨈 raw'!$1:$1, 0)), ""), IF(val=0, "", val))</f>
        <v>4</v>
      </c>
      <c r="BH34" s="44">
        <f t="array" ref="BH34">LET(val, IFERROR(INDEX('Daily 쨈 raw'!$A:$ZZ, MATCH(BH$3, 'Daily 쨈 raw'!$A:$A, 0), MATCH($A34, 'Daily 쨈 raw'!$1:$1, 0)), ""), IF(val=0, "", val))</f>
        <v>4</v>
      </c>
      <c r="BI34" s="44">
        <f t="array" ref="BI34">LET(val, IFERROR(INDEX('Daily 쨈 raw'!$A:$ZZ, MATCH(BI$3, 'Daily 쨈 raw'!$A:$A, 0), MATCH($A34, 'Daily 쨈 raw'!$1:$1, 0)), ""), IF(val=0, "", val))</f>
        <v>4</v>
      </c>
      <c r="BJ34" s="44">
        <f t="array" ref="BJ34">LET(val, IFERROR(INDEX('Daily 쨈 raw'!$A:$ZZ, MATCH(BJ$3, 'Daily 쨈 raw'!$A:$A, 0), MATCH($A34, 'Daily 쨈 raw'!$1:$1, 0)), ""), IF(val=0, "", val))</f>
        <v>3</v>
      </c>
      <c r="BK34" s="44">
        <f t="array" ref="BK34">LET(val, IFERROR(INDEX('Daily 쨈 raw'!$A:$ZZ, MATCH(BK$3, 'Daily 쨈 raw'!$A:$A, 0), MATCH($A34, 'Daily 쨈 raw'!$1:$1, 0)), ""), IF(val=0, "", val))</f>
        <v>7</v>
      </c>
      <c r="BL34" s="44">
        <f t="array" ref="BL34">LET(val, IFERROR(INDEX('Daily 쨈 raw'!$A:$ZZ, MATCH(BL$3, 'Daily 쨈 raw'!$A:$A, 0), MATCH($A34, 'Daily 쨈 raw'!$1:$1, 0)), ""), IF(val=0, "", val))</f>
        <v>4</v>
      </c>
      <c r="BM34" s="44">
        <f t="array" ref="BM34">LET(val, IFERROR(INDEX('Daily 쨈 raw'!$A:$ZZ, MATCH(BM$3, 'Daily 쨈 raw'!$A:$A, 0), MATCH($A34, 'Daily 쨈 raw'!$1:$1, 0)), ""), IF(val=0, "", val))</f>
        <v>3</v>
      </c>
      <c r="BN34" s="44">
        <f t="array" ref="BN34">LET(val, IFERROR(INDEX('Daily 쨈 raw'!$A:$ZZ, MATCH(BN$3, 'Daily 쨈 raw'!$A:$A, 0), MATCH($A34, 'Daily 쨈 raw'!$1:$1, 0)), ""), IF(val=0, "", val))</f>
        <v>2</v>
      </c>
      <c r="BO34" s="44">
        <f t="array" ref="BO34">LET(val, IFERROR(INDEX('Daily 쨈 raw'!$A:$ZZ, MATCH(BO$3, 'Daily 쨈 raw'!$A:$A, 0), MATCH($A34, 'Daily 쨈 raw'!$1:$1, 0)), ""), IF(val=0, "", val))</f>
        <v>3</v>
      </c>
      <c r="BP34" s="44">
        <f t="array" ref="BP34">LET(val, IFERROR(INDEX('Daily 쨈 raw'!$A:$ZZ, MATCH(BP$3, 'Daily 쨈 raw'!$A:$A, 0), MATCH($A34, 'Daily 쨈 raw'!$1:$1, 0)), ""), IF(val=0, "", val))</f>
        <v>7</v>
      </c>
      <c r="BQ34" s="44">
        <f t="array" ref="BQ34">LET(val, IFERROR(INDEX('Daily 쨈 raw'!$A:$ZZ, MATCH(BQ$3, 'Daily 쨈 raw'!$A:$A, 0), MATCH($A34, 'Daily 쨈 raw'!$1:$1, 0)), ""), IF(val=0, "", val))</f>
        <v>1</v>
      </c>
      <c r="BR34" s="44">
        <f t="array" ref="BR34">LET(val, IFERROR(INDEX('Daily 쨈 raw'!$A:$ZZ, MATCH(BR$3, 'Daily 쨈 raw'!$A:$A, 0), MATCH($A34, 'Daily 쨈 raw'!$1:$1, 0)), ""), IF(val=0, "", val))</f>
        <v>1</v>
      </c>
      <c r="BS34" s="44">
        <f t="array" ref="BS34">LET(val, IFERROR(INDEX('Daily 쨈 raw'!$A:$ZZ, MATCH(BS$3, 'Daily 쨈 raw'!$A:$A, 0), MATCH($A34, 'Daily 쨈 raw'!$1:$1, 0)), ""), IF(val=0, "", val))</f>
        <v>4</v>
      </c>
      <c r="BT34" s="44" t="str">
        <f t="array" ref="BT34">LET(val, IFERROR(INDEX('Daily 쨈 raw'!$A:$ZZ, MATCH(BT$3, 'Daily 쨈 raw'!$A:$A, 0), MATCH($A34, 'Daily 쨈 raw'!$1:$1, 0)), ""), IF(val=0, "", val))</f>
        <v/>
      </c>
      <c r="BU34" s="44">
        <f t="array" ref="BU34">LET(val, IFERROR(INDEX('Daily 쨈 raw'!$A:$ZZ, MATCH(BU$3, 'Daily 쨈 raw'!$A:$A, 0), MATCH($A34, 'Daily 쨈 raw'!$1:$1, 0)), ""), IF(val=0, "", val))</f>
        <v>2</v>
      </c>
      <c r="BV34" s="44">
        <f t="array" ref="BV34">LET(val, IFERROR(INDEX('Daily 쨈 raw'!$A:$ZZ, MATCH(BV$3, 'Daily 쨈 raw'!$A:$A, 0), MATCH($A34, 'Daily 쨈 raw'!$1:$1, 0)), ""), IF(val=0, "", val))</f>
        <v>2</v>
      </c>
      <c r="BW34" s="44">
        <f t="array" ref="BW34">LET(val, IFERROR(INDEX('Daily 쨈 raw'!$A:$ZZ, MATCH(BW$3, 'Daily 쨈 raw'!$A:$A, 0), MATCH($A34, 'Daily 쨈 raw'!$1:$1, 0)), ""), IF(val=0, "", val))</f>
        <v>8</v>
      </c>
      <c r="BX34" s="44">
        <f t="array" ref="BX34">LET(val, IFERROR(INDEX('Daily 쨈 raw'!$A:$ZZ, MATCH(BX$3, 'Daily 쨈 raw'!$A:$A, 0), MATCH($A34, 'Daily 쨈 raw'!$1:$1, 0)), ""), IF(val=0, "", val))</f>
        <v>15</v>
      </c>
      <c r="BY34" s="44">
        <f t="array" ref="BY34">LET(val, IFERROR(INDEX('Daily 쨈 raw'!$A:$ZZ, MATCH(BY$3, 'Daily 쨈 raw'!$A:$A, 0), MATCH($A34, 'Daily 쨈 raw'!$1:$1, 0)), ""), IF(val=0, "", val))</f>
        <v>23</v>
      </c>
      <c r="BZ34" s="44">
        <f t="array" ref="BZ34">LET(val, IFERROR(INDEX('Daily 쨈 raw'!$A:$ZZ, MATCH(BZ$3, 'Daily 쨈 raw'!$A:$A, 0), MATCH($A34, 'Daily 쨈 raw'!$1:$1, 0)), ""), IF(val=0, "", val))</f>
        <v>11</v>
      </c>
      <c r="CA34" s="44">
        <f t="array" ref="CA34">LET(val, IFERROR(INDEX('Daily 쨈 raw'!$A:$ZZ, MATCH(CA$3, 'Daily 쨈 raw'!$A:$A, 0), MATCH($A34, 'Daily 쨈 raw'!$1:$1, 0)), ""), IF(val=0, "", val))</f>
        <v>12</v>
      </c>
      <c r="CB34" s="44">
        <f t="array" ref="CB34">LET(val, IFERROR(INDEX('Daily 쨈 raw'!$A:$ZZ, MATCH(CB$3, 'Daily 쨈 raw'!$A:$A, 0), MATCH($A34, 'Daily 쨈 raw'!$1:$1, 0)), ""), IF(val=0, "", val))</f>
        <v>18</v>
      </c>
      <c r="CC34" s="44">
        <f t="array" ref="CC34">LET(val, IFERROR(INDEX('Daily 쨈 raw'!$A:$ZZ, MATCH(CC$3, 'Daily 쨈 raw'!$A:$A, 0), MATCH($A34, 'Daily 쨈 raw'!$1:$1, 0)), ""), IF(val=0, "", val))</f>
        <v>23</v>
      </c>
      <c r="CD34" s="44">
        <f t="array" ref="CD34">LET(val, IFERROR(INDEX('Daily 쨈 raw'!$A:$ZZ, MATCH(CD$3, 'Daily 쨈 raw'!$A:$A, 0), MATCH($A34, 'Daily 쨈 raw'!$1:$1, 0)), ""), IF(val=0, "", val))</f>
        <v>34</v>
      </c>
      <c r="CE34" s="44">
        <f t="array" ref="CE34">LET(val, IFERROR(INDEX('Daily 쨈 raw'!$A:$ZZ, MATCH(CE$3, 'Daily 쨈 raw'!$A:$A, 0), MATCH($A34, 'Daily 쨈 raw'!$1:$1, 0)), ""), IF(val=0, "", val))</f>
        <v>35</v>
      </c>
      <c r="CF34" s="44">
        <f t="array" ref="CF34">LET(val, IFERROR(INDEX('Daily 쨈 raw'!$A:$ZZ, MATCH(CF$3, 'Daily 쨈 raw'!$A:$A, 0), MATCH($A34, 'Daily 쨈 raw'!$1:$1, 0)), ""), IF(val=0, "", val))</f>
        <v>33</v>
      </c>
      <c r="CG34" s="44">
        <f t="array" ref="CG34">LET(val, IFERROR(INDEX('Daily 쨈 raw'!$A:$ZZ, MATCH(CG$3, 'Daily 쨈 raw'!$A:$A, 0), MATCH($A34, 'Daily 쨈 raw'!$1:$1, 0)), ""), IF(val=0, "", val))</f>
        <v>51</v>
      </c>
      <c r="CH34" s="44">
        <f t="array" ref="CH34">LET(val, IFERROR(INDEX('Daily 쨈 raw'!$A:$ZZ, MATCH(CH$3, 'Daily 쨈 raw'!$A:$A, 0), MATCH($A34, 'Daily 쨈 raw'!$1:$1, 0)), ""), IF(val=0, "", val))</f>
        <v>42</v>
      </c>
      <c r="CI34" s="44">
        <f t="array" ref="CI34">LET(val, IFERROR(INDEX('Daily 쨈 raw'!$A:$ZZ, MATCH(CI$3, 'Daily 쨈 raw'!$A:$A, 0), MATCH($A34, 'Daily 쨈 raw'!$1:$1, 0)), ""), IF(val=0, "", val))</f>
        <v>56</v>
      </c>
      <c r="CJ34" s="44">
        <f t="array" ref="CJ34">LET(val, IFERROR(INDEX('Daily 쨈 raw'!$A:$ZZ, MATCH(CJ$3, 'Daily 쨈 raw'!$A:$A, 0), MATCH($A34, 'Daily 쨈 raw'!$1:$1, 0)), ""), IF(val=0, "", val))</f>
        <v>50</v>
      </c>
      <c r="CK34" s="44">
        <f t="array" ref="CK34">LET(val, IFERROR(INDEX('Daily 쨈 raw'!$A:$ZZ, MATCH(CK$3, 'Daily 쨈 raw'!$A:$A, 0), MATCH($A34, 'Daily 쨈 raw'!$1:$1, 0)), ""), IF(val=0, "", val))</f>
        <v>60</v>
      </c>
      <c r="CL34" s="44">
        <f t="array" ref="CL34">LET(val, IFERROR(INDEX('Daily 쨈 raw'!$A:$ZZ, MATCH(CL$3, 'Daily 쨈 raw'!$A:$A, 0), MATCH($A34, 'Daily 쨈 raw'!$1:$1, 0)), ""), IF(val=0, "", val))</f>
        <v>39</v>
      </c>
      <c r="CM34" s="44">
        <f t="array" ref="CM34">LET(val, IFERROR(INDEX('Daily 쨈 raw'!$A:$ZZ, MATCH(CM$3, 'Daily 쨈 raw'!$A:$A, 0), MATCH($A34, 'Daily 쨈 raw'!$1:$1, 0)), ""), IF(val=0, "", val))</f>
        <v>40</v>
      </c>
      <c r="CN34" s="44">
        <f t="array" ref="CN34">LET(val, IFERROR(INDEX('Daily 쨈 raw'!$A:$ZZ, MATCH(CN$3, 'Daily 쨈 raw'!$A:$A, 0), MATCH($A34, 'Daily 쨈 raw'!$1:$1, 0)), ""), IF(val=0, "", val))</f>
        <v>32</v>
      </c>
      <c r="CO34" s="44">
        <f t="array" ref="CO34">LET(val, IFERROR(INDEX('Daily 쨈 raw'!$A:$ZZ, MATCH(CO$3, 'Daily 쨈 raw'!$A:$A, 0), MATCH($A34, 'Daily 쨈 raw'!$1:$1, 0)), ""), IF(val=0, "", val))</f>
        <v>54</v>
      </c>
      <c r="CP34" s="44" t="str">
        <f t="array" ref="CP34">LET(val, IFERROR(INDEX('Daily 쨈 raw'!$A:$ZZ, MATCH(CP$3, 'Daily 쨈 raw'!$A:$A, 0), MATCH($A34, 'Daily 쨈 raw'!$1:$1, 0)), ""), IF(val=0, "", val))</f>
        <v/>
      </c>
      <c r="CQ34" s="44" t="str">
        <f t="array" ref="CQ34">LET(val, IFERROR(INDEX('Daily 쨈 raw'!$A:$ZZ, MATCH(CQ$3, 'Daily 쨈 raw'!$A:$A, 0), MATCH($A34, 'Daily 쨈 raw'!$1:$1, 0)), ""), IF(val=0, "", val))</f>
        <v/>
      </c>
      <c r="CR34" s="44" t="str">
        <f t="array" ref="CR34">LET(val, IFERROR(INDEX('Daily 쨈 raw'!$A:$ZZ, MATCH(CR$3, 'Daily 쨈 raw'!$A:$A, 0), MATCH($A34, 'Daily 쨈 raw'!$1:$1, 0)), ""), IF(val=0, "", val))</f>
        <v/>
      </c>
      <c r="CS34" s="44" t="str">
        <f t="array" ref="CS34">LET(val, IFERROR(INDEX('Daily 쨈 raw'!$A:$ZZ, MATCH(CS$3, 'Daily 쨈 raw'!$A:$A, 0), MATCH($A34, 'Daily 쨈 raw'!$1:$1, 0)), ""), IF(val=0, "", val))</f>
        <v/>
      </c>
      <c r="CT34" s="44" t="str">
        <f t="array" ref="CT34">LET(val, IFERROR(INDEX('Daily 쨈 raw'!$A:$ZZ, MATCH(CT$3, 'Daily 쨈 raw'!$A:$A, 0), MATCH($A34, 'Daily 쨈 raw'!$1:$1, 0)), ""), IF(val=0, "", val))</f>
        <v/>
      </c>
      <c r="CU34" s="44" t="str">
        <f t="array" ref="CU34">LET(val, IFERROR(INDEX('Daily 쨈 raw'!$A:$ZZ, MATCH(CU$3, 'Daily 쨈 raw'!$A:$A, 0), MATCH($A34, 'Daily 쨈 raw'!$1:$1, 0)), ""), IF(val=0, "", val))</f>
        <v/>
      </c>
      <c r="CV34" s="44" t="str">
        <f t="array" ref="CV34">LET(val, IFERROR(INDEX('Daily 쨈 raw'!$A:$ZZ, MATCH(CV$3, 'Daily 쨈 raw'!$A:$A, 0), MATCH($A34, 'Daily 쨈 raw'!$1:$1, 0)), ""), IF(val=0, "", val))</f>
        <v/>
      </c>
      <c r="CW34" s="44" t="str">
        <f t="array" ref="CW34">LET(val, IFERROR(INDEX('Daily 쨈 raw'!$A:$ZZ, MATCH(CW$3, 'Daily 쨈 raw'!$A:$A, 0), MATCH($A34, 'Daily 쨈 raw'!$1:$1, 0)), ""), IF(val=0, "", val))</f>
        <v/>
      </c>
      <c r="CX34" s="44" t="str">
        <f t="array" ref="CX34">LET(val, IFERROR(INDEX('Daily 쨈 raw'!$A:$ZZ, MATCH(CX$3, 'Daily 쨈 raw'!$A:$A, 0), MATCH($A34, 'Daily 쨈 raw'!$1:$1, 0)), ""), IF(val=0, "", val))</f>
        <v/>
      </c>
      <c r="CY34" s="44" t="str">
        <f t="array" ref="CY34">LET(val, IFERROR(INDEX('Daily 쨈 raw'!$A:$ZZ, MATCH(CY$3, 'Daily 쨈 raw'!$A:$A, 0), MATCH($A34, 'Daily 쨈 raw'!$1:$1, 0)), ""), IF(val=0, "", val))</f>
        <v/>
      </c>
      <c r="CZ34" s="44" t="str">
        <f t="array" ref="CZ34">LET(val, IFERROR(INDEX('Daily 쨈 raw'!$A:$ZZ, MATCH(CZ$3, 'Daily 쨈 raw'!$A:$A, 0), MATCH($A34, 'Daily 쨈 raw'!$1:$1, 0)), ""), IF(val=0, "", val))</f>
        <v/>
      </c>
      <c r="DA34" s="44" t="str">
        <f t="array" ref="DA34">LET(val, IFERROR(INDEX('Daily 쨈 raw'!$A:$ZZ, MATCH(DA$3, 'Daily 쨈 raw'!$A:$A, 0), MATCH($A34, 'Daily 쨈 raw'!$1:$1, 0)), ""), IF(val=0, "", val))</f>
        <v/>
      </c>
      <c r="DB34" s="44" t="str">
        <f t="array" ref="DB34">LET(val, IFERROR(INDEX('Daily 쨈 raw'!$A:$ZZ, MATCH(DB$3, 'Daily 쨈 raw'!$A:$A, 0), MATCH($A34, 'Daily 쨈 raw'!$1:$1, 0)), ""), IF(val=0, "", val))</f>
        <v/>
      </c>
      <c r="DC34" s="44" t="str">
        <f t="array" ref="DC34">LET(val, IFERROR(INDEX('Daily 쨈 raw'!$A:$ZZ, MATCH(DC$3, 'Daily 쨈 raw'!$A:$A, 0), MATCH($A34, 'Daily 쨈 raw'!$1:$1, 0)), ""), IF(val=0, "", val))</f>
        <v/>
      </c>
      <c r="DD34" s="44" t="str">
        <f t="array" ref="DD34">LET(val, IFERROR(INDEX('Daily 쨈 raw'!$A:$ZZ, MATCH(DD$3, 'Daily 쨈 raw'!$A:$A, 0), MATCH($A34, 'Daily 쨈 raw'!$1:$1, 0)), ""), IF(val=0, "", val))</f>
        <v/>
      </c>
      <c r="DE34" s="44" t="str">
        <f t="array" ref="DE34">LET(val, IFERROR(INDEX('Daily 쨈 raw'!$A:$ZZ, MATCH(DE$3, 'Daily 쨈 raw'!$A:$A, 0), MATCH($A34, 'Daily 쨈 raw'!$1:$1, 0)), ""), IF(val=0, "", val))</f>
        <v/>
      </c>
      <c r="DF34" s="44" t="str">
        <f t="array" ref="DF34">LET(val, IFERROR(INDEX('Daily 쨈 raw'!$A:$ZZ, MATCH(DF$3, 'Daily 쨈 raw'!$A:$A, 0), MATCH($A34, 'Daily 쨈 raw'!$1:$1, 0)), ""), IF(val=0, "", val))</f>
        <v/>
      </c>
      <c r="DG34" s="44" t="str">
        <f t="array" ref="DG34">LET(val, IFERROR(INDEX('Daily 쨈 raw'!$A:$ZZ, MATCH(DG$3, 'Daily 쨈 raw'!$A:$A, 0), MATCH($A34, 'Daily 쨈 raw'!$1:$1, 0)), ""), IF(val=0, "", val))</f>
        <v/>
      </c>
      <c r="DH34" s="44" t="str">
        <f t="array" ref="DH34">LET(val, IFERROR(INDEX('Daily 쨈 raw'!$A:$ZZ, MATCH(DH$3, 'Daily 쨈 raw'!$A:$A, 0), MATCH($A34, 'Daily 쨈 raw'!$1:$1, 0)), ""), IF(val=0, "", val))</f>
        <v/>
      </c>
      <c r="DI34" s="44" t="str">
        <f t="array" ref="DI34">LET(val, IFERROR(INDEX('Daily 쨈 raw'!$A:$ZZ, MATCH(DI$3, 'Daily 쨈 raw'!$A:$A, 0), MATCH($A34, 'Daily 쨈 raw'!$1:$1, 0)), ""), IF(val=0, "", val))</f>
        <v/>
      </c>
      <c r="DJ34" s="44" t="str">
        <f t="array" ref="DJ34">LET(val, IFERROR(INDEX('Daily 쨈 raw'!$A:$ZZ, MATCH(DJ$3, 'Daily 쨈 raw'!$A:$A, 0), MATCH($A34, 'Daily 쨈 raw'!$1:$1, 0)), ""), IF(val=0, "", val))</f>
        <v/>
      </c>
      <c r="DK34" s="44" t="str">
        <f t="array" ref="DK34">LET(val, IFERROR(INDEX('Daily 쨈 raw'!$A:$ZZ, MATCH(DK$3, 'Daily 쨈 raw'!$A:$A, 0), MATCH($A34, 'Daily 쨈 raw'!$1:$1, 0)), ""), IF(val=0, "", val))</f>
        <v/>
      </c>
      <c r="DL34" s="44" t="str">
        <f t="array" ref="DL34">LET(val, IFERROR(INDEX('Daily 쨈 raw'!$A:$ZZ, MATCH(DL$3, 'Daily 쨈 raw'!$A:$A, 0), MATCH($A34, 'Daily 쨈 raw'!$1:$1, 0)), ""), IF(val=0, "", val))</f>
        <v/>
      </c>
      <c r="DM34" s="44" t="str">
        <f t="array" ref="DM34">LET(val, IFERROR(INDEX('Daily 쨈 raw'!$A:$ZZ, MATCH(DM$3, 'Daily 쨈 raw'!$A:$A, 0), MATCH($A34, 'Daily 쨈 raw'!$1:$1, 0)), ""), IF(val=0, "", val))</f>
        <v/>
      </c>
      <c r="DN34" s="44" t="str">
        <f t="array" ref="DN34">LET(val, IFERROR(INDEX('Daily 쨈 raw'!$A:$ZZ, MATCH(DN$3, 'Daily 쨈 raw'!$A:$A, 0), MATCH($A34, 'Daily 쨈 raw'!$1:$1, 0)), ""), IF(val=0, "", val))</f>
        <v/>
      </c>
      <c r="DO34" s="44" t="str">
        <f t="array" ref="DO34">LET(val, IFERROR(INDEX('Daily 쨈 raw'!$A:$ZZ, MATCH(DO$3, 'Daily 쨈 raw'!$A:$A, 0), MATCH($A34, 'Daily 쨈 raw'!$1:$1, 0)), ""), IF(val=0, "", val))</f>
        <v/>
      </c>
      <c r="DP34" s="44" t="str">
        <f t="array" ref="DP34">LET(val, IFERROR(INDEX('Daily 쨈 raw'!$A:$ZZ, MATCH(DP$3, 'Daily 쨈 raw'!$A:$A, 0), MATCH($A34, 'Daily 쨈 raw'!$1:$1, 0)), ""), IF(val=0, "", val))</f>
        <v/>
      </c>
      <c r="DQ34" s="44" t="str">
        <f t="array" ref="DQ34">LET(val, IFERROR(INDEX('Daily 쨈 raw'!$A:$ZZ, MATCH(DQ$3, 'Daily 쨈 raw'!$A:$A, 0), MATCH($A34, 'Daily 쨈 raw'!$1:$1, 0)), ""), IF(val=0, "", val))</f>
        <v/>
      </c>
      <c r="DR34" s="44" t="str">
        <f t="array" ref="DR34">LET(val, IFERROR(INDEX('Daily 쨈 raw'!$A:$ZZ, MATCH(DR$3, 'Daily 쨈 raw'!$A:$A, 0), MATCH($A34, 'Daily 쨈 raw'!$1:$1, 0)), ""), IF(val=0, "", val))</f>
        <v/>
      </c>
      <c r="DS34" s="44" t="str">
        <f t="array" ref="DS34">LET(val, IFERROR(INDEX('Daily 쨈 raw'!$A:$ZZ, MATCH(DS$3, 'Daily 쨈 raw'!$A:$A, 0), MATCH($A34, 'Daily 쨈 raw'!$1:$1, 0)), ""), IF(val=0, "", val))</f>
        <v/>
      </c>
      <c r="DT34" s="44" t="str">
        <f t="array" ref="DT34">LET(val, IFERROR(INDEX('Daily 쨈 raw'!$A:$ZZ, MATCH(DT$3, 'Daily 쨈 raw'!$A:$A, 0), MATCH($A34, 'Daily 쨈 raw'!$1:$1, 0)), ""), IF(val=0, "", val))</f>
        <v/>
      </c>
      <c r="DU34" s="44" t="str">
        <f t="array" ref="DU34">LET(val, IFERROR(INDEX('Daily 쨈 raw'!$A:$ZZ, MATCH(DU$3, 'Daily 쨈 raw'!$A:$A, 0), MATCH($A34, 'Daily 쨈 raw'!$1:$1, 0)), ""), IF(val=0, "", val))</f>
        <v/>
      </c>
      <c r="DV34" s="44" t="str">
        <f t="array" ref="DV34">LET(val, IFERROR(INDEX('Daily 쨈 raw'!$A:$ZZ, MATCH(DV$3, 'Daily 쨈 raw'!$A:$A, 0), MATCH($A34, 'Daily 쨈 raw'!$1:$1, 0)), ""), IF(val=0, "", val))</f>
        <v/>
      </c>
      <c r="DW34" s="44" t="str">
        <f t="array" ref="DW34">LET(val, IFERROR(INDEX('Daily 쨈 raw'!$A:$ZZ, MATCH(DW$3, 'Daily 쨈 raw'!$A:$A, 0), MATCH($A34, 'Daily 쨈 raw'!$1:$1, 0)), ""), IF(val=0, "", val))</f>
        <v/>
      </c>
      <c r="DX34" s="57"/>
      <c r="DY34" s="57"/>
      <c r="DZ34" s="57"/>
    </row>
    <row r="35" ht="22.5" customHeight="1">
      <c r="A35" s="16"/>
      <c r="B35" s="30" t="s">
        <v>49</v>
      </c>
      <c r="C35" s="44" t="str">
        <f t="array" ref="C35">LET(val, IFERROR(INDEX('Daily 쨈 raw'!$A:$ZZ, MATCH(C$3, 'Daily 쨈 raw'!$A:$A, 0), MATCH($A35, 'Daily 쨈 raw'!$1:$1, 0)), ""), IF(val=0, "", val))</f>
        <v/>
      </c>
      <c r="D35" s="44" t="str">
        <f t="array" ref="D35">LET(val, IFERROR(INDEX('Daily 쨈 raw'!$A:$ZZ, MATCH(D$3, 'Daily 쨈 raw'!$A:$A, 0), MATCH($A35, 'Daily 쨈 raw'!$1:$1, 0)), ""), IF(val=0, "", val))</f>
        <v/>
      </c>
      <c r="E35" s="44" t="str">
        <f t="array" ref="E35">LET(val, IFERROR(INDEX('Daily 쨈 raw'!$A:$ZZ, MATCH(E$3, 'Daily 쨈 raw'!$A:$A, 0), MATCH($A35, 'Daily 쨈 raw'!$1:$1, 0)), ""), IF(val=0, "", val))</f>
        <v/>
      </c>
      <c r="F35" s="44" t="str">
        <f t="array" ref="F35">LET(val, IFERROR(INDEX('Daily 쨈 raw'!$A:$ZZ, MATCH(F$3, 'Daily 쨈 raw'!$A:$A, 0), MATCH($A35, 'Daily 쨈 raw'!$1:$1, 0)), ""), IF(val=0, "", val))</f>
        <v/>
      </c>
      <c r="G35" s="44" t="str">
        <f t="array" ref="G35">LET(val, IFERROR(INDEX('Daily 쨈 raw'!$A:$ZZ, MATCH(G$3, 'Daily 쨈 raw'!$A:$A, 0), MATCH($A35, 'Daily 쨈 raw'!$1:$1, 0)), ""), IF(val=0, "", val))</f>
        <v/>
      </c>
      <c r="H35" s="44" t="str">
        <f t="array" ref="H35">LET(val, IFERROR(INDEX('Daily 쨈 raw'!$A:$ZZ, MATCH(H$3, 'Daily 쨈 raw'!$A:$A, 0), MATCH($A35, 'Daily 쨈 raw'!$1:$1, 0)), ""), IF(val=0, "", val))</f>
        <v/>
      </c>
      <c r="I35" s="44" t="str">
        <f t="array" ref="I35">LET(val, IFERROR(INDEX('Daily 쨈 raw'!$A:$ZZ, MATCH(I$3, 'Daily 쨈 raw'!$A:$A, 0), MATCH($A35, 'Daily 쨈 raw'!$1:$1, 0)), ""), IF(val=0, "", val))</f>
        <v/>
      </c>
      <c r="J35" s="44" t="str">
        <f t="array" ref="J35">LET(val, IFERROR(INDEX('Daily 쨈 raw'!$A:$ZZ, MATCH(J$3, 'Daily 쨈 raw'!$A:$A, 0), MATCH($A35, 'Daily 쨈 raw'!$1:$1, 0)), ""), IF(val=0, "", val))</f>
        <v/>
      </c>
      <c r="K35" s="44" t="str">
        <f t="array" ref="K35">LET(val, IFERROR(INDEX('Daily 쨈 raw'!$A:$ZZ, MATCH(K$3, 'Daily 쨈 raw'!$A:$A, 0), MATCH($A35, 'Daily 쨈 raw'!$1:$1, 0)), ""), IF(val=0, "", val))</f>
        <v/>
      </c>
      <c r="L35" s="44" t="str">
        <f t="array" ref="L35">LET(val, IFERROR(INDEX('Daily 쨈 raw'!$A:$ZZ, MATCH(L$3, 'Daily 쨈 raw'!$A:$A, 0), MATCH($A35, 'Daily 쨈 raw'!$1:$1, 0)), ""), IF(val=0, "", val))</f>
        <v/>
      </c>
      <c r="M35" s="44" t="str">
        <f t="array" ref="M35">LET(val, IFERROR(INDEX('Daily 쨈 raw'!$A:$ZZ, MATCH(M$3, 'Daily 쨈 raw'!$A:$A, 0), MATCH($A35, 'Daily 쨈 raw'!$1:$1, 0)), ""), IF(val=0, "", val))</f>
        <v/>
      </c>
      <c r="N35" s="44" t="str">
        <f t="array" ref="N35">LET(val, IFERROR(INDEX('Daily 쨈 raw'!$A:$ZZ, MATCH(N$3, 'Daily 쨈 raw'!$A:$A, 0), MATCH($A35, 'Daily 쨈 raw'!$1:$1, 0)), ""), IF(val=0, "", val))</f>
        <v/>
      </c>
      <c r="O35" s="44" t="str">
        <f t="array" ref="O35">LET(val, IFERROR(INDEX('Daily 쨈 raw'!$A:$ZZ, MATCH(O$3, 'Daily 쨈 raw'!$A:$A, 0), MATCH($A35, 'Daily 쨈 raw'!$1:$1, 0)), ""), IF(val=0, "", val))</f>
        <v/>
      </c>
      <c r="P35" s="44" t="str">
        <f t="array" ref="P35">LET(val, IFERROR(INDEX('Daily 쨈 raw'!$A:$ZZ, MATCH(P$3, 'Daily 쨈 raw'!$A:$A, 0), MATCH($A35, 'Daily 쨈 raw'!$1:$1, 0)), ""), IF(val=0, "", val))</f>
        <v/>
      </c>
      <c r="Q35" s="44" t="str">
        <f t="array" ref="Q35">LET(val, IFERROR(INDEX('Daily 쨈 raw'!$A:$ZZ, MATCH(Q$3, 'Daily 쨈 raw'!$A:$A, 0), MATCH($A35, 'Daily 쨈 raw'!$1:$1, 0)), ""), IF(val=0, "", val))</f>
        <v/>
      </c>
      <c r="R35" s="44" t="str">
        <f t="array" ref="R35">LET(val, IFERROR(INDEX('Daily 쨈 raw'!$A:$ZZ, MATCH(R$3, 'Daily 쨈 raw'!$A:$A, 0), MATCH($A35, 'Daily 쨈 raw'!$1:$1, 0)), ""), IF(val=0, "", val))</f>
        <v/>
      </c>
      <c r="S35" s="44" t="str">
        <f t="array" ref="S35">LET(val, IFERROR(INDEX('Daily 쨈 raw'!$A:$ZZ, MATCH(S$3, 'Daily 쨈 raw'!$A:$A, 0), MATCH($A35, 'Daily 쨈 raw'!$1:$1, 0)), ""), IF(val=0, "", val))</f>
        <v/>
      </c>
      <c r="T35" s="44" t="str">
        <f t="array" ref="T35">LET(val, IFERROR(INDEX('Daily 쨈 raw'!$A:$ZZ, MATCH(T$3, 'Daily 쨈 raw'!$A:$A, 0), MATCH($A35, 'Daily 쨈 raw'!$1:$1, 0)), ""), IF(val=0, "", val))</f>
        <v/>
      </c>
      <c r="U35" s="44" t="str">
        <f t="array" ref="U35">LET(val, IFERROR(INDEX('Daily 쨈 raw'!$A:$ZZ, MATCH(U$3, 'Daily 쨈 raw'!$A:$A, 0), MATCH($A35, 'Daily 쨈 raw'!$1:$1, 0)), ""), IF(val=0, "", val))</f>
        <v/>
      </c>
      <c r="V35" s="44" t="str">
        <f t="array" ref="V35">LET(val, IFERROR(INDEX('Daily 쨈 raw'!$A:$ZZ, MATCH(V$3, 'Daily 쨈 raw'!$A:$A, 0), MATCH($A35, 'Daily 쨈 raw'!$1:$1, 0)), ""), IF(val=0, "", val))</f>
        <v/>
      </c>
      <c r="W35" s="44" t="str">
        <f t="array" ref="W35">LET(val, IFERROR(INDEX('Daily 쨈 raw'!$A:$ZZ, MATCH(W$3, 'Daily 쨈 raw'!$A:$A, 0), MATCH($A35, 'Daily 쨈 raw'!$1:$1, 0)), ""), IF(val=0, "", val))</f>
        <v/>
      </c>
      <c r="X35" s="44" t="str">
        <f t="array" ref="X35">LET(val, IFERROR(INDEX('Daily 쨈 raw'!$A:$ZZ, MATCH(X$3, 'Daily 쨈 raw'!$A:$A, 0), MATCH($A35, 'Daily 쨈 raw'!$1:$1, 0)), ""), IF(val=0, "", val))</f>
        <v/>
      </c>
      <c r="Y35" s="44" t="str">
        <f t="array" ref="Y35">LET(val, IFERROR(INDEX('Daily 쨈 raw'!$A:$ZZ, MATCH(Y$3, 'Daily 쨈 raw'!$A:$A, 0), MATCH($A35, 'Daily 쨈 raw'!$1:$1, 0)), ""), IF(val=0, "", val))</f>
        <v/>
      </c>
      <c r="Z35" s="44" t="str">
        <f t="array" ref="Z35">LET(val, IFERROR(INDEX('Daily 쨈 raw'!$A:$ZZ, MATCH(Z$3, 'Daily 쨈 raw'!$A:$A, 0), MATCH($A35, 'Daily 쨈 raw'!$1:$1, 0)), ""), IF(val=0, "", val))</f>
        <v/>
      </c>
      <c r="AA35" s="44" t="str">
        <f t="array" ref="AA35">LET(val, IFERROR(INDEX('Daily 쨈 raw'!$A:$ZZ, MATCH(AA$3, 'Daily 쨈 raw'!$A:$A, 0), MATCH($A35, 'Daily 쨈 raw'!$1:$1, 0)), ""), IF(val=0, "", val))</f>
        <v/>
      </c>
      <c r="AB35" s="44" t="str">
        <f t="array" ref="AB35">LET(val, IFERROR(INDEX('Daily 쨈 raw'!$A:$ZZ, MATCH(AB$3, 'Daily 쨈 raw'!$A:$A, 0), MATCH($A35, 'Daily 쨈 raw'!$1:$1, 0)), ""), IF(val=0, "", val))</f>
        <v/>
      </c>
      <c r="AC35" s="44" t="str">
        <f t="array" ref="AC35">LET(val, IFERROR(INDEX('Daily 쨈 raw'!$A:$ZZ, MATCH(AC$3, 'Daily 쨈 raw'!$A:$A, 0), MATCH($A35, 'Daily 쨈 raw'!$1:$1, 0)), ""), IF(val=0, "", val))</f>
        <v/>
      </c>
      <c r="AD35" s="44" t="str">
        <f t="array" ref="AD35">LET(val, IFERROR(INDEX('Daily 쨈 raw'!$A:$ZZ, MATCH(AD$3, 'Daily 쨈 raw'!$A:$A, 0), MATCH($A35, 'Daily 쨈 raw'!$1:$1, 0)), ""), IF(val=0, "", val))</f>
        <v/>
      </c>
      <c r="AE35" s="44" t="str">
        <f t="array" ref="AE35">LET(val, IFERROR(INDEX('Daily 쨈 raw'!$A:$ZZ, MATCH(AE$3, 'Daily 쨈 raw'!$A:$A, 0), MATCH($A35, 'Daily 쨈 raw'!$1:$1, 0)), ""), IF(val=0, "", val))</f>
        <v/>
      </c>
      <c r="AF35" s="44" t="str">
        <f t="array" ref="AF35">LET(val, IFERROR(INDEX('Daily 쨈 raw'!$A:$ZZ, MATCH(AF$3, 'Daily 쨈 raw'!$A:$A, 0), MATCH($A35, 'Daily 쨈 raw'!$1:$1, 0)), ""), IF(val=0, "", val))</f>
        <v/>
      </c>
      <c r="AG35" s="44" t="str">
        <f t="array" ref="AG35">LET(val, IFERROR(INDEX('Daily 쨈 raw'!$A:$ZZ, MATCH(AG$3, 'Daily 쨈 raw'!$A:$A, 0), MATCH($A35, 'Daily 쨈 raw'!$1:$1, 0)), ""), IF(val=0, "", val))</f>
        <v/>
      </c>
      <c r="AH35" s="44" t="str">
        <f t="array" ref="AH35">LET(val, IFERROR(INDEX('Daily 쨈 raw'!$A:$ZZ, MATCH(AH$3, 'Daily 쨈 raw'!$A:$A, 0), MATCH($A35, 'Daily 쨈 raw'!$1:$1, 0)), ""), IF(val=0, "", val))</f>
        <v/>
      </c>
      <c r="AI35" s="44" t="str">
        <f t="array" ref="AI35">LET(val, IFERROR(INDEX('Daily 쨈 raw'!$A:$ZZ, MATCH(AI$3, 'Daily 쨈 raw'!$A:$A, 0), MATCH($A35, 'Daily 쨈 raw'!$1:$1, 0)), ""), IF(val=0, "", val))</f>
        <v/>
      </c>
      <c r="AJ35" s="44" t="str">
        <f t="array" ref="AJ35">LET(val, IFERROR(INDEX('Daily 쨈 raw'!$A:$ZZ, MATCH(AJ$3, 'Daily 쨈 raw'!$A:$A, 0), MATCH($A35, 'Daily 쨈 raw'!$1:$1, 0)), ""), IF(val=0, "", val))</f>
        <v/>
      </c>
      <c r="AK35" s="44" t="str">
        <f t="array" ref="AK35">LET(val, IFERROR(INDEX('Daily 쨈 raw'!$A:$ZZ, MATCH(AK$3, 'Daily 쨈 raw'!$A:$A, 0), MATCH($A35, 'Daily 쨈 raw'!$1:$1, 0)), ""), IF(val=0, "", val))</f>
        <v/>
      </c>
      <c r="AL35" s="44" t="str">
        <f t="array" ref="AL35">LET(val, IFERROR(INDEX('Daily 쨈 raw'!$A:$ZZ, MATCH(AL$3, 'Daily 쨈 raw'!$A:$A, 0), MATCH($A35, 'Daily 쨈 raw'!$1:$1, 0)), ""), IF(val=0, "", val))</f>
        <v/>
      </c>
      <c r="AM35" s="44" t="str">
        <f t="array" ref="AM35">LET(val, IFERROR(INDEX('Daily 쨈 raw'!$A:$ZZ, MATCH(AM$3, 'Daily 쨈 raw'!$A:$A, 0), MATCH($A35, 'Daily 쨈 raw'!$1:$1, 0)), ""), IF(val=0, "", val))</f>
        <v/>
      </c>
      <c r="AN35" s="44" t="str">
        <f t="array" ref="AN35">LET(val, IFERROR(INDEX('Daily 쨈 raw'!$A:$ZZ, MATCH(AN$3, 'Daily 쨈 raw'!$A:$A, 0), MATCH($A35, 'Daily 쨈 raw'!$1:$1, 0)), ""), IF(val=0, "", val))</f>
        <v/>
      </c>
      <c r="AO35" s="44" t="str">
        <f t="array" ref="AO35">LET(val, IFERROR(INDEX('Daily 쨈 raw'!$A:$ZZ, MATCH(AO$3, 'Daily 쨈 raw'!$A:$A, 0), MATCH($A35, 'Daily 쨈 raw'!$1:$1, 0)), ""), IF(val=0, "", val))</f>
        <v/>
      </c>
      <c r="AP35" s="44" t="str">
        <f t="array" ref="AP35">LET(val, IFERROR(INDEX('Daily 쨈 raw'!$A:$ZZ, MATCH(AP$3, 'Daily 쨈 raw'!$A:$A, 0), MATCH($A35, 'Daily 쨈 raw'!$1:$1, 0)), ""), IF(val=0, "", val))</f>
        <v/>
      </c>
      <c r="AQ35" s="44" t="str">
        <f t="array" ref="AQ35">LET(val, IFERROR(INDEX('Daily 쨈 raw'!$A:$ZZ, MATCH(AQ$3, 'Daily 쨈 raw'!$A:$A, 0), MATCH($A35, 'Daily 쨈 raw'!$1:$1, 0)), ""), IF(val=0, "", val))</f>
        <v/>
      </c>
      <c r="AR35" s="44" t="str">
        <f t="array" ref="AR35">LET(val, IFERROR(INDEX('Daily 쨈 raw'!$A:$ZZ, MATCH(AR$3, 'Daily 쨈 raw'!$A:$A, 0), MATCH($A35, 'Daily 쨈 raw'!$1:$1, 0)), ""), IF(val=0, "", val))</f>
        <v/>
      </c>
      <c r="AS35" s="44" t="str">
        <f t="array" ref="AS35">LET(val, IFERROR(INDEX('Daily 쨈 raw'!$A:$ZZ, MATCH(AS$3, 'Daily 쨈 raw'!$A:$A, 0), MATCH($A35, 'Daily 쨈 raw'!$1:$1, 0)), ""), IF(val=0, "", val))</f>
        <v/>
      </c>
      <c r="AT35" s="44" t="str">
        <f t="array" ref="AT35">LET(val, IFERROR(INDEX('Daily 쨈 raw'!$A:$ZZ, MATCH(AT$3, 'Daily 쨈 raw'!$A:$A, 0), MATCH($A35, 'Daily 쨈 raw'!$1:$1, 0)), ""), IF(val=0, "", val))</f>
        <v/>
      </c>
      <c r="AU35" s="44" t="str">
        <f t="array" ref="AU35">LET(val, IFERROR(INDEX('Daily 쨈 raw'!$A:$ZZ, MATCH(AU$3, 'Daily 쨈 raw'!$A:$A, 0), MATCH($A35, 'Daily 쨈 raw'!$1:$1, 0)), ""), IF(val=0, "", val))</f>
        <v/>
      </c>
      <c r="AV35" s="44" t="str">
        <f t="array" ref="AV35">LET(val, IFERROR(INDEX('Daily 쨈 raw'!$A:$ZZ, MATCH(AV$3, 'Daily 쨈 raw'!$A:$A, 0), MATCH($A35, 'Daily 쨈 raw'!$1:$1, 0)), ""), IF(val=0, "", val))</f>
        <v/>
      </c>
      <c r="AW35" s="44" t="str">
        <f t="array" ref="AW35">LET(val, IFERROR(INDEX('Daily 쨈 raw'!$A:$ZZ, MATCH(AW$3, 'Daily 쨈 raw'!$A:$A, 0), MATCH($A35, 'Daily 쨈 raw'!$1:$1, 0)), ""), IF(val=0, "", val))</f>
        <v/>
      </c>
      <c r="AX35" s="44" t="str">
        <f t="array" ref="AX35">LET(val, IFERROR(INDEX('Daily 쨈 raw'!$A:$ZZ, MATCH(AX$3, 'Daily 쨈 raw'!$A:$A, 0), MATCH($A35, 'Daily 쨈 raw'!$1:$1, 0)), ""), IF(val=0, "", val))</f>
        <v/>
      </c>
      <c r="AY35" s="44" t="str">
        <f t="array" ref="AY35">LET(val, IFERROR(INDEX('Daily 쨈 raw'!$A:$ZZ, MATCH(AY$3, 'Daily 쨈 raw'!$A:$A, 0), MATCH($A35, 'Daily 쨈 raw'!$1:$1, 0)), ""), IF(val=0, "", val))</f>
        <v/>
      </c>
      <c r="AZ35" s="44" t="str">
        <f t="array" ref="AZ35">LET(val, IFERROR(INDEX('Daily 쨈 raw'!$A:$ZZ, MATCH(AZ$3, 'Daily 쨈 raw'!$A:$A, 0), MATCH($A35, 'Daily 쨈 raw'!$1:$1, 0)), ""), IF(val=0, "", val))</f>
        <v/>
      </c>
      <c r="BA35" s="44" t="str">
        <f t="array" ref="BA35">LET(val, IFERROR(INDEX('Daily 쨈 raw'!$A:$ZZ, MATCH(BA$3, 'Daily 쨈 raw'!$A:$A, 0), MATCH($A35, 'Daily 쨈 raw'!$1:$1, 0)), ""), IF(val=0, "", val))</f>
        <v/>
      </c>
      <c r="BB35" s="44" t="str">
        <f t="array" ref="BB35">LET(val, IFERROR(INDEX('Daily 쨈 raw'!$A:$ZZ, MATCH(BB$3, 'Daily 쨈 raw'!$A:$A, 0), MATCH($A35, 'Daily 쨈 raw'!$1:$1, 0)), ""), IF(val=0, "", val))</f>
        <v/>
      </c>
      <c r="BC35" s="44" t="str">
        <f t="array" ref="BC35">LET(val, IFERROR(INDEX('Daily 쨈 raw'!$A:$ZZ, MATCH(BC$3, 'Daily 쨈 raw'!$A:$A, 0), MATCH($A35, 'Daily 쨈 raw'!$1:$1, 0)), ""), IF(val=0, "", val))</f>
        <v/>
      </c>
      <c r="BD35" s="44" t="str">
        <f t="array" ref="BD35">LET(val, IFERROR(INDEX('Daily 쨈 raw'!$A:$ZZ, MATCH(BD$3, 'Daily 쨈 raw'!$A:$A, 0), MATCH($A35, 'Daily 쨈 raw'!$1:$1, 0)), ""), IF(val=0, "", val))</f>
        <v/>
      </c>
      <c r="BE35" s="44" t="str">
        <f t="array" ref="BE35">LET(val, IFERROR(INDEX('Daily 쨈 raw'!$A:$ZZ, MATCH(BE$3, 'Daily 쨈 raw'!$A:$A, 0), MATCH($A35, 'Daily 쨈 raw'!$1:$1, 0)), ""), IF(val=0, "", val))</f>
        <v/>
      </c>
      <c r="BF35" s="44" t="str">
        <f t="array" ref="BF35">LET(val, IFERROR(INDEX('Daily 쨈 raw'!$A:$ZZ, MATCH(BF$3, 'Daily 쨈 raw'!$A:$A, 0), MATCH($A35, 'Daily 쨈 raw'!$1:$1, 0)), ""), IF(val=0, "", val))</f>
        <v/>
      </c>
      <c r="BG35" s="44" t="str">
        <f t="array" ref="BG35">LET(val, IFERROR(INDEX('Daily 쨈 raw'!$A:$ZZ, MATCH(BG$3, 'Daily 쨈 raw'!$A:$A, 0), MATCH($A35, 'Daily 쨈 raw'!$1:$1, 0)), ""), IF(val=0, "", val))</f>
        <v/>
      </c>
      <c r="BH35" s="44" t="str">
        <f t="array" ref="BH35">LET(val, IFERROR(INDEX('Daily 쨈 raw'!$A:$ZZ, MATCH(BH$3, 'Daily 쨈 raw'!$A:$A, 0), MATCH($A35, 'Daily 쨈 raw'!$1:$1, 0)), ""), IF(val=0, "", val))</f>
        <v/>
      </c>
      <c r="BI35" s="44" t="str">
        <f t="array" ref="BI35">LET(val, IFERROR(INDEX('Daily 쨈 raw'!$A:$ZZ, MATCH(BI$3, 'Daily 쨈 raw'!$A:$A, 0), MATCH($A35, 'Daily 쨈 raw'!$1:$1, 0)), ""), IF(val=0, "", val))</f>
        <v/>
      </c>
      <c r="BJ35" s="44" t="str">
        <f t="array" ref="BJ35">LET(val, IFERROR(INDEX('Daily 쨈 raw'!$A:$ZZ, MATCH(BJ$3, 'Daily 쨈 raw'!$A:$A, 0), MATCH($A35, 'Daily 쨈 raw'!$1:$1, 0)), ""), IF(val=0, "", val))</f>
        <v/>
      </c>
      <c r="BK35" s="44" t="str">
        <f t="array" ref="BK35">LET(val, IFERROR(INDEX('Daily 쨈 raw'!$A:$ZZ, MATCH(BK$3, 'Daily 쨈 raw'!$A:$A, 0), MATCH($A35, 'Daily 쨈 raw'!$1:$1, 0)), ""), IF(val=0, "", val))</f>
        <v/>
      </c>
      <c r="BL35" s="44" t="str">
        <f t="array" ref="BL35">LET(val, IFERROR(INDEX('Daily 쨈 raw'!$A:$ZZ, MATCH(BL$3, 'Daily 쨈 raw'!$A:$A, 0), MATCH($A35, 'Daily 쨈 raw'!$1:$1, 0)), ""), IF(val=0, "", val))</f>
        <v/>
      </c>
      <c r="BM35" s="44" t="str">
        <f t="array" ref="BM35">LET(val, IFERROR(INDEX('Daily 쨈 raw'!$A:$ZZ, MATCH(BM$3, 'Daily 쨈 raw'!$A:$A, 0), MATCH($A35, 'Daily 쨈 raw'!$1:$1, 0)), ""), IF(val=0, "", val))</f>
        <v/>
      </c>
      <c r="BN35" s="44" t="str">
        <f t="array" ref="BN35">LET(val, IFERROR(INDEX('Daily 쨈 raw'!$A:$ZZ, MATCH(BN$3, 'Daily 쨈 raw'!$A:$A, 0), MATCH($A35, 'Daily 쨈 raw'!$1:$1, 0)), ""), IF(val=0, "", val))</f>
        <v/>
      </c>
      <c r="BO35" s="44" t="str">
        <f t="array" ref="BO35">LET(val, IFERROR(INDEX('Daily 쨈 raw'!$A:$ZZ, MATCH(BO$3, 'Daily 쨈 raw'!$A:$A, 0), MATCH($A35, 'Daily 쨈 raw'!$1:$1, 0)), ""), IF(val=0, "", val))</f>
        <v/>
      </c>
      <c r="BP35" s="44" t="str">
        <f t="array" ref="BP35">LET(val, IFERROR(INDEX('Daily 쨈 raw'!$A:$ZZ, MATCH(BP$3, 'Daily 쨈 raw'!$A:$A, 0), MATCH($A35, 'Daily 쨈 raw'!$1:$1, 0)), ""), IF(val=0, "", val))</f>
        <v/>
      </c>
      <c r="BQ35" s="44" t="str">
        <f t="array" ref="BQ35">LET(val, IFERROR(INDEX('Daily 쨈 raw'!$A:$ZZ, MATCH(BQ$3, 'Daily 쨈 raw'!$A:$A, 0), MATCH($A35, 'Daily 쨈 raw'!$1:$1, 0)), ""), IF(val=0, "", val))</f>
        <v/>
      </c>
      <c r="BR35" s="44" t="str">
        <f t="array" ref="BR35">LET(val, IFERROR(INDEX('Daily 쨈 raw'!$A:$ZZ, MATCH(BR$3, 'Daily 쨈 raw'!$A:$A, 0), MATCH($A35, 'Daily 쨈 raw'!$1:$1, 0)), ""), IF(val=0, "", val))</f>
        <v/>
      </c>
      <c r="BS35" s="44" t="str">
        <f t="array" ref="BS35">LET(val, IFERROR(INDEX('Daily 쨈 raw'!$A:$ZZ, MATCH(BS$3, 'Daily 쨈 raw'!$A:$A, 0), MATCH($A35, 'Daily 쨈 raw'!$1:$1, 0)), ""), IF(val=0, "", val))</f>
        <v/>
      </c>
      <c r="BT35" s="44" t="str">
        <f t="array" ref="BT35">LET(val, IFERROR(INDEX('Daily 쨈 raw'!$A:$ZZ, MATCH(BT$3, 'Daily 쨈 raw'!$A:$A, 0), MATCH($A35, 'Daily 쨈 raw'!$1:$1, 0)), ""), IF(val=0, "", val))</f>
        <v/>
      </c>
      <c r="BU35" s="44" t="str">
        <f t="array" ref="BU35">LET(val, IFERROR(INDEX('Daily 쨈 raw'!$A:$ZZ, MATCH(BU$3, 'Daily 쨈 raw'!$A:$A, 0), MATCH($A35, 'Daily 쨈 raw'!$1:$1, 0)), ""), IF(val=0, "", val))</f>
        <v/>
      </c>
      <c r="BV35" s="44" t="str">
        <f t="array" ref="BV35">LET(val, IFERROR(INDEX('Daily 쨈 raw'!$A:$ZZ, MATCH(BV$3, 'Daily 쨈 raw'!$A:$A, 0), MATCH($A35, 'Daily 쨈 raw'!$1:$1, 0)), ""), IF(val=0, "", val))</f>
        <v/>
      </c>
      <c r="BW35" s="44" t="str">
        <f t="array" ref="BW35">LET(val, IFERROR(INDEX('Daily 쨈 raw'!$A:$ZZ, MATCH(BW$3, 'Daily 쨈 raw'!$A:$A, 0), MATCH($A35, 'Daily 쨈 raw'!$1:$1, 0)), ""), IF(val=0, "", val))</f>
        <v/>
      </c>
      <c r="BX35" s="44" t="str">
        <f t="array" ref="BX35">LET(val, IFERROR(INDEX('Daily 쨈 raw'!$A:$ZZ, MATCH(BX$3, 'Daily 쨈 raw'!$A:$A, 0), MATCH($A35, 'Daily 쨈 raw'!$1:$1, 0)), ""), IF(val=0, "", val))</f>
        <v/>
      </c>
      <c r="BY35" s="44" t="str">
        <f t="array" ref="BY35">LET(val, IFERROR(INDEX('Daily 쨈 raw'!$A:$ZZ, MATCH(BY$3, 'Daily 쨈 raw'!$A:$A, 0), MATCH($A35, 'Daily 쨈 raw'!$1:$1, 0)), ""), IF(val=0, "", val))</f>
        <v/>
      </c>
      <c r="BZ35" s="44" t="str">
        <f t="array" ref="BZ35">LET(val, IFERROR(INDEX('Daily 쨈 raw'!$A:$ZZ, MATCH(BZ$3, 'Daily 쨈 raw'!$A:$A, 0), MATCH($A35, 'Daily 쨈 raw'!$1:$1, 0)), ""), IF(val=0, "", val))</f>
        <v/>
      </c>
      <c r="CA35" s="44" t="str">
        <f t="array" ref="CA35">LET(val, IFERROR(INDEX('Daily 쨈 raw'!$A:$ZZ, MATCH(CA$3, 'Daily 쨈 raw'!$A:$A, 0), MATCH($A35, 'Daily 쨈 raw'!$1:$1, 0)), ""), IF(val=0, "", val))</f>
        <v/>
      </c>
      <c r="CB35" s="44" t="str">
        <f t="array" ref="CB35">LET(val, IFERROR(INDEX('Daily 쨈 raw'!$A:$ZZ, MATCH(CB$3, 'Daily 쨈 raw'!$A:$A, 0), MATCH($A35, 'Daily 쨈 raw'!$1:$1, 0)), ""), IF(val=0, "", val))</f>
        <v/>
      </c>
      <c r="CC35" s="44" t="str">
        <f t="array" ref="CC35">LET(val, IFERROR(INDEX('Daily 쨈 raw'!$A:$ZZ, MATCH(CC$3, 'Daily 쨈 raw'!$A:$A, 0), MATCH($A35, 'Daily 쨈 raw'!$1:$1, 0)), ""), IF(val=0, "", val))</f>
        <v/>
      </c>
      <c r="CD35" s="44" t="str">
        <f t="array" ref="CD35">LET(val, IFERROR(INDEX('Daily 쨈 raw'!$A:$ZZ, MATCH(CD$3, 'Daily 쨈 raw'!$A:$A, 0), MATCH($A35, 'Daily 쨈 raw'!$1:$1, 0)), ""), IF(val=0, "", val))</f>
        <v/>
      </c>
      <c r="CE35" s="44" t="str">
        <f t="array" ref="CE35">LET(val, IFERROR(INDEX('Daily 쨈 raw'!$A:$ZZ, MATCH(CE$3, 'Daily 쨈 raw'!$A:$A, 0), MATCH($A35, 'Daily 쨈 raw'!$1:$1, 0)), ""), IF(val=0, "", val))</f>
        <v/>
      </c>
      <c r="CF35" s="44" t="str">
        <f t="array" ref="CF35">LET(val, IFERROR(INDEX('Daily 쨈 raw'!$A:$ZZ, MATCH(CF$3, 'Daily 쨈 raw'!$A:$A, 0), MATCH($A35, 'Daily 쨈 raw'!$1:$1, 0)), ""), IF(val=0, "", val))</f>
        <v/>
      </c>
      <c r="CG35" s="44" t="str">
        <f t="array" ref="CG35">LET(val, IFERROR(INDEX('Daily 쨈 raw'!$A:$ZZ, MATCH(CG$3, 'Daily 쨈 raw'!$A:$A, 0), MATCH($A35, 'Daily 쨈 raw'!$1:$1, 0)), ""), IF(val=0, "", val))</f>
        <v/>
      </c>
      <c r="CH35" s="44" t="str">
        <f t="array" ref="CH35">LET(val, IFERROR(INDEX('Daily 쨈 raw'!$A:$ZZ, MATCH(CH$3, 'Daily 쨈 raw'!$A:$A, 0), MATCH($A35, 'Daily 쨈 raw'!$1:$1, 0)), ""), IF(val=0, "", val))</f>
        <v/>
      </c>
      <c r="CI35" s="44" t="str">
        <f t="array" ref="CI35">LET(val, IFERROR(INDEX('Daily 쨈 raw'!$A:$ZZ, MATCH(CI$3, 'Daily 쨈 raw'!$A:$A, 0), MATCH($A35, 'Daily 쨈 raw'!$1:$1, 0)), ""), IF(val=0, "", val))</f>
        <v/>
      </c>
      <c r="CJ35" s="44" t="str">
        <f t="array" ref="CJ35">LET(val, IFERROR(INDEX('Daily 쨈 raw'!$A:$ZZ, MATCH(CJ$3, 'Daily 쨈 raw'!$A:$A, 0), MATCH($A35, 'Daily 쨈 raw'!$1:$1, 0)), ""), IF(val=0, "", val))</f>
        <v/>
      </c>
      <c r="CK35" s="44" t="str">
        <f t="array" ref="CK35">LET(val, IFERROR(INDEX('Daily 쨈 raw'!$A:$ZZ, MATCH(CK$3, 'Daily 쨈 raw'!$A:$A, 0), MATCH($A35, 'Daily 쨈 raw'!$1:$1, 0)), ""), IF(val=0, "", val))</f>
        <v/>
      </c>
      <c r="CL35" s="44" t="str">
        <f t="array" ref="CL35">LET(val, IFERROR(INDEX('Daily 쨈 raw'!$A:$ZZ, MATCH(CL$3, 'Daily 쨈 raw'!$A:$A, 0), MATCH($A35, 'Daily 쨈 raw'!$1:$1, 0)), ""), IF(val=0, "", val))</f>
        <v/>
      </c>
      <c r="CM35" s="44" t="str">
        <f t="array" ref="CM35">LET(val, IFERROR(INDEX('Daily 쨈 raw'!$A:$ZZ, MATCH(CM$3, 'Daily 쨈 raw'!$A:$A, 0), MATCH($A35, 'Daily 쨈 raw'!$1:$1, 0)), ""), IF(val=0, "", val))</f>
        <v/>
      </c>
      <c r="CN35" s="44" t="str">
        <f t="array" ref="CN35">LET(val, IFERROR(INDEX('Daily 쨈 raw'!$A:$ZZ, MATCH(CN$3, 'Daily 쨈 raw'!$A:$A, 0), MATCH($A35, 'Daily 쨈 raw'!$1:$1, 0)), ""), IF(val=0, "", val))</f>
        <v/>
      </c>
      <c r="CO35" s="44" t="str">
        <f t="array" ref="CO35">LET(val, IFERROR(INDEX('Daily 쨈 raw'!$A:$ZZ, MATCH(CO$3, 'Daily 쨈 raw'!$A:$A, 0), MATCH($A35, 'Daily 쨈 raw'!$1:$1, 0)), ""), IF(val=0, "", val))</f>
        <v/>
      </c>
      <c r="CP35" s="44" t="str">
        <f t="array" ref="CP35">LET(val, IFERROR(INDEX('Daily 쨈 raw'!$A:$ZZ, MATCH(CP$3, 'Daily 쨈 raw'!$A:$A, 0), MATCH($A35, 'Daily 쨈 raw'!$1:$1, 0)), ""), IF(val=0, "", val))</f>
        <v/>
      </c>
      <c r="CQ35" s="44" t="str">
        <f t="array" ref="CQ35">LET(val, IFERROR(INDEX('Daily 쨈 raw'!$A:$ZZ, MATCH(CQ$3, 'Daily 쨈 raw'!$A:$A, 0), MATCH($A35, 'Daily 쨈 raw'!$1:$1, 0)), ""), IF(val=0, "", val))</f>
        <v/>
      </c>
      <c r="CR35" s="44" t="str">
        <f t="array" ref="CR35">LET(val, IFERROR(INDEX('Daily 쨈 raw'!$A:$ZZ, MATCH(CR$3, 'Daily 쨈 raw'!$A:$A, 0), MATCH($A35, 'Daily 쨈 raw'!$1:$1, 0)), ""), IF(val=0, "", val))</f>
        <v/>
      </c>
      <c r="CS35" s="44" t="str">
        <f t="array" ref="CS35">LET(val, IFERROR(INDEX('Daily 쨈 raw'!$A:$ZZ, MATCH(CS$3, 'Daily 쨈 raw'!$A:$A, 0), MATCH($A35, 'Daily 쨈 raw'!$1:$1, 0)), ""), IF(val=0, "", val))</f>
        <v/>
      </c>
      <c r="CT35" s="44" t="str">
        <f t="array" ref="CT35">LET(val, IFERROR(INDEX('Daily 쨈 raw'!$A:$ZZ, MATCH(CT$3, 'Daily 쨈 raw'!$A:$A, 0), MATCH($A35, 'Daily 쨈 raw'!$1:$1, 0)), ""), IF(val=0, "", val))</f>
        <v/>
      </c>
      <c r="CU35" s="44" t="str">
        <f t="array" ref="CU35">LET(val, IFERROR(INDEX('Daily 쨈 raw'!$A:$ZZ, MATCH(CU$3, 'Daily 쨈 raw'!$A:$A, 0), MATCH($A35, 'Daily 쨈 raw'!$1:$1, 0)), ""), IF(val=0, "", val))</f>
        <v/>
      </c>
      <c r="CV35" s="44" t="str">
        <f t="array" ref="CV35">LET(val, IFERROR(INDEX('Daily 쨈 raw'!$A:$ZZ, MATCH(CV$3, 'Daily 쨈 raw'!$A:$A, 0), MATCH($A35, 'Daily 쨈 raw'!$1:$1, 0)), ""), IF(val=0, "", val))</f>
        <v/>
      </c>
      <c r="CW35" s="44" t="str">
        <f t="array" ref="CW35">LET(val, IFERROR(INDEX('Daily 쨈 raw'!$A:$ZZ, MATCH(CW$3, 'Daily 쨈 raw'!$A:$A, 0), MATCH($A35, 'Daily 쨈 raw'!$1:$1, 0)), ""), IF(val=0, "", val))</f>
        <v/>
      </c>
      <c r="CX35" s="44" t="str">
        <f t="array" ref="CX35">LET(val, IFERROR(INDEX('Daily 쨈 raw'!$A:$ZZ, MATCH(CX$3, 'Daily 쨈 raw'!$A:$A, 0), MATCH($A35, 'Daily 쨈 raw'!$1:$1, 0)), ""), IF(val=0, "", val))</f>
        <v/>
      </c>
      <c r="CY35" s="44" t="str">
        <f t="array" ref="CY35">LET(val, IFERROR(INDEX('Daily 쨈 raw'!$A:$ZZ, MATCH(CY$3, 'Daily 쨈 raw'!$A:$A, 0), MATCH($A35, 'Daily 쨈 raw'!$1:$1, 0)), ""), IF(val=0, "", val))</f>
        <v/>
      </c>
      <c r="CZ35" s="44" t="str">
        <f t="array" ref="CZ35">LET(val, IFERROR(INDEX('Daily 쨈 raw'!$A:$ZZ, MATCH(CZ$3, 'Daily 쨈 raw'!$A:$A, 0), MATCH($A35, 'Daily 쨈 raw'!$1:$1, 0)), ""), IF(val=0, "", val))</f>
        <v/>
      </c>
      <c r="DA35" s="44" t="str">
        <f t="array" ref="DA35">LET(val, IFERROR(INDEX('Daily 쨈 raw'!$A:$ZZ, MATCH(DA$3, 'Daily 쨈 raw'!$A:$A, 0), MATCH($A35, 'Daily 쨈 raw'!$1:$1, 0)), ""), IF(val=0, "", val))</f>
        <v/>
      </c>
      <c r="DB35" s="44" t="str">
        <f t="array" ref="DB35">LET(val, IFERROR(INDEX('Daily 쨈 raw'!$A:$ZZ, MATCH(DB$3, 'Daily 쨈 raw'!$A:$A, 0), MATCH($A35, 'Daily 쨈 raw'!$1:$1, 0)), ""), IF(val=0, "", val))</f>
        <v/>
      </c>
      <c r="DC35" s="44" t="str">
        <f t="array" ref="DC35">LET(val, IFERROR(INDEX('Daily 쨈 raw'!$A:$ZZ, MATCH(DC$3, 'Daily 쨈 raw'!$A:$A, 0), MATCH($A35, 'Daily 쨈 raw'!$1:$1, 0)), ""), IF(val=0, "", val))</f>
        <v/>
      </c>
      <c r="DD35" s="44" t="str">
        <f t="array" ref="DD35">LET(val, IFERROR(INDEX('Daily 쨈 raw'!$A:$ZZ, MATCH(DD$3, 'Daily 쨈 raw'!$A:$A, 0), MATCH($A35, 'Daily 쨈 raw'!$1:$1, 0)), ""), IF(val=0, "", val))</f>
        <v/>
      </c>
      <c r="DE35" s="44" t="str">
        <f t="array" ref="DE35">LET(val, IFERROR(INDEX('Daily 쨈 raw'!$A:$ZZ, MATCH(DE$3, 'Daily 쨈 raw'!$A:$A, 0), MATCH($A35, 'Daily 쨈 raw'!$1:$1, 0)), ""), IF(val=0, "", val))</f>
        <v/>
      </c>
      <c r="DF35" s="44" t="str">
        <f t="array" ref="DF35">LET(val, IFERROR(INDEX('Daily 쨈 raw'!$A:$ZZ, MATCH(DF$3, 'Daily 쨈 raw'!$A:$A, 0), MATCH($A35, 'Daily 쨈 raw'!$1:$1, 0)), ""), IF(val=0, "", val))</f>
        <v/>
      </c>
      <c r="DG35" s="44" t="str">
        <f t="array" ref="DG35">LET(val, IFERROR(INDEX('Daily 쨈 raw'!$A:$ZZ, MATCH(DG$3, 'Daily 쨈 raw'!$A:$A, 0), MATCH($A35, 'Daily 쨈 raw'!$1:$1, 0)), ""), IF(val=0, "", val))</f>
        <v/>
      </c>
      <c r="DH35" s="44" t="str">
        <f t="array" ref="DH35">LET(val, IFERROR(INDEX('Daily 쨈 raw'!$A:$ZZ, MATCH(DH$3, 'Daily 쨈 raw'!$A:$A, 0), MATCH($A35, 'Daily 쨈 raw'!$1:$1, 0)), ""), IF(val=0, "", val))</f>
        <v/>
      </c>
      <c r="DI35" s="44" t="str">
        <f t="array" ref="DI35">LET(val, IFERROR(INDEX('Daily 쨈 raw'!$A:$ZZ, MATCH(DI$3, 'Daily 쨈 raw'!$A:$A, 0), MATCH($A35, 'Daily 쨈 raw'!$1:$1, 0)), ""), IF(val=0, "", val))</f>
        <v/>
      </c>
      <c r="DJ35" s="44" t="str">
        <f t="array" ref="DJ35">LET(val, IFERROR(INDEX('Daily 쨈 raw'!$A:$ZZ, MATCH(DJ$3, 'Daily 쨈 raw'!$A:$A, 0), MATCH($A35, 'Daily 쨈 raw'!$1:$1, 0)), ""), IF(val=0, "", val))</f>
        <v/>
      </c>
      <c r="DK35" s="44" t="str">
        <f t="array" ref="DK35">LET(val, IFERROR(INDEX('Daily 쨈 raw'!$A:$ZZ, MATCH(DK$3, 'Daily 쨈 raw'!$A:$A, 0), MATCH($A35, 'Daily 쨈 raw'!$1:$1, 0)), ""), IF(val=0, "", val))</f>
        <v/>
      </c>
      <c r="DL35" s="44" t="str">
        <f t="array" ref="DL35">LET(val, IFERROR(INDEX('Daily 쨈 raw'!$A:$ZZ, MATCH(DL$3, 'Daily 쨈 raw'!$A:$A, 0), MATCH($A35, 'Daily 쨈 raw'!$1:$1, 0)), ""), IF(val=0, "", val))</f>
        <v/>
      </c>
      <c r="DM35" s="44" t="str">
        <f t="array" ref="DM35">LET(val, IFERROR(INDEX('Daily 쨈 raw'!$A:$ZZ, MATCH(DM$3, 'Daily 쨈 raw'!$A:$A, 0), MATCH($A35, 'Daily 쨈 raw'!$1:$1, 0)), ""), IF(val=0, "", val))</f>
        <v/>
      </c>
      <c r="DN35" s="44" t="str">
        <f t="array" ref="DN35">LET(val, IFERROR(INDEX('Daily 쨈 raw'!$A:$ZZ, MATCH(DN$3, 'Daily 쨈 raw'!$A:$A, 0), MATCH($A35, 'Daily 쨈 raw'!$1:$1, 0)), ""), IF(val=0, "", val))</f>
        <v/>
      </c>
      <c r="DO35" s="44" t="str">
        <f t="array" ref="DO35">LET(val, IFERROR(INDEX('Daily 쨈 raw'!$A:$ZZ, MATCH(DO$3, 'Daily 쨈 raw'!$A:$A, 0), MATCH($A35, 'Daily 쨈 raw'!$1:$1, 0)), ""), IF(val=0, "", val))</f>
        <v/>
      </c>
      <c r="DP35" s="44" t="str">
        <f t="array" ref="DP35">LET(val, IFERROR(INDEX('Daily 쨈 raw'!$A:$ZZ, MATCH(DP$3, 'Daily 쨈 raw'!$A:$A, 0), MATCH($A35, 'Daily 쨈 raw'!$1:$1, 0)), ""), IF(val=0, "", val))</f>
        <v/>
      </c>
      <c r="DQ35" s="44" t="str">
        <f t="array" ref="DQ35">LET(val, IFERROR(INDEX('Daily 쨈 raw'!$A:$ZZ, MATCH(DQ$3, 'Daily 쨈 raw'!$A:$A, 0), MATCH($A35, 'Daily 쨈 raw'!$1:$1, 0)), ""), IF(val=0, "", val))</f>
        <v/>
      </c>
      <c r="DR35" s="44" t="str">
        <f t="array" ref="DR35">LET(val, IFERROR(INDEX('Daily 쨈 raw'!$A:$ZZ, MATCH(DR$3, 'Daily 쨈 raw'!$A:$A, 0), MATCH($A35, 'Daily 쨈 raw'!$1:$1, 0)), ""), IF(val=0, "", val))</f>
        <v/>
      </c>
      <c r="DS35" s="44" t="str">
        <f t="array" ref="DS35">LET(val, IFERROR(INDEX('Daily 쨈 raw'!$A:$ZZ, MATCH(DS$3, 'Daily 쨈 raw'!$A:$A, 0), MATCH($A35, 'Daily 쨈 raw'!$1:$1, 0)), ""), IF(val=0, "", val))</f>
        <v/>
      </c>
      <c r="DT35" s="44" t="str">
        <f t="array" ref="DT35">LET(val, IFERROR(INDEX('Daily 쨈 raw'!$A:$ZZ, MATCH(DT$3, 'Daily 쨈 raw'!$A:$A, 0), MATCH($A35, 'Daily 쨈 raw'!$1:$1, 0)), ""), IF(val=0, "", val))</f>
        <v/>
      </c>
      <c r="DU35" s="44" t="str">
        <f t="array" ref="DU35">LET(val, IFERROR(INDEX('Daily 쨈 raw'!$A:$ZZ, MATCH(DU$3, 'Daily 쨈 raw'!$A:$A, 0), MATCH($A35, 'Daily 쨈 raw'!$1:$1, 0)), ""), IF(val=0, "", val))</f>
        <v/>
      </c>
      <c r="DV35" s="44" t="str">
        <f t="array" ref="DV35">LET(val, IFERROR(INDEX('Daily 쨈 raw'!$A:$ZZ, MATCH(DV$3, 'Daily 쨈 raw'!$A:$A, 0), MATCH($A35, 'Daily 쨈 raw'!$1:$1, 0)), ""), IF(val=0, "", val))</f>
        <v/>
      </c>
      <c r="DW35" s="44" t="str">
        <f t="array" ref="DW35">LET(val, IFERROR(INDEX('Daily 쨈 raw'!$A:$ZZ, MATCH(DW$3, 'Daily 쨈 raw'!$A:$A, 0), MATCH($A35, 'Daily 쨈 raw'!$1:$1, 0)), ""), IF(val=0, "", val))</f>
        <v/>
      </c>
      <c r="DX35" s="57"/>
      <c r="DY35" s="57"/>
      <c r="DZ35" s="57"/>
    </row>
    <row r="36" ht="22.5" customHeight="1">
      <c r="A36" s="16" t="s">
        <v>50</v>
      </c>
      <c r="B36" s="17" t="s">
        <v>88</v>
      </c>
      <c r="C36" s="44">
        <f t="array" ref="C36">LET(val, IFERROR(INDEX('Daily 쨈 raw'!$A:$ZZ, MATCH(C$3, 'Daily 쨈 raw'!$A:$A, 0), MATCH($A36, 'Daily 쨈 raw'!$1:$1, 0)), ""), IF(val=0, "", val))</f>
        <v>7263</v>
      </c>
      <c r="D36" s="44">
        <f t="array" ref="D36">LET(val, IFERROR(INDEX('Daily 쨈 raw'!$A:$ZZ, MATCH(D$3, 'Daily 쨈 raw'!$A:$A, 0), MATCH($A36, 'Daily 쨈 raw'!$1:$1, 0)), ""), IF(val=0, "", val))</f>
        <v>7706</v>
      </c>
      <c r="E36" s="44">
        <f t="array" ref="E36">LET(val, IFERROR(INDEX('Daily 쨈 raw'!$A:$ZZ, MATCH(E$3, 'Daily 쨈 raw'!$A:$A, 0), MATCH($A36, 'Daily 쨈 raw'!$1:$1, 0)), ""), IF(val=0, "", val))</f>
        <v>7440</v>
      </c>
      <c r="F36" s="44">
        <f t="array" ref="F36">LET(val, IFERROR(INDEX('Daily 쨈 raw'!$A:$ZZ, MATCH(F$3, 'Daily 쨈 raw'!$A:$A, 0), MATCH($A36, 'Daily 쨈 raw'!$1:$1, 0)), ""), IF(val=0, "", val))</f>
        <v>6612</v>
      </c>
      <c r="G36" s="44">
        <f t="array" ref="G36">LET(val, IFERROR(INDEX('Daily 쨈 raw'!$A:$ZZ, MATCH(G$3, 'Daily 쨈 raw'!$A:$A, 0), MATCH($A36, 'Daily 쨈 raw'!$1:$1, 0)), ""), IF(val=0, "", val))</f>
        <v>7268</v>
      </c>
      <c r="H36" s="44">
        <f t="array" ref="H36">LET(val, IFERROR(INDEX('Daily 쨈 raw'!$A:$ZZ, MATCH(H$3, 'Daily 쨈 raw'!$A:$A, 0), MATCH($A36, 'Daily 쨈 raw'!$1:$1, 0)), ""), IF(val=0, "", val))</f>
        <v>7292</v>
      </c>
      <c r="I36" s="44">
        <f t="array" ref="I36">LET(val, IFERROR(INDEX('Daily 쨈 raw'!$A:$ZZ, MATCH(I$3, 'Daily 쨈 raw'!$A:$A, 0), MATCH($A36, 'Daily 쨈 raw'!$1:$1, 0)), ""), IF(val=0, "", val))</f>
        <v>7323</v>
      </c>
      <c r="J36" s="44">
        <f t="array" ref="J36">LET(val, IFERROR(INDEX('Daily 쨈 raw'!$A:$ZZ, MATCH(J$3, 'Daily 쨈 raw'!$A:$A, 0), MATCH($A36, 'Daily 쨈 raw'!$1:$1, 0)), ""), IF(val=0, "", val))</f>
        <v>6822</v>
      </c>
      <c r="K36" s="44">
        <f t="array" ref="K36">LET(val, IFERROR(INDEX('Daily 쨈 raw'!$A:$ZZ, MATCH(K$3, 'Daily 쨈 raw'!$A:$A, 0), MATCH($A36, 'Daily 쨈 raw'!$1:$1, 0)), ""), IF(val=0, "", val))</f>
        <v>6838</v>
      </c>
      <c r="L36" s="44">
        <f t="array" ref="L36">LET(val, IFERROR(INDEX('Daily 쨈 raw'!$A:$ZZ, MATCH(L$3, 'Daily 쨈 raw'!$A:$A, 0), MATCH($A36, 'Daily 쨈 raw'!$1:$1, 0)), ""), IF(val=0, "", val))</f>
        <v>6209</v>
      </c>
      <c r="M36" s="44">
        <f t="array" ref="M36">LET(val, IFERROR(INDEX('Daily 쨈 raw'!$A:$ZZ, MATCH(M$3, 'Daily 쨈 raw'!$A:$A, 0), MATCH($A36, 'Daily 쨈 raw'!$1:$1, 0)), ""), IF(val=0, "", val))</f>
        <v>6174</v>
      </c>
      <c r="N36" s="44">
        <f t="array" ref="N36">LET(val, IFERROR(INDEX('Daily 쨈 raw'!$A:$ZZ, MATCH(N$3, 'Daily 쨈 raw'!$A:$A, 0), MATCH($A36, 'Daily 쨈 raw'!$1:$1, 0)), ""), IF(val=0, "", val))</f>
        <v>6936</v>
      </c>
      <c r="O36" s="44">
        <f t="array" ref="O36">LET(val, IFERROR(INDEX('Daily 쨈 raw'!$A:$ZZ, MATCH(O$3, 'Daily 쨈 raw'!$A:$A, 0), MATCH($A36, 'Daily 쨈 raw'!$1:$1, 0)), ""), IF(val=0, "", val))</f>
        <v>6362</v>
      </c>
      <c r="P36" s="44">
        <f t="array" ref="P36">LET(val, IFERROR(INDEX('Daily 쨈 raw'!$A:$ZZ, MATCH(P$3, 'Daily 쨈 raw'!$A:$A, 0), MATCH($A36, 'Daily 쨈 raw'!$1:$1, 0)), ""), IF(val=0, "", val))</f>
        <v>6048</v>
      </c>
      <c r="Q36" s="44">
        <f t="array" ref="Q36">LET(val, IFERROR(INDEX('Daily 쨈 raw'!$A:$ZZ, MATCH(Q$3, 'Daily 쨈 raw'!$A:$A, 0), MATCH($A36, 'Daily 쨈 raw'!$1:$1, 0)), ""), IF(val=0, "", val))</f>
        <v>5647</v>
      </c>
      <c r="R36" s="44">
        <f t="array" ref="R36">LET(val, IFERROR(INDEX('Daily 쨈 raw'!$A:$ZZ, MATCH(R$3, 'Daily 쨈 raw'!$A:$A, 0), MATCH($A36, 'Daily 쨈 raw'!$1:$1, 0)), ""), IF(val=0, "", val))</f>
        <v>5292</v>
      </c>
      <c r="S36" s="44">
        <f t="array" ref="S36">LET(val, IFERROR(INDEX('Daily 쨈 raw'!$A:$ZZ, MATCH(S$3, 'Daily 쨈 raw'!$A:$A, 0), MATCH($A36, 'Daily 쨈 raw'!$1:$1, 0)), ""), IF(val=0, "", val))</f>
        <v>5047</v>
      </c>
      <c r="T36" s="44">
        <f t="array" ref="T36">LET(val, IFERROR(INDEX('Daily 쨈 raw'!$A:$ZZ, MATCH(T$3, 'Daily 쨈 raw'!$A:$A, 0), MATCH($A36, 'Daily 쨈 raw'!$1:$1, 0)), ""), IF(val=0, "", val))</f>
        <v>5246</v>
      </c>
      <c r="U36" s="44">
        <f t="array" ref="U36">LET(val, IFERROR(INDEX('Daily 쨈 raw'!$A:$ZZ, MATCH(U$3, 'Daily 쨈 raw'!$A:$A, 0), MATCH($A36, 'Daily 쨈 raw'!$1:$1, 0)), ""), IF(val=0, "", val))</f>
        <v>5011</v>
      </c>
      <c r="V36" s="44">
        <f t="array" ref="V36">LET(val, IFERROR(INDEX('Daily 쨈 raw'!$A:$ZZ, MATCH(V$3, 'Daily 쨈 raw'!$A:$A, 0), MATCH($A36, 'Daily 쨈 raw'!$1:$1, 0)), ""), IF(val=0, "", val))</f>
        <v>5254</v>
      </c>
      <c r="W36" s="44">
        <f t="array" ref="W36">LET(val, IFERROR(INDEX('Daily 쨈 raw'!$A:$ZZ, MATCH(W$3, 'Daily 쨈 raw'!$A:$A, 0), MATCH($A36, 'Daily 쨈 raw'!$1:$1, 0)), ""), IF(val=0, "", val))</f>
        <v>5123</v>
      </c>
      <c r="X36" s="44">
        <f t="array" ref="X36">LET(val, IFERROR(INDEX('Daily 쨈 raw'!$A:$ZZ, MATCH(X$3, 'Daily 쨈 raw'!$A:$A, 0), MATCH($A36, 'Daily 쨈 raw'!$1:$1, 0)), ""), IF(val=0, "", val))</f>
        <v>4677</v>
      </c>
      <c r="Y36" s="44">
        <f t="array" ref="Y36">LET(val, IFERROR(INDEX('Daily 쨈 raw'!$A:$ZZ, MATCH(Y$3, 'Daily 쨈 raw'!$A:$A, 0), MATCH($A36, 'Daily 쨈 raw'!$1:$1, 0)), ""), IF(val=0, "", val))</f>
        <v>4932</v>
      </c>
      <c r="Z36" s="44">
        <f t="array" ref="Z36">LET(val, IFERROR(INDEX('Daily 쨈 raw'!$A:$ZZ, MATCH(Z$3, 'Daily 쨈 raw'!$A:$A, 0), MATCH($A36, 'Daily 쨈 raw'!$1:$1, 0)), ""), IF(val=0, "", val))</f>
        <v>4720</v>
      </c>
      <c r="AA36" s="44">
        <f t="array" ref="AA36">LET(val, IFERROR(INDEX('Daily 쨈 raw'!$A:$ZZ, MATCH(AA$3, 'Daily 쨈 raw'!$A:$A, 0), MATCH($A36, 'Daily 쨈 raw'!$1:$1, 0)), ""), IF(val=0, "", val))</f>
        <v>4147</v>
      </c>
      <c r="AB36" s="44">
        <f t="array" ref="AB36">LET(val, IFERROR(INDEX('Daily 쨈 raw'!$A:$ZZ, MATCH(AB$3, 'Daily 쨈 raw'!$A:$A, 0), MATCH($A36, 'Daily 쨈 raw'!$1:$1, 0)), ""), IF(val=0, "", val))</f>
        <v>4287</v>
      </c>
      <c r="AC36" s="44">
        <f t="array" ref="AC36">LET(val, IFERROR(INDEX('Daily 쨈 raw'!$A:$ZZ, MATCH(AC$3, 'Daily 쨈 raw'!$A:$A, 0), MATCH($A36, 'Daily 쨈 raw'!$1:$1, 0)), ""), IF(val=0, "", val))</f>
        <v>4169</v>
      </c>
      <c r="AD36" s="44">
        <f t="array" ref="AD36">LET(val, IFERROR(INDEX('Daily 쨈 raw'!$A:$ZZ, MATCH(AD$3, 'Daily 쨈 raw'!$A:$A, 0), MATCH($A36, 'Daily 쨈 raw'!$1:$1, 0)), ""), IF(val=0, "", val))</f>
        <v>4255</v>
      </c>
      <c r="AE36" s="44">
        <f t="array" ref="AE36">LET(val, IFERROR(INDEX('Daily 쨈 raw'!$A:$ZZ, MATCH(AE$3, 'Daily 쨈 raw'!$A:$A, 0), MATCH($A36, 'Daily 쨈 raw'!$1:$1, 0)), ""), IF(val=0, "", val))</f>
        <v>4599</v>
      </c>
      <c r="AF36" s="44">
        <f t="array" ref="AF36">LET(val, IFERROR(INDEX('Daily 쨈 raw'!$A:$ZZ, MATCH(AF$3, 'Daily 쨈 raw'!$A:$A, 0), MATCH($A36, 'Daily 쨈 raw'!$1:$1, 0)), ""), IF(val=0, "", val))</f>
        <v>4818</v>
      </c>
      <c r="AG36" s="44">
        <f t="array" ref="AG36">LET(val, IFERROR(INDEX('Daily 쨈 raw'!$A:$ZZ, MATCH(AG$3, 'Daily 쨈 raw'!$A:$A, 0), MATCH($A36, 'Daily 쨈 raw'!$1:$1, 0)), ""), IF(val=0, "", val))</f>
        <v>13141</v>
      </c>
      <c r="AH36" s="44">
        <f t="array" ref="AH36">LET(val, IFERROR(INDEX('Daily 쨈 raw'!$A:$ZZ, MATCH(AH$3, 'Daily 쨈 raw'!$A:$A, 0), MATCH($A36, 'Daily 쨈 raw'!$1:$1, 0)), ""), IF(val=0, "", val))</f>
        <v>11077</v>
      </c>
      <c r="AI36" s="44">
        <f t="array" ref="AI36">LET(val, IFERROR(INDEX('Daily 쨈 raw'!$A:$ZZ, MATCH(AI$3, 'Daily 쨈 raw'!$A:$A, 0), MATCH($A36, 'Daily 쨈 raw'!$1:$1, 0)), ""), IF(val=0, "", val))</f>
        <v>5668</v>
      </c>
      <c r="AJ36" s="44">
        <f t="array" ref="AJ36">LET(val, IFERROR(INDEX('Daily 쨈 raw'!$A:$ZZ, MATCH(AJ$3, 'Daily 쨈 raw'!$A:$A, 0), MATCH($A36, 'Daily 쨈 raw'!$1:$1, 0)), ""), IF(val=0, "", val))</f>
        <v>5106</v>
      </c>
      <c r="AK36" s="44">
        <f t="array" ref="AK36">LET(val, IFERROR(INDEX('Daily 쨈 raw'!$A:$ZZ, MATCH(AK$3, 'Daily 쨈 raw'!$A:$A, 0), MATCH($A36, 'Daily 쨈 raw'!$1:$1, 0)), ""), IF(val=0, "", val))</f>
        <v>6030</v>
      </c>
      <c r="AL36" s="44">
        <f t="array" ref="AL36">LET(val, IFERROR(INDEX('Daily 쨈 raw'!$A:$ZZ, MATCH(AL$3, 'Daily 쨈 raw'!$A:$A, 0), MATCH($A36, 'Daily 쨈 raw'!$1:$1, 0)), ""), IF(val=0, "", val))</f>
        <v>5196</v>
      </c>
      <c r="AM36" s="44">
        <f t="array" ref="AM36">LET(val, IFERROR(INDEX('Daily 쨈 raw'!$A:$ZZ, MATCH(AM$3, 'Daily 쨈 raw'!$A:$A, 0), MATCH($A36, 'Daily 쨈 raw'!$1:$1, 0)), ""), IF(val=0, "", val))</f>
        <v>5889</v>
      </c>
      <c r="AN36" s="44">
        <f t="array" ref="AN36">LET(val, IFERROR(INDEX('Daily 쨈 raw'!$A:$ZZ, MATCH(AN$3, 'Daily 쨈 raw'!$A:$A, 0), MATCH($A36, 'Daily 쨈 raw'!$1:$1, 0)), ""), IF(val=0, "", val))</f>
        <v>7055</v>
      </c>
      <c r="AO36" s="44">
        <f t="array" ref="AO36">LET(val, IFERROR(INDEX('Daily 쨈 raw'!$A:$ZZ, MATCH(AO$3, 'Daily 쨈 raw'!$A:$A, 0), MATCH($A36, 'Daily 쨈 raw'!$1:$1, 0)), ""), IF(val=0, "", val))</f>
        <v>9004</v>
      </c>
      <c r="AP36" s="44">
        <f t="array" ref="AP36">LET(val, IFERROR(INDEX('Daily 쨈 raw'!$A:$ZZ, MATCH(AP$3, 'Daily 쨈 raw'!$A:$A, 0), MATCH($A36, 'Daily 쨈 raw'!$1:$1, 0)), ""), IF(val=0, "", val))</f>
        <v>6720</v>
      </c>
      <c r="AQ36" s="44">
        <f t="array" ref="AQ36">LET(val, IFERROR(INDEX('Daily 쨈 raw'!$A:$ZZ, MATCH(AQ$3, 'Daily 쨈 raw'!$A:$A, 0), MATCH($A36, 'Daily 쨈 raw'!$1:$1, 0)), ""), IF(val=0, "", val))</f>
        <v>7322</v>
      </c>
      <c r="AR36" s="44">
        <f t="array" ref="AR36">LET(val, IFERROR(INDEX('Daily 쨈 raw'!$A:$ZZ, MATCH(AR$3, 'Daily 쨈 raw'!$A:$A, 0), MATCH($A36, 'Daily 쨈 raw'!$1:$1, 0)), ""), IF(val=0, "", val))</f>
        <v>7232</v>
      </c>
      <c r="AS36" s="44">
        <f t="array" ref="AS36">LET(val, IFERROR(INDEX('Daily 쨈 raw'!$A:$ZZ, MATCH(AS$3, 'Daily 쨈 raw'!$A:$A, 0), MATCH($A36, 'Daily 쨈 raw'!$1:$1, 0)), ""), IF(val=0, "", val))</f>
        <v>5876</v>
      </c>
      <c r="AT36" s="44">
        <f t="array" ref="AT36">LET(val, IFERROR(INDEX('Daily 쨈 raw'!$A:$ZZ, MATCH(AT$3, 'Daily 쨈 raw'!$A:$A, 0), MATCH($A36, 'Daily 쨈 raw'!$1:$1, 0)), ""), IF(val=0, "", val))</f>
        <v>5795</v>
      </c>
      <c r="AU36" s="44">
        <f t="array" ref="AU36">LET(val, IFERROR(INDEX('Daily 쨈 raw'!$A:$ZZ, MATCH(AU$3, 'Daily 쨈 raw'!$A:$A, 0), MATCH($A36, 'Daily 쨈 raw'!$1:$1, 0)), ""), IF(val=0, "", val))</f>
        <v>6059</v>
      </c>
      <c r="AV36" s="44">
        <f t="array" ref="AV36">LET(val, IFERROR(INDEX('Daily 쨈 raw'!$A:$ZZ, MATCH(AV$3, 'Daily 쨈 raw'!$A:$A, 0), MATCH($A36, 'Daily 쨈 raw'!$1:$1, 0)), ""), IF(val=0, "", val))</f>
        <v>5340</v>
      </c>
      <c r="AW36" s="44">
        <f t="array" ref="AW36">LET(val, IFERROR(INDEX('Daily 쨈 raw'!$A:$ZZ, MATCH(AW$3, 'Daily 쨈 raw'!$A:$A, 0), MATCH($A36, 'Daily 쨈 raw'!$1:$1, 0)), ""), IF(val=0, "", val))</f>
        <v>5491</v>
      </c>
      <c r="AX36" s="44">
        <f t="array" ref="AX36">LET(val, IFERROR(INDEX('Daily 쨈 raw'!$A:$ZZ, MATCH(AX$3, 'Daily 쨈 raw'!$A:$A, 0), MATCH($A36, 'Daily 쨈 raw'!$1:$1, 0)), ""), IF(val=0, "", val))</f>
        <v>5791</v>
      </c>
      <c r="AY36" s="44">
        <f t="array" ref="AY36">LET(val, IFERROR(INDEX('Daily 쨈 raw'!$A:$ZZ, MATCH(AY$3, 'Daily 쨈 raw'!$A:$A, 0), MATCH($A36, 'Daily 쨈 raw'!$1:$1, 0)), ""), IF(val=0, "", val))</f>
        <v>6828</v>
      </c>
      <c r="AZ36" s="44">
        <f t="array" ref="AZ36">LET(val, IFERROR(INDEX('Daily 쨈 raw'!$A:$ZZ, MATCH(AZ$3, 'Daily 쨈 raw'!$A:$A, 0), MATCH($A36, 'Daily 쨈 raw'!$1:$1, 0)), ""), IF(val=0, "", val))</f>
        <v>6202</v>
      </c>
      <c r="BA36" s="44">
        <f t="array" ref="BA36">LET(val, IFERROR(INDEX('Daily 쨈 raw'!$A:$ZZ, MATCH(BA$3, 'Daily 쨈 raw'!$A:$A, 0), MATCH($A36, 'Daily 쨈 raw'!$1:$1, 0)), ""), IF(val=0, "", val))</f>
        <v>5951</v>
      </c>
      <c r="BB36" s="44">
        <f t="array" ref="BB36">LET(val, IFERROR(INDEX('Daily 쨈 raw'!$A:$ZZ, MATCH(BB$3, 'Daily 쨈 raw'!$A:$A, 0), MATCH($A36, 'Daily 쨈 raw'!$1:$1, 0)), ""), IF(val=0, "", val))</f>
        <v>5399</v>
      </c>
      <c r="BC36" s="44">
        <f t="array" ref="BC36">LET(val, IFERROR(INDEX('Daily 쨈 raw'!$A:$ZZ, MATCH(BC$3, 'Daily 쨈 raw'!$A:$A, 0), MATCH($A36, 'Daily 쨈 raw'!$1:$1, 0)), ""), IF(val=0, "", val))</f>
        <v>7227</v>
      </c>
      <c r="BD36" s="44">
        <f t="array" ref="BD36">LET(val, IFERROR(INDEX('Daily 쨈 raw'!$A:$ZZ, MATCH(BD$3, 'Daily 쨈 raw'!$A:$A, 0), MATCH($A36, 'Daily 쨈 raw'!$1:$1, 0)), ""), IF(val=0, "", val))</f>
        <v>8490</v>
      </c>
      <c r="BE36" s="44">
        <f t="array" ref="BE36">LET(val, IFERROR(INDEX('Daily 쨈 raw'!$A:$ZZ, MATCH(BE$3, 'Daily 쨈 raw'!$A:$A, 0), MATCH($A36, 'Daily 쨈 raw'!$1:$1, 0)), ""), IF(val=0, "", val))</f>
        <v>8437</v>
      </c>
      <c r="BF36" s="44">
        <f t="array" ref="BF36">LET(val, IFERROR(INDEX('Daily 쨈 raw'!$A:$ZZ, MATCH(BF$3, 'Daily 쨈 raw'!$A:$A, 0), MATCH($A36, 'Daily 쨈 raw'!$1:$1, 0)), ""), IF(val=0, "", val))</f>
        <v>6460</v>
      </c>
      <c r="BG36" s="44">
        <f t="array" ref="BG36">LET(val, IFERROR(INDEX('Daily 쨈 raw'!$A:$ZZ, MATCH(BG$3, 'Daily 쨈 raw'!$A:$A, 0), MATCH($A36, 'Daily 쨈 raw'!$1:$1, 0)), ""), IF(val=0, "", val))</f>
        <v>6825</v>
      </c>
      <c r="BH36" s="44">
        <f t="array" ref="BH36">LET(val, IFERROR(INDEX('Daily 쨈 raw'!$A:$ZZ, MATCH(BH$3, 'Daily 쨈 raw'!$A:$A, 0), MATCH($A36, 'Daily 쨈 raw'!$1:$1, 0)), ""), IF(val=0, "", val))</f>
        <v>6421</v>
      </c>
      <c r="BI36" s="44">
        <f t="array" ref="BI36">LET(val, IFERROR(INDEX('Daily 쨈 raw'!$A:$ZZ, MATCH(BI$3, 'Daily 쨈 raw'!$A:$A, 0), MATCH($A36, 'Daily 쨈 raw'!$1:$1, 0)), ""), IF(val=0, "", val))</f>
        <v>6227</v>
      </c>
      <c r="BJ36" s="44">
        <f t="array" ref="BJ36">LET(val, IFERROR(INDEX('Daily 쨈 raw'!$A:$ZZ, MATCH(BJ$3, 'Daily 쨈 raw'!$A:$A, 0), MATCH($A36, 'Daily 쨈 raw'!$1:$1, 0)), ""), IF(val=0, "", val))</f>
        <v>9491</v>
      </c>
      <c r="BK36" s="44">
        <f t="array" ref="BK36">LET(val, IFERROR(INDEX('Daily 쨈 raw'!$A:$ZZ, MATCH(BK$3, 'Daily 쨈 raw'!$A:$A, 0), MATCH($A36, 'Daily 쨈 raw'!$1:$1, 0)), ""), IF(val=0, "", val))</f>
        <v>9615</v>
      </c>
      <c r="BL36" s="44">
        <f t="array" ref="BL36">LET(val, IFERROR(INDEX('Daily 쨈 raw'!$A:$ZZ, MATCH(BL$3, 'Daily 쨈 raw'!$A:$A, 0), MATCH($A36, 'Daily 쨈 raw'!$1:$1, 0)), ""), IF(val=0, "", val))</f>
        <v>9213</v>
      </c>
      <c r="BM36" s="44">
        <f t="array" ref="BM36">LET(val, IFERROR(INDEX('Daily 쨈 raw'!$A:$ZZ, MATCH(BM$3, 'Daily 쨈 raw'!$A:$A, 0), MATCH($A36, 'Daily 쨈 raw'!$1:$1, 0)), ""), IF(val=0, "", val))</f>
        <v>9653</v>
      </c>
      <c r="BN36" s="44">
        <f t="array" ref="BN36">LET(val, IFERROR(INDEX('Daily 쨈 raw'!$A:$ZZ, MATCH(BN$3, 'Daily 쨈 raw'!$A:$A, 0), MATCH($A36, 'Daily 쨈 raw'!$1:$1, 0)), ""), IF(val=0, "", val))</f>
        <v>5284</v>
      </c>
      <c r="BO36" s="44">
        <f t="array" ref="BO36">LET(val, IFERROR(INDEX('Daily 쨈 raw'!$A:$ZZ, MATCH(BO$3, 'Daily 쨈 raw'!$A:$A, 0), MATCH($A36, 'Daily 쨈 raw'!$1:$1, 0)), ""), IF(val=0, "", val))</f>
        <v>5606</v>
      </c>
      <c r="BP36" s="44">
        <f t="array" ref="BP36">LET(val, IFERROR(INDEX('Daily 쨈 raw'!$A:$ZZ, MATCH(BP$3, 'Daily 쨈 raw'!$A:$A, 0), MATCH($A36, 'Daily 쨈 raw'!$1:$1, 0)), ""), IF(val=0, "", val))</f>
        <v>5321</v>
      </c>
      <c r="BQ36" s="44">
        <f t="array" ref="BQ36">LET(val, IFERROR(INDEX('Daily 쨈 raw'!$A:$ZZ, MATCH(BQ$3, 'Daily 쨈 raw'!$A:$A, 0), MATCH($A36, 'Daily 쨈 raw'!$1:$1, 0)), ""), IF(val=0, "", val))</f>
        <v>5080</v>
      </c>
      <c r="BR36" s="44">
        <f t="array" ref="BR36">LET(val, IFERROR(INDEX('Daily 쨈 raw'!$A:$ZZ, MATCH(BR$3, 'Daily 쨈 raw'!$A:$A, 0), MATCH($A36, 'Daily 쨈 raw'!$1:$1, 0)), ""), IF(val=0, "", val))</f>
        <v>4982</v>
      </c>
      <c r="BS36" s="44">
        <f t="array" ref="BS36">LET(val, IFERROR(INDEX('Daily 쨈 raw'!$A:$ZZ, MATCH(BS$3, 'Daily 쨈 raw'!$A:$A, 0), MATCH($A36, 'Daily 쨈 raw'!$1:$1, 0)), ""), IF(val=0, "", val))</f>
        <v>5081</v>
      </c>
      <c r="BT36" s="44">
        <f t="array" ref="BT36">LET(val, IFERROR(INDEX('Daily 쨈 raw'!$A:$ZZ, MATCH(BT$3, 'Daily 쨈 raw'!$A:$A, 0), MATCH($A36, 'Daily 쨈 raw'!$1:$1, 0)), ""), IF(val=0, "", val))</f>
        <v>5198</v>
      </c>
      <c r="BU36" s="44">
        <f t="array" ref="BU36">LET(val, IFERROR(INDEX('Daily 쨈 raw'!$A:$ZZ, MATCH(BU$3, 'Daily 쨈 raw'!$A:$A, 0), MATCH($A36, 'Daily 쨈 raw'!$1:$1, 0)), ""), IF(val=0, "", val))</f>
        <v>4426</v>
      </c>
      <c r="BV36" s="44">
        <f t="array" ref="BV36">LET(val, IFERROR(INDEX('Daily 쨈 raw'!$A:$ZZ, MATCH(BV$3, 'Daily 쨈 raw'!$A:$A, 0), MATCH($A36, 'Daily 쨈 raw'!$1:$1, 0)), ""), IF(val=0, "", val))</f>
        <v>5174</v>
      </c>
      <c r="BW36" s="44">
        <f t="array" ref="BW36">LET(val, IFERROR(INDEX('Daily 쨈 raw'!$A:$ZZ, MATCH(BW$3, 'Daily 쨈 raw'!$A:$A, 0), MATCH($A36, 'Daily 쨈 raw'!$1:$1, 0)), ""), IF(val=0, "", val))</f>
        <v>257</v>
      </c>
      <c r="BX36" s="44">
        <f t="array" ref="BX36">LET(val, IFERROR(INDEX('Daily 쨈 raw'!$A:$ZZ, MATCH(BX$3, 'Daily 쨈 raw'!$A:$A, 0), MATCH($A36, 'Daily 쨈 raw'!$1:$1, 0)), ""), IF(val=0, "", val))</f>
        <v>216</v>
      </c>
      <c r="BY36" s="44">
        <f t="array" ref="BY36">LET(val, IFERROR(INDEX('Daily 쨈 raw'!$A:$ZZ, MATCH(BY$3, 'Daily 쨈 raw'!$A:$A, 0), MATCH($A36, 'Daily 쨈 raw'!$1:$1, 0)), ""), IF(val=0, "", val))</f>
        <v>267</v>
      </c>
      <c r="BZ36" s="44">
        <f t="array" ref="BZ36">LET(val, IFERROR(INDEX('Daily 쨈 raw'!$A:$ZZ, MATCH(BZ$3, 'Daily 쨈 raw'!$A:$A, 0), MATCH($A36, 'Daily 쨈 raw'!$1:$1, 0)), ""), IF(val=0, "", val))</f>
        <v>252</v>
      </c>
      <c r="CA36" s="44">
        <f t="array" ref="CA36">LET(val, IFERROR(INDEX('Daily 쨈 raw'!$A:$ZZ, MATCH(CA$3, 'Daily 쨈 raw'!$A:$A, 0), MATCH($A36, 'Daily 쨈 raw'!$1:$1, 0)), ""), IF(val=0, "", val))</f>
        <v>275</v>
      </c>
      <c r="CB36" s="44">
        <f t="array" ref="CB36">LET(val, IFERROR(INDEX('Daily 쨈 raw'!$A:$ZZ, MATCH(CB$3, 'Daily 쨈 raw'!$A:$A, 0), MATCH($A36, 'Daily 쨈 raw'!$1:$1, 0)), ""), IF(val=0, "", val))</f>
        <v>363</v>
      </c>
      <c r="CC36" s="44">
        <f t="array" ref="CC36">LET(val, IFERROR(INDEX('Daily 쨈 raw'!$A:$ZZ, MATCH(CC$3, 'Daily 쨈 raw'!$A:$A, 0), MATCH($A36, 'Daily 쨈 raw'!$1:$1, 0)), ""), IF(val=0, "", val))</f>
        <v>459</v>
      </c>
      <c r="CD36" s="44">
        <f t="array" ref="CD36">LET(val, IFERROR(INDEX('Daily 쨈 raw'!$A:$ZZ, MATCH(CD$3, 'Daily 쨈 raw'!$A:$A, 0), MATCH($A36, 'Daily 쨈 raw'!$1:$1, 0)), ""), IF(val=0, "", val))</f>
        <v>538</v>
      </c>
      <c r="CE36" s="44">
        <f t="array" ref="CE36">LET(val, IFERROR(INDEX('Daily 쨈 raw'!$A:$ZZ, MATCH(CE$3, 'Daily 쨈 raw'!$A:$A, 0), MATCH($A36, 'Daily 쨈 raw'!$1:$1, 0)), ""), IF(val=0, "", val))</f>
        <v>574</v>
      </c>
      <c r="CF36" s="44">
        <f t="array" ref="CF36">LET(val, IFERROR(INDEX('Daily 쨈 raw'!$A:$ZZ, MATCH(CF$3, 'Daily 쨈 raw'!$A:$A, 0), MATCH($A36, 'Daily 쨈 raw'!$1:$1, 0)), ""), IF(val=0, "", val))</f>
        <v>564</v>
      </c>
      <c r="CG36" s="44">
        <f t="array" ref="CG36">LET(val, IFERROR(INDEX('Daily 쨈 raw'!$A:$ZZ, MATCH(CG$3, 'Daily 쨈 raw'!$A:$A, 0), MATCH($A36, 'Daily 쨈 raw'!$1:$1, 0)), ""), IF(val=0, "", val))</f>
        <v>592</v>
      </c>
      <c r="CH36" s="44">
        <f t="array" ref="CH36">LET(val, IFERROR(INDEX('Daily 쨈 raw'!$A:$ZZ, MATCH(CH$3, 'Daily 쨈 raw'!$A:$A, 0), MATCH($A36, 'Daily 쨈 raw'!$1:$1, 0)), ""), IF(val=0, "", val))</f>
        <v>601</v>
      </c>
      <c r="CI36" s="44">
        <f t="array" ref="CI36">LET(val, IFERROR(INDEX('Daily 쨈 raw'!$A:$ZZ, MATCH(CI$3, 'Daily 쨈 raw'!$A:$A, 0), MATCH($A36, 'Daily 쨈 raw'!$1:$1, 0)), ""), IF(val=0, "", val))</f>
        <v>696</v>
      </c>
      <c r="CJ36" s="44">
        <f t="array" ref="CJ36">LET(val, IFERROR(INDEX('Daily 쨈 raw'!$A:$ZZ, MATCH(CJ$3, 'Daily 쨈 raw'!$A:$A, 0), MATCH($A36, 'Daily 쨈 raw'!$1:$1, 0)), ""), IF(val=0, "", val))</f>
        <v>761</v>
      </c>
      <c r="CK36" s="44">
        <f t="array" ref="CK36">LET(val, IFERROR(INDEX('Daily 쨈 raw'!$A:$ZZ, MATCH(CK$3, 'Daily 쨈 raw'!$A:$A, 0), MATCH($A36, 'Daily 쨈 raw'!$1:$1, 0)), ""), IF(val=0, "", val))</f>
        <v>752</v>
      </c>
      <c r="CL36" s="44">
        <f t="array" ref="CL36">LET(val, IFERROR(INDEX('Daily 쨈 raw'!$A:$ZZ, MATCH(CL$3, 'Daily 쨈 raw'!$A:$A, 0), MATCH($A36, 'Daily 쨈 raw'!$1:$1, 0)), ""), IF(val=0, "", val))</f>
        <v>688</v>
      </c>
      <c r="CM36" s="44">
        <f t="array" ref="CM36">LET(val, IFERROR(INDEX('Daily 쨈 raw'!$A:$ZZ, MATCH(CM$3, 'Daily 쨈 raw'!$A:$A, 0), MATCH($A36, 'Daily 쨈 raw'!$1:$1, 0)), ""), IF(val=0, "", val))</f>
        <v>772</v>
      </c>
      <c r="CN36" s="44">
        <f t="array" ref="CN36">LET(val, IFERROR(INDEX('Daily 쨈 raw'!$A:$ZZ, MATCH(CN$3, 'Daily 쨈 raw'!$A:$A, 0), MATCH($A36, 'Daily 쨈 raw'!$1:$1, 0)), ""), IF(val=0, "", val))</f>
        <v>669</v>
      </c>
      <c r="CO36" s="44">
        <f t="array" ref="CO36">LET(val, IFERROR(INDEX('Daily 쨈 raw'!$A:$ZZ, MATCH(CO$3, 'Daily 쨈 raw'!$A:$A, 0), MATCH($A36, 'Daily 쨈 raw'!$1:$1, 0)), ""), IF(val=0, "", val))</f>
        <v>737</v>
      </c>
      <c r="CP36" s="44" t="str">
        <f t="array" ref="CP36">LET(val, IFERROR(INDEX('Daily 쨈 raw'!$A:$ZZ, MATCH(CP$3, 'Daily 쨈 raw'!$A:$A, 0), MATCH($A36, 'Daily 쨈 raw'!$1:$1, 0)), ""), IF(val=0, "", val))</f>
        <v/>
      </c>
      <c r="CQ36" s="44" t="str">
        <f t="array" ref="CQ36">LET(val, IFERROR(INDEX('Daily 쨈 raw'!$A:$ZZ, MATCH(CQ$3, 'Daily 쨈 raw'!$A:$A, 0), MATCH($A36, 'Daily 쨈 raw'!$1:$1, 0)), ""), IF(val=0, "", val))</f>
        <v/>
      </c>
      <c r="CR36" s="44" t="str">
        <f t="array" ref="CR36">LET(val, IFERROR(INDEX('Daily 쨈 raw'!$A:$ZZ, MATCH(CR$3, 'Daily 쨈 raw'!$A:$A, 0), MATCH($A36, 'Daily 쨈 raw'!$1:$1, 0)), ""), IF(val=0, "", val))</f>
        <v/>
      </c>
      <c r="CS36" s="44" t="str">
        <f t="array" ref="CS36">LET(val, IFERROR(INDEX('Daily 쨈 raw'!$A:$ZZ, MATCH(CS$3, 'Daily 쨈 raw'!$A:$A, 0), MATCH($A36, 'Daily 쨈 raw'!$1:$1, 0)), ""), IF(val=0, "", val))</f>
        <v/>
      </c>
      <c r="CT36" s="44" t="str">
        <f t="array" ref="CT36">LET(val, IFERROR(INDEX('Daily 쨈 raw'!$A:$ZZ, MATCH(CT$3, 'Daily 쨈 raw'!$A:$A, 0), MATCH($A36, 'Daily 쨈 raw'!$1:$1, 0)), ""), IF(val=0, "", val))</f>
        <v/>
      </c>
      <c r="CU36" s="44" t="str">
        <f t="array" ref="CU36">LET(val, IFERROR(INDEX('Daily 쨈 raw'!$A:$ZZ, MATCH(CU$3, 'Daily 쨈 raw'!$A:$A, 0), MATCH($A36, 'Daily 쨈 raw'!$1:$1, 0)), ""), IF(val=0, "", val))</f>
        <v/>
      </c>
      <c r="CV36" s="44" t="str">
        <f t="array" ref="CV36">LET(val, IFERROR(INDEX('Daily 쨈 raw'!$A:$ZZ, MATCH(CV$3, 'Daily 쨈 raw'!$A:$A, 0), MATCH($A36, 'Daily 쨈 raw'!$1:$1, 0)), ""), IF(val=0, "", val))</f>
        <v/>
      </c>
      <c r="CW36" s="44" t="str">
        <f t="array" ref="CW36">LET(val, IFERROR(INDEX('Daily 쨈 raw'!$A:$ZZ, MATCH(CW$3, 'Daily 쨈 raw'!$A:$A, 0), MATCH($A36, 'Daily 쨈 raw'!$1:$1, 0)), ""), IF(val=0, "", val))</f>
        <v/>
      </c>
      <c r="CX36" s="44" t="str">
        <f t="array" ref="CX36">LET(val, IFERROR(INDEX('Daily 쨈 raw'!$A:$ZZ, MATCH(CX$3, 'Daily 쨈 raw'!$A:$A, 0), MATCH($A36, 'Daily 쨈 raw'!$1:$1, 0)), ""), IF(val=0, "", val))</f>
        <v/>
      </c>
      <c r="CY36" s="44" t="str">
        <f t="array" ref="CY36">LET(val, IFERROR(INDEX('Daily 쨈 raw'!$A:$ZZ, MATCH(CY$3, 'Daily 쨈 raw'!$A:$A, 0), MATCH($A36, 'Daily 쨈 raw'!$1:$1, 0)), ""), IF(val=0, "", val))</f>
        <v/>
      </c>
      <c r="CZ36" s="44" t="str">
        <f t="array" ref="CZ36">LET(val, IFERROR(INDEX('Daily 쨈 raw'!$A:$ZZ, MATCH(CZ$3, 'Daily 쨈 raw'!$A:$A, 0), MATCH($A36, 'Daily 쨈 raw'!$1:$1, 0)), ""), IF(val=0, "", val))</f>
        <v/>
      </c>
      <c r="DA36" s="44" t="str">
        <f t="array" ref="DA36">LET(val, IFERROR(INDEX('Daily 쨈 raw'!$A:$ZZ, MATCH(DA$3, 'Daily 쨈 raw'!$A:$A, 0), MATCH($A36, 'Daily 쨈 raw'!$1:$1, 0)), ""), IF(val=0, "", val))</f>
        <v/>
      </c>
      <c r="DB36" s="44" t="str">
        <f t="array" ref="DB36">LET(val, IFERROR(INDEX('Daily 쨈 raw'!$A:$ZZ, MATCH(DB$3, 'Daily 쨈 raw'!$A:$A, 0), MATCH($A36, 'Daily 쨈 raw'!$1:$1, 0)), ""), IF(val=0, "", val))</f>
        <v/>
      </c>
      <c r="DC36" s="44" t="str">
        <f t="array" ref="DC36">LET(val, IFERROR(INDEX('Daily 쨈 raw'!$A:$ZZ, MATCH(DC$3, 'Daily 쨈 raw'!$A:$A, 0), MATCH($A36, 'Daily 쨈 raw'!$1:$1, 0)), ""), IF(val=0, "", val))</f>
        <v/>
      </c>
      <c r="DD36" s="44" t="str">
        <f t="array" ref="DD36">LET(val, IFERROR(INDEX('Daily 쨈 raw'!$A:$ZZ, MATCH(DD$3, 'Daily 쨈 raw'!$A:$A, 0), MATCH($A36, 'Daily 쨈 raw'!$1:$1, 0)), ""), IF(val=0, "", val))</f>
        <v/>
      </c>
      <c r="DE36" s="44" t="str">
        <f t="array" ref="DE36">LET(val, IFERROR(INDEX('Daily 쨈 raw'!$A:$ZZ, MATCH(DE$3, 'Daily 쨈 raw'!$A:$A, 0), MATCH($A36, 'Daily 쨈 raw'!$1:$1, 0)), ""), IF(val=0, "", val))</f>
        <v/>
      </c>
      <c r="DF36" s="44" t="str">
        <f t="array" ref="DF36">LET(val, IFERROR(INDEX('Daily 쨈 raw'!$A:$ZZ, MATCH(DF$3, 'Daily 쨈 raw'!$A:$A, 0), MATCH($A36, 'Daily 쨈 raw'!$1:$1, 0)), ""), IF(val=0, "", val))</f>
        <v/>
      </c>
      <c r="DG36" s="44" t="str">
        <f t="array" ref="DG36">LET(val, IFERROR(INDEX('Daily 쨈 raw'!$A:$ZZ, MATCH(DG$3, 'Daily 쨈 raw'!$A:$A, 0), MATCH($A36, 'Daily 쨈 raw'!$1:$1, 0)), ""), IF(val=0, "", val))</f>
        <v/>
      </c>
      <c r="DH36" s="44" t="str">
        <f t="array" ref="DH36">LET(val, IFERROR(INDEX('Daily 쨈 raw'!$A:$ZZ, MATCH(DH$3, 'Daily 쨈 raw'!$A:$A, 0), MATCH($A36, 'Daily 쨈 raw'!$1:$1, 0)), ""), IF(val=0, "", val))</f>
        <v/>
      </c>
      <c r="DI36" s="44" t="str">
        <f t="array" ref="DI36">LET(val, IFERROR(INDEX('Daily 쨈 raw'!$A:$ZZ, MATCH(DI$3, 'Daily 쨈 raw'!$A:$A, 0), MATCH($A36, 'Daily 쨈 raw'!$1:$1, 0)), ""), IF(val=0, "", val))</f>
        <v/>
      </c>
      <c r="DJ36" s="44" t="str">
        <f t="array" ref="DJ36">LET(val, IFERROR(INDEX('Daily 쨈 raw'!$A:$ZZ, MATCH(DJ$3, 'Daily 쨈 raw'!$A:$A, 0), MATCH($A36, 'Daily 쨈 raw'!$1:$1, 0)), ""), IF(val=0, "", val))</f>
        <v/>
      </c>
      <c r="DK36" s="44" t="str">
        <f t="array" ref="DK36">LET(val, IFERROR(INDEX('Daily 쨈 raw'!$A:$ZZ, MATCH(DK$3, 'Daily 쨈 raw'!$A:$A, 0), MATCH($A36, 'Daily 쨈 raw'!$1:$1, 0)), ""), IF(val=0, "", val))</f>
        <v/>
      </c>
      <c r="DL36" s="44" t="str">
        <f t="array" ref="DL36">LET(val, IFERROR(INDEX('Daily 쨈 raw'!$A:$ZZ, MATCH(DL$3, 'Daily 쨈 raw'!$A:$A, 0), MATCH($A36, 'Daily 쨈 raw'!$1:$1, 0)), ""), IF(val=0, "", val))</f>
        <v/>
      </c>
      <c r="DM36" s="44" t="str">
        <f t="array" ref="DM36">LET(val, IFERROR(INDEX('Daily 쨈 raw'!$A:$ZZ, MATCH(DM$3, 'Daily 쨈 raw'!$A:$A, 0), MATCH($A36, 'Daily 쨈 raw'!$1:$1, 0)), ""), IF(val=0, "", val))</f>
        <v/>
      </c>
      <c r="DN36" s="44" t="str">
        <f t="array" ref="DN36">LET(val, IFERROR(INDEX('Daily 쨈 raw'!$A:$ZZ, MATCH(DN$3, 'Daily 쨈 raw'!$A:$A, 0), MATCH($A36, 'Daily 쨈 raw'!$1:$1, 0)), ""), IF(val=0, "", val))</f>
        <v/>
      </c>
      <c r="DO36" s="44" t="str">
        <f t="array" ref="DO36">LET(val, IFERROR(INDEX('Daily 쨈 raw'!$A:$ZZ, MATCH(DO$3, 'Daily 쨈 raw'!$A:$A, 0), MATCH($A36, 'Daily 쨈 raw'!$1:$1, 0)), ""), IF(val=0, "", val))</f>
        <v/>
      </c>
      <c r="DP36" s="44" t="str">
        <f t="array" ref="DP36">LET(val, IFERROR(INDEX('Daily 쨈 raw'!$A:$ZZ, MATCH(DP$3, 'Daily 쨈 raw'!$A:$A, 0), MATCH($A36, 'Daily 쨈 raw'!$1:$1, 0)), ""), IF(val=0, "", val))</f>
        <v/>
      </c>
      <c r="DQ36" s="44" t="str">
        <f t="array" ref="DQ36">LET(val, IFERROR(INDEX('Daily 쨈 raw'!$A:$ZZ, MATCH(DQ$3, 'Daily 쨈 raw'!$A:$A, 0), MATCH($A36, 'Daily 쨈 raw'!$1:$1, 0)), ""), IF(val=0, "", val))</f>
        <v/>
      </c>
      <c r="DR36" s="44" t="str">
        <f t="array" ref="DR36">LET(val, IFERROR(INDEX('Daily 쨈 raw'!$A:$ZZ, MATCH(DR$3, 'Daily 쨈 raw'!$A:$A, 0), MATCH($A36, 'Daily 쨈 raw'!$1:$1, 0)), ""), IF(val=0, "", val))</f>
        <v/>
      </c>
      <c r="DS36" s="44" t="str">
        <f t="array" ref="DS36">LET(val, IFERROR(INDEX('Daily 쨈 raw'!$A:$ZZ, MATCH(DS$3, 'Daily 쨈 raw'!$A:$A, 0), MATCH($A36, 'Daily 쨈 raw'!$1:$1, 0)), ""), IF(val=0, "", val))</f>
        <v/>
      </c>
      <c r="DT36" s="44" t="str">
        <f t="array" ref="DT36">LET(val, IFERROR(INDEX('Daily 쨈 raw'!$A:$ZZ, MATCH(DT$3, 'Daily 쨈 raw'!$A:$A, 0), MATCH($A36, 'Daily 쨈 raw'!$1:$1, 0)), ""), IF(val=0, "", val))</f>
        <v/>
      </c>
      <c r="DU36" s="44" t="str">
        <f t="array" ref="DU36">LET(val, IFERROR(INDEX('Daily 쨈 raw'!$A:$ZZ, MATCH(DU$3, 'Daily 쨈 raw'!$A:$A, 0), MATCH($A36, 'Daily 쨈 raw'!$1:$1, 0)), ""), IF(val=0, "", val))</f>
        <v/>
      </c>
      <c r="DV36" s="44" t="str">
        <f t="array" ref="DV36">LET(val, IFERROR(INDEX('Daily 쨈 raw'!$A:$ZZ, MATCH(DV$3, 'Daily 쨈 raw'!$A:$A, 0), MATCH($A36, 'Daily 쨈 raw'!$1:$1, 0)), ""), IF(val=0, "", val))</f>
        <v/>
      </c>
      <c r="DW36" s="44" t="str">
        <f t="array" ref="DW36">LET(val, IFERROR(INDEX('Daily 쨈 raw'!$A:$ZZ, MATCH(DW$3, 'Daily 쨈 raw'!$A:$A, 0), MATCH($A36, 'Daily 쨈 raw'!$1:$1, 0)), ""), IF(val=0, "", val))</f>
        <v/>
      </c>
      <c r="DX36" s="57"/>
      <c r="DY36" s="57"/>
      <c r="DZ36" s="57"/>
    </row>
    <row r="37" ht="22.5" customHeight="1">
      <c r="A37" s="16" t="s">
        <v>51</v>
      </c>
      <c r="B37" s="17" t="s">
        <v>89</v>
      </c>
      <c r="C37" s="44">
        <f t="array" ref="C37">LET(val, IFERROR(INDEX('Daily 쨈 raw'!$A:$ZZ, MATCH(C$3, 'Daily 쨈 raw'!$A:$A, 0), MATCH($A37, 'Daily 쨈 raw'!$1:$1, 0)), ""), IF(val=0, "", val))</f>
        <v>5558</v>
      </c>
      <c r="D37" s="44">
        <f t="array" ref="D37">LET(val, IFERROR(INDEX('Daily 쨈 raw'!$A:$ZZ, MATCH(D$3, 'Daily 쨈 raw'!$A:$A, 0), MATCH($A37, 'Daily 쨈 raw'!$1:$1, 0)), ""), IF(val=0, "", val))</f>
        <v>5780</v>
      </c>
      <c r="E37" s="44">
        <f t="array" ref="E37">LET(val, IFERROR(INDEX('Daily 쨈 raw'!$A:$ZZ, MATCH(E$3, 'Daily 쨈 raw'!$A:$A, 0), MATCH($A37, 'Daily 쨈 raw'!$1:$1, 0)), ""), IF(val=0, "", val))</f>
        <v>5594</v>
      </c>
      <c r="F37" s="44">
        <f t="array" ref="F37">LET(val, IFERROR(INDEX('Daily 쨈 raw'!$A:$ZZ, MATCH(F$3, 'Daily 쨈 raw'!$A:$A, 0), MATCH($A37, 'Daily 쨈 raw'!$1:$1, 0)), ""), IF(val=0, "", val))</f>
        <v>4514</v>
      </c>
      <c r="G37" s="44">
        <f t="array" ref="G37">LET(val, IFERROR(INDEX('Daily 쨈 raw'!$A:$ZZ, MATCH(G$3, 'Daily 쨈 raw'!$A:$A, 0), MATCH($A37, 'Daily 쨈 raw'!$1:$1, 0)), ""), IF(val=0, "", val))</f>
        <v>5119</v>
      </c>
      <c r="H37" s="44">
        <f t="array" ref="H37">LET(val, IFERROR(INDEX('Daily 쨈 raw'!$A:$ZZ, MATCH(H$3, 'Daily 쨈 raw'!$A:$A, 0), MATCH($A37, 'Daily 쨈 raw'!$1:$1, 0)), ""), IF(val=0, "", val))</f>
        <v>5373</v>
      </c>
      <c r="I37" s="44">
        <f t="array" ref="I37">LET(val, IFERROR(INDEX('Daily 쨈 raw'!$A:$ZZ, MATCH(I$3, 'Daily 쨈 raw'!$A:$A, 0), MATCH($A37, 'Daily 쨈 raw'!$1:$1, 0)), ""), IF(val=0, "", val))</f>
        <v>5425</v>
      </c>
      <c r="J37" s="44">
        <f t="array" ref="J37">LET(val, IFERROR(INDEX('Daily 쨈 raw'!$A:$ZZ, MATCH(J$3, 'Daily 쨈 raw'!$A:$A, 0), MATCH($A37, 'Daily 쨈 raw'!$1:$1, 0)), ""), IF(val=0, "", val))</f>
        <v>4899</v>
      </c>
      <c r="K37" s="44">
        <f t="array" ref="K37">LET(val, IFERROR(INDEX('Daily 쨈 raw'!$A:$ZZ, MATCH(K$3, 'Daily 쨈 raw'!$A:$A, 0), MATCH($A37, 'Daily 쨈 raw'!$1:$1, 0)), ""), IF(val=0, "", val))</f>
        <v>4638</v>
      </c>
      <c r="L37" s="44">
        <f t="array" ref="L37">LET(val, IFERROR(INDEX('Daily 쨈 raw'!$A:$ZZ, MATCH(L$3, 'Daily 쨈 raw'!$A:$A, 0), MATCH($A37, 'Daily 쨈 raw'!$1:$1, 0)), ""), IF(val=0, "", val))</f>
        <v>4231</v>
      </c>
      <c r="M37" s="44">
        <f t="array" ref="M37">LET(val, IFERROR(INDEX('Daily 쨈 raw'!$A:$ZZ, MATCH(M$3, 'Daily 쨈 raw'!$A:$A, 0), MATCH($A37, 'Daily 쨈 raw'!$1:$1, 0)), ""), IF(val=0, "", val))</f>
        <v>4416</v>
      </c>
      <c r="N37" s="44">
        <f t="array" ref="N37">LET(val, IFERROR(INDEX('Daily 쨈 raw'!$A:$ZZ, MATCH(N$3, 'Daily 쨈 raw'!$A:$A, 0), MATCH($A37, 'Daily 쨈 raw'!$1:$1, 0)), ""), IF(val=0, "", val))</f>
        <v>4702</v>
      </c>
      <c r="O37" s="44">
        <f t="array" ref="O37">LET(val, IFERROR(INDEX('Daily 쨈 raw'!$A:$ZZ, MATCH(O$3, 'Daily 쨈 raw'!$A:$A, 0), MATCH($A37, 'Daily 쨈 raw'!$1:$1, 0)), ""), IF(val=0, "", val))</f>
        <v>4578</v>
      </c>
      <c r="P37" s="44">
        <f t="array" ref="P37">LET(val, IFERROR(INDEX('Daily 쨈 raw'!$A:$ZZ, MATCH(P$3, 'Daily 쨈 raw'!$A:$A, 0), MATCH($A37, 'Daily 쨈 raw'!$1:$1, 0)), ""), IF(val=0, "", val))</f>
        <v>4254</v>
      </c>
      <c r="Q37" s="44">
        <f t="array" ref="Q37">LET(val, IFERROR(INDEX('Daily 쨈 raw'!$A:$ZZ, MATCH(Q$3, 'Daily 쨈 raw'!$A:$A, 0), MATCH($A37, 'Daily 쨈 raw'!$1:$1, 0)), ""), IF(val=0, "", val))</f>
        <v>3985</v>
      </c>
      <c r="R37" s="44">
        <f t="array" ref="R37">LET(val, IFERROR(INDEX('Daily 쨈 raw'!$A:$ZZ, MATCH(R$3, 'Daily 쨈 raw'!$A:$A, 0), MATCH($A37, 'Daily 쨈 raw'!$1:$1, 0)), ""), IF(val=0, "", val))</f>
        <v>3620</v>
      </c>
      <c r="S37" s="44">
        <f t="array" ref="S37">LET(val, IFERROR(INDEX('Daily 쨈 raw'!$A:$ZZ, MATCH(S$3, 'Daily 쨈 raw'!$A:$A, 0), MATCH($A37, 'Daily 쨈 raw'!$1:$1, 0)), ""), IF(val=0, "", val))</f>
        <v>3514</v>
      </c>
      <c r="T37" s="44">
        <f t="array" ref="T37">LET(val, IFERROR(INDEX('Daily 쨈 raw'!$A:$ZZ, MATCH(T$3, 'Daily 쨈 raw'!$A:$A, 0), MATCH($A37, 'Daily 쨈 raw'!$1:$1, 0)), ""), IF(val=0, "", val))</f>
        <v>3603</v>
      </c>
      <c r="U37" s="44">
        <f t="array" ref="U37">LET(val, IFERROR(INDEX('Daily 쨈 raw'!$A:$ZZ, MATCH(U$3, 'Daily 쨈 raw'!$A:$A, 0), MATCH($A37, 'Daily 쨈 raw'!$1:$1, 0)), ""), IF(val=0, "", val))</f>
        <v>3467</v>
      </c>
      <c r="V37" s="44">
        <f t="array" ref="V37">LET(val, IFERROR(INDEX('Daily 쨈 raw'!$A:$ZZ, MATCH(V$3, 'Daily 쨈 raw'!$A:$A, 0), MATCH($A37, 'Daily 쨈 raw'!$1:$1, 0)), ""), IF(val=0, "", val))</f>
        <v>3745</v>
      </c>
      <c r="W37" s="44">
        <f t="array" ref="W37">LET(val, IFERROR(INDEX('Daily 쨈 raw'!$A:$ZZ, MATCH(W$3, 'Daily 쨈 raw'!$A:$A, 0), MATCH($A37, 'Daily 쨈 raw'!$1:$1, 0)), ""), IF(val=0, "", val))</f>
        <v>3549</v>
      </c>
      <c r="X37" s="44">
        <f t="array" ref="X37">LET(val, IFERROR(INDEX('Daily 쨈 raw'!$A:$ZZ, MATCH(X$3, 'Daily 쨈 raw'!$A:$A, 0), MATCH($A37, 'Daily 쨈 raw'!$1:$1, 0)), ""), IF(val=0, "", val))</f>
        <v>3170</v>
      </c>
      <c r="Y37" s="44">
        <f t="array" ref="Y37">LET(val, IFERROR(INDEX('Daily 쨈 raw'!$A:$ZZ, MATCH(Y$3, 'Daily 쨈 raw'!$A:$A, 0), MATCH($A37, 'Daily 쨈 raw'!$1:$1, 0)), ""), IF(val=0, "", val))</f>
        <v>3135</v>
      </c>
      <c r="Z37" s="44">
        <f t="array" ref="Z37">LET(val, IFERROR(INDEX('Daily 쨈 raw'!$A:$ZZ, MATCH(Z$3, 'Daily 쨈 raw'!$A:$A, 0), MATCH($A37, 'Daily 쨈 raw'!$1:$1, 0)), ""), IF(val=0, "", val))</f>
        <v>2937</v>
      </c>
      <c r="AA37" s="44">
        <f t="array" ref="AA37">LET(val, IFERROR(INDEX('Daily 쨈 raw'!$A:$ZZ, MATCH(AA$3, 'Daily 쨈 raw'!$A:$A, 0), MATCH($A37, 'Daily 쨈 raw'!$1:$1, 0)), ""), IF(val=0, "", val))</f>
        <v>2646</v>
      </c>
      <c r="AB37" s="44">
        <f t="array" ref="AB37">LET(val, IFERROR(INDEX('Daily 쨈 raw'!$A:$ZZ, MATCH(AB$3, 'Daily 쨈 raw'!$A:$A, 0), MATCH($A37, 'Daily 쨈 raw'!$1:$1, 0)), ""), IF(val=0, "", val))</f>
        <v>2911</v>
      </c>
      <c r="AC37" s="44">
        <f t="array" ref="AC37">LET(val, IFERROR(INDEX('Daily 쨈 raw'!$A:$ZZ, MATCH(AC$3, 'Daily 쨈 raw'!$A:$A, 0), MATCH($A37, 'Daily 쨈 raw'!$1:$1, 0)), ""), IF(val=0, "", val))</f>
        <v>2810</v>
      </c>
      <c r="AD37" s="44">
        <f t="array" ref="AD37">LET(val, IFERROR(INDEX('Daily 쨈 raw'!$A:$ZZ, MATCH(AD$3, 'Daily 쨈 raw'!$A:$A, 0), MATCH($A37, 'Daily 쨈 raw'!$1:$1, 0)), ""), IF(val=0, "", val))</f>
        <v>2840</v>
      </c>
      <c r="AE37" s="44">
        <f t="array" ref="AE37">LET(val, IFERROR(INDEX('Daily 쨈 raw'!$A:$ZZ, MATCH(AE$3, 'Daily 쨈 raw'!$A:$A, 0), MATCH($A37, 'Daily 쨈 raw'!$1:$1, 0)), ""), IF(val=0, "", val))</f>
        <v>3087</v>
      </c>
      <c r="AF37" s="44">
        <f t="array" ref="AF37">LET(val, IFERROR(INDEX('Daily 쨈 raw'!$A:$ZZ, MATCH(AF$3, 'Daily 쨈 raw'!$A:$A, 0), MATCH($A37, 'Daily 쨈 raw'!$1:$1, 0)), ""), IF(val=0, "", val))</f>
        <v>3097</v>
      </c>
      <c r="AG37" s="44">
        <f t="array" ref="AG37">LET(val, IFERROR(INDEX('Daily 쨈 raw'!$A:$ZZ, MATCH(AG$3, 'Daily 쨈 raw'!$A:$A, 0), MATCH($A37, 'Daily 쨈 raw'!$1:$1, 0)), ""), IF(val=0, "", val))</f>
        <v>11133</v>
      </c>
      <c r="AH37" s="44">
        <f t="array" ref="AH37">LET(val, IFERROR(INDEX('Daily 쨈 raw'!$A:$ZZ, MATCH(AH$3, 'Daily 쨈 raw'!$A:$A, 0), MATCH($A37, 'Daily 쨈 raw'!$1:$1, 0)), ""), IF(val=0, "", val))</f>
        <v>9307</v>
      </c>
      <c r="AI37" s="44">
        <f t="array" ref="AI37">LET(val, IFERROR(INDEX('Daily 쨈 raw'!$A:$ZZ, MATCH(AI$3, 'Daily 쨈 raw'!$A:$A, 0), MATCH($A37, 'Daily 쨈 raw'!$1:$1, 0)), ""), IF(val=0, "", val))</f>
        <v>4236</v>
      </c>
      <c r="AJ37" s="44">
        <f t="array" ref="AJ37">LET(val, IFERROR(INDEX('Daily 쨈 raw'!$A:$ZZ, MATCH(AJ$3, 'Daily 쨈 raw'!$A:$A, 0), MATCH($A37, 'Daily 쨈 raw'!$1:$1, 0)), ""), IF(val=0, "", val))</f>
        <v>3699</v>
      </c>
      <c r="AK37" s="44">
        <f t="array" ref="AK37">LET(val, IFERROR(INDEX('Daily 쨈 raw'!$A:$ZZ, MATCH(AK$3, 'Daily 쨈 raw'!$A:$A, 0), MATCH($A37, 'Daily 쨈 raw'!$1:$1, 0)), ""), IF(val=0, "", val))</f>
        <v>4260</v>
      </c>
      <c r="AL37" s="44">
        <f t="array" ref="AL37">LET(val, IFERROR(INDEX('Daily 쨈 raw'!$A:$ZZ, MATCH(AL$3, 'Daily 쨈 raw'!$A:$A, 0), MATCH($A37, 'Daily 쨈 raw'!$1:$1, 0)), ""), IF(val=0, "", val))</f>
        <v>3697</v>
      </c>
      <c r="AM37" s="44">
        <f t="array" ref="AM37">LET(val, IFERROR(INDEX('Daily 쨈 raw'!$A:$ZZ, MATCH(AM$3, 'Daily 쨈 raw'!$A:$A, 0), MATCH($A37, 'Daily 쨈 raw'!$1:$1, 0)), ""), IF(val=0, "", val))</f>
        <v>4257</v>
      </c>
      <c r="AN37" s="44">
        <f t="array" ref="AN37">LET(val, IFERROR(INDEX('Daily 쨈 raw'!$A:$ZZ, MATCH(AN$3, 'Daily 쨈 raw'!$A:$A, 0), MATCH($A37, 'Daily 쨈 raw'!$1:$1, 0)), ""), IF(val=0, "", val))</f>
        <v>4945</v>
      </c>
      <c r="AO37" s="44">
        <f t="array" ref="AO37">LET(val, IFERROR(INDEX('Daily 쨈 raw'!$A:$ZZ, MATCH(AO$3, 'Daily 쨈 raw'!$A:$A, 0), MATCH($A37, 'Daily 쨈 raw'!$1:$1, 0)), ""), IF(val=0, "", val))</f>
        <v>6745</v>
      </c>
      <c r="AP37" s="44">
        <f t="array" ref="AP37">LET(val, IFERROR(INDEX('Daily 쨈 raw'!$A:$ZZ, MATCH(AP$3, 'Daily 쨈 raw'!$A:$A, 0), MATCH($A37, 'Daily 쨈 raw'!$1:$1, 0)), ""), IF(val=0, "", val))</f>
        <v>4751</v>
      </c>
      <c r="AQ37" s="44">
        <f t="array" ref="AQ37">LET(val, IFERROR(INDEX('Daily 쨈 raw'!$A:$ZZ, MATCH(AQ$3, 'Daily 쨈 raw'!$A:$A, 0), MATCH($A37, 'Daily 쨈 raw'!$1:$1, 0)), ""), IF(val=0, "", val))</f>
        <v>5562</v>
      </c>
      <c r="AR37" s="44">
        <f t="array" ref="AR37">LET(val, IFERROR(INDEX('Daily 쨈 raw'!$A:$ZZ, MATCH(AR$3, 'Daily 쨈 raw'!$A:$A, 0), MATCH($A37, 'Daily 쨈 raw'!$1:$1, 0)), ""), IF(val=0, "", val))</f>
        <v>5598</v>
      </c>
      <c r="AS37" s="44">
        <f t="array" ref="AS37">LET(val, IFERROR(INDEX('Daily 쨈 raw'!$A:$ZZ, MATCH(AS$3, 'Daily 쨈 raw'!$A:$A, 0), MATCH($A37, 'Daily 쨈 raw'!$1:$1, 0)), ""), IF(val=0, "", val))</f>
        <v>4348</v>
      </c>
      <c r="AT37" s="44">
        <f t="array" ref="AT37">LET(val, IFERROR(INDEX('Daily 쨈 raw'!$A:$ZZ, MATCH(AT$3, 'Daily 쨈 raw'!$A:$A, 0), MATCH($A37, 'Daily 쨈 raw'!$1:$1, 0)), ""), IF(val=0, "", val))</f>
        <v>4294</v>
      </c>
      <c r="AU37" s="44">
        <f t="array" ref="AU37">LET(val, IFERROR(INDEX('Daily 쨈 raw'!$A:$ZZ, MATCH(AU$3, 'Daily 쨈 raw'!$A:$A, 0), MATCH($A37, 'Daily 쨈 raw'!$1:$1, 0)), ""), IF(val=0, "", val))</f>
        <v>4574</v>
      </c>
      <c r="AV37" s="44">
        <f t="array" ref="AV37">LET(val, IFERROR(INDEX('Daily 쨈 raw'!$A:$ZZ, MATCH(AV$3, 'Daily 쨈 raw'!$A:$A, 0), MATCH($A37, 'Daily 쨈 raw'!$1:$1, 0)), ""), IF(val=0, "", val))</f>
        <v>3894</v>
      </c>
      <c r="AW37" s="44">
        <f t="array" ref="AW37">LET(val, IFERROR(INDEX('Daily 쨈 raw'!$A:$ZZ, MATCH(AW$3, 'Daily 쨈 raw'!$A:$A, 0), MATCH($A37, 'Daily 쨈 raw'!$1:$1, 0)), ""), IF(val=0, "", val))</f>
        <v>4009</v>
      </c>
      <c r="AX37" s="44">
        <f t="array" ref="AX37">LET(val, IFERROR(INDEX('Daily 쨈 raw'!$A:$ZZ, MATCH(AX$3, 'Daily 쨈 raw'!$A:$A, 0), MATCH($A37, 'Daily 쨈 raw'!$1:$1, 0)), ""), IF(val=0, "", val))</f>
        <v>4106</v>
      </c>
      <c r="AY37" s="44">
        <f t="array" ref="AY37">LET(val, IFERROR(INDEX('Daily 쨈 raw'!$A:$ZZ, MATCH(AY$3, 'Daily 쨈 raw'!$A:$A, 0), MATCH($A37, 'Daily 쨈 raw'!$1:$1, 0)), ""), IF(val=0, "", val))</f>
        <v>5237</v>
      </c>
      <c r="AZ37" s="44">
        <f t="array" ref="AZ37">LET(val, IFERROR(INDEX('Daily 쨈 raw'!$A:$ZZ, MATCH(AZ$3, 'Daily 쨈 raw'!$A:$A, 0), MATCH($A37, 'Daily 쨈 raw'!$1:$1, 0)), ""), IF(val=0, "", val))</f>
        <v>4144</v>
      </c>
      <c r="BA37" s="44">
        <f t="array" ref="BA37">LET(val, IFERROR(INDEX('Daily 쨈 raw'!$A:$ZZ, MATCH(BA$3, 'Daily 쨈 raw'!$A:$A, 0), MATCH($A37, 'Daily 쨈 raw'!$1:$1, 0)), ""), IF(val=0, "", val))</f>
        <v>3805</v>
      </c>
      <c r="BB37" s="44">
        <f t="array" ref="BB37">LET(val, IFERROR(INDEX('Daily 쨈 raw'!$A:$ZZ, MATCH(BB$3, 'Daily 쨈 raw'!$A:$A, 0), MATCH($A37, 'Daily 쨈 raw'!$1:$1, 0)), ""), IF(val=0, "", val))</f>
        <v>3525</v>
      </c>
      <c r="BC37" s="44">
        <f t="array" ref="BC37">LET(val, IFERROR(INDEX('Daily 쨈 raw'!$A:$ZZ, MATCH(BC$3, 'Daily 쨈 raw'!$A:$A, 0), MATCH($A37, 'Daily 쨈 raw'!$1:$1, 0)), ""), IF(val=0, "", val))</f>
        <v>5316</v>
      </c>
      <c r="BD37" s="44">
        <f t="array" ref="BD37">LET(val, IFERROR(INDEX('Daily 쨈 raw'!$A:$ZZ, MATCH(BD$3, 'Daily 쨈 raw'!$A:$A, 0), MATCH($A37, 'Daily 쨈 raw'!$1:$1, 0)), ""), IF(val=0, "", val))</f>
        <v>6688</v>
      </c>
      <c r="BE37" s="44">
        <f t="array" ref="BE37">LET(val, IFERROR(INDEX('Daily 쨈 raw'!$A:$ZZ, MATCH(BE$3, 'Daily 쨈 raw'!$A:$A, 0), MATCH($A37, 'Daily 쨈 raw'!$1:$1, 0)), ""), IF(val=0, "", val))</f>
        <v>6724</v>
      </c>
      <c r="BF37" s="44">
        <f t="array" ref="BF37">LET(val, IFERROR(INDEX('Daily 쨈 raw'!$A:$ZZ, MATCH(BF$3, 'Daily 쨈 raw'!$A:$A, 0), MATCH($A37, 'Daily 쨈 raw'!$1:$1, 0)), ""), IF(val=0, "", val))</f>
        <v>4612</v>
      </c>
      <c r="BG37" s="44">
        <f t="array" ref="BG37">LET(val, IFERROR(INDEX('Daily 쨈 raw'!$A:$ZZ, MATCH(BG$3, 'Daily 쨈 raw'!$A:$A, 0), MATCH($A37, 'Daily 쨈 raw'!$1:$1, 0)), ""), IF(val=0, "", val))</f>
        <v>5146</v>
      </c>
      <c r="BH37" s="44">
        <f t="array" ref="BH37">LET(val, IFERROR(INDEX('Daily 쨈 raw'!$A:$ZZ, MATCH(BH$3, 'Daily 쨈 raw'!$A:$A, 0), MATCH($A37, 'Daily 쨈 raw'!$1:$1, 0)), ""), IF(val=0, "", val))</f>
        <v>4735</v>
      </c>
      <c r="BI37" s="44">
        <f t="array" ref="BI37">LET(val, IFERROR(INDEX('Daily 쨈 raw'!$A:$ZZ, MATCH(BI$3, 'Daily 쨈 raw'!$A:$A, 0), MATCH($A37, 'Daily 쨈 raw'!$1:$1, 0)), ""), IF(val=0, "", val))</f>
        <v>4602</v>
      </c>
      <c r="BJ37" s="44">
        <f t="array" ref="BJ37">LET(val, IFERROR(INDEX('Daily 쨈 raw'!$A:$ZZ, MATCH(BJ$3, 'Daily 쨈 raw'!$A:$A, 0), MATCH($A37, 'Daily 쨈 raw'!$1:$1, 0)), ""), IF(val=0, "", val))</f>
        <v>8032</v>
      </c>
      <c r="BK37" s="44">
        <f t="array" ref="BK37">LET(val, IFERROR(INDEX('Daily 쨈 raw'!$A:$ZZ, MATCH(BK$3, 'Daily 쨈 raw'!$A:$A, 0), MATCH($A37, 'Daily 쨈 raw'!$1:$1, 0)), ""), IF(val=0, "", val))</f>
        <v>8282</v>
      </c>
      <c r="BL37" s="44">
        <f t="array" ref="BL37">LET(val, IFERROR(INDEX('Daily 쨈 raw'!$A:$ZZ, MATCH(BL$3, 'Daily 쨈 raw'!$A:$A, 0), MATCH($A37, 'Daily 쨈 raw'!$1:$1, 0)), ""), IF(val=0, "", val))</f>
        <v>7855</v>
      </c>
      <c r="BM37" s="44">
        <f t="array" ref="BM37">LET(val, IFERROR(INDEX('Daily 쨈 raw'!$A:$ZZ, MATCH(BM$3, 'Daily 쨈 raw'!$A:$A, 0), MATCH($A37, 'Daily 쨈 raw'!$1:$1, 0)), ""), IF(val=0, "", val))</f>
        <v>8244</v>
      </c>
      <c r="BN37" s="44">
        <f t="array" ref="BN37">LET(val, IFERROR(INDEX('Daily 쨈 raw'!$A:$ZZ, MATCH(BN$3, 'Daily 쨈 raw'!$A:$A, 0), MATCH($A37, 'Daily 쨈 raw'!$1:$1, 0)), ""), IF(val=0, "", val))</f>
        <v>3417</v>
      </c>
      <c r="BO37" s="44">
        <f t="array" ref="BO37">LET(val, IFERROR(INDEX('Daily 쨈 raw'!$A:$ZZ, MATCH(BO$3, 'Daily 쨈 raw'!$A:$A, 0), MATCH($A37, 'Daily 쨈 raw'!$1:$1, 0)), ""), IF(val=0, "", val))</f>
        <v>3552</v>
      </c>
      <c r="BP37" s="44">
        <f t="array" ref="BP37">LET(val, IFERROR(INDEX('Daily 쨈 raw'!$A:$ZZ, MATCH(BP$3, 'Daily 쨈 raw'!$A:$A, 0), MATCH($A37, 'Daily 쨈 raw'!$1:$1, 0)), ""), IF(val=0, "", val))</f>
        <v>3381</v>
      </c>
      <c r="BQ37" s="44">
        <f t="array" ref="BQ37">LET(val, IFERROR(INDEX('Daily 쨈 raw'!$A:$ZZ, MATCH(BQ$3, 'Daily 쨈 raw'!$A:$A, 0), MATCH($A37, 'Daily 쨈 raw'!$1:$1, 0)), ""), IF(val=0, "", val))</f>
        <v>3284</v>
      </c>
      <c r="BR37" s="44">
        <f t="array" ref="BR37">LET(val, IFERROR(INDEX('Daily 쨈 raw'!$A:$ZZ, MATCH(BR$3, 'Daily 쨈 raw'!$A:$A, 0), MATCH($A37, 'Daily 쨈 raw'!$1:$1, 0)), ""), IF(val=0, "", val))</f>
        <v>3075</v>
      </c>
      <c r="BS37" s="44">
        <f t="array" ref="BS37">LET(val, IFERROR(INDEX('Daily 쨈 raw'!$A:$ZZ, MATCH(BS$3, 'Daily 쨈 raw'!$A:$A, 0), MATCH($A37, 'Daily 쨈 raw'!$1:$1, 0)), ""), IF(val=0, "", val))</f>
        <v>3472</v>
      </c>
      <c r="BT37" s="44">
        <f t="array" ref="BT37">LET(val, IFERROR(INDEX('Daily 쨈 raw'!$A:$ZZ, MATCH(BT$3, 'Daily 쨈 raw'!$A:$A, 0), MATCH($A37, 'Daily 쨈 raw'!$1:$1, 0)), ""), IF(val=0, "", val))</f>
        <v>3504</v>
      </c>
      <c r="BU37" s="44">
        <f t="array" ref="BU37">LET(val, IFERROR(INDEX('Daily 쨈 raw'!$A:$ZZ, MATCH(BU$3, 'Daily 쨈 raw'!$A:$A, 0), MATCH($A37, 'Daily 쨈 raw'!$1:$1, 0)), ""), IF(val=0, "", val))</f>
        <v>2827</v>
      </c>
      <c r="BV37" s="44">
        <f t="array" ref="BV37">LET(val, IFERROR(INDEX('Daily 쨈 raw'!$A:$ZZ, MATCH(BV$3, 'Daily 쨈 raw'!$A:$A, 0), MATCH($A37, 'Daily 쨈 raw'!$1:$1, 0)), ""), IF(val=0, "", val))</f>
        <v>3564</v>
      </c>
      <c r="BW37" s="44">
        <f t="array" ref="BW37">LET(val, IFERROR(INDEX('Daily 쨈 raw'!$A:$ZZ, MATCH(BW$3, 'Daily 쨈 raw'!$A:$A, 0), MATCH($A37, 'Daily 쨈 raw'!$1:$1, 0)), ""), IF(val=0, "", val))</f>
        <v>194</v>
      </c>
      <c r="BX37" s="44">
        <f t="array" ref="BX37">LET(val, IFERROR(INDEX('Daily 쨈 raw'!$A:$ZZ, MATCH(BX$3, 'Daily 쨈 raw'!$A:$A, 0), MATCH($A37, 'Daily 쨈 raw'!$1:$1, 0)), ""), IF(val=0, "", val))</f>
        <v>165</v>
      </c>
      <c r="BY37" s="44">
        <f t="array" ref="BY37">LET(val, IFERROR(INDEX('Daily 쨈 raw'!$A:$ZZ, MATCH(BY$3, 'Daily 쨈 raw'!$A:$A, 0), MATCH($A37, 'Daily 쨈 raw'!$1:$1, 0)), ""), IF(val=0, "", val))</f>
        <v>199</v>
      </c>
      <c r="BZ37" s="44">
        <f t="array" ref="BZ37">LET(val, IFERROR(INDEX('Daily 쨈 raw'!$A:$ZZ, MATCH(BZ$3, 'Daily 쨈 raw'!$A:$A, 0), MATCH($A37, 'Daily 쨈 raw'!$1:$1, 0)), ""), IF(val=0, "", val))</f>
        <v>200</v>
      </c>
      <c r="CA37" s="44">
        <f t="array" ref="CA37">LET(val, IFERROR(INDEX('Daily 쨈 raw'!$A:$ZZ, MATCH(CA$3, 'Daily 쨈 raw'!$A:$A, 0), MATCH($A37, 'Daily 쨈 raw'!$1:$1, 0)), ""), IF(val=0, "", val))</f>
        <v>215</v>
      </c>
      <c r="CB37" s="44">
        <f t="array" ref="CB37">LET(val, IFERROR(INDEX('Daily 쨈 raw'!$A:$ZZ, MATCH(CB$3, 'Daily 쨈 raw'!$A:$A, 0), MATCH($A37, 'Daily 쨈 raw'!$1:$1, 0)), ""), IF(val=0, "", val))</f>
        <v>304</v>
      </c>
      <c r="CC37" s="44">
        <f t="array" ref="CC37">LET(val, IFERROR(INDEX('Daily 쨈 raw'!$A:$ZZ, MATCH(CC$3, 'Daily 쨈 raw'!$A:$A, 0), MATCH($A37, 'Daily 쨈 raw'!$1:$1, 0)), ""), IF(val=0, "", val))</f>
        <v>389</v>
      </c>
      <c r="CD37" s="44">
        <f t="array" ref="CD37">LET(val, IFERROR(INDEX('Daily 쨈 raw'!$A:$ZZ, MATCH(CD$3, 'Daily 쨈 raw'!$A:$A, 0), MATCH($A37, 'Daily 쨈 raw'!$1:$1, 0)), ""), IF(val=0, "", val))</f>
        <v>443</v>
      </c>
      <c r="CE37" s="44">
        <f t="array" ref="CE37">LET(val, IFERROR(INDEX('Daily 쨈 raw'!$A:$ZZ, MATCH(CE$3, 'Daily 쨈 raw'!$A:$A, 0), MATCH($A37, 'Daily 쨈 raw'!$1:$1, 0)), ""), IF(val=0, "", val))</f>
        <v>475</v>
      </c>
      <c r="CF37" s="44">
        <f t="array" ref="CF37">LET(val, IFERROR(INDEX('Daily 쨈 raw'!$A:$ZZ, MATCH(CF$3, 'Daily 쨈 raw'!$A:$A, 0), MATCH($A37, 'Daily 쨈 raw'!$1:$1, 0)), ""), IF(val=0, "", val))</f>
        <v>472</v>
      </c>
      <c r="CG37" s="44">
        <f t="array" ref="CG37">LET(val, IFERROR(INDEX('Daily 쨈 raw'!$A:$ZZ, MATCH(CG$3, 'Daily 쨈 raw'!$A:$A, 0), MATCH($A37, 'Daily 쨈 raw'!$1:$1, 0)), ""), IF(val=0, "", val))</f>
        <v>492</v>
      </c>
      <c r="CH37" s="44">
        <f t="array" ref="CH37">LET(val, IFERROR(INDEX('Daily 쨈 raw'!$A:$ZZ, MATCH(CH$3, 'Daily 쨈 raw'!$A:$A, 0), MATCH($A37, 'Daily 쨈 raw'!$1:$1, 0)), ""), IF(val=0, "", val))</f>
        <v>514</v>
      </c>
      <c r="CI37" s="44">
        <f t="array" ref="CI37">LET(val, IFERROR(INDEX('Daily 쨈 raw'!$A:$ZZ, MATCH(CI$3, 'Daily 쨈 raw'!$A:$A, 0), MATCH($A37, 'Daily 쨈 raw'!$1:$1, 0)), ""), IF(val=0, "", val))</f>
        <v>544</v>
      </c>
      <c r="CJ37" s="44">
        <f t="array" ref="CJ37">LET(val, IFERROR(INDEX('Daily 쨈 raw'!$A:$ZZ, MATCH(CJ$3, 'Daily 쨈 raw'!$A:$A, 0), MATCH($A37, 'Daily 쨈 raw'!$1:$1, 0)), ""), IF(val=0, "", val))</f>
        <v>618</v>
      </c>
      <c r="CK37" s="44">
        <f t="array" ref="CK37">LET(val, IFERROR(INDEX('Daily 쨈 raw'!$A:$ZZ, MATCH(CK$3, 'Daily 쨈 raw'!$A:$A, 0), MATCH($A37, 'Daily 쨈 raw'!$1:$1, 0)), ""), IF(val=0, "", val))</f>
        <v>632</v>
      </c>
      <c r="CL37" s="44">
        <f t="array" ref="CL37">LET(val, IFERROR(INDEX('Daily 쨈 raw'!$A:$ZZ, MATCH(CL$3, 'Daily 쨈 raw'!$A:$A, 0), MATCH($A37, 'Daily 쨈 raw'!$1:$1, 0)), ""), IF(val=0, "", val))</f>
        <v>568</v>
      </c>
      <c r="CM37" s="44">
        <f t="array" ref="CM37">LET(val, IFERROR(INDEX('Daily 쨈 raw'!$A:$ZZ, MATCH(CM$3, 'Daily 쨈 raw'!$A:$A, 0), MATCH($A37, 'Daily 쨈 raw'!$1:$1, 0)), ""), IF(val=0, "", val))</f>
        <v>637</v>
      </c>
      <c r="CN37" s="44">
        <f t="array" ref="CN37">LET(val, IFERROR(INDEX('Daily 쨈 raw'!$A:$ZZ, MATCH(CN$3, 'Daily 쨈 raw'!$A:$A, 0), MATCH($A37, 'Daily 쨈 raw'!$1:$1, 0)), ""), IF(val=0, "", val))</f>
        <v>560</v>
      </c>
      <c r="CO37" s="44">
        <f t="array" ref="CO37">LET(val, IFERROR(INDEX('Daily 쨈 raw'!$A:$ZZ, MATCH(CO$3, 'Daily 쨈 raw'!$A:$A, 0), MATCH($A37, 'Daily 쨈 raw'!$1:$1, 0)), ""), IF(val=0, "", val))</f>
        <v>642</v>
      </c>
      <c r="CP37" s="44" t="str">
        <f t="array" ref="CP37">LET(val, IFERROR(INDEX('Daily 쨈 raw'!$A:$ZZ, MATCH(CP$3, 'Daily 쨈 raw'!$A:$A, 0), MATCH($A37, 'Daily 쨈 raw'!$1:$1, 0)), ""), IF(val=0, "", val))</f>
        <v/>
      </c>
      <c r="CQ37" s="44" t="str">
        <f t="array" ref="CQ37">LET(val, IFERROR(INDEX('Daily 쨈 raw'!$A:$ZZ, MATCH(CQ$3, 'Daily 쨈 raw'!$A:$A, 0), MATCH($A37, 'Daily 쨈 raw'!$1:$1, 0)), ""), IF(val=0, "", val))</f>
        <v/>
      </c>
      <c r="CR37" s="44" t="str">
        <f t="array" ref="CR37">LET(val, IFERROR(INDEX('Daily 쨈 raw'!$A:$ZZ, MATCH(CR$3, 'Daily 쨈 raw'!$A:$A, 0), MATCH($A37, 'Daily 쨈 raw'!$1:$1, 0)), ""), IF(val=0, "", val))</f>
        <v/>
      </c>
      <c r="CS37" s="44" t="str">
        <f t="array" ref="CS37">LET(val, IFERROR(INDEX('Daily 쨈 raw'!$A:$ZZ, MATCH(CS$3, 'Daily 쨈 raw'!$A:$A, 0), MATCH($A37, 'Daily 쨈 raw'!$1:$1, 0)), ""), IF(val=0, "", val))</f>
        <v/>
      </c>
      <c r="CT37" s="44" t="str">
        <f t="array" ref="CT37">LET(val, IFERROR(INDEX('Daily 쨈 raw'!$A:$ZZ, MATCH(CT$3, 'Daily 쨈 raw'!$A:$A, 0), MATCH($A37, 'Daily 쨈 raw'!$1:$1, 0)), ""), IF(val=0, "", val))</f>
        <v/>
      </c>
      <c r="CU37" s="44" t="str">
        <f t="array" ref="CU37">LET(val, IFERROR(INDEX('Daily 쨈 raw'!$A:$ZZ, MATCH(CU$3, 'Daily 쨈 raw'!$A:$A, 0), MATCH($A37, 'Daily 쨈 raw'!$1:$1, 0)), ""), IF(val=0, "", val))</f>
        <v/>
      </c>
      <c r="CV37" s="44" t="str">
        <f t="array" ref="CV37">LET(val, IFERROR(INDEX('Daily 쨈 raw'!$A:$ZZ, MATCH(CV$3, 'Daily 쨈 raw'!$A:$A, 0), MATCH($A37, 'Daily 쨈 raw'!$1:$1, 0)), ""), IF(val=0, "", val))</f>
        <v/>
      </c>
      <c r="CW37" s="44" t="str">
        <f t="array" ref="CW37">LET(val, IFERROR(INDEX('Daily 쨈 raw'!$A:$ZZ, MATCH(CW$3, 'Daily 쨈 raw'!$A:$A, 0), MATCH($A37, 'Daily 쨈 raw'!$1:$1, 0)), ""), IF(val=0, "", val))</f>
        <v/>
      </c>
      <c r="CX37" s="44" t="str">
        <f t="array" ref="CX37">LET(val, IFERROR(INDEX('Daily 쨈 raw'!$A:$ZZ, MATCH(CX$3, 'Daily 쨈 raw'!$A:$A, 0), MATCH($A37, 'Daily 쨈 raw'!$1:$1, 0)), ""), IF(val=0, "", val))</f>
        <v/>
      </c>
      <c r="CY37" s="44" t="str">
        <f t="array" ref="CY37">LET(val, IFERROR(INDEX('Daily 쨈 raw'!$A:$ZZ, MATCH(CY$3, 'Daily 쨈 raw'!$A:$A, 0), MATCH($A37, 'Daily 쨈 raw'!$1:$1, 0)), ""), IF(val=0, "", val))</f>
        <v/>
      </c>
      <c r="CZ37" s="44" t="str">
        <f t="array" ref="CZ37">LET(val, IFERROR(INDEX('Daily 쨈 raw'!$A:$ZZ, MATCH(CZ$3, 'Daily 쨈 raw'!$A:$A, 0), MATCH($A37, 'Daily 쨈 raw'!$1:$1, 0)), ""), IF(val=0, "", val))</f>
        <v/>
      </c>
      <c r="DA37" s="44" t="str">
        <f t="array" ref="DA37">LET(val, IFERROR(INDEX('Daily 쨈 raw'!$A:$ZZ, MATCH(DA$3, 'Daily 쨈 raw'!$A:$A, 0), MATCH($A37, 'Daily 쨈 raw'!$1:$1, 0)), ""), IF(val=0, "", val))</f>
        <v/>
      </c>
      <c r="DB37" s="44" t="str">
        <f t="array" ref="DB37">LET(val, IFERROR(INDEX('Daily 쨈 raw'!$A:$ZZ, MATCH(DB$3, 'Daily 쨈 raw'!$A:$A, 0), MATCH($A37, 'Daily 쨈 raw'!$1:$1, 0)), ""), IF(val=0, "", val))</f>
        <v/>
      </c>
      <c r="DC37" s="44" t="str">
        <f t="array" ref="DC37">LET(val, IFERROR(INDEX('Daily 쨈 raw'!$A:$ZZ, MATCH(DC$3, 'Daily 쨈 raw'!$A:$A, 0), MATCH($A37, 'Daily 쨈 raw'!$1:$1, 0)), ""), IF(val=0, "", val))</f>
        <v/>
      </c>
      <c r="DD37" s="44" t="str">
        <f t="array" ref="DD37">LET(val, IFERROR(INDEX('Daily 쨈 raw'!$A:$ZZ, MATCH(DD$3, 'Daily 쨈 raw'!$A:$A, 0), MATCH($A37, 'Daily 쨈 raw'!$1:$1, 0)), ""), IF(val=0, "", val))</f>
        <v/>
      </c>
      <c r="DE37" s="44" t="str">
        <f t="array" ref="DE37">LET(val, IFERROR(INDEX('Daily 쨈 raw'!$A:$ZZ, MATCH(DE$3, 'Daily 쨈 raw'!$A:$A, 0), MATCH($A37, 'Daily 쨈 raw'!$1:$1, 0)), ""), IF(val=0, "", val))</f>
        <v/>
      </c>
      <c r="DF37" s="44" t="str">
        <f t="array" ref="DF37">LET(val, IFERROR(INDEX('Daily 쨈 raw'!$A:$ZZ, MATCH(DF$3, 'Daily 쨈 raw'!$A:$A, 0), MATCH($A37, 'Daily 쨈 raw'!$1:$1, 0)), ""), IF(val=0, "", val))</f>
        <v/>
      </c>
      <c r="DG37" s="44" t="str">
        <f t="array" ref="DG37">LET(val, IFERROR(INDEX('Daily 쨈 raw'!$A:$ZZ, MATCH(DG$3, 'Daily 쨈 raw'!$A:$A, 0), MATCH($A37, 'Daily 쨈 raw'!$1:$1, 0)), ""), IF(val=0, "", val))</f>
        <v/>
      </c>
      <c r="DH37" s="44" t="str">
        <f t="array" ref="DH37">LET(val, IFERROR(INDEX('Daily 쨈 raw'!$A:$ZZ, MATCH(DH$3, 'Daily 쨈 raw'!$A:$A, 0), MATCH($A37, 'Daily 쨈 raw'!$1:$1, 0)), ""), IF(val=0, "", val))</f>
        <v/>
      </c>
      <c r="DI37" s="44" t="str">
        <f t="array" ref="DI37">LET(val, IFERROR(INDEX('Daily 쨈 raw'!$A:$ZZ, MATCH(DI$3, 'Daily 쨈 raw'!$A:$A, 0), MATCH($A37, 'Daily 쨈 raw'!$1:$1, 0)), ""), IF(val=0, "", val))</f>
        <v/>
      </c>
      <c r="DJ37" s="44" t="str">
        <f t="array" ref="DJ37">LET(val, IFERROR(INDEX('Daily 쨈 raw'!$A:$ZZ, MATCH(DJ$3, 'Daily 쨈 raw'!$A:$A, 0), MATCH($A37, 'Daily 쨈 raw'!$1:$1, 0)), ""), IF(val=0, "", val))</f>
        <v/>
      </c>
      <c r="DK37" s="44" t="str">
        <f t="array" ref="DK37">LET(val, IFERROR(INDEX('Daily 쨈 raw'!$A:$ZZ, MATCH(DK$3, 'Daily 쨈 raw'!$A:$A, 0), MATCH($A37, 'Daily 쨈 raw'!$1:$1, 0)), ""), IF(val=0, "", val))</f>
        <v/>
      </c>
      <c r="DL37" s="44" t="str">
        <f t="array" ref="DL37">LET(val, IFERROR(INDEX('Daily 쨈 raw'!$A:$ZZ, MATCH(DL$3, 'Daily 쨈 raw'!$A:$A, 0), MATCH($A37, 'Daily 쨈 raw'!$1:$1, 0)), ""), IF(val=0, "", val))</f>
        <v/>
      </c>
      <c r="DM37" s="44" t="str">
        <f t="array" ref="DM37">LET(val, IFERROR(INDEX('Daily 쨈 raw'!$A:$ZZ, MATCH(DM$3, 'Daily 쨈 raw'!$A:$A, 0), MATCH($A37, 'Daily 쨈 raw'!$1:$1, 0)), ""), IF(val=0, "", val))</f>
        <v/>
      </c>
      <c r="DN37" s="44" t="str">
        <f t="array" ref="DN37">LET(val, IFERROR(INDEX('Daily 쨈 raw'!$A:$ZZ, MATCH(DN$3, 'Daily 쨈 raw'!$A:$A, 0), MATCH($A37, 'Daily 쨈 raw'!$1:$1, 0)), ""), IF(val=0, "", val))</f>
        <v/>
      </c>
      <c r="DO37" s="44" t="str">
        <f t="array" ref="DO37">LET(val, IFERROR(INDEX('Daily 쨈 raw'!$A:$ZZ, MATCH(DO$3, 'Daily 쨈 raw'!$A:$A, 0), MATCH($A37, 'Daily 쨈 raw'!$1:$1, 0)), ""), IF(val=0, "", val))</f>
        <v/>
      </c>
      <c r="DP37" s="44" t="str">
        <f t="array" ref="DP37">LET(val, IFERROR(INDEX('Daily 쨈 raw'!$A:$ZZ, MATCH(DP$3, 'Daily 쨈 raw'!$A:$A, 0), MATCH($A37, 'Daily 쨈 raw'!$1:$1, 0)), ""), IF(val=0, "", val))</f>
        <v/>
      </c>
      <c r="DQ37" s="44" t="str">
        <f t="array" ref="DQ37">LET(val, IFERROR(INDEX('Daily 쨈 raw'!$A:$ZZ, MATCH(DQ$3, 'Daily 쨈 raw'!$A:$A, 0), MATCH($A37, 'Daily 쨈 raw'!$1:$1, 0)), ""), IF(val=0, "", val))</f>
        <v/>
      </c>
      <c r="DR37" s="44" t="str">
        <f t="array" ref="DR37">LET(val, IFERROR(INDEX('Daily 쨈 raw'!$A:$ZZ, MATCH(DR$3, 'Daily 쨈 raw'!$A:$A, 0), MATCH($A37, 'Daily 쨈 raw'!$1:$1, 0)), ""), IF(val=0, "", val))</f>
        <v/>
      </c>
      <c r="DS37" s="44" t="str">
        <f t="array" ref="DS37">LET(val, IFERROR(INDEX('Daily 쨈 raw'!$A:$ZZ, MATCH(DS$3, 'Daily 쨈 raw'!$A:$A, 0), MATCH($A37, 'Daily 쨈 raw'!$1:$1, 0)), ""), IF(val=0, "", val))</f>
        <v/>
      </c>
      <c r="DT37" s="44" t="str">
        <f t="array" ref="DT37">LET(val, IFERROR(INDEX('Daily 쨈 raw'!$A:$ZZ, MATCH(DT$3, 'Daily 쨈 raw'!$A:$A, 0), MATCH($A37, 'Daily 쨈 raw'!$1:$1, 0)), ""), IF(val=0, "", val))</f>
        <v/>
      </c>
      <c r="DU37" s="44" t="str">
        <f t="array" ref="DU37">LET(val, IFERROR(INDEX('Daily 쨈 raw'!$A:$ZZ, MATCH(DU$3, 'Daily 쨈 raw'!$A:$A, 0), MATCH($A37, 'Daily 쨈 raw'!$1:$1, 0)), ""), IF(val=0, "", val))</f>
        <v/>
      </c>
      <c r="DV37" s="44" t="str">
        <f t="array" ref="DV37">LET(val, IFERROR(INDEX('Daily 쨈 raw'!$A:$ZZ, MATCH(DV$3, 'Daily 쨈 raw'!$A:$A, 0), MATCH($A37, 'Daily 쨈 raw'!$1:$1, 0)), ""), IF(val=0, "", val))</f>
        <v/>
      </c>
      <c r="DW37" s="44" t="str">
        <f t="array" ref="DW37">LET(val, IFERROR(INDEX('Daily 쨈 raw'!$A:$ZZ, MATCH(DW$3, 'Daily 쨈 raw'!$A:$A, 0), MATCH($A37, 'Daily 쨈 raw'!$1:$1, 0)), ""), IF(val=0, "", val))</f>
        <v/>
      </c>
      <c r="DX37" s="57"/>
      <c r="DY37" s="57"/>
      <c r="DZ37" s="57"/>
    </row>
    <row r="38" ht="22.5" customHeight="1">
      <c r="A38" s="16" t="s">
        <v>52</v>
      </c>
      <c r="B38" s="17" t="s">
        <v>22</v>
      </c>
      <c r="C38" s="44">
        <f t="array" ref="C38">LET(val, IFERROR(INDEX('Daily 쨈 raw'!$A:$ZZ, MATCH(C$3, 'Daily 쨈 raw'!$A:$A, 0), MATCH($A38, 'Daily 쨈 raw'!$1:$1, 0)), ""), IF(val=0, "", val))</f>
        <v>3192</v>
      </c>
      <c r="D38" s="44">
        <f t="array" ref="D38">LET(val, IFERROR(INDEX('Daily 쨈 raw'!$A:$ZZ, MATCH(D$3, 'Daily 쨈 raw'!$A:$A, 0), MATCH($A38, 'Daily 쨈 raw'!$1:$1, 0)), ""), IF(val=0, "", val))</f>
        <v>3235</v>
      </c>
      <c r="E38" s="44">
        <f t="array" ref="E38">LET(val, IFERROR(INDEX('Daily 쨈 raw'!$A:$ZZ, MATCH(E$3, 'Daily 쨈 raw'!$A:$A, 0), MATCH($A38, 'Daily 쨈 raw'!$1:$1, 0)), ""), IF(val=0, "", val))</f>
        <v>3124</v>
      </c>
      <c r="F38" s="44">
        <f t="array" ref="F38">LET(val, IFERROR(INDEX('Daily 쨈 raw'!$A:$ZZ, MATCH(F$3, 'Daily 쨈 raw'!$A:$A, 0), MATCH($A38, 'Daily 쨈 raw'!$1:$1, 0)), ""), IF(val=0, "", val))</f>
        <v>2841</v>
      </c>
      <c r="G38" s="44">
        <f t="array" ref="G38">LET(val, IFERROR(INDEX('Daily 쨈 raw'!$A:$ZZ, MATCH(G$3, 'Daily 쨈 raw'!$A:$A, 0), MATCH($A38, 'Daily 쨈 raw'!$1:$1, 0)), ""), IF(val=0, "", val))</f>
        <v>2808</v>
      </c>
      <c r="H38" s="44">
        <f t="array" ref="H38">LET(val, IFERROR(INDEX('Daily 쨈 raw'!$A:$ZZ, MATCH(H$3, 'Daily 쨈 raw'!$A:$A, 0), MATCH($A38, 'Daily 쨈 raw'!$1:$1, 0)), ""), IF(val=0, "", val))</f>
        <v>1801</v>
      </c>
      <c r="I38" s="44">
        <f t="array" ref="I38">LET(val, IFERROR(INDEX('Daily 쨈 raw'!$A:$ZZ, MATCH(I$3, 'Daily 쨈 raw'!$A:$A, 0), MATCH($A38, 'Daily 쨈 raw'!$1:$1, 0)), ""), IF(val=0, "", val))</f>
        <v>2213</v>
      </c>
      <c r="J38" s="44">
        <f t="array" ref="J38">LET(val, IFERROR(INDEX('Daily 쨈 raw'!$A:$ZZ, MATCH(J$3, 'Daily 쨈 raw'!$A:$A, 0), MATCH($A38, 'Daily 쨈 raw'!$1:$1, 0)), ""), IF(val=0, "", val))</f>
        <v>1885</v>
      </c>
      <c r="K38" s="44">
        <f t="array" ref="K38">LET(val, IFERROR(INDEX('Daily 쨈 raw'!$A:$ZZ, MATCH(K$3, 'Daily 쨈 raw'!$A:$A, 0), MATCH($A38, 'Daily 쨈 raw'!$1:$1, 0)), ""), IF(val=0, "", val))</f>
        <v>988</v>
      </c>
      <c r="L38" s="44">
        <f t="array" ref="L38">LET(val, IFERROR(INDEX('Daily 쨈 raw'!$A:$ZZ, MATCH(L$3, 'Daily 쨈 raw'!$A:$A, 0), MATCH($A38, 'Daily 쨈 raw'!$1:$1, 0)), ""), IF(val=0, "", val))</f>
        <v>880</v>
      </c>
      <c r="M38" s="44">
        <f t="array" ref="M38">LET(val, IFERROR(INDEX('Daily 쨈 raw'!$A:$ZZ, MATCH(M$3, 'Daily 쨈 raw'!$A:$A, 0), MATCH($A38, 'Daily 쨈 raw'!$1:$1, 0)), ""), IF(val=0, "", val))</f>
        <v>833</v>
      </c>
      <c r="N38" s="44">
        <f t="array" ref="N38">LET(val, IFERROR(INDEX('Daily 쨈 raw'!$A:$ZZ, MATCH(N$3, 'Daily 쨈 raw'!$A:$A, 0), MATCH($A38, 'Daily 쨈 raw'!$1:$1, 0)), ""), IF(val=0, "", val))</f>
        <v>771</v>
      </c>
      <c r="O38" s="44">
        <f t="array" ref="O38">LET(val, IFERROR(INDEX('Daily 쨈 raw'!$A:$ZZ, MATCH(O$3, 'Daily 쨈 raw'!$A:$A, 0), MATCH($A38, 'Daily 쨈 raw'!$1:$1, 0)), ""), IF(val=0, "", val))</f>
        <v>641</v>
      </c>
      <c r="P38" s="44">
        <f t="array" ref="P38">LET(val, IFERROR(INDEX('Daily 쨈 raw'!$A:$ZZ, MATCH(P$3, 'Daily 쨈 raw'!$A:$A, 0), MATCH($A38, 'Daily 쨈 raw'!$1:$1, 0)), ""), IF(val=0, "", val))</f>
        <v>619</v>
      </c>
      <c r="Q38" s="44">
        <f t="array" ref="Q38">LET(val, IFERROR(INDEX('Daily 쨈 raw'!$A:$ZZ, MATCH(Q$3, 'Daily 쨈 raw'!$A:$A, 0), MATCH($A38, 'Daily 쨈 raw'!$1:$1, 0)), ""), IF(val=0, "", val))</f>
        <v>569</v>
      </c>
      <c r="R38" s="44">
        <f t="array" ref="R38">LET(val, IFERROR(INDEX('Daily 쨈 raw'!$A:$ZZ, MATCH(R$3, 'Daily 쨈 raw'!$A:$A, 0), MATCH($A38, 'Daily 쨈 raw'!$1:$1, 0)), ""), IF(val=0, "", val))</f>
        <v>712</v>
      </c>
      <c r="S38" s="44">
        <f t="array" ref="S38">LET(val, IFERROR(INDEX('Daily 쨈 raw'!$A:$ZZ, MATCH(S$3, 'Daily 쨈 raw'!$A:$A, 0), MATCH($A38, 'Daily 쨈 raw'!$1:$1, 0)), ""), IF(val=0, "", val))</f>
        <v>770</v>
      </c>
      <c r="T38" s="44">
        <f t="array" ref="T38">LET(val, IFERROR(INDEX('Daily 쨈 raw'!$A:$ZZ, MATCH(T$3, 'Daily 쨈 raw'!$A:$A, 0), MATCH($A38, 'Daily 쨈 raw'!$1:$1, 0)), ""), IF(val=0, "", val))</f>
        <v>664</v>
      </c>
      <c r="U38" s="44">
        <f t="array" ref="U38">LET(val, IFERROR(INDEX('Daily 쨈 raw'!$A:$ZZ, MATCH(U$3, 'Daily 쨈 raw'!$A:$A, 0), MATCH($A38, 'Daily 쨈 raw'!$1:$1, 0)), ""), IF(val=0, "", val))</f>
        <v>689</v>
      </c>
      <c r="V38" s="44">
        <f t="array" ref="V38">LET(val, IFERROR(INDEX('Daily 쨈 raw'!$A:$ZZ, MATCH(V$3, 'Daily 쨈 raw'!$A:$A, 0), MATCH($A38, 'Daily 쨈 raw'!$1:$1, 0)), ""), IF(val=0, "", val))</f>
        <v>734</v>
      </c>
      <c r="W38" s="44">
        <f t="array" ref="W38">LET(val, IFERROR(INDEX('Daily 쨈 raw'!$A:$ZZ, MATCH(W$3, 'Daily 쨈 raw'!$A:$A, 0), MATCH($A38, 'Daily 쨈 raw'!$1:$1, 0)), ""), IF(val=0, "", val))</f>
        <v>877</v>
      </c>
      <c r="X38" s="44">
        <f t="array" ref="X38">LET(val, IFERROR(INDEX('Daily 쨈 raw'!$A:$ZZ, MATCH(X$3, 'Daily 쨈 raw'!$A:$A, 0), MATCH($A38, 'Daily 쨈 raw'!$1:$1, 0)), ""), IF(val=0, "", val))</f>
        <v>735</v>
      </c>
      <c r="Y38" s="44">
        <f t="array" ref="Y38">LET(val, IFERROR(INDEX('Daily 쨈 raw'!$A:$ZZ, MATCH(Y$3, 'Daily 쨈 raw'!$A:$A, 0), MATCH($A38, 'Daily 쨈 raw'!$1:$1, 0)), ""), IF(val=0, "", val))</f>
        <v>697</v>
      </c>
      <c r="Z38" s="44">
        <f t="array" ref="Z38">LET(val, IFERROR(INDEX('Daily 쨈 raw'!$A:$ZZ, MATCH(Z$3, 'Daily 쨈 raw'!$A:$A, 0), MATCH($A38, 'Daily 쨈 raw'!$1:$1, 0)), ""), IF(val=0, "", val))</f>
        <v>709</v>
      </c>
      <c r="AA38" s="44">
        <f t="array" ref="AA38">LET(val, IFERROR(INDEX('Daily 쨈 raw'!$A:$ZZ, MATCH(AA$3, 'Daily 쨈 raw'!$A:$A, 0), MATCH($A38, 'Daily 쨈 raw'!$1:$1, 0)), ""), IF(val=0, "", val))</f>
        <v>660</v>
      </c>
      <c r="AB38" s="44">
        <f t="array" ref="AB38">LET(val, IFERROR(INDEX('Daily 쨈 raw'!$A:$ZZ, MATCH(AB$3, 'Daily 쨈 raw'!$A:$A, 0), MATCH($A38, 'Daily 쨈 raw'!$1:$1, 0)), ""), IF(val=0, "", val))</f>
        <v>511</v>
      </c>
      <c r="AC38" s="44">
        <f t="array" ref="AC38">LET(val, IFERROR(INDEX('Daily 쨈 raw'!$A:$ZZ, MATCH(AC$3, 'Daily 쨈 raw'!$A:$A, 0), MATCH($A38, 'Daily 쨈 raw'!$1:$1, 0)), ""), IF(val=0, "", val))</f>
        <v>609</v>
      </c>
      <c r="AD38" s="44">
        <f t="array" ref="AD38">LET(val, IFERROR(INDEX('Daily 쨈 raw'!$A:$ZZ, MATCH(AD$3, 'Daily 쨈 raw'!$A:$A, 0), MATCH($A38, 'Daily 쨈 raw'!$1:$1, 0)), ""), IF(val=0, "", val))</f>
        <v>642</v>
      </c>
      <c r="AE38" s="44">
        <f t="array" ref="AE38">LET(val, IFERROR(INDEX('Daily 쨈 raw'!$A:$ZZ, MATCH(AE$3, 'Daily 쨈 raw'!$A:$A, 0), MATCH($A38, 'Daily 쨈 raw'!$1:$1, 0)), ""), IF(val=0, "", val))</f>
        <v>681</v>
      </c>
      <c r="AF38" s="44">
        <f t="array" ref="AF38">LET(val, IFERROR(INDEX('Daily 쨈 raw'!$A:$ZZ, MATCH(AF$3, 'Daily 쨈 raw'!$A:$A, 0), MATCH($A38, 'Daily 쨈 raw'!$1:$1, 0)), ""), IF(val=0, "", val))</f>
        <v>582</v>
      </c>
      <c r="AG38" s="44">
        <f t="array" ref="AG38">LET(val, IFERROR(INDEX('Daily 쨈 raw'!$A:$ZZ, MATCH(AG$3, 'Daily 쨈 raw'!$A:$A, 0), MATCH($A38, 'Daily 쨈 raw'!$1:$1, 0)), ""), IF(val=0, "", val))</f>
        <v>1333</v>
      </c>
      <c r="AH38" s="44">
        <f t="array" ref="AH38">LET(val, IFERROR(INDEX('Daily 쨈 raw'!$A:$ZZ, MATCH(AH$3, 'Daily 쨈 raw'!$A:$A, 0), MATCH($A38, 'Daily 쨈 raw'!$1:$1, 0)), ""), IF(val=0, "", val))</f>
        <v>1507</v>
      </c>
      <c r="AI38" s="44">
        <f t="array" ref="AI38">LET(val, IFERROR(INDEX('Daily 쨈 raw'!$A:$ZZ, MATCH(AI$3, 'Daily 쨈 raw'!$A:$A, 0), MATCH($A38, 'Daily 쨈 raw'!$1:$1, 0)), ""), IF(val=0, "", val))</f>
        <v>852</v>
      </c>
      <c r="AJ38" s="44">
        <f t="array" ref="AJ38">LET(val, IFERROR(INDEX('Daily 쨈 raw'!$A:$ZZ, MATCH(AJ$3, 'Daily 쨈 raw'!$A:$A, 0), MATCH($A38, 'Daily 쨈 raw'!$1:$1, 0)), ""), IF(val=0, "", val))</f>
        <v>794</v>
      </c>
      <c r="AK38" s="44">
        <f t="array" ref="AK38">LET(val, IFERROR(INDEX('Daily 쨈 raw'!$A:$ZZ, MATCH(AK$3, 'Daily 쨈 raw'!$A:$A, 0), MATCH($A38, 'Daily 쨈 raw'!$1:$1, 0)), ""), IF(val=0, "", val))</f>
        <v>965</v>
      </c>
      <c r="AL38" s="44">
        <f t="array" ref="AL38">LET(val, IFERROR(INDEX('Daily 쨈 raw'!$A:$ZZ, MATCH(AL$3, 'Daily 쨈 raw'!$A:$A, 0), MATCH($A38, 'Daily 쨈 raw'!$1:$1, 0)), ""), IF(val=0, "", val))</f>
        <v>847</v>
      </c>
      <c r="AM38" s="44">
        <f t="array" ref="AM38">LET(val, IFERROR(INDEX('Daily 쨈 raw'!$A:$ZZ, MATCH(AM$3, 'Daily 쨈 raw'!$A:$A, 0), MATCH($A38, 'Daily 쨈 raw'!$1:$1, 0)), ""), IF(val=0, "", val))</f>
        <v>916</v>
      </c>
      <c r="AN38" s="44">
        <f t="array" ref="AN38">LET(val, IFERROR(INDEX('Daily 쨈 raw'!$A:$ZZ, MATCH(AN$3, 'Daily 쨈 raw'!$A:$A, 0), MATCH($A38, 'Daily 쨈 raw'!$1:$1, 0)), ""), IF(val=0, "", val))</f>
        <v>922</v>
      </c>
      <c r="AO38" s="44">
        <f t="array" ref="AO38">LET(val, IFERROR(INDEX('Daily 쨈 raw'!$A:$ZZ, MATCH(AO$3, 'Daily 쨈 raw'!$A:$A, 0), MATCH($A38, 'Daily 쨈 raw'!$1:$1, 0)), ""), IF(val=0, "", val))</f>
        <v>1350</v>
      </c>
      <c r="AP38" s="44">
        <f t="array" ref="AP38">LET(val, IFERROR(INDEX('Daily 쨈 raw'!$A:$ZZ, MATCH(AP$3, 'Daily 쨈 raw'!$A:$A, 0), MATCH($A38, 'Daily 쨈 raw'!$1:$1, 0)), ""), IF(val=0, "", val))</f>
        <v>738</v>
      </c>
      <c r="AQ38" s="44">
        <f t="array" ref="AQ38">LET(val, IFERROR(INDEX('Daily 쨈 raw'!$A:$ZZ, MATCH(AQ$3, 'Daily 쨈 raw'!$A:$A, 0), MATCH($A38, 'Daily 쨈 raw'!$1:$1, 0)), ""), IF(val=0, "", val))</f>
        <v>1053</v>
      </c>
      <c r="AR38" s="44">
        <f t="array" ref="AR38">LET(val, IFERROR(INDEX('Daily 쨈 raw'!$A:$ZZ, MATCH(AR$3, 'Daily 쨈 raw'!$A:$A, 0), MATCH($A38, 'Daily 쨈 raw'!$1:$1, 0)), ""), IF(val=0, "", val))</f>
        <v>840</v>
      </c>
      <c r="AS38" s="44">
        <f t="array" ref="AS38">LET(val, IFERROR(INDEX('Daily 쨈 raw'!$A:$ZZ, MATCH(AS$3, 'Daily 쨈 raw'!$A:$A, 0), MATCH($A38, 'Daily 쨈 raw'!$1:$1, 0)), ""), IF(val=0, "", val))</f>
        <v>772</v>
      </c>
      <c r="AT38" s="44">
        <f t="array" ref="AT38">LET(val, IFERROR(INDEX('Daily 쨈 raw'!$A:$ZZ, MATCH(AT$3, 'Daily 쨈 raw'!$A:$A, 0), MATCH($A38, 'Daily 쨈 raw'!$1:$1, 0)), ""), IF(val=0, "", val))</f>
        <v>726</v>
      </c>
      <c r="AU38" s="44">
        <f t="array" ref="AU38">LET(val, IFERROR(INDEX('Daily 쨈 raw'!$A:$ZZ, MATCH(AU$3, 'Daily 쨈 raw'!$A:$A, 0), MATCH($A38, 'Daily 쨈 raw'!$1:$1, 0)), ""), IF(val=0, "", val))</f>
        <v>811</v>
      </c>
      <c r="AV38" s="44">
        <f t="array" ref="AV38">LET(val, IFERROR(INDEX('Daily 쨈 raw'!$A:$ZZ, MATCH(AV$3, 'Daily 쨈 raw'!$A:$A, 0), MATCH($A38, 'Daily 쨈 raw'!$1:$1, 0)), ""), IF(val=0, "", val))</f>
        <v>726</v>
      </c>
      <c r="AW38" s="44">
        <f t="array" ref="AW38">LET(val, IFERROR(INDEX('Daily 쨈 raw'!$A:$ZZ, MATCH(AW$3, 'Daily 쨈 raw'!$A:$A, 0), MATCH($A38, 'Daily 쨈 raw'!$1:$1, 0)), ""), IF(val=0, "", val))</f>
        <v>686</v>
      </c>
      <c r="AX38" s="44">
        <f t="array" ref="AX38">LET(val, IFERROR(INDEX('Daily 쨈 raw'!$A:$ZZ, MATCH(AX$3, 'Daily 쨈 raw'!$A:$A, 0), MATCH($A38, 'Daily 쨈 raw'!$1:$1, 0)), ""), IF(val=0, "", val))</f>
        <v>794</v>
      </c>
      <c r="AY38" s="44">
        <f t="array" ref="AY38">LET(val, IFERROR(INDEX('Daily 쨈 raw'!$A:$ZZ, MATCH(AY$3, 'Daily 쨈 raw'!$A:$A, 0), MATCH($A38, 'Daily 쨈 raw'!$1:$1, 0)), ""), IF(val=0, "", val))</f>
        <v>862</v>
      </c>
      <c r="AZ38" s="44">
        <f t="array" ref="AZ38">LET(val, IFERROR(INDEX('Daily 쨈 raw'!$A:$ZZ, MATCH(AZ$3, 'Daily 쨈 raw'!$A:$A, 0), MATCH($A38, 'Daily 쨈 raw'!$1:$1, 0)), ""), IF(val=0, "", val))</f>
        <v>737</v>
      </c>
      <c r="BA38" s="44">
        <f t="array" ref="BA38">LET(val, IFERROR(INDEX('Daily 쨈 raw'!$A:$ZZ, MATCH(BA$3, 'Daily 쨈 raw'!$A:$A, 0), MATCH($A38, 'Daily 쨈 raw'!$1:$1, 0)), ""), IF(val=0, "", val))</f>
        <v>635</v>
      </c>
      <c r="BB38" s="44">
        <f t="array" ref="BB38">LET(val, IFERROR(INDEX('Daily 쨈 raw'!$A:$ZZ, MATCH(BB$3, 'Daily 쨈 raw'!$A:$A, 0), MATCH($A38, 'Daily 쨈 raw'!$1:$1, 0)), ""), IF(val=0, "", val))</f>
        <v>650</v>
      </c>
      <c r="BC38" s="44">
        <f t="array" ref="BC38">LET(val, IFERROR(INDEX('Daily 쨈 raw'!$A:$ZZ, MATCH(BC$3, 'Daily 쨈 raw'!$A:$A, 0), MATCH($A38, 'Daily 쨈 raw'!$1:$1, 0)), ""), IF(val=0, "", val))</f>
        <v>471</v>
      </c>
      <c r="BD38" s="44">
        <f t="array" ref="BD38">LET(val, IFERROR(INDEX('Daily 쨈 raw'!$A:$ZZ, MATCH(BD$3, 'Daily 쨈 raw'!$A:$A, 0), MATCH($A38, 'Daily 쨈 raw'!$1:$1, 0)), ""), IF(val=0, "", val))</f>
        <v>547</v>
      </c>
      <c r="BE38" s="44">
        <f t="array" ref="BE38">LET(val, IFERROR(INDEX('Daily 쨈 raw'!$A:$ZZ, MATCH(BE$3, 'Daily 쨈 raw'!$A:$A, 0), MATCH($A38, 'Daily 쨈 raw'!$1:$1, 0)), ""), IF(val=0, "", val))</f>
        <v>805</v>
      </c>
      <c r="BF38" s="44">
        <f t="array" ref="BF38">LET(val, IFERROR(INDEX('Daily 쨈 raw'!$A:$ZZ, MATCH(BF$3, 'Daily 쨈 raw'!$A:$A, 0), MATCH($A38, 'Daily 쨈 raw'!$1:$1, 0)), ""), IF(val=0, "", val))</f>
        <v>498</v>
      </c>
      <c r="BG38" s="44">
        <f t="array" ref="BG38">LET(val, IFERROR(INDEX('Daily 쨈 raw'!$A:$ZZ, MATCH(BG$3, 'Daily 쨈 raw'!$A:$A, 0), MATCH($A38, 'Daily 쨈 raw'!$1:$1, 0)), ""), IF(val=0, "", val))</f>
        <v>674</v>
      </c>
      <c r="BH38" s="44">
        <f t="array" ref="BH38">LET(val, IFERROR(INDEX('Daily 쨈 raw'!$A:$ZZ, MATCH(BH$3, 'Daily 쨈 raw'!$A:$A, 0), MATCH($A38, 'Daily 쨈 raw'!$1:$1, 0)), ""), IF(val=0, "", val))</f>
        <v>628</v>
      </c>
      <c r="BI38" s="44">
        <f t="array" ref="BI38">LET(val, IFERROR(INDEX('Daily 쨈 raw'!$A:$ZZ, MATCH(BI$3, 'Daily 쨈 raw'!$A:$A, 0), MATCH($A38, 'Daily 쨈 raw'!$1:$1, 0)), ""), IF(val=0, "", val))</f>
        <v>633</v>
      </c>
      <c r="BJ38" s="44">
        <f t="array" ref="BJ38">LET(val, IFERROR(INDEX('Daily 쨈 raw'!$A:$ZZ, MATCH(BJ$3, 'Daily 쨈 raw'!$A:$A, 0), MATCH($A38, 'Daily 쨈 raw'!$1:$1, 0)), ""), IF(val=0, "", val))</f>
        <v>731</v>
      </c>
      <c r="BK38" s="44">
        <f t="array" ref="BK38">LET(val, IFERROR(INDEX('Daily 쨈 raw'!$A:$ZZ, MATCH(BK$3, 'Daily 쨈 raw'!$A:$A, 0), MATCH($A38, 'Daily 쨈 raw'!$1:$1, 0)), ""), IF(val=0, "", val))</f>
        <v>713</v>
      </c>
      <c r="BL38" s="44">
        <f t="array" ref="BL38">LET(val, IFERROR(INDEX('Daily 쨈 raw'!$A:$ZZ, MATCH(BL$3, 'Daily 쨈 raw'!$A:$A, 0), MATCH($A38, 'Daily 쨈 raw'!$1:$1, 0)), ""), IF(val=0, "", val))</f>
        <v>782</v>
      </c>
      <c r="BM38" s="44">
        <f t="array" ref="BM38">LET(val, IFERROR(INDEX('Daily 쨈 raw'!$A:$ZZ, MATCH(BM$3, 'Daily 쨈 raw'!$A:$A, 0), MATCH($A38, 'Daily 쨈 raw'!$1:$1, 0)), ""), IF(val=0, "", val))</f>
        <v>743</v>
      </c>
      <c r="BN38" s="44">
        <f t="array" ref="BN38">LET(val, IFERROR(INDEX('Daily 쨈 raw'!$A:$ZZ, MATCH(BN$3, 'Daily 쨈 raw'!$A:$A, 0), MATCH($A38, 'Daily 쨈 raw'!$1:$1, 0)), ""), IF(val=0, "", val))</f>
        <v>432</v>
      </c>
      <c r="BO38" s="44">
        <f t="array" ref="BO38">LET(val, IFERROR(INDEX('Daily 쨈 raw'!$A:$ZZ, MATCH(BO$3, 'Daily 쨈 raw'!$A:$A, 0), MATCH($A38, 'Daily 쨈 raw'!$1:$1, 0)), ""), IF(val=0, "", val))</f>
        <v>686</v>
      </c>
      <c r="BP38" s="44">
        <f t="array" ref="BP38">LET(val, IFERROR(INDEX('Daily 쨈 raw'!$A:$ZZ, MATCH(BP$3, 'Daily 쨈 raw'!$A:$A, 0), MATCH($A38, 'Daily 쨈 raw'!$1:$1, 0)), ""), IF(val=0, "", val))</f>
        <v>714</v>
      </c>
      <c r="BQ38" s="44">
        <f t="array" ref="BQ38">LET(val, IFERROR(INDEX('Daily 쨈 raw'!$A:$ZZ, MATCH(BQ$3, 'Daily 쨈 raw'!$A:$A, 0), MATCH($A38, 'Daily 쨈 raw'!$1:$1, 0)), ""), IF(val=0, "", val))</f>
        <v>569</v>
      </c>
      <c r="BR38" s="44">
        <f t="array" ref="BR38">LET(val, IFERROR(INDEX('Daily 쨈 raw'!$A:$ZZ, MATCH(BR$3, 'Daily 쨈 raw'!$A:$A, 0), MATCH($A38, 'Daily 쨈 raw'!$1:$1, 0)), ""), IF(val=0, "", val))</f>
        <v>356</v>
      </c>
      <c r="BS38" s="44">
        <f t="array" ref="BS38">LET(val, IFERROR(INDEX('Daily 쨈 raw'!$A:$ZZ, MATCH(BS$3, 'Daily 쨈 raw'!$A:$A, 0), MATCH($A38, 'Daily 쨈 raw'!$1:$1, 0)), ""), IF(val=0, "", val))</f>
        <v>663</v>
      </c>
      <c r="BT38" s="44">
        <f t="array" ref="BT38">LET(val, IFERROR(INDEX('Daily 쨈 raw'!$A:$ZZ, MATCH(BT$3, 'Daily 쨈 raw'!$A:$A, 0), MATCH($A38, 'Daily 쨈 raw'!$1:$1, 0)), ""), IF(val=0, "", val))</f>
        <v>765</v>
      </c>
      <c r="BU38" s="44">
        <f t="array" ref="BU38">LET(val, IFERROR(INDEX('Daily 쨈 raw'!$A:$ZZ, MATCH(BU$3, 'Daily 쨈 raw'!$A:$A, 0), MATCH($A38, 'Daily 쨈 raw'!$1:$1, 0)), ""), IF(val=0, "", val))</f>
        <v>690</v>
      </c>
      <c r="BV38" s="44">
        <f t="array" ref="BV38">LET(val, IFERROR(INDEX('Daily 쨈 raw'!$A:$ZZ, MATCH(BV$3, 'Daily 쨈 raw'!$A:$A, 0), MATCH($A38, 'Daily 쨈 raw'!$1:$1, 0)), ""), IF(val=0, "", val))</f>
        <v>627</v>
      </c>
      <c r="BW38" s="44">
        <f t="array" ref="BW38">LET(val, IFERROR(INDEX('Daily 쨈 raw'!$A:$ZZ, MATCH(BW$3, 'Daily 쨈 raw'!$A:$A, 0), MATCH($A38, 'Daily 쨈 raw'!$1:$1, 0)), ""), IF(val=0, "", val))</f>
        <v>539</v>
      </c>
      <c r="BX38" s="44">
        <f t="array" ref="BX38">LET(val, IFERROR(INDEX('Daily 쨈 raw'!$A:$ZZ, MATCH(BX$3, 'Daily 쨈 raw'!$A:$A, 0), MATCH($A38, 'Daily 쨈 raw'!$1:$1, 0)), ""), IF(val=0, "", val))</f>
        <v>495</v>
      </c>
      <c r="BY38" s="44">
        <f t="array" ref="BY38">LET(val, IFERROR(INDEX('Daily 쨈 raw'!$A:$ZZ, MATCH(BY$3, 'Daily 쨈 raw'!$A:$A, 0), MATCH($A38, 'Daily 쨈 raw'!$1:$1, 0)), ""), IF(val=0, "", val))</f>
        <v>524</v>
      </c>
      <c r="BZ38" s="44">
        <f t="array" ref="BZ38">LET(val, IFERROR(INDEX('Daily 쨈 raw'!$A:$ZZ, MATCH(BZ$3, 'Daily 쨈 raw'!$A:$A, 0), MATCH($A38, 'Daily 쨈 raw'!$1:$1, 0)), ""), IF(val=0, "", val))</f>
        <v>581</v>
      </c>
      <c r="CA38" s="44">
        <f t="array" ref="CA38">LET(val, IFERROR(INDEX('Daily 쨈 raw'!$A:$ZZ, MATCH(CA$3, 'Daily 쨈 raw'!$A:$A, 0), MATCH($A38, 'Daily 쨈 raw'!$1:$1, 0)), ""), IF(val=0, "", val))</f>
        <v>604</v>
      </c>
      <c r="CB38" s="44">
        <f t="array" ref="CB38">LET(val, IFERROR(INDEX('Daily 쨈 raw'!$A:$ZZ, MATCH(CB$3, 'Daily 쨈 raw'!$A:$A, 0), MATCH($A38, 'Daily 쨈 raw'!$1:$1, 0)), ""), IF(val=0, "", val))</f>
        <v>188</v>
      </c>
      <c r="CC38" s="44">
        <f t="array" ref="CC38">LET(val, IFERROR(INDEX('Daily 쨈 raw'!$A:$ZZ, MATCH(CC$3, 'Daily 쨈 raw'!$A:$A, 0), MATCH($A38, 'Daily 쨈 raw'!$1:$1, 0)), ""), IF(val=0, "", val))</f>
        <v>283</v>
      </c>
      <c r="CD38" s="44">
        <f t="array" ref="CD38">LET(val, IFERROR(INDEX('Daily 쨈 raw'!$A:$ZZ, MATCH(CD$3, 'Daily 쨈 raw'!$A:$A, 0), MATCH($A38, 'Daily 쨈 raw'!$1:$1, 0)), ""), IF(val=0, "", val))</f>
        <v>260</v>
      </c>
      <c r="CE38" s="44">
        <f t="array" ref="CE38">LET(val, IFERROR(INDEX('Daily 쨈 raw'!$A:$ZZ, MATCH(CE$3, 'Daily 쨈 raw'!$A:$A, 0), MATCH($A38, 'Daily 쨈 raw'!$1:$1, 0)), ""), IF(val=0, "", val))</f>
        <v>290</v>
      </c>
      <c r="CF38" s="44">
        <f t="array" ref="CF38">LET(val, IFERROR(INDEX('Daily 쨈 raw'!$A:$ZZ, MATCH(CF$3, 'Daily 쨈 raw'!$A:$A, 0), MATCH($A38, 'Daily 쨈 raw'!$1:$1, 0)), ""), IF(val=0, "", val))</f>
        <v>307</v>
      </c>
      <c r="CG38" s="44">
        <f t="array" ref="CG38">LET(val, IFERROR(INDEX('Daily 쨈 raw'!$A:$ZZ, MATCH(CG$3, 'Daily 쨈 raw'!$A:$A, 0), MATCH($A38, 'Daily 쨈 raw'!$1:$1, 0)), ""), IF(val=0, "", val))</f>
        <v>305</v>
      </c>
      <c r="CH38" s="44">
        <f t="array" ref="CH38">LET(val, IFERROR(INDEX('Daily 쨈 raw'!$A:$ZZ, MATCH(CH$3, 'Daily 쨈 raw'!$A:$A, 0), MATCH($A38, 'Daily 쨈 raw'!$1:$1, 0)), ""), IF(val=0, "", val))</f>
        <v>331</v>
      </c>
      <c r="CI38" s="44">
        <f t="array" ref="CI38">LET(val, IFERROR(INDEX('Daily 쨈 raw'!$A:$ZZ, MATCH(CI$3, 'Daily 쨈 raw'!$A:$A, 0), MATCH($A38, 'Daily 쨈 raw'!$1:$1, 0)), ""), IF(val=0, "", val))</f>
        <v>240</v>
      </c>
      <c r="CJ38" s="44">
        <f t="array" ref="CJ38">LET(val, IFERROR(INDEX('Daily 쨈 raw'!$A:$ZZ, MATCH(CJ$3, 'Daily 쨈 raw'!$A:$A, 0), MATCH($A38, 'Daily 쨈 raw'!$1:$1, 0)), ""), IF(val=0, "", val))</f>
        <v>372</v>
      </c>
      <c r="CK38" s="44">
        <f t="array" ref="CK38">LET(val, IFERROR(INDEX('Daily 쨈 raw'!$A:$ZZ, MATCH(CK$3, 'Daily 쨈 raw'!$A:$A, 0), MATCH($A38, 'Daily 쨈 raw'!$1:$1, 0)), ""), IF(val=0, "", val))</f>
        <v>376</v>
      </c>
      <c r="CL38" s="44">
        <f t="array" ref="CL38">LET(val, IFERROR(INDEX('Daily 쨈 raw'!$A:$ZZ, MATCH(CL$3, 'Daily 쨈 raw'!$A:$A, 0), MATCH($A38, 'Daily 쨈 raw'!$1:$1, 0)), ""), IF(val=0, "", val))</f>
        <v>335</v>
      </c>
      <c r="CM38" s="44">
        <f t="array" ref="CM38">LET(val, IFERROR(INDEX('Daily 쨈 raw'!$A:$ZZ, MATCH(CM$3, 'Daily 쨈 raw'!$A:$A, 0), MATCH($A38, 'Daily 쨈 raw'!$1:$1, 0)), ""), IF(val=0, "", val))</f>
        <v>384</v>
      </c>
      <c r="CN38" s="44">
        <f t="array" ref="CN38">LET(val, IFERROR(INDEX('Daily 쨈 raw'!$A:$ZZ, MATCH(CN$3, 'Daily 쨈 raw'!$A:$A, 0), MATCH($A38, 'Daily 쨈 raw'!$1:$1, 0)), ""), IF(val=0, "", val))</f>
        <v>364</v>
      </c>
      <c r="CO38" s="44">
        <f t="array" ref="CO38">LET(val, IFERROR(INDEX('Daily 쨈 raw'!$A:$ZZ, MATCH(CO$3, 'Daily 쨈 raw'!$A:$A, 0), MATCH($A38, 'Daily 쨈 raw'!$1:$1, 0)), ""), IF(val=0, "", val))</f>
        <v>418</v>
      </c>
      <c r="CP38" s="44">
        <f t="array" ref="CP38">LET(val, IFERROR(INDEX('Daily 쨈 raw'!$A:$ZZ, MATCH(CP$3, 'Daily 쨈 raw'!$A:$A, 0), MATCH($A38, 'Daily 쨈 raw'!$1:$1, 0)), ""), IF(val=0, "", val))</f>
        <v>374</v>
      </c>
      <c r="CQ38" s="44" t="str">
        <f t="array" ref="CQ38">LET(val, IFERROR(INDEX('Daily 쨈 raw'!$A:$ZZ, MATCH(CQ$3, 'Daily 쨈 raw'!$A:$A, 0), MATCH($A38, 'Daily 쨈 raw'!$1:$1, 0)), ""), IF(val=0, "", val))</f>
        <v/>
      </c>
      <c r="CR38" s="44" t="str">
        <f t="array" ref="CR38">LET(val, IFERROR(INDEX('Daily 쨈 raw'!$A:$ZZ, MATCH(CR$3, 'Daily 쨈 raw'!$A:$A, 0), MATCH($A38, 'Daily 쨈 raw'!$1:$1, 0)), ""), IF(val=0, "", val))</f>
        <v/>
      </c>
      <c r="CS38" s="44" t="str">
        <f t="array" ref="CS38">LET(val, IFERROR(INDEX('Daily 쨈 raw'!$A:$ZZ, MATCH(CS$3, 'Daily 쨈 raw'!$A:$A, 0), MATCH($A38, 'Daily 쨈 raw'!$1:$1, 0)), ""), IF(val=0, "", val))</f>
        <v/>
      </c>
      <c r="CT38" s="44" t="str">
        <f t="array" ref="CT38">LET(val, IFERROR(INDEX('Daily 쨈 raw'!$A:$ZZ, MATCH(CT$3, 'Daily 쨈 raw'!$A:$A, 0), MATCH($A38, 'Daily 쨈 raw'!$1:$1, 0)), ""), IF(val=0, "", val))</f>
        <v/>
      </c>
      <c r="CU38" s="44" t="str">
        <f t="array" ref="CU38">LET(val, IFERROR(INDEX('Daily 쨈 raw'!$A:$ZZ, MATCH(CU$3, 'Daily 쨈 raw'!$A:$A, 0), MATCH($A38, 'Daily 쨈 raw'!$1:$1, 0)), ""), IF(val=0, "", val))</f>
        <v/>
      </c>
      <c r="CV38" s="44" t="str">
        <f t="array" ref="CV38">LET(val, IFERROR(INDEX('Daily 쨈 raw'!$A:$ZZ, MATCH(CV$3, 'Daily 쨈 raw'!$A:$A, 0), MATCH($A38, 'Daily 쨈 raw'!$1:$1, 0)), ""), IF(val=0, "", val))</f>
        <v/>
      </c>
      <c r="CW38" s="44" t="str">
        <f t="array" ref="CW38">LET(val, IFERROR(INDEX('Daily 쨈 raw'!$A:$ZZ, MATCH(CW$3, 'Daily 쨈 raw'!$A:$A, 0), MATCH($A38, 'Daily 쨈 raw'!$1:$1, 0)), ""), IF(val=0, "", val))</f>
        <v/>
      </c>
      <c r="CX38" s="44" t="str">
        <f t="array" ref="CX38">LET(val, IFERROR(INDEX('Daily 쨈 raw'!$A:$ZZ, MATCH(CX$3, 'Daily 쨈 raw'!$A:$A, 0), MATCH($A38, 'Daily 쨈 raw'!$1:$1, 0)), ""), IF(val=0, "", val))</f>
        <v/>
      </c>
      <c r="CY38" s="44" t="str">
        <f t="array" ref="CY38">LET(val, IFERROR(INDEX('Daily 쨈 raw'!$A:$ZZ, MATCH(CY$3, 'Daily 쨈 raw'!$A:$A, 0), MATCH($A38, 'Daily 쨈 raw'!$1:$1, 0)), ""), IF(val=0, "", val))</f>
        <v/>
      </c>
      <c r="CZ38" s="44" t="str">
        <f t="array" ref="CZ38">LET(val, IFERROR(INDEX('Daily 쨈 raw'!$A:$ZZ, MATCH(CZ$3, 'Daily 쨈 raw'!$A:$A, 0), MATCH($A38, 'Daily 쨈 raw'!$1:$1, 0)), ""), IF(val=0, "", val))</f>
        <v/>
      </c>
      <c r="DA38" s="44" t="str">
        <f t="array" ref="DA38">LET(val, IFERROR(INDEX('Daily 쨈 raw'!$A:$ZZ, MATCH(DA$3, 'Daily 쨈 raw'!$A:$A, 0), MATCH($A38, 'Daily 쨈 raw'!$1:$1, 0)), ""), IF(val=0, "", val))</f>
        <v/>
      </c>
      <c r="DB38" s="44" t="str">
        <f t="array" ref="DB38">LET(val, IFERROR(INDEX('Daily 쨈 raw'!$A:$ZZ, MATCH(DB$3, 'Daily 쨈 raw'!$A:$A, 0), MATCH($A38, 'Daily 쨈 raw'!$1:$1, 0)), ""), IF(val=0, "", val))</f>
        <v/>
      </c>
      <c r="DC38" s="44" t="str">
        <f t="array" ref="DC38">LET(val, IFERROR(INDEX('Daily 쨈 raw'!$A:$ZZ, MATCH(DC$3, 'Daily 쨈 raw'!$A:$A, 0), MATCH($A38, 'Daily 쨈 raw'!$1:$1, 0)), ""), IF(val=0, "", val))</f>
        <v/>
      </c>
      <c r="DD38" s="44" t="str">
        <f t="array" ref="DD38">LET(val, IFERROR(INDEX('Daily 쨈 raw'!$A:$ZZ, MATCH(DD$3, 'Daily 쨈 raw'!$A:$A, 0), MATCH($A38, 'Daily 쨈 raw'!$1:$1, 0)), ""), IF(val=0, "", val))</f>
        <v/>
      </c>
      <c r="DE38" s="44" t="str">
        <f t="array" ref="DE38">LET(val, IFERROR(INDEX('Daily 쨈 raw'!$A:$ZZ, MATCH(DE$3, 'Daily 쨈 raw'!$A:$A, 0), MATCH($A38, 'Daily 쨈 raw'!$1:$1, 0)), ""), IF(val=0, "", val))</f>
        <v/>
      </c>
      <c r="DF38" s="44" t="str">
        <f t="array" ref="DF38">LET(val, IFERROR(INDEX('Daily 쨈 raw'!$A:$ZZ, MATCH(DF$3, 'Daily 쨈 raw'!$A:$A, 0), MATCH($A38, 'Daily 쨈 raw'!$1:$1, 0)), ""), IF(val=0, "", val))</f>
        <v/>
      </c>
      <c r="DG38" s="44" t="str">
        <f t="array" ref="DG38">LET(val, IFERROR(INDEX('Daily 쨈 raw'!$A:$ZZ, MATCH(DG$3, 'Daily 쨈 raw'!$A:$A, 0), MATCH($A38, 'Daily 쨈 raw'!$1:$1, 0)), ""), IF(val=0, "", val))</f>
        <v/>
      </c>
      <c r="DH38" s="44" t="str">
        <f t="array" ref="DH38">LET(val, IFERROR(INDEX('Daily 쨈 raw'!$A:$ZZ, MATCH(DH$3, 'Daily 쨈 raw'!$A:$A, 0), MATCH($A38, 'Daily 쨈 raw'!$1:$1, 0)), ""), IF(val=0, "", val))</f>
        <v/>
      </c>
      <c r="DI38" s="44" t="str">
        <f t="array" ref="DI38">LET(val, IFERROR(INDEX('Daily 쨈 raw'!$A:$ZZ, MATCH(DI$3, 'Daily 쨈 raw'!$A:$A, 0), MATCH($A38, 'Daily 쨈 raw'!$1:$1, 0)), ""), IF(val=0, "", val))</f>
        <v/>
      </c>
      <c r="DJ38" s="44" t="str">
        <f t="array" ref="DJ38">LET(val, IFERROR(INDEX('Daily 쨈 raw'!$A:$ZZ, MATCH(DJ$3, 'Daily 쨈 raw'!$A:$A, 0), MATCH($A38, 'Daily 쨈 raw'!$1:$1, 0)), ""), IF(val=0, "", val))</f>
        <v/>
      </c>
      <c r="DK38" s="44" t="str">
        <f t="array" ref="DK38">LET(val, IFERROR(INDEX('Daily 쨈 raw'!$A:$ZZ, MATCH(DK$3, 'Daily 쨈 raw'!$A:$A, 0), MATCH($A38, 'Daily 쨈 raw'!$1:$1, 0)), ""), IF(val=0, "", val))</f>
        <v/>
      </c>
      <c r="DL38" s="44" t="str">
        <f t="array" ref="DL38">LET(val, IFERROR(INDEX('Daily 쨈 raw'!$A:$ZZ, MATCH(DL$3, 'Daily 쨈 raw'!$A:$A, 0), MATCH($A38, 'Daily 쨈 raw'!$1:$1, 0)), ""), IF(val=0, "", val))</f>
        <v/>
      </c>
      <c r="DM38" s="44" t="str">
        <f t="array" ref="DM38">LET(val, IFERROR(INDEX('Daily 쨈 raw'!$A:$ZZ, MATCH(DM$3, 'Daily 쨈 raw'!$A:$A, 0), MATCH($A38, 'Daily 쨈 raw'!$1:$1, 0)), ""), IF(val=0, "", val))</f>
        <v/>
      </c>
      <c r="DN38" s="44" t="str">
        <f t="array" ref="DN38">LET(val, IFERROR(INDEX('Daily 쨈 raw'!$A:$ZZ, MATCH(DN$3, 'Daily 쨈 raw'!$A:$A, 0), MATCH($A38, 'Daily 쨈 raw'!$1:$1, 0)), ""), IF(val=0, "", val))</f>
        <v/>
      </c>
      <c r="DO38" s="44" t="str">
        <f t="array" ref="DO38">LET(val, IFERROR(INDEX('Daily 쨈 raw'!$A:$ZZ, MATCH(DO$3, 'Daily 쨈 raw'!$A:$A, 0), MATCH($A38, 'Daily 쨈 raw'!$1:$1, 0)), ""), IF(val=0, "", val))</f>
        <v/>
      </c>
      <c r="DP38" s="44" t="str">
        <f t="array" ref="DP38">LET(val, IFERROR(INDEX('Daily 쨈 raw'!$A:$ZZ, MATCH(DP$3, 'Daily 쨈 raw'!$A:$A, 0), MATCH($A38, 'Daily 쨈 raw'!$1:$1, 0)), ""), IF(val=0, "", val))</f>
        <v/>
      </c>
      <c r="DQ38" s="44" t="str">
        <f t="array" ref="DQ38">LET(val, IFERROR(INDEX('Daily 쨈 raw'!$A:$ZZ, MATCH(DQ$3, 'Daily 쨈 raw'!$A:$A, 0), MATCH($A38, 'Daily 쨈 raw'!$1:$1, 0)), ""), IF(val=0, "", val))</f>
        <v/>
      </c>
      <c r="DR38" s="44" t="str">
        <f t="array" ref="DR38">LET(val, IFERROR(INDEX('Daily 쨈 raw'!$A:$ZZ, MATCH(DR$3, 'Daily 쨈 raw'!$A:$A, 0), MATCH($A38, 'Daily 쨈 raw'!$1:$1, 0)), ""), IF(val=0, "", val))</f>
        <v/>
      </c>
      <c r="DS38" s="44" t="str">
        <f t="array" ref="DS38">LET(val, IFERROR(INDEX('Daily 쨈 raw'!$A:$ZZ, MATCH(DS$3, 'Daily 쨈 raw'!$A:$A, 0), MATCH($A38, 'Daily 쨈 raw'!$1:$1, 0)), ""), IF(val=0, "", val))</f>
        <v/>
      </c>
      <c r="DT38" s="44" t="str">
        <f t="array" ref="DT38">LET(val, IFERROR(INDEX('Daily 쨈 raw'!$A:$ZZ, MATCH(DT$3, 'Daily 쨈 raw'!$A:$A, 0), MATCH($A38, 'Daily 쨈 raw'!$1:$1, 0)), ""), IF(val=0, "", val))</f>
        <v/>
      </c>
      <c r="DU38" s="44" t="str">
        <f t="array" ref="DU38">LET(val, IFERROR(INDEX('Daily 쨈 raw'!$A:$ZZ, MATCH(DU$3, 'Daily 쨈 raw'!$A:$A, 0), MATCH($A38, 'Daily 쨈 raw'!$1:$1, 0)), ""), IF(val=0, "", val))</f>
        <v/>
      </c>
      <c r="DV38" s="44" t="str">
        <f t="array" ref="DV38">LET(val, IFERROR(INDEX('Daily 쨈 raw'!$A:$ZZ, MATCH(DV$3, 'Daily 쨈 raw'!$A:$A, 0), MATCH($A38, 'Daily 쨈 raw'!$1:$1, 0)), ""), IF(val=0, "", val))</f>
        <v/>
      </c>
      <c r="DW38" s="44" t="str">
        <f t="array" ref="DW38">LET(val, IFERROR(INDEX('Daily 쨈 raw'!$A:$ZZ, MATCH(DW$3, 'Daily 쨈 raw'!$A:$A, 0), MATCH($A38, 'Daily 쨈 raw'!$1:$1, 0)), ""), IF(val=0, "", val))</f>
        <v/>
      </c>
      <c r="DX38" s="57"/>
      <c r="DY38" s="57"/>
      <c r="DZ38" s="57"/>
    </row>
    <row r="39" ht="22.5" customHeight="1">
      <c r="A39" s="16" t="s">
        <v>53</v>
      </c>
      <c r="B39" s="17" t="s">
        <v>47</v>
      </c>
      <c r="C39" s="44">
        <f t="array" ref="C39">LET(val, IFERROR(INDEX('Daily 쨈 raw'!$A:$ZZ, MATCH(C$3, 'Daily 쨈 raw'!$A:$A, 0), MATCH($A39, 'Daily 쨈 raw'!$1:$1, 0)), ""), IF(val=0, "", val))</f>
        <v>539</v>
      </c>
      <c r="D39" s="44">
        <f t="array" ref="D39">LET(val, IFERROR(INDEX('Daily 쨈 raw'!$A:$ZZ, MATCH(D$3, 'Daily 쨈 raw'!$A:$A, 0), MATCH($A39, 'Daily 쨈 raw'!$1:$1, 0)), ""), IF(val=0, "", val))</f>
        <v>749</v>
      </c>
      <c r="E39" s="44">
        <f t="array" ref="E39">LET(val, IFERROR(INDEX('Daily 쨈 raw'!$A:$ZZ, MATCH(E$3, 'Daily 쨈 raw'!$A:$A, 0), MATCH($A39, 'Daily 쨈 raw'!$1:$1, 0)), ""), IF(val=0, "", val))</f>
        <v>594</v>
      </c>
      <c r="F39" s="44">
        <f t="array" ref="F39">LET(val, IFERROR(INDEX('Daily 쨈 raw'!$A:$ZZ, MATCH(F$3, 'Daily 쨈 raw'!$A:$A, 0), MATCH($A39, 'Daily 쨈 raw'!$1:$1, 0)), ""), IF(val=0, "", val))</f>
        <v>586</v>
      </c>
      <c r="G39" s="44">
        <f t="array" ref="G39">LET(val, IFERROR(INDEX('Daily 쨈 raw'!$A:$ZZ, MATCH(G$3, 'Daily 쨈 raw'!$A:$A, 0), MATCH($A39, 'Daily 쨈 raw'!$1:$1, 0)), ""), IF(val=0, "", val))</f>
        <v>539</v>
      </c>
      <c r="H39" s="44">
        <f t="array" ref="H39">LET(val, IFERROR(INDEX('Daily 쨈 raw'!$A:$ZZ, MATCH(H$3, 'Daily 쨈 raw'!$A:$A, 0), MATCH($A39, 'Daily 쨈 raw'!$1:$1, 0)), ""), IF(val=0, "", val))</f>
        <v>1140</v>
      </c>
      <c r="I39" s="44">
        <f t="array" ref="I39">LET(val, IFERROR(INDEX('Daily 쨈 raw'!$A:$ZZ, MATCH(I$3, 'Daily 쨈 raw'!$A:$A, 0), MATCH($A39, 'Daily 쨈 raw'!$1:$1, 0)), ""), IF(val=0, "", val))</f>
        <v>1067</v>
      </c>
      <c r="J39" s="44">
        <f t="array" ref="J39">LET(val, IFERROR(INDEX('Daily 쨈 raw'!$A:$ZZ, MATCH(J$3, 'Daily 쨈 raw'!$A:$A, 0), MATCH($A39, 'Daily 쨈 raw'!$1:$1, 0)), ""), IF(val=0, "", val))</f>
        <v>897</v>
      </c>
      <c r="K39" s="44">
        <f t="array" ref="K39">LET(val, IFERROR(INDEX('Daily 쨈 raw'!$A:$ZZ, MATCH(K$3, 'Daily 쨈 raw'!$A:$A, 0), MATCH($A39, 'Daily 쨈 raw'!$1:$1, 0)), ""), IF(val=0, "", val))</f>
        <v>1249</v>
      </c>
      <c r="L39" s="44">
        <f t="array" ref="L39">LET(val, IFERROR(INDEX('Daily 쨈 raw'!$A:$ZZ, MATCH(L$3, 'Daily 쨈 raw'!$A:$A, 0), MATCH($A39, 'Daily 쨈 raw'!$1:$1, 0)), ""), IF(val=0, "", val))</f>
        <v>1125</v>
      </c>
      <c r="M39" s="44">
        <f t="array" ref="M39">LET(val, IFERROR(INDEX('Daily 쨈 raw'!$A:$ZZ, MATCH(M$3, 'Daily 쨈 raw'!$A:$A, 0), MATCH($A39, 'Daily 쨈 raw'!$1:$1, 0)), ""), IF(val=0, "", val))</f>
        <v>982</v>
      </c>
      <c r="N39" s="44">
        <f t="array" ref="N39">LET(val, IFERROR(INDEX('Daily 쨈 raw'!$A:$ZZ, MATCH(N$3, 'Daily 쨈 raw'!$A:$A, 0), MATCH($A39, 'Daily 쨈 raw'!$1:$1, 0)), ""), IF(val=0, "", val))</f>
        <v>890</v>
      </c>
      <c r="O39" s="44">
        <f t="array" ref="O39">LET(val, IFERROR(INDEX('Daily 쨈 raw'!$A:$ZZ, MATCH(O$3, 'Daily 쨈 raw'!$A:$A, 0), MATCH($A39, 'Daily 쨈 raw'!$1:$1, 0)), ""), IF(val=0, "", val))</f>
        <v>958</v>
      </c>
      <c r="P39" s="44">
        <f t="array" ref="P39">LET(val, IFERROR(INDEX('Daily 쨈 raw'!$A:$ZZ, MATCH(P$3, 'Daily 쨈 raw'!$A:$A, 0), MATCH($A39, 'Daily 쨈 raw'!$1:$1, 0)), ""), IF(val=0, "", val))</f>
        <v>906</v>
      </c>
      <c r="Q39" s="44">
        <f t="array" ref="Q39">LET(val, IFERROR(INDEX('Daily 쨈 raw'!$A:$ZZ, MATCH(Q$3, 'Daily 쨈 raw'!$A:$A, 0), MATCH($A39, 'Daily 쨈 raw'!$1:$1, 0)), ""), IF(val=0, "", val))</f>
        <v>732</v>
      </c>
      <c r="R39" s="44">
        <f t="array" ref="R39">LET(val, IFERROR(INDEX('Daily 쨈 raw'!$A:$ZZ, MATCH(R$3, 'Daily 쨈 raw'!$A:$A, 0), MATCH($A39, 'Daily 쨈 raw'!$1:$1, 0)), ""), IF(val=0, "", val))</f>
        <v>637</v>
      </c>
      <c r="S39" s="44">
        <f t="array" ref="S39">LET(val, IFERROR(INDEX('Daily 쨈 raw'!$A:$ZZ, MATCH(S$3, 'Daily 쨈 raw'!$A:$A, 0), MATCH($A39, 'Daily 쨈 raw'!$1:$1, 0)), ""), IF(val=0, "", val))</f>
        <v>612</v>
      </c>
      <c r="T39" s="44">
        <f t="array" ref="T39">LET(val, IFERROR(INDEX('Daily 쨈 raw'!$A:$ZZ, MATCH(T$3, 'Daily 쨈 raw'!$A:$A, 0), MATCH($A39, 'Daily 쨈 raw'!$1:$1, 0)), ""), IF(val=0, "", val))</f>
        <v>606</v>
      </c>
      <c r="U39" s="44">
        <f t="array" ref="U39">LET(val, IFERROR(INDEX('Daily 쨈 raw'!$A:$ZZ, MATCH(U$3, 'Daily 쨈 raw'!$A:$A, 0), MATCH($A39, 'Daily 쨈 raw'!$1:$1, 0)), ""), IF(val=0, "", val))</f>
        <v>532</v>
      </c>
      <c r="V39" s="44">
        <f t="array" ref="V39">LET(val, IFERROR(INDEX('Daily 쨈 raw'!$A:$ZZ, MATCH(V$3, 'Daily 쨈 raw'!$A:$A, 0), MATCH($A39, 'Daily 쨈 raw'!$1:$1, 0)), ""), IF(val=0, "", val))</f>
        <v>723</v>
      </c>
      <c r="W39" s="44">
        <f t="array" ref="W39">LET(val, IFERROR(INDEX('Daily 쨈 raw'!$A:$ZZ, MATCH(W$3, 'Daily 쨈 raw'!$A:$A, 0), MATCH($A39, 'Daily 쨈 raw'!$1:$1, 0)), ""), IF(val=0, "", val))</f>
        <v>631</v>
      </c>
      <c r="X39" s="44">
        <f t="array" ref="X39">LET(val, IFERROR(INDEX('Daily 쨈 raw'!$A:$ZZ, MATCH(X$3, 'Daily 쨈 raw'!$A:$A, 0), MATCH($A39, 'Daily 쨈 raw'!$1:$1, 0)), ""), IF(val=0, "", val))</f>
        <v>496</v>
      </c>
      <c r="Y39" s="44">
        <f t="array" ref="Y39">LET(val, IFERROR(INDEX('Daily 쨈 raw'!$A:$ZZ, MATCH(Y$3, 'Daily 쨈 raw'!$A:$A, 0), MATCH($A39, 'Daily 쨈 raw'!$1:$1, 0)), ""), IF(val=0, "", val))</f>
        <v>464</v>
      </c>
      <c r="Z39" s="44">
        <f t="array" ref="Z39">LET(val, IFERROR(INDEX('Daily 쨈 raw'!$A:$ZZ, MATCH(Z$3, 'Daily 쨈 raw'!$A:$A, 0), MATCH($A39, 'Daily 쨈 raw'!$1:$1, 0)), ""), IF(val=0, "", val))</f>
        <v>459</v>
      </c>
      <c r="AA39" s="44">
        <f t="array" ref="AA39">LET(val, IFERROR(INDEX('Daily 쨈 raw'!$A:$ZZ, MATCH(AA$3, 'Daily 쨈 raw'!$A:$A, 0), MATCH($A39, 'Daily 쨈 raw'!$1:$1, 0)), ""), IF(val=0, "", val))</f>
        <v>392</v>
      </c>
      <c r="AB39" s="44">
        <f t="array" ref="AB39">LET(val, IFERROR(INDEX('Daily 쨈 raw'!$A:$ZZ, MATCH(AB$3, 'Daily 쨈 raw'!$A:$A, 0), MATCH($A39, 'Daily 쨈 raw'!$1:$1, 0)), ""), IF(val=0, "", val))</f>
        <v>512</v>
      </c>
      <c r="AC39" s="44">
        <f t="array" ref="AC39">LET(val, IFERROR(INDEX('Daily 쨈 raw'!$A:$ZZ, MATCH(AC$3, 'Daily 쨈 raw'!$A:$A, 0), MATCH($A39, 'Daily 쨈 raw'!$1:$1, 0)), ""), IF(val=0, "", val))</f>
        <v>514</v>
      </c>
      <c r="AD39" s="44">
        <f t="array" ref="AD39">LET(val, IFERROR(INDEX('Daily 쨈 raw'!$A:$ZZ, MATCH(AD$3, 'Daily 쨈 raw'!$A:$A, 0), MATCH($A39, 'Daily 쨈 raw'!$1:$1, 0)), ""), IF(val=0, "", val))</f>
        <v>502</v>
      </c>
      <c r="AE39" s="44">
        <f t="array" ref="AE39">LET(val, IFERROR(INDEX('Daily 쨈 raw'!$A:$ZZ, MATCH(AE$3, 'Daily 쨈 raw'!$A:$A, 0), MATCH($A39, 'Daily 쨈 raw'!$1:$1, 0)), ""), IF(val=0, "", val))</f>
        <v>470</v>
      </c>
      <c r="AF39" s="44">
        <f t="array" ref="AF39">LET(val, IFERROR(INDEX('Daily 쨈 raw'!$A:$ZZ, MATCH(AF$3, 'Daily 쨈 raw'!$A:$A, 0), MATCH($A39, 'Daily 쨈 raw'!$1:$1, 0)), ""), IF(val=0, "", val))</f>
        <v>540</v>
      </c>
      <c r="AG39" s="44">
        <f t="array" ref="AG39">LET(val, IFERROR(INDEX('Daily 쨈 raw'!$A:$ZZ, MATCH(AG$3, 'Daily 쨈 raw'!$A:$A, 0), MATCH($A39, 'Daily 쨈 raw'!$1:$1, 0)), ""), IF(val=0, "", val))</f>
        <v>2280</v>
      </c>
      <c r="AH39" s="44">
        <f t="array" ref="AH39">LET(val, IFERROR(INDEX('Daily 쨈 raw'!$A:$ZZ, MATCH(AH$3, 'Daily 쨈 raw'!$A:$A, 0), MATCH($A39, 'Daily 쨈 raw'!$1:$1, 0)), ""), IF(val=0, "", val))</f>
        <v>1551</v>
      </c>
      <c r="AI39" s="44">
        <f t="array" ref="AI39">LET(val, IFERROR(INDEX('Daily 쨈 raw'!$A:$ZZ, MATCH(AI$3, 'Daily 쨈 raw'!$A:$A, 0), MATCH($A39, 'Daily 쨈 raw'!$1:$1, 0)), ""), IF(val=0, "", val))</f>
        <v>599</v>
      </c>
      <c r="AJ39" s="44">
        <f t="array" ref="AJ39">LET(val, IFERROR(INDEX('Daily 쨈 raw'!$A:$ZZ, MATCH(AJ$3, 'Daily 쨈 raw'!$A:$A, 0), MATCH($A39, 'Daily 쨈 raw'!$1:$1, 0)), ""), IF(val=0, "", val))</f>
        <v>613</v>
      </c>
      <c r="AK39" s="44">
        <f t="array" ref="AK39">LET(val, IFERROR(INDEX('Daily 쨈 raw'!$A:$ZZ, MATCH(AK$3, 'Daily 쨈 raw'!$A:$A, 0), MATCH($A39, 'Daily 쨈 raw'!$1:$1, 0)), ""), IF(val=0, "", val))</f>
        <v>699</v>
      </c>
      <c r="AL39" s="44">
        <f t="array" ref="AL39">LET(val, IFERROR(INDEX('Daily 쨈 raw'!$A:$ZZ, MATCH(AL$3, 'Daily 쨈 raw'!$A:$A, 0), MATCH($A39, 'Daily 쨈 raw'!$1:$1, 0)), ""), IF(val=0, "", val))</f>
        <v>513</v>
      </c>
      <c r="AM39" s="44">
        <f t="array" ref="AM39">LET(val, IFERROR(INDEX('Daily 쨈 raw'!$A:$ZZ, MATCH(AM$3, 'Daily 쨈 raw'!$A:$A, 0), MATCH($A39, 'Daily 쨈 raw'!$1:$1, 0)), ""), IF(val=0, "", val))</f>
        <v>513</v>
      </c>
      <c r="AN39" s="44">
        <f t="array" ref="AN39">LET(val, IFERROR(INDEX('Daily 쨈 raw'!$A:$ZZ, MATCH(AN$3, 'Daily 쨈 raw'!$A:$A, 0), MATCH($A39, 'Daily 쨈 raw'!$1:$1, 0)), ""), IF(val=0, "", val))</f>
        <v>657</v>
      </c>
      <c r="AO39" s="44">
        <f t="array" ref="AO39">LET(val, IFERROR(INDEX('Daily 쨈 raw'!$A:$ZZ, MATCH(AO$3, 'Daily 쨈 raw'!$A:$A, 0), MATCH($A39, 'Daily 쨈 raw'!$1:$1, 0)), ""), IF(val=0, "", val))</f>
        <v>1027</v>
      </c>
      <c r="AP39" s="44">
        <f t="array" ref="AP39">LET(val, IFERROR(INDEX('Daily 쨈 raw'!$A:$ZZ, MATCH(AP$3, 'Daily 쨈 raw'!$A:$A, 0), MATCH($A39, 'Daily 쨈 raw'!$1:$1, 0)), ""), IF(val=0, "", val))</f>
        <v>570</v>
      </c>
      <c r="AQ39" s="44">
        <f t="array" ref="AQ39">LET(val, IFERROR(INDEX('Daily 쨈 raw'!$A:$ZZ, MATCH(AQ$3, 'Daily 쨈 raw'!$A:$A, 0), MATCH($A39, 'Daily 쨈 raw'!$1:$1, 0)), ""), IF(val=0, "", val))</f>
        <v>678</v>
      </c>
      <c r="AR39" s="44">
        <f t="array" ref="AR39">LET(val, IFERROR(INDEX('Daily 쨈 raw'!$A:$ZZ, MATCH(AR$3, 'Daily 쨈 raw'!$A:$A, 0), MATCH($A39, 'Daily 쨈 raw'!$1:$1, 0)), ""), IF(val=0, "", val))</f>
        <v>589</v>
      </c>
      <c r="AS39" s="44">
        <f t="array" ref="AS39">LET(val, IFERROR(INDEX('Daily 쨈 raw'!$A:$ZZ, MATCH(AS$3, 'Daily 쨈 raw'!$A:$A, 0), MATCH($A39, 'Daily 쨈 raw'!$1:$1, 0)), ""), IF(val=0, "", val))</f>
        <v>422</v>
      </c>
      <c r="AT39" s="44">
        <f t="array" ref="AT39">LET(val, IFERROR(INDEX('Daily 쨈 raw'!$A:$ZZ, MATCH(AT$3, 'Daily 쨈 raw'!$A:$A, 0), MATCH($A39, 'Daily 쨈 raw'!$1:$1, 0)), ""), IF(val=0, "", val))</f>
        <v>458</v>
      </c>
      <c r="AU39" s="44">
        <f t="array" ref="AU39">LET(val, IFERROR(INDEX('Daily 쨈 raw'!$A:$ZZ, MATCH(AU$3, 'Daily 쨈 raw'!$A:$A, 0), MATCH($A39, 'Daily 쨈 raw'!$1:$1, 0)), ""), IF(val=0, "", val))</f>
        <v>432</v>
      </c>
      <c r="AV39" s="44">
        <f t="array" ref="AV39">LET(val, IFERROR(INDEX('Daily 쨈 raw'!$A:$ZZ, MATCH(AV$3, 'Daily 쨈 raw'!$A:$A, 0), MATCH($A39, 'Daily 쨈 raw'!$1:$1, 0)), ""), IF(val=0, "", val))</f>
        <v>370</v>
      </c>
      <c r="AW39" s="44">
        <f t="array" ref="AW39">LET(val, IFERROR(INDEX('Daily 쨈 raw'!$A:$ZZ, MATCH(AW$3, 'Daily 쨈 raw'!$A:$A, 0), MATCH($A39, 'Daily 쨈 raw'!$1:$1, 0)), ""), IF(val=0, "", val))</f>
        <v>336</v>
      </c>
      <c r="AX39" s="44">
        <f t="array" ref="AX39">LET(val, IFERROR(INDEX('Daily 쨈 raw'!$A:$ZZ, MATCH(AX$3, 'Daily 쨈 raw'!$A:$A, 0), MATCH($A39, 'Daily 쨈 raw'!$1:$1, 0)), ""), IF(val=0, "", val))</f>
        <v>357</v>
      </c>
      <c r="AY39" s="44">
        <f t="array" ref="AY39">LET(val, IFERROR(INDEX('Daily 쨈 raw'!$A:$ZZ, MATCH(AY$3, 'Daily 쨈 raw'!$A:$A, 0), MATCH($A39, 'Daily 쨈 raw'!$1:$1, 0)), ""), IF(val=0, "", val))</f>
        <v>461</v>
      </c>
      <c r="AZ39" s="44">
        <f t="array" ref="AZ39">LET(val, IFERROR(INDEX('Daily 쨈 raw'!$A:$ZZ, MATCH(AZ$3, 'Daily 쨈 raw'!$A:$A, 0), MATCH($A39, 'Daily 쨈 raw'!$1:$1, 0)), ""), IF(val=0, "", val))</f>
        <v>362</v>
      </c>
      <c r="BA39" s="44">
        <f t="array" ref="BA39">LET(val, IFERROR(INDEX('Daily 쨈 raw'!$A:$ZZ, MATCH(BA$3, 'Daily 쨈 raw'!$A:$A, 0), MATCH($A39, 'Daily 쨈 raw'!$1:$1, 0)), ""), IF(val=0, "", val))</f>
        <v>339</v>
      </c>
      <c r="BB39" s="44">
        <f t="array" ref="BB39">LET(val, IFERROR(INDEX('Daily 쨈 raw'!$A:$ZZ, MATCH(BB$3, 'Daily 쨈 raw'!$A:$A, 0), MATCH($A39, 'Daily 쨈 raw'!$1:$1, 0)), ""), IF(val=0, "", val))</f>
        <v>311</v>
      </c>
      <c r="BC39" s="44">
        <f t="array" ref="BC39">LET(val, IFERROR(INDEX('Daily 쨈 raw'!$A:$ZZ, MATCH(BC$3, 'Daily 쨈 raw'!$A:$A, 0), MATCH($A39, 'Daily 쨈 raw'!$1:$1, 0)), ""), IF(val=0, "", val))</f>
        <v>407</v>
      </c>
      <c r="BD39" s="44">
        <f t="array" ref="BD39">LET(val, IFERROR(INDEX('Daily 쨈 raw'!$A:$ZZ, MATCH(BD$3, 'Daily 쨈 raw'!$A:$A, 0), MATCH($A39, 'Daily 쨈 raw'!$1:$1, 0)), ""), IF(val=0, "", val))</f>
        <v>553</v>
      </c>
      <c r="BE39" s="44">
        <f t="array" ref="BE39">LET(val, IFERROR(INDEX('Daily 쨈 raw'!$A:$ZZ, MATCH(BE$3, 'Daily 쨈 raw'!$A:$A, 0), MATCH($A39, 'Daily 쨈 raw'!$1:$1, 0)), ""), IF(val=0, "", val))</f>
        <v>767</v>
      </c>
      <c r="BF39" s="44">
        <f t="array" ref="BF39">LET(val, IFERROR(INDEX('Daily 쨈 raw'!$A:$ZZ, MATCH(BF$3, 'Daily 쨈 raw'!$A:$A, 0), MATCH($A39, 'Daily 쨈 raw'!$1:$1, 0)), ""), IF(val=0, "", val))</f>
        <v>589</v>
      </c>
      <c r="BG39" s="44">
        <f t="array" ref="BG39">LET(val, IFERROR(INDEX('Daily 쨈 raw'!$A:$ZZ, MATCH(BG$3, 'Daily 쨈 raw'!$A:$A, 0), MATCH($A39, 'Daily 쨈 raw'!$1:$1, 0)), ""), IF(val=0, "", val))</f>
        <v>478</v>
      </c>
      <c r="BH39" s="44">
        <f t="array" ref="BH39">LET(val, IFERROR(INDEX('Daily 쨈 raw'!$A:$ZZ, MATCH(BH$3, 'Daily 쨈 raw'!$A:$A, 0), MATCH($A39, 'Daily 쨈 raw'!$1:$1, 0)), ""), IF(val=0, "", val))</f>
        <v>487</v>
      </c>
      <c r="BI39" s="44">
        <f t="array" ref="BI39">LET(val, IFERROR(INDEX('Daily 쨈 raw'!$A:$ZZ, MATCH(BI$3, 'Daily 쨈 raw'!$A:$A, 0), MATCH($A39, 'Daily 쨈 raw'!$1:$1, 0)), ""), IF(val=0, "", val))</f>
        <v>447</v>
      </c>
      <c r="BJ39" s="44">
        <f t="array" ref="BJ39">LET(val, IFERROR(INDEX('Daily 쨈 raw'!$A:$ZZ, MATCH(BJ$3, 'Daily 쨈 raw'!$A:$A, 0), MATCH($A39, 'Daily 쨈 raw'!$1:$1, 0)), ""), IF(val=0, "", val))</f>
        <v>615</v>
      </c>
      <c r="BK39" s="44">
        <f t="array" ref="BK39">LET(val, IFERROR(INDEX('Daily 쨈 raw'!$A:$ZZ, MATCH(BK$3, 'Daily 쨈 raw'!$A:$A, 0), MATCH($A39, 'Daily 쨈 raw'!$1:$1, 0)), ""), IF(val=0, "", val))</f>
        <v>679</v>
      </c>
      <c r="BL39" s="44">
        <f t="array" ref="BL39">LET(val, IFERROR(INDEX('Daily 쨈 raw'!$A:$ZZ, MATCH(BL$3, 'Daily 쨈 raw'!$A:$A, 0), MATCH($A39, 'Daily 쨈 raw'!$1:$1, 0)), ""), IF(val=0, "", val))</f>
        <v>664</v>
      </c>
      <c r="BM39" s="44">
        <f t="array" ref="BM39">LET(val, IFERROR(INDEX('Daily 쨈 raw'!$A:$ZZ, MATCH(BM$3, 'Daily 쨈 raw'!$A:$A, 0), MATCH($A39, 'Daily 쨈 raw'!$1:$1, 0)), ""), IF(val=0, "", val))</f>
        <v>697</v>
      </c>
      <c r="BN39" s="44">
        <f t="array" ref="BN39">LET(val, IFERROR(INDEX('Daily 쨈 raw'!$A:$ZZ, MATCH(BN$3, 'Daily 쨈 raw'!$A:$A, 0), MATCH($A39, 'Daily 쨈 raw'!$1:$1, 0)), ""), IF(val=0, "", val))</f>
        <v>329</v>
      </c>
      <c r="BO39" s="44">
        <f t="array" ref="BO39">LET(val, IFERROR(INDEX('Daily 쨈 raw'!$A:$ZZ, MATCH(BO$3, 'Daily 쨈 raw'!$A:$A, 0), MATCH($A39, 'Daily 쨈 raw'!$1:$1, 0)), ""), IF(val=0, "", val))</f>
        <v>330</v>
      </c>
      <c r="BP39" s="44">
        <f t="array" ref="BP39">LET(val, IFERROR(INDEX('Daily 쨈 raw'!$A:$ZZ, MATCH(BP$3, 'Daily 쨈 raw'!$A:$A, 0), MATCH($A39, 'Daily 쨈 raw'!$1:$1, 0)), ""), IF(val=0, "", val))</f>
        <v>331</v>
      </c>
      <c r="BQ39" s="44">
        <f t="array" ref="BQ39">LET(val, IFERROR(INDEX('Daily 쨈 raw'!$A:$ZZ, MATCH(BQ$3, 'Daily 쨈 raw'!$A:$A, 0), MATCH($A39, 'Daily 쨈 raw'!$1:$1, 0)), ""), IF(val=0, "", val))</f>
        <v>342</v>
      </c>
      <c r="BR39" s="44">
        <f t="array" ref="BR39">LET(val, IFERROR(INDEX('Daily 쨈 raw'!$A:$ZZ, MATCH(BR$3, 'Daily 쨈 raw'!$A:$A, 0), MATCH($A39, 'Daily 쨈 raw'!$1:$1, 0)), ""), IF(val=0, "", val))</f>
        <v>294</v>
      </c>
      <c r="BS39" s="44">
        <f t="array" ref="BS39">LET(val, IFERROR(INDEX('Daily 쨈 raw'!$A:$ZZ, MATCH(BS$3, 'Daily 쨈 raw'!$A:$A, 0), MATCH($A39, 'Daily 쨈 raw'!$1:$1, 0)), ""), IF(val=0, "", val))</f>
        <v>343</v>
      </c>
      <c r="BT39" s="44">
        <f t="array" ref="BT39">LET(val, IFERROR(INDEX('Daily 쨈 raw'!$A:$ZZ, MATCH(BT$3, 'Daily 쨈 raw'!$A:$A, 0), MATCH($A39, 'Daily 쨈 raw'!$1:$1, 0)), ""), IF(val=0, "", val))</f>
        <v>339</v>
      </c>
      <c r="BU39" s="44">
        <f t="array" ref="BU39">LET(val, IFERROR(INDEX('Daily 쨈 raw'!$A:$ZZ, MATCH(BU$3, 'Daily 쨈 raw'!$A:$A, 0), MATCH($A39, 'Daily 쨈 raw'!$1:$1, 0)), ""), IF(val=0, "", val))</f>
        <v>279</v>
      </c>
      <c r="BV39" s="44">
        <f t="array" ref="BV39">LET(val, IFERROR(INDEX('Daily 쨈 raw'!$A:$ZZ, MATCH(BV$3, 'Daily 쨈 raw'!$A:$A, 0), MATCH($A39, 'Daily 쨈 raw'!$1:$1, 0)), ""), IF(val=0, "", val))</f>
        <v>246</v>
      </c>
      <c r="BW39" s="44">
        <f t="array" ref="BW39">LET(val, IFERROR(INDEX('Daily 쨈 raw'!$A:$ZZ, MATCH(BW$3, 'Daily 쨈 raw'!$A:$A, 0), MATCH($A39, 'Daily 쨈 raw'!$1:$1, 0)), ""), IF(val=0, "", val))</f>
        <v>31</v>
      </c>
      <c r="BX39" s="44">
        <f t="array" ref="BX39">LET(val, IFERROR(INDEX('Daily 쨈 raw'!$A:$ZZ, MATCH(BX$3, 'Daily 쨈 raw'!$A:$A, 0), MATCH($A39, 'Daily 쨈 raw'!$1:$1, 0)), ""), IF(val=0, "", val))</f>
        <v>19</v>
      </c>
      <c r="BY39" s="44">
        <f t="array" ref="BY39">LET(val, IFERROR(INDEX('Daily 쨈 raw'!$A:$ZZ, MATCH(BY$3, 'Daily 쨈 raw'!$A:$A, 0), MATCH($A39, 'Daily 쨈 raw'!$1:$1, 0)), ""), IF(val=0, "", val))</f>
        <v>29</v>
      </c>
      <c r="BZ39" s="44">
        <f t="array" ref="BZ39">LET(val, IFERROR(INDEX('Daily 쨈 raw'!$A:$ZZ, MATCH(BZ$3, 'Daily 쨈 raw'!$A:$A, 0), MATCH($A39, 'Daily 쨈 raw'!$1:$1, 0)), ""), IF(val=0, "", val))</f>
        <v>33</v>
      </c>
      <c r="CA39" s="44">
        <f t="array" ref="CA39">LET(val, IFERROR(INDEX('Daily 쨈 raw'!$A:$ZZ, MATCH(CA$3, 'Daily 쨈 raw'!$A:$A, 0), MATCH($A39, 'Daily 쨈 raw'!$1:$1, 0)), ""), IF(val=0, "", val))</f>
        <v>30</v>
      </c>
      <c r="CB39" s="44">
        <f t="array" ref="CB39">LET(val, IFERROR(INDEX('Daily 쨈 raw'!$A:$ZZ, MATCH(CB$3, 'Daily 쨈 raw'!$A:$A, 0), MATCH($A39, 'Daily 쨈 raw'!$1:$1, 0)), ""), IF(val=0, "", val))</f>
        <v>39</v>
      </c>
      <c r="CC39" s="44">
        <f t="array" ref="CC39">LET(val, IFERROR(INDEX('Daily 쨈 raw'!$A:$ZZ, MATCH(CC$3, 'Daily 쨈 raw'!$A:$A, 0), MATCH($A39, 'Daily 쨈 raw'!$1:$1, 0)), ""), IF(val=0, "", val))</f>
        <v>52</v>
      </c>
      <c r="CD39" s="44">
        <f t="array" ref="CD39">LET(val, IFERROR(INDEX('Daily 쨈 raw'!$A:$ZZ, MATCH(CD$3, 'Daily 쨈 raw'!$A:$A, 0), MATCH($A39, 'Daily 쨈 raw'!$1:$1, 0)), ""), IF(val=0, "", val))</f>
        <v>71</v>
      </c>
      <c r="CE39" s="44">
        <f t="array" ref="CE39">LET(val, IFERROR(INDEX('Daily 쨈 raw'!$A:$ZZ, MATCH(CE$3, 'Daily 쨈 raw'!$A:$A, 0), MATCH($A39, 'Daily 쨈 raw'!$1:$1, 0)), ""), IF(val=0, "", val))</f>
        <v>62</v>
      </c>
      <c r="CF39" s="44">
        <f t="array" ref="CF39">LET(val, IFERROR(INDEX('Daily 쨈 raw'!$A:$ZZ, MATCH(CF$3, 'Daily 쨈 raw'!$A:$A, 0), MATCH($A39, 'Daily 쨈 raw'!$1:$1, 0)), ""), IF(val=0, "", val))</f>
        <v>60</v>
      </c>
      <c r="CG39" s="44">
        <f t="array" ref="CG39">LET(val, IFERROR(INDEX('Daily 쨈 raw'!$A:$ZZ, MATCH(CG$3, 'Daily 쨈 raw'!$A:$A, 0), MATCH($A39, 'Daily 쨈 raw'!$1:$1, 0)), ""), IF(val=0, "", val))</f>
        <v>70</v>
      </c>
      <c r="CH39" s="44">
        <f t="array" ref="CH39">LET(val, IFERROR(INDEX('Daily 쨈 raw'!$A:$ZZ, MATCH(CH$3, 'Daily 쨈 raw'!$A:$A, 0), MATCH($A39, 'Daily 쨈 raw'!$1:$1, 0)), ""), IF(val=0, "", val))</f>
        <v>73</v>
      </c>
      <c r="CI39" s="44">
        <f t="array" ref="CI39">LET(val, IFERROR(INDEX('Daily 쨈 raw'!$A:$ZZ, MATCH(CI$3, 'Daily 쨈 raw'!$A:$A, 0), MATCH($A39, 'Daily 쨈 raw'!$1:$1, 0)), ""), IF(val=0, "", val))</f>
        <v>110</v>
      </c>
      <c r="CJ39" s="44">
        <f t="array" ref="CJ39">LET(val, IFERROR(INDEX('Daily 쨈 raw'!$A:$ZZ, MATCH(CJ$3, 'Daily 쨈 raw'!$A:$A, 0), MATCH($A39, 'Daily 쨈 raw'!$1:$1, 0)), ""), IF(val=0, "", val))</f>
        <v>96</v>
      </c>
      <c r="CK39" s="44">
        <f t="array" ref="CK39">LET(val, IFERROR(INDEX('Daily 쨈 raw'!$A:$ZZ, MATCH(CK$3, 'Daily 쨈 raw'!$A:$A, 0), MATCH($A39, 'Daily 쨈 raw'!$1:$1, 0)), ""), IF(val=0, "", val))</f>
        <v>102</v>
      </c>
      <c r="CL39" s="44">
        <f t="array" ref="CL39">LET(val, IFERROR(INDEX('Daily 쨈 raw'!$A:$ZZ, MATCH(CL$3, 'Daily 쨈 raw'!$A:$A, 0), MATCH($A39, 'Daily 쨈 raw'!$1:$1, 0)), ""), IF(val=0, "", val))</f>
        <v>76</v>
      </c>
      <c r="CM39" s="44">
        <f t="array" ref="CM39">LET(val, IFERROR(INDEX('Daily 쨈 raw'!$A:$ZZ, MATCH(CM$3, 'Daily 쨈 raw'!$A:$A, 0), MATCH($A39, 'Daily 쨈 raw'!$1:$1, 0)), ""), IF(val=0, "", val))</f>
        <v>101</v>
      </c>
      <c r="CN39" s="44">
        <f t="array" ref="CN39">LET(val, IFERROR(INDEX('Daily 쨈 raw'!$A:$ZZ, MATCH(CN$3, 'Daily 쨈 raw'!$A:$A, 0), MATCH($A39, 'Daily 쨈 raw'!$1:$1, 0)), ""), IF(val=0, "", val))</f>
        <v>76</v>
      </c>
      <c r="CO39" s="44">
        <f t="array" ref="CO39">LET(val, IFERROR(INDEX('Daily 쨈 raw'!$A:$ZZ, MATCH(CO$3, 'Daily 쨈 raw'!$A:$A, 0), MATCH($A39, 'Daily 쨈 raw'!$1:$1, 0)), ""), IF(val=0, "", val))</f>
        <v>103</v>
      </c>
      <c r="CP39" s="44" t="str">
        <f t="array" ref="CP39">LET(val, IFERROR(INDEX('Daily 쨈 raw'!$A:$ZZ, MATCH(CP$3, 'Daily 쨈 raw'!$A:$A, 0), MATCH($A39, 'Daily 쨈 raw'!$1:$1, 0)), ""), IF(val=0, "", val))</f>
        <v/>
      </c>
      <c r="CQ39" s="44" t="str">
        <f t="array" ref="CQ39">LET(val, IFERROR(INDEX('Daily 쨈 raw'!$A:$ZZ, MATCH(CQ$3, 'Daily 쨈 raw'!$A:$A, 0), MATCH($A39, 'Daily 쨈 raw'!$1:$1, 0)), ""), IF(val=0, "", val))</f>
        <v/>
      </c>
      <c r="CR39" s="44" t="str">
        <f t="array" ref="CR39">LET(val, IFERROR(INDEX('Daily 쨈 raw'!$A:$ZZ, MATCH(CR$3, 'Daily 쨈 raw'!$A:$A, 0), MATCH($A39, 'Daily 쨈 raw'!$1:$1, 0)), ""), IF(val=0, "", val))</f>
        <v/>
      </c>
      <c r="CS39" s="44" t="str">
        <f t="array" ref="CS39">LET(val, IFERROR(INDEX('Daily 쨈 raw'!$A:$ZZ, MATCH(CS$3, 'Daily 쨈 raw'!$A:$A, 0), MATCH($A39, 'Daily 쨈 raw'!$1:$1, 0)), ""), IF(val=0, "", val))</f>
        <v/>
      </c>
      <c r="CT39" s="44" t="str">
        <f t="array" ref="CT39">LET(val, IFERROR(INDEX('Daily 쨈 raw'!$A:$ZZ, MATCH(CT$3, 'Daily 쨈 raw'!$A:$A, 0), MATCH($A39, 'Daily 쨈 raw'!$1:$1, 0)), ""), IF(val=0, "", val))</f>
        <v/>
      </c>
      <c r="CU39" s="44" t="str">
        <f t="array" ref="CU39">LET(val, IFERROR(INDEX('Daily 쨈 raw'!$A:$ZZ, MATCH(CU$3, 'Daily 쨈 raw'!$A:$A, 0), MATCH($A39, 'Daily 쨈 raw'!$1:$1, 0)), ""), IF(val=0, "", val))</f>
        <v/>
      </c>
      <c r="CV39" s="44" t="str">
        <f t="array" ref="CV39">LET(val, IFERROR(INDEX('Daily 쨈 raw'!$A:$ZZ, MATCH(CV$3, 'Daily 쨈 raw'!$A:$A, 0), MATCH($A39, 'Daily 쨈 raw'!$1:$1, 0)), ""), IF(val=0, "", val))</f>
        <v/>
      </c>
      <c r="CW39" s="44" t="str">
        <f t="array" ref="CW39">LET(val, IFERROR(INDEX('Daily 쨈 raw'!$A:$ZZ, MATCH(CW$3, 'Daily 쨈 raw'!$A:$A, 0), MATCH($A39, 'Daily 쨈 raw'!$1:$1, 0)), ""), IF(val=0, "", val))</f>
        <v/>
      </c>
      <c r="CX39" s="44" t="str">
        <f t="array" ref="CX39">LET(val, IFERROR(INDEX('Daily 쨈 raw'!$A:$ZZ, MATCH(CX$3, 'Daily 쨈 raw'!$A:$A, 0), MATCH($A39, 'Daily 쨈 raw'!$1:$1, 0)), ""), IF(val=0, "", val))</f>
        <v/>
      </c>
      <c r="CY39" s="44" t="str">
        <f t="array" ref="CY39">LET(val, IFERROR(INDEX('Daily 쨈 raw'!$A:$ZZ, MATCH(CY$3, 'Daily 쨈 raw'!$A:$A, 0), MATCH($A39, 'Daily 쨈 raw'!$1:$1, 0)), ""), IF(val=0, "", val))</f>
        <v/>
      </c>
      <c r="CZ39" s="44" t="str">
        <f t="array" ref="CZ39">LET(val, IFERROR(INDEX('Daily 쨈 raw'!$A:$ZZ, MATCH(CZ$3, 'Daily 쨈 raw'!$A:$A, 0), MATCH($A39, 'Daily 쨈 raw'!$1:$1, 0)), ""), IF(val=0, "", val))</f>
        <v/>
      </c>
      <c r="DA39" s="44" t="str">
        <f t="array" ref="DA39">LET(val, IFERROR(INDEX('Daily 쨈 raw'!$A:$ZZ, MATCH(DA$3, 'Daily 쨈 raw'!$A:$A, 0), MATCH($A39, 'Daily 쨈 raw'!$1:$1, 0)), ""), IF(val=0, "", val))</f>
        <v/>
      </c>
      <c r="DB39" s="44" t="str">
        <f t="array" ref="DB39">LET(val, IFERROR(INDEX('Daily 쨈 raw'!$A:$ZZ, MATCH(DB$3, 'Daily 쨈 raw'!$A:$A, 0), MATCH($A39, 'Daily 쨈 raw'!$1:$1, 0)), ""), IF(val=0, "", val))</f>
        <v/>
      </c>
      <c r="DC39" s="44" t="str">
        <f t="array" ref="DC39">LET(val, IFERROR(INDEX('Daily 쨈 raw'!$A:$ZZ, MATCH(DC$3, 'Daily 쨈 raw'!$A:$A, 0), MATCH($A39, 'Daily 쨈 raw'!$1:$1, 0)), ""), IF(val=0, "", val))</f>
        <v/>
      </c>
      <c r="DD39" s="44" t="str">
        <f t="array" ref="DD39">LET(val, IFERROR(INDEX('Daily 쨈 raw'!$A:$ZZ, MATCH(DD$3, 'Daily 쨈 raw'!$A:$A, 0), MATCH($A39, 'Daily 쨈 raw'!$1:$1, 0)), ""), IF(val=0, "", val))</f>
        <v/>
      </c>
      <c r="DE39" s="44" t="str">
        <f t="array" ref="DE39">LET(val, IFERROR(INDEX('Daily 쨈 raw'!$A:$ZZ, MATCH(DE$3, 'Daily 쨈 raw'!$A:$A, 0), MATCH($A39, 'Daily 쨈 raw'!$1:$1, 0)), ""), IF(val=0, "", val))</f>
        <v/>
      </c>
      <c r="DF39" s="44" t="str">
        <f t="array" ref="DF39">LET(val, IFERROR(INDEX('Daily 쨈 raw'!$A:$ZZ, MATCH(DF$3, 'Daily 쨈 raw'!$A:$A, 0), MATCH($A39, 'Daily 쨈 raw'!$1:$1, 0)), ""), IF(val=0, "", val))</f>
        <v/>
      </c>
      <c r="DG39" s="44" t="str">
        <f t="array" ref="DG39">LET(val, IFERROR(INDEX('Daily 쨈 raw'!$A:$ZZ, MATCH(DG$3, 'Daily 쨈 raw'!$A:$A, 0), MATCH($A39, 'Daily 쨈 raw'!$1:$1, 0)), ""), IF(val=0, "", val))</f>
        <v/>
      </c>
      <c r="DH39" s="44" t="str">
        <f t="array" ref="DH39">LET(val, IFERROR(INDEX('Daily 쨈 raw'!$A:$ZZ, MATCH(DH$3, 'Daily 쨈 raw'!$A:$A, 0), MATCH($A39, 'Daily 쨈 raw'!$1:$1, 0)), ""), IF(val=0, "", val))</f>
        <v/>
      </c>
      <c r="DI39" s="44" t="str">
        <f t="array" ref="DI39">LET(val, IFERROR(INDEX('Daily 쨈 raw'!$A:$ZZ, MATCH(DI$3, 'Daily 쨈 raw'!$A:$A, 0), MATCH($A39, 'Daily 쨈 raw'!$1:$1, 0)), ""), IF(val=0, "", val))</f>
        <v/>
      </c>
      <c r="DJ39" s="44" t="str">
        <f t="array" ref="DJ39">LET(val, IFERROR(INDEX('Daily 쨈 raw'!$A:$ZZ, MATCH(DJ$3, 'Daily 쨈 raw'!$A:$A, 0), MATCH($A39, 'Daily 쨈 raw'!$1:$1, 0)), ""), IF(val=0, "", val))</f>
        <v/>
      </c>
      <c r="DK39" s="44" t="str">
        <f t="array" ref="DK39">LET(val, IFERROR(INDEX('Daily 쨈 raw'!$A:$ZZ, MATCH(DK$3, 'Daily 쨈 raw'!$A:$A, 0), MATCH($A39, 'Daily 쨈 raw'!$1:$1, 0)), ""), IF(val=0, "", val))</f>
        <v/>
      </c>
      <c r="DL39" s="44" t="str">
        <f t="array" ref="DL39">LET(val, IFERROR(INDEX('Daily 쨈 raw'!$A:$ZZ, MATCH(DL$3, 'Daily 쨈 raw'!$A:$A, 0), MATCH($A39, 'Daily 쨈 raw'!$1:$1, 0)), ""), IF(val=0, "", val))</f>
        <v/>
      </c>
      <c r="DM39" s="44" t="str">
        <f t="array" ref="DM39">LET(val, IFERROR(INDEX('Daily 쨈 raw'!$A:$ZZ, MATCH(DM$3, 'Daily 쨈 raw'!$A:$A, 0), MATCH($A39, 'Daily 쨈 raw'!$1:$1, 0)), ""), IF(val=0, "", val))</f>
        <v/>
      </c>
      <c r="DN39" s="44" t="str">
        <f t="array" ref="DN39">LET(val, IFERROR(INDEX('Daily 쨈 raw'!$A:$ZZ, MATCH(DN$3, 'Daily 쨈 raw'!$A:$A, 0), MATCH($A39, 'Daily 쨈 raw'!$1:$1, 0)), ""), IF(val=0, "", val))</f>
        <v/>
      </c>
      <c r="DO39" s="44" t="str">
        <f t="array" ref="DO39">LET(val, IFERROR(INDEX('Daily 쨈 raw'!$A:$ZZ, MATCH(DO$3, 'Daily 쨈 raw'!$A:$A, 0), MATCH($A39, 'Daily 쨈 raw'!$1:$1, 0)), ""), IF(val=0, "", val))</f>
        <v/>
      </c>
      <c r="DP39" s="44" t="str">
        <f t="array" ref="DP39">LET(val, IFERROR(INDEX('Daily 쨈 raw'!$A:$ZZ, MATCH(DP$3, 'Daily 쨈 raw'!$A:$A, 0), MATCH($A39, 'Daily 쨈 raw'!$1:$1, 0)), ""), IF(val=0, "", val))</f>
        <v/>
      </c>
      <c r="DQ39" s="44" t="str">
        <f t="array" ref="DQ39">LET(val, IFERROR(INDEX('Daily 쨈 raw'!$A:$ZZ, MATCH(DQ$3, 'Daily 쨈 raw'!$A:$A, 0), MATCH($A39, 'Daily 쨈 raw'!$1:$1, 0)), ""), IF(val=0, "", val))</f>
        <v/>
      </c>
      <c r="DR39" s="44" t="str">
        <f t="array" ref="DR39">LET(val, IFERROR(INDEX('Daily 쨈 raw'!$A:$ZZ, MATCH(DR$3, 'Daily 쨈 raw'!$A:$A, 0), MATCH($A39, 'Daily 쨈 raw'!$1:$1, 0)), ""), IF(val=0, "", val))</f>
        <v/>
      </c>
      <c r="DS39" s="44" t="str">
        <f t="array" ref="DS39">LET(val, IFERROR(INDEX('Daily 쨈 raw'!$A:$ZZ, MATCH(DS$3, 'Daily 쨈 raw'!$A:$A, 0), MATCH($A39, 'Daily 쨈 raw'!$1:$1, 0)), ""), IF(val=0, "", val))</f>
        <v/>
      </c>
      <c r="DT39" s="44" t="str">
        <f t="array" ref="DT39">LET(val, IFERROR(INDEX('Daily 쨈 raw'!$A:$ZZ, MATCH(DT$3, 'Daily 쨈 raw'!$A:$A, 0), MATCH($A39, 'Daily 쨈 raw'!$1:$1, 0)), ""), IF(val=0, "", val))</f>
        <v/>
      </c>
      <c r="DU39" s="44" t="str">
        <f t="array" ref="DU39">LET(val, IFERROR(INDEX('Daily 쨈 raw'!$A:$ZZ, MATCH(DU$3, 'Daily 쨈 raw'!$A:$A, 0), MATCH($A39, 'Daily 쨈 raw'!$1:$1, 0)), ""), IF(val=0, "", val))</f>
        <v/>
      </c>
      <c r="DV39" s="44" t="str">
        <f t="array" ref="DV39">LET(val, IFERROR(INDEX('Daily 쨈 raw'!$A:$ZZ, MATCH(DV$3, 'Daily 쨈 raw'!$A:$A, 0), MATCH($A39, 'Daily 쨈 raw'!$1:$1, 0)), ""), IF(val=0, "", val))</f>
        <v/>
      </c>
      <c r="DW39" s="44" t="str">
        <f t="array" ref="DW39">LET(val, IFERROR(INDEX('Daily 쨈 raw'!$A:$ZZ, MATCH(DW$3, 'Daily 쨈 raw'!$A:$A, 0), MATCH($A39, 'Daily 쨈 raw'!$1:$1, 0)), ""), IF(val=0, "", val))</f>
        <v/>
      </c>
      <c r="DX39" s="57"/>
      <c r="DY39" s="57"/>
      <c r="DZ39" s="57"/>
    </row>
    <row r="40" ht="22.5" customHeight="1">
      <c r="A40" s="16" t="s">
        <v>54</v>
      </c>
      <c r="B40" s="17" t="s">
        <v>20</v>
      </c>
      <c r="C40" s="44">
        <f t="array" ref="C40">LET(val, IFERROR(INDEX('Daily 쨈 raw'!$A:$ZZ, MATCH(C$3, 'Daily 쨈 raw'!$A:$A, 0), MATCH($A40, 'Daily 쨈 raw'!$1:$1, 0)), ""), IF(val=0, "", val))</f>
        <v>61</v>
      </c>
      <c r="D40" s="44">
        <f t="array" ref="D40">LET(val, IFERROR(INDEX('Daily 쨈 raw'!$A:$ZZ, MATCH(D$3, 'Daily 쨈 raw'!$A:$A, 0), MATCH($A40, 'Daily 쨈 raw'!$1:$1, 0)), ""), IF(val=0, "", val))</f>
        <v>77</v>
      </c>
      <c r="E40" s="44">
        <f t="array" ref="E40">LET(val, IFERROR(INDEX('Daily 쨈 raw'!$A:$ZZ, MATCH(E$3, 'Daily 쨈 raw'!$A:$A, 0), MATCH($A40, 'Daily 쨈 raw'!$1:$1, 0)), ""), IF(val=0, "", val))</f>
        <v>46</v>
      </c>
      <c r="F40" s="44">
        <f t="array" ref="F40">LET(val, IFERROR(INDEX('Daily 쨈 raw'!$A:$ZZ, MATCH(F$3, 'Daily 쨈 raw'!$A:$A, 0), MATCH($A40, 'Daily 쨈 raw'!$1:$1, 0)), ""), IF(val=0, "", val))</f>
        <v>43</v>
      </c>
      <c r="G40" s="44">
        <f t="array" ref="G40">LET(val, IFERROR(INDEX('Daily 쨈 raw'!$A:$ZZ, MATCH(G$3, 'Daily 쨈 raw'!$A:$A, 0), MATCH($A40, 'Daily 쨈 raw'!$1:$1, 0)), ""), IF(val=0, "", val))</f>
        <v>39</v>
      </c>
      <c r="H40" s="44">
        <f t="array" ref="H40">LET(val, IFERROR(INDEX('Daily 쨈 raw'!$A:$ZZ, MATCH(H$3, 'Daily 쨈 raw'!$A:$A, 0), MATCH($A40, 'Daily 쨈 raw'!$1:$1, 0)), ""), IF(val=0, "", val))</f>
        <v>80</v>
      </c>
      <c r="I40" s="44">
        <f t="array" ref="I40">LET(val, IFERROR(INDEX('Daily 쨈 raw'!$A:$ZZ, MATCH(I$3, 'Daily 쨈 raw'!$A:$A, 0), MATCH($A40, 'Daily 쨈 raw'!$1:$1, 0)), ""), IF(val=0, "", val))</f>
        <v>69</v>
      </c>
      <c r="J40" s="44">
        <f t="array" ref="J40">LET(val, IFERROR(INDEX('Daily 쨈 raw'!$A:$ZZ, MATCH(J$3, 'Daily 쨈 raw'!$A:$A, 0), MATCH($A40, 'Daily 쨈 raw'!$1:$1, 0)), ""), IF(val=0, "", val))</f>
        <v>54</v>
      </c>
      <c r="K40" s="44">
        <f t="array" ref="K40">LET(val, IFERROR(INDEX('Daily 쨈 raw'!$A:$ZZ, MATCH(K$3, 'Daily 쨈 raw'!$A:$A, 0), MATCH($A40, 'Daily 쨈 raw'!$1:$1, 0)), ""), IF(val=0, "", val))</f>
        <v>82</v>
      </c>
      <c r="L40" s="44">
        <f t="array" ref="L40">LET(val, IFERROR(INDEX('Daily 쨈 raw'!$A:$ZZ, MATCH(L$3, 'Daily 쨈 raw'!$A:$A, 0), MATCH($A40, 'Daily 쨈 raw'!$1:$1, 0)), ""), IF(val=0, "", val))</f>
        <v>84</v>
      </c>
      <c r="M40" s="44">
        <f t="array" ref="M40">LET(val, IFERROR(INDEX('Daily 쨈 raw'!$A:$ZZ, MATCH(M$3, 'Daily 쨈 raw'!$A:$A, 0), MATCH($A40, 'Daily 쨈 raw'!$1:$1, 0)), ""), IF(val=0, "", val))</f>
        <v>64</v>
      </c>
      <c r="N40" s="44">
        <f t="array" ref="N40">LET(val, IFERROR(INDEX('Daily 쨈 raw'!$A:$ZZ, MATCH(N$3, 'Daily 쨈 raw'!$A:$A, 0), MATCH($A40, 'Daily 쨈 raw'!$1:$1, 0)), ""), IF(val=0, "", val))</f>
        <v>60</v>
      </c>
      <c r="O40" s="44">
        <f t="array" ref="O40">LET(val, IFERROR(INDEX('Daily 쨈 raw'!$A:$ZZ, MATCH(O$3, 'Daily 쨈 raw'!$A:$A, 0), MATCH($A40, 'Daily 쨈 raw'!$1:$1, 0)), ""), IF(val=0, "", val))</f>
        <v>71</v>
      </c>
      <c r="P40" s="44">
        <f t="array" ref="P40">LET(val, IFERROR(INDEX('Daily 쨈 raw'!$A:$ZZ, MATCH(P$3, 'Daily 쨈 raw'!$A:$A, 0), MATCH($A40, 'Daily 쨈 raw'!$1:$1, 0)), ""), IF(val=0, "", val))</f>
        <v>72</v>
      </c>
      <c r="Q40" s="44">
        <f t="array" ref="Q40">LET(val, IFERROR(INDEX('Daily 쨈 raw'!$A:$ZZ, MATCH(Q$3, 'Daily 쨈 raw'!$A:$A, 0), MATCH($A40, 'Daily 쨈 raw'!$1:$1, 0)), ""), IF(val=0, "", val))</f>
        <v>62</v>
      </c>
      <c r="R40" s="44">
        <f t="array" ref="R40">LET(val, IFERROR(INDEX('Daily 쨈 raw'!$A:$ZZ, MATCH(R$3, 'Daily 쨈 raw'!$A:$A, 0), MATCH($A40, 'Daily 쨈 raw'!$1:$1, 0)), ""), IF(val=0, "", val))</f>
        <v>55</v>
      </c>
      <c r="S40" s="44">
        <f t="array" ref="S40">LET(val, IFERROR(INDEX('Daily 쨈 raw'!$A:$ZZ, MATCH(S$3, 'Daily 쨈 raw'!$A:$A, 0), MATCH($A40, 'Daily 쨈 raw'!$1:$1, 0)), ""), IF(val=0, "", val))</f>
        <v>42</v>
      </c>
      <c r="T40" s="44">
        <f t="array" ref="T40">LET(val, IFERROR(INDEX('Daily 쨈 raw'!$A:$ZZ, MATCH(T$3, 'Daily 쨈 raw'!$A:$A, 0), MATCH($A40, 'Daily 쨈 raw'!$1:$1, 0)), ""), IF(val=0, "", val))</f>
        <v>59</v>
      </c>
      <c r="U40" s="44">
        <f t="array" ref="U40">LET(val, IFERROR(INDEX('Daily 쨈 raw'!$A:$ZZ, MATCH(U$3, 'Daily 쨈 raw'!$A:$A, 0), MATCH($A40, 'Daily 쨈 raw'!$1:$1, 0)), ""), IF(val=0, "", val))</f>
        <v>46</v>
      </c>
      <c r="V40" s="44">
        <f t="array" ref="V40">LET(val, IFERROR(INDEX('Daily 쨈 raw'!$A:$ZZ, MATCH(V$3, 'Daily 쨈 raw'!$A:$A, 0), MATCH($A40, 'Daily 쨈 raw'!$1:$1, 0)), ""), IF(val=0, "", val))</f>
        <v>53</v>
      </c>
      <c r="W40" s="44">
        <f t="array" ref="W40">LET(val, IFERROR(INDEX('Daily 쨈 raw'!$A:$ZZ, MATCH(W$3, 'Daily 쨈 raw'!$A:$A, 0), MATCH($A40, 'Daily 쨈 raw'!$1:$1, 0)), ""), IF(val=0, "", val))</f>
        <v>59</v>
      </c>
      <c r="X40" s="44">
        <f t="array" ref="X40">LET(val, IFERROR(INDEX('Daily 쨈 raw'!$A:$ZZ, MATCH(X$3, 'Daily 쨈 raw'!$A:$A, 0), MATCH($A40, 'Daily 쨈 raw'!$1:$1, 0)), ""), IF(val=0, "", val))</f>
        <v>53</v>
      </c>
      <c r="Y40" s="44">
        <f t="array" ref="Y40">LET(val, IFERROR(INDEX('Daily 쨈 raw'!$A:$ZZ, MATCH(Y$3, 'Daily 쨈 raw'!$A:$A, 0), MATCH($A40, 'Daily 쨈 raw'!$1:$1, 0)), ""), IF(val=0, "", val))</f>
        <v>47</v>
      </c>
      <c r="Z40" s="44">
        <f t="array" ref="Z40">LET(val, IFERROR(INDEX('Daily 쨈 raw'!$A:$ZZ, MATCH(Z$3, 'Daily 쨈 raw'!$A:$A, 0), MATCH($A40, 'Daily 쨈 raw'!$1:$1, 0)), ""), IF(val=0, "", val))</f>
        <v>61</v>
      </c>
      <c r="AA40" s="44">
        <f t="array" ref="AA40">LET(val, IFERROR(INDEX('Daily 쨈 raw'!$A:$ZZ, MATCH(AA$3, 'Daily 쨈 raw'!$A:$A, 0), MATCH($A40, 'Daily 쨈 raw'!$1:$1, 0)), ""), IF(val=0, "", val))</f>
        <v>40</v>
      </c>
      <c r="AB40" s="44">
        <f t="array" ref="AB40">LET(val, IFERROR(INDEX('Daily 쨈 raw'!$A:$ZZ, MATCH(AB$3, 'Daily 쨈 raw'!$A:$A, 0), MATCH($A40, 'Daily 쨈 raw'!$1:$1, 0)), ""), IF(val=0, "", val))</f>
        <v>51</v>
      </c>
      <c r="AC40" s="44">
        <f t="array" ref="AC40">LET(val, IFERROR(INDEX('Daily 쨈 raw'!$A:$ZZ, MATCH(AC$3, 'Daily 쨈 raw'!$A:$A, 0), MATCH($A40, 'Daily 쨈 raw'!$1:$1, 0)), ""), IF(val=0, "", val))</f>
        <v>46</v>
      </c>
      <c r="AD40" s="44">
        <f t="array" ref="AD40">LET(val, IFERROR(INDEX('Daily 쨈 raw'!$A:$ZZ, MATCH(AD$3, 'Daily 쨈 raw'!$A:$A, 0), MATCH($A40, 'Daily 쨈 raw'!$1:$1, 0)), ""), IF(val=0, "", val))</f>
        <v>50</v>
      </c>
      <c r="AE40" s="44">
        <f t="array" ref="AE40">LET(val, IFERROR(INDEX('Daily 쨈 raw'!$A:$ZZ, MATCH(AE$3, 'Daily 쨈 raw'!$A:$A, 0), MATCH($A40, 'Daily 쨈 raw'!$1:$1, 0)), ""), IF(val=0, "", val))</f>
        <v>57</v>
      </c>
      <c r="AF40" s="44">
        <f t="array" ref="AF40">LET(val, IFERROR(INDEX('Daily 쨈 raw'!$A:$ZZ, MATCH(AF$3, 'Daily 쨈 raw'!$A:$A, 0), MATCH($A40, 'Daily 쨈 raw'!$1:$1, 0)), ""), IF(val=0, "", val))</f>
        <v>68</v>
      </c>
      <c r="AG40" s="44">
        <f t="array" ref="AG40">LET(val, IFERROR(INDEX('Daily 쨈 raw'!$A:$ZZ, MATCH(AG$3, 'Daily 쨈 raw'!$A:$A, 0), MATCH($A40, 'Daily 쨈 raw'!$1:$1, 0)), ""), IF(val=0, "", val))</f>
        <v>296</v>
      </c>
      <c r="AH40" s="44">
        <f t="array" ref="AH40">LET(val, IFERROR(INDEX('Daily 쨈 raw'!$A:$ZZ, MATCH(AH$3, 'Daily 쨈 raw'!$A:$A, 0), MATCH($A40, 'Daily 쨈 raw'!$1:$1, 0)), ""), IF(val=0, "", val))</f>
        <v>222</v>
      </c>
      <c r="AI40" s="44">
        <f t="array" ref="AI40">LET(val, IFERROR(INDEX('Daily 쨈 raw'!$A:$ZZ, MATCH(AI$3, 'Daily 쨈 raw'!$A:$A, 0), MATCH($A40, 'Daily 쨈 raw'!$1:$1, 0)), ""), IF(val=0, "", val))</f>
        <v>62</v>
      </c>
      <c r="AJ40" s="44">
        <f t="array" ref="AJ40">LET(val, IFERROR(INDEX('Daily 쨈 raw'!$A:$ZZ, MATCH(AJ$3, 'Daily 쨈 raw'!$A:$A, 0), MATCH($A40, 'Daily 쨈 raw'!$1:$1, 0)), ""), IF(val=0, "", val))</f>
        <v>76</v>
      </c>
      <c r="AK40" s="44">
        <f t="array" ref="AK40">LET(val, IFERROR(INDEX('Daily 쨈 raw'!$A:$ZZ, MATCH(AK$3, 'Daily 쨈 raw'!$A:$A, 0), MATCH($A40, 'Daily 쨈 raw'!$1:$1, 0)), ""), IF(val=0, "", val))</f>
        <v>86</v>
      </c>
      <c r="AL40" s="44">
        <f t="array" ref="AL40">LET(val, IFERROR(INDEX('Daily 쨈 raw'!$A:$ZZ, MATCH(AL$3, 'Daily 쨈 raw'!$A:$A, 0), MATCH($A40, 'Daily 쨈 raw'!$1:$1, 0)), ""), IF(val=0, "", val))</f>
        <v>68</v>
      </c>
      <c r="AM40" s="44">
        <f t="array" ref="AM40">LET(val, IFERROR(INDEX('Daily 쨈 raw'!$A:$ZZ, MATCH(AM$3, 'Daily 쨈 raw'!$A:$A, 0), MATCH($A40, 'Daily 쨈 raw'!$1:$1, 0)), ""), IF(val=0, "", val))</f>
        <v>67</v>
      </c>
      <c r="AN40" s="44">
        <f t="array" ref="AN40">LET(val, IFERROR(INDEX('Daily 쨈 raw'!$A:$ZZ, MATCH(AN$3, 'Daily 쨈 raw'!$A:$A, 0), MATCH($A40, 'Daily 쨈 raw'!$1:$1, 0)), ""), IF(val=0, "", val))</f>
        <v>101</v>
      </c>
      <c r="AO40" s="44">
        <f t="array" ref="AO40">LET(val, IFERROR(INDEX('Daily 쨈 raw'!$A:$ZZ, MATCH(AO$3, 'Daily 쨈 raw'!$A:$A, 0), MATCH($A40, 'Daily 쨈 raw'!$1:$1, 0)), ""), IF(val=0, "", val))</f>
        <v>149</v>
      </c>
      <c r="AP40" s="44">
        <f t="array" ref="AP40">LET(val, IFERROR(INDEX('Daily 쨈 raw'!$A:$ZZ, MATCH(AP$3, 'Daily 쨈 raw'!$A:$A, 0), MATCH($A40, 'Daily 쨈 raw'!$1:$1, 0)), ""), IF(val=0, "", val))</f>
        <v>74</v>
      </c>
      <c r="AQ40" s="44">
        <f t="array" ref="AQ40">LET(val, IFERROR(INDEX('Daily 쨈 raw'!$A:$ZZ, MATCH(AQ$3, 'Daily 쨈 raw'!$A:$A, 0), MATCH($A40, 'Daily 쨈 raw'!$1:$1, 0)), ""), IF(val=0, "", val))</f>
        <v>76</v>
      </c>
      <c r="AR40" s="44">
        <f t="array" ref="AR40">LET(val, IFERROR(INDEX('Daily 쨈 raw'!$A:$ZZ, MATCH(AR$3, 'Daily 쨈 raw'!$A:$A, 0), MATCH($A40, 'Daily 쨈 raw'!$1:$1, 0)), ""), IF(val=0, "", val))</f>
        <v>61</v>
      </c>
      <c r="AS40" s="44">
        <f t="array" ref="AS40">LET(val, IFERROR(INDEX('Daily 쨈 raw'!$A:$ZZ, MATCH(AS$3, 'Daily 쨈 raw'!$A:$A, 0), MATCH($A40, 'Daily 쨈 raw'!$1:$1, 0)), ""), IF(val=0, "", val))</f>
        <v>44</v>
      </c>
      <c r="AT40" s="44">
        <f t="array" ref="AT40">LET(val, IFERROR(INDEX('Daily 쨈 raw'!$A:$ZZ, MATCH(AT$3, 'Daily 쨈 raw'!$A:$A, 0), MATCH($A40, 'Daily 쨈 raw'!$1:$1, 0)), ""), IF(val=0, "", val))</f>
        <v>60</v>
      </c>
      <c r="AU40" s="44">
        <f t="array" ref="AU40">LET(val, IFERROR(INDEX('Daily 쨈 raw'!$A:$ZZ, MATCH(AU$3, 'Daily 쨈 raw'!$A:$A, 0), MATCH($A40, 'Daily 쨈 raw'!$1:$1, 0)), ""), IF(val=0, "", val))</f>
        <v>60</v>
      </c>
      <c r="AV40" s="44">
        <f t="array" ref="AV40">LET(val, IFERROR(INDEX('Daily 쨈 raw'!$A:$ZZ, MATCH(AV$3, 'Daily 쨈 raw'!$A:$A, 0), MATCH($A40, 'Daily 쨈 raw'!$1:$1, 0)), ""), IF(val=0, "", val))</f>
        <v>53</v>
      </c>
      <c r="AW40" s="44">
        <f t="array" ref="AW40">LET(val, IFERROR(INDEX('Daily 쨈 raw'!$A:$ZZ, MATCH(AW$3, 'Daily 쨈 raw'!$A:$A, 0), MATCH($A40, 'Daily 쨈 raw'!$1:$1, 0)), ""), IF(val=0, "", val))</f>
        <v>56</v>
      </c>
      <c r="AX40" s="44">
        <f t="array" ref="AX40">LET(val, IFERROR(INDEX('Daily 쨈 raw'!$A:$ZZ, MATCH(AX$3, 'Daily 쨈 raw'!$A:$A, 0), MATCH($A40, 'Daily 쨈 raw'!$1:$1, 0)), ""), IF(val=0, "", val))</f>
        <v>54</v>
      </c>
      <c r="AY40" s="44">
        <f t="array" ref="AY40">LET(val, IFERROR(INDEX('Daily 쨈 raw'!$A:$ZZ, MATCH(AY$3, 'Daily 쨈 raw'!$A:$A, 0), MATCH($A40, 'Daily 쨈 raw'!$1:$1, 0)), ""), IF(val=0, "", val))</f>
        <v>48</v>
      </c>
      <c r="AZ40" s="44">
        <f t="array" ref="AZ40">LET(val, IFERROR(INDEX('Daily 쨈 raw'!$A:$ZZ, MATCH(AZ$3, 'Daily 쨈 raw'!$A:$A, 0), MATCH($A40, 'Daily 쨈 raw'!$1:$1, 0)), ""), IF(val=0, "", val))</f>
        <v>41</v>
      </c>
      <c r="BA40" s="44">
        <f t="array" ref="BA40">LET(val, IFERROR(INDEX('Daily 쨈 raw'!$A:$ZZ, MATCH(BA$3, 'Daily 쨈 raw'!$A:$A, 0), MATCH($A40, 'Daily 쨈 raw'!$1:$1, 0)), ""), IF(val=0, "", val))</f>
        <v>48</v>
      </c>
      <c r="BB40" s="44">
        <f t="array" ref="BB40">LET(val, IFERROR(INDEX('Daily 쨈 raw'!$A:$ZZ, MATCH(BB$3, 'Daily 쨈 raw'!$A:$A, 0), MATCH($A40, 'Daily 쨈 raw'!$1:$1, 0)), ""), IF(val=0, "", val))</f>
        <v>40</v>
      </c>
      <c r="BC40" s="44">
        <f t="array" ref="BC40">LET(val, IFERROR(INDEX('Daily 쨈 raw'!$A:$ZZ, MATCH(BC$3, 'Daily 쨈 raw'!$A:$A, 0), MATCH($A40, 'Daily 쨈 raw'!$1:$1, 0)), ""), IF(val=0, "", val))</f>
        <v>51</v>
      </c>
      <c r="BD40" s="44">
        <f t="array" ref="BD40">LET(val, IFERROR(INDEX('Daily 쨈 raw'!$A:$ZZ, MATCH(BD$3, 'Daily 쨈 raw'!$A:$A, 0), MATCH($A40, 'Daily 쨈 raw'!$1:$1, 0)), ""), IF(val=0, "", val))</f>
        <v>68</v>
      </c>
      <c r="BE40" s="44">
        <f t="array" ref="BE40">LET(val, IFERROR(INDEX('Daily 쨈 raw'!$A:$ZZ, MATCH(BE$3, 'Daily 쨈 raw'!$A:$A, 0), MATCH($A40, 'Daily 쨈 raw'!$1:$1, 0)), ""), IF(val=0, "", val))</f>
        <v>92</v>
      </c>
      <c r="BF40" s="44">
        <f t="array" ref="BF40">LET(val, IFERROR(INDEX('Daily 쨈 raw'!$A:$ZZ, MATCH(BF$3, 'Daily 쨈 raw'!$A:$A, 0), MATCH($A40, 'Daily 쨈 raw'!$1:$1, 0)), ""), IF(val=0, "", val))</f>
        <v>84</v>
      </c>
      <c r="BG40" s="44">
        <f t="array" ref="BG40">LET(val, IFERROR(INDEX('Daily 쨈 raw'!$A:$ZZ, MATCH(BG$3, 'Daily 쨈 raw'!$A:$A, 0), MATCH($A40, 'Daily 쨈 raw'!$1:$1, 0)), ""), IF(val=0, "", val))</f>
        <v>51</v>
      </c>
      <c r="BH40" s="44">
        <f t="array" ref="BH40">LET(val, IFERROR(INDEX('Daily 쨈 raw'!$A:$ZZ, MATCH(BH$3, 'Daily 쨈 raw'!$A:$A, 0), MATCH($A40, 'Daily 쨈 raw'!$1:$1, 0)), ""), IF(val=0, "", val))</f>
        <v>63</v>
      </c>
      <c r="BI40" s="44">
        <f t="array" ref="BI40">LET(val, IFERROR(INDEX('Daily 쨈 raw'!$A:$ZZ, MATCH(BI$3, 'Daily 쨈 raw'!$A:$A, 0), MATCH($A40, 'Daily 쨈 raw'!$1:$1, 0)), ""), IF(val=0, "", val))</f>
        <v>61</v>
      </c>
      <c r="BJ40" s="44">
        <f t="array" ref="BJ40">LET(val, IFERROR(INDEX('Daily 쨈 raw'!$A:$ZZ, MATCH(BJ$3, 'Daily 쨈 raw'!$A:$A, 0), MATCH($A40, 'Daily 쨈 raw'!$1:$1, 0)), ""), IF(val=0, "", val))</f>
        <v>76</v>
      </c>
      <c r="BK40" s="44">
        <f t="array" ref="BK40">LET(val, IFERROR(INDEX('Daily 쨈 raw'!$A:$ZZ, MATCH(BK$3, 'Daily 쨈 raw'!$A:$A, 0), MATCH($A40, 'Daily 쨈 raw'!$1:$1, 0)), ""), IF(val=0, "", val))</f>
        <v>78</v>
      </c>
      <c r="BL40" s="44">
        <f t="array" ref="BL40">LET(val, IFERROR(INDEX('Daily 쨈 raw'!$A:$ZZ, MATCH(BL$3, 'Daily 쨈 raw'!$A:$A, 0), MATCH($A40, 'Daily 쨈 raw'!$1:$1, 0)), ""), IF(val=0, "", val))</f>
        <v>81</v>
      </c>
      <c r="BM40" s="44">
        <f t="array" ref="BM40">LET(val, IFERROR(INDEX('Daily 쨈 raw'!$A:$ZZ, MATCH(BM$3, 'Daily 쨈 raw'!$A:$A, 0), MATCH($A40, 'Daily 쨈 raw'!$1:$1, 0)), ""), IF(val=0, "", val))</f>
        <v>81</v>
      </c>
      <c r="BN40" s="44">
        <f t="array" ref="BN40">LET(val, IFERROR(INDEX('Daily 쨈 raw'!$A:$ZZ, MATCH(BN$3, 'Daily 쨈 raw'!$A:$A, 0), MATCH($A40, 'Daily 쨈 raw'!$1:$1, 0)), ""), IF(val=0, "", val))</f>
        <v>53</v>
      </c>
      <c r="BO40" s="44">
        <f t="array" ref="BO40">LET(val, IFERROR(INDEX('Daily 쨈 raw'!$A:$ZZ, MATCH(BO$3, 'Daily 쨈 raw'!$A:$A, 0), MATCH($A40, 'Daily 쨈 raw'!$1:$1, 0)), ""), IF(val=0, "", val))</f>
        <v>44</v>
      </c>
      <c r="BP40" s="44">
        <f t="array" ref="BP40">LET(val, IFERROR(INDEX('Daily 쨈 raw'!$A:$ZZ, MATCH(BP$3, 'Daily 쨈 raw'!$A:$A, 0), MATCH($A40, 'Daily 쨈 raw'!$1:$1, 0)), ""), IF(val=0, "", val))</f>
        <v>42</v>
      </c>
      <c r="BQ40" s="44">
        <f t="array" ref="BQ40">LET(val, IFERROR(INDEX('Daily 쨈 raw'!$A:$ZZ, MATCH(BQ$3, 'Daily 쨈 raw'!$A:$A, 0), MATCH($A40, 'Daily 쨈 raw'!$1:$1, 0)), ""), IF(val=0, "", val))</f>
        <v>54</v>
      </c>
      <c r="BR40" s="44">
        <f t="array" ref="BR40">LET(val, IFERROR(INDEX('Daily 쨈 raw'!$A:$ZZ, MATCH(BR$3, 'Daily 쨈 raw'!$A:$A, 0), MATCH($A40, 'Daily 쨈 raw'!$1:$1, 0)), ""), IF(val=0, "", val))</f>
        <v>40</v>
      </c>
      <c r="BS40" s="44">
        <f t="array" ref="BS40">LET(val, IFERROR(INDEX('Daily 쨈 raw'!$A:$ZZ, MATCH(BS$3, 'Daily 쨈 raw'!$A:$A, 0), MATCH($A40, 'Daily 쨈 raw'!$1:$1, 0)), ""), IF(val=0, "", val))</f>
        <v>60</v>
      </c>
      <c r="BT40" s="44">
        <f t="array" ref="BT40">LET(val, IFERROR(INDEX('Daily 쨈 raw'!$A:$ZZ, MATCH(BT$3, 'Daily 쨈 raw'!$A:$A, 0), MATCH($A40, 'Daily 쨈 raw'!$1:$1, 0)), ""), IF(val=0, "", val))</f>
        <v>47</v>
      </c>
      <c r="BU40" s="44">
        <f t="array" ref="BU40">LET(val, IFERROR(INDEX('Daily 쨈 raw'!$A:$ZZ, MATCH(BU$3, 'Daily 쨈 raw'!$A:$A, 0), MATCH($A40, 'Daily 쨈 raw'!$1:$1, 0)), ""), IF(val=0, "", val))</f>
        <v>57</v>
      </c>
      <c r="BV40" s="44">
        <f t="array" ref="BV40">LET(val, IFERROR(INDEX('Daily 쨈 raw'!$A:$ZZ, MATCH(BV$3, 'Daily 쨈 raw'!$A:$A, 0), MATCH($A40, 'Daily 쨈 raw'!$1:$1, 0)), ""), IF(val=0, "", val))</f>
        <v>36</v>
      </c>
      <c r="BW40" s="44">
        <f t="array" ref="BW40">LET(val, IFERROR(INDEX('Daily 쨈 raw'!$A:$ZZ, MATCH(BW$3, 'Daily 쨈 raw'!$A:$A, 0), MATCH($A40, 'Daily 쨈 raw'!$1:$1, 0)), ""), IF(val=0, "", val))</f>
        <v>38</v>
      </c>
      <c r="BX40" s="44">
        <f t="array" ref="BX40">LET(val, IFERROR(INDEX('Daily 쨈 raw'!$A:$ZZ, MATCH(BX$3, 'Daily 쨈 raw'!$A:$A, 0), MATCH($A40, 'Daily 쨈 raw'!$1:$1, 0)), ""), IF(val=0, "", val))</f>
        <v>35</v>
      </c>
      <c r="BY40" s="44">
        <f t="array" ref="BY40">LET(val, IFERROR(INDEX('Daily 쨈 raw'!$A:$ZZ, MATCH(BY$3, 'Daily 쨈 raw'!$A:$A, 0), MATCH($A40, 'Daily 쨈 raw'!$1:$1, 0)), ""), IF(val=0, "", val))</f>
        <v>32</v>
      </c>
      <c r="BZ40" s="44">
        <f t="array" ref="BZ40">LET(val, IFERROR(INDEX('Daily 쨈 raw'!$A:$ZZ, MATCH(BZ$3, 'Daily 쨈 raw'!$A:$A, 0), MATCH($A40, 'Daily 쨈 raw'!$1:$1, 0)), ""), IF(val=0, "", val))</f>
        <v>23</v>
      </c>
      <c r="CA40" s="44">
        <f t="array" ref="CA40">LET(val, IFERROR(INDEX('Daily 쨈 raw'!$A:$ZZ, MATCH(CA$3, 'Daily 쨈 raw'!$A:$A, 0), MATCH($A40, 'Daily 쨈 raw'!$1:$1, 0)), ""), IF(val=0, "", val))</f>
        <v>34</v>
      </c>
      <c r="CB40" s="44">
        <f t="array" ref="CB40">LET(val, IFERROR(INDEX('Daily 쨈 raw'!$A:$ZZ, MATCH(CB$3, 'Daily 쨈 raw'!$A:$A, 0), MATCH($A40, 'Daily 쨈 raw'!$1:$1, 0)), ""), IF(val=0, "", val))</f>
        <v>8</v>
      </c>
      <c r="CC40" s="44">
        <f t="array" ref="CC40">LET(val, IFERROR(INDEX('Daily 쨈 raw'!$A:$ZZ, MATCH(CC$3, 'Daily 쨈 raw'!$A:$A, 0), MATCH($A40, 'Daily 쨈 raw'!$1:$1, 0)), ""), IF(val=0, "", val))</f>
        <v>18</v>
      </c>
      <c r="CD40" s="44">
        <f t="array" ref="CD40">LET(val, IFERROR(INDEX('Daily 쨈 raw'!$A:$ZZ, MATCH(CD$3, 'Daily 쨈 raw'!$A:$A, 0), MATCH($A40, 'Daily 쨈 raw'!$1:$1, 0)), ""), IF(val=0, "", val))</f>
        <v>19</v>
      </c>
      <c r="CE40" s="44">
        <f t="array" ref="CE40">LET(val, IFERROR(INDEX('Daily 쨈 raw'!$A:$ZZ, MATCH(CE$3, 'Daily 쨈 raw'!$A:$A, 0), MATCH($A40, 'Daily 쨈 raw'!$1:$1, 0)), ""), IF(val=0, "", val))</f>
        <v>16</v>
      </c>
      <c r="CF40" s="44">
        <f t="array" ref="CF40">LET(val, IFERROR(INDEX('Daily 쨈 raw'!$A:$ZZ, MATCH(CF$3, 'Daily 쨈 raw'!$A:$A, 0), MATCH($A40, 'Daily 쨈 raw'!$1:$1, 0)), ""), IF(val=0, "", val))</f>
        <v>18</v>
      </c>
      <c r="CG40" s="44">
        <f t="array" ref="CG40">LET(val, IFERROR(INDEX('Daily 쨈 raw'!$A:$ZZ, MATCH(CG$3, 'Daily 쨈 raw'!$A:$A, 0), MATCH($A40, 'Daily 쨈 raw'!$1:$1, 0)), ""), IF(val=0, "", val))</f>
        <v>19</v>
      </c>
      <c r="CH40" s="44">
        <f t="array" ref="CH40">LET(val, IFERROR(INDEX('Daily 쨈 raw'!$A:$ZZ, MATCH(CH$3, 'Daily 쨈 raw'!$A:$A, 0), MATCH($A40, 'Daily 쨈 raw'!$1:$1, 0)), ""), IF(val=0, "", val))</f>
        <v>27</v>
      </c>
      <c r="CI40" s="44">
        <f t="array" ref="CI40">LET(val, IFERROR(INDEX('Daily 쨈 raw'!$A:$ZZ, MATCH(CI$3, 'Daily 쨈 raw'!$A:$A, 0), MATCH($A40, 'Daily 쨈 raw'!$1:$1, 0)), ""), IF(val=0, "", val))</f>
        <v>29</v>
      </c>
      <c r="CJ40" s="44">
        <f t="array" ref="CJ40">LET(val, IFERROR(INDEX('Daily 쨈 raw'!$A:$ZZ, MATCH(CJ$3, 'Daily 쨈 raw'!$A:$A, 0), MATCH($A40, 'Daily 쨈 raw'!$1:$1, 0)), ""), IF(val=0, "", val))</f>
        <v>31</v>
      </c>
      <c r="CK40" s="44">
        <f t="array" ref="CK40">LET(val, IFERROR(INDEX('Daily 쨈 raw'!$A:$ZZ, MATCH(CK$3, 'Daily 쨈 raw'!$A:$A, 0), MATCH($A40, 'Daily 쨈 raw'!$1:$1, 0)), ""), IF(val=0, "", val))</f>
        <v>38</v>
      </c>
      <c r="CL40" s="44">
        <f t="array" ref="CL40">LET(val, IFERROR(INDEX('Daily 쨈 raw'!$A:$ZZ, MATCH(CL$3, 'Daily 쨈 raw'!$A:$A, 0), MATCH($A40, 'Daily 쨈 raw'!$1:$1, 0)), ""), IF(val=0, "", val))</f>
        <v>20</v>
      </c>
      <c r="CM40" s="44">
        <f t="array" ref="CM40">LET(val, IFERROR(INDEX('Daily 쨈 raw'!$A:$ZZ, MATCH(CM$3, 'Daily 쨈 raw'!$A:$A, 0), MATCH($A40, 'Daily 쨈 raw'!$1:$1, 0)), ""), IF(val=0, "", val))</f>
        <v>33</v>
      </c>
      <c r="CN40" s="44">
        <f t="array" ref="CN40">LET(val, IFERROR(INDEX('Daily 쨈 raw'!$A:$ZZ, MATCH(CN$3, 'Daily 쨈 raw'!$A:$A, 0), MATCH($A40, 'Daily 쨈 raw'!$1:$1, 0)), ""), IF(val=0, "", val))</f>
        <v>32</v>
      </c>
      <c r="CO40" s="44">
        <f t="array" ref="CO40">LET(val, IFERROR(INDEX('Daily 쨈 raw'!$A:$ZZ, MATCH(CO$3, 'Daily 쨈 raw'!$A:$A, 0), MATCH($A40, 'Daily 쨈 raw'!$1:$1, 0)), ""), IF(val=0, "", val))</f>
        <v>38</v>
      </c>
      <c r="CP40" s="44">
        <f t="array" ref="CP40">LET(val, IFERROR(INDEX('Daily 쨈 raw'!$A:$ZZ, MATCH(CP$3, 'Daily 쨈 raw'!$A:$A, 0), MATCH($A40, 'Daily 쨈 raw'!$1:$1, 0)), ""), IF(val=0, "", val))</f>
        <v>25</v>
      </c>
      <c r="CQ40" s="44" t="str">
        <f t="array" ref="CQ40">LET(val, IFERROR(INDEX('Daily 쨈 raw'!$A:$ZZ, MATCH(CQ$3, 'Daily 쨈 raw'!$A:$A, 0), MATCH($A40, 'Daily 쨈 raw'!$1:$1, 0)), ""), IF(val=0, "", val))</f>
        <v/>
      </c>
      <c r="CR40" s="44" t="str">
        <f t="array" ref="CR40">LET(val, IFERROR(INDEX('Daily 쨈 raw'!$A:$ZZ, MATCH(CR$3, 'Daily 쨈 raw'!$A:$A, 0), MATCH($A40, 'Daily 쨈 raw'!$1:$1, 0)), ""), IF(val=0, "", val))</f>
        <v/>
      </c>
      <c r="CS40" s="44" t="str">
        <f t="array" ref="CS40">LET(val, IFERROR(INDEX('Daily 쨈 raw'!$A:$ZZ, MATCH(CS$3, 'Daily 쨈 raw'!$A:$A, 0), MATCH($A40, 'Daily 쨈 raw'!$1:$1, 0)), ""), IF(val=0, "", val))</f>
        <v/>
      </c>
      <c r="CT40" s="44" t="str">
        <f t="array" ref="CT40">LET(val, IFERROR(INDEX('Daily 쨈 raw'!$A:$ZZ, MATCH(CT$3, 'Daily 쨈 raw'!$A:$A, 0), MATCH($A40, 'Daily 쨈 raw'!$1:$1, 0)), ""), IF(val=0, "", val))</f>
        <v/>
      </c>
      <c r="CU40" s="44" t="str">
        <f t="array" ref="CU40">LET(val, IFERROR(INDEX('Daily 쨈 raw'!$A:$ZZ, MATCH(CU$3, 'Daily 쨈 raw'!$A:$A, 0), MATCH($A40, 'Daily 쨈 raw'!$1:$1, 0)), ""), IF(val=0, "", val))</f>
        <v/>
      </c>
      <c r="CV40" s="44" t="str">
        <f t="array" ref="CV40">LET(val, IFERROR(INDEX('Daily 쨈 raw'!$A:$ZZ, MATCH(CV$3, 'Daily 쨈 raw'!$A:$A, 0), MATCH($A40, 'Daily 쨈 raw'!$1:$1, 0)), ""), IF(val=0, "", val))</f>
        <v/>
      </c>
      <c r="CW40" s="44" t="str">
        <f t="array" ref="CW40">LET(val, IFERROR(INDEX('Daily 쨈 raw'!$A:$ZZ, MATCH(CW$3, 'Daily 쨈 raw'!$A:$A, 0), MATCH($A40, 'Daily 쨈 raw'!$1:$1, 0)), ""), IF(val=0, "", val))</f>
        <v/>
      </c>
      <c r="CX40" s="44" t="str">
        <f t="array" ref="CX40">LET(val, IFERROR(INDEX('Daily 쨈 raw'!$A:$ZZ, MATCH(CX$3, 'Daily 쨈 raw'!$A:$A, 0), MATCH($A40, 'Daily 쨈 raw'!$1:$1, 0)), ""), IF(val=0, "", val))</f>
        <v/>
      </c>
      <c r="CY40" s="44" t="str">
        <f t="array" ref="CY40">LET(val, IFERROR(INDEX('Daily 쨈 raw'!$A:$ZZ, MATCH(CY$3, 'Daily 쨈 raw'!$A:$A, 0), MATCH($A40, 'Daily 쨈 raw'!$1:$1, 0)), ""), IF(val=0, "", val))</f>
        <v/>
      </c>
      <c r="CZ40" s="44" t="str">
        <f t="array" ref="CZ40">LET(val, IFERROR(INDEX('Daily 쨈 raw'!$A:$ZZ, MATCH(CZ$3, 'Daily 쨈 raw'!$A:$A, 0), MATCH($A40, 'Daily 쨈 raw'!$1:$1, 0)), ""), IF(val=0, "", val))</f>
        <v/>
      </c>
      <c r="DA40" s="44" t="str">
        <f t="array" ref="DA40">LET(val, IFERROR(INDEX('Daily 쨈 raw'!$A:$ZZ, MATCH(DA$3, 'Daily 쨈 raw'!$A:$A, 0), MATCH($A40, 'Daily 쨈 raw'!$1:$1, 0)), ""), IF(val=0, "", val))</f>
        <v/>
      </c>
      <c r="DB40" s="44" t="str">
        <f t="array" ref="DB40">LET(val, IFERROR(INDEX('Daily 쨈 raw'!$A:$ZZ, MATCH(DB$3, 'Daily 쨈 raw'!$A:$A, 0), MATCH($A40, 'Daily 쨈 raw'!$1:$1, 0)), ""), IF(val=0, "", val))</f>
        <v/>
      </c>
      <c r="DC40" s="44" t="str">
        <f t="array" ref="DC40">LET(val, IFERROR(INDEX('Daily 쨈 raw'!$A:$ZZ, MATCH(DC$3, 'Daily 쨈 raw'!$A:$A, 0), MATCH($A40, 'Daily 쨈 raw'!$1:$1, 0)), ""), IF(val=0, "", val))</f>
        <v/>
      </c>
      <c r="DD40" s="44" t="str">
        <f t="array" ref="DD40">LET(val, IFERROR(INDEX('Daily 쨈 raw'!$A:$ZZ, MATCH(DD$3, 'Daily 쨈 raw'!$A:$A, 0), MATCH($A40, 'Daily 쨈 raw'!$1:$1, 0)), ""), IF(val=0, "", val))</f>
        <v/>
      </c>
      <c r="DE40" s="44" t="str">
        <f t="array" ref="DE40">LET(val, IFERROR(INDEX('Daily 쨈 raw'!$A:$ZZ, MATCH(DE$3, 'Daily 쨈 raw'!$A:$A, 0), MATCH($A40, 'Daily 쨈 raw'!$1:$1, 0)), ""), IF(val=0, "", val))</f>
        <v/>
      </c>
      <c r="DF40" s="44" t="str">
        <f t="array" ref="DF40">LET(val, IFERROR(INDEX('Daily 쨈 raw'!$A:$ZZ, MATCH(DF$3, 'Daily 쨈 raw'!$A:$A, 0), MATCH($A40, 'Daily 쨈 raw'!$1:$1, 0)), ""), IF(val=0, "", val))</f>
        <v/>
      </c>
      <c r="DG40" s="44" t="str">
        <f t="array" ref="DG40">LET(val, IFERROR(INDEX('Daily 쨈 raw'!$A:$ZZ, MATCH(DG$3, 'Daily 쨈 raw'!$A:$A, 0), MATCH($A40, 'Daily 쨈 raw'!$1:$1, 0)), ""), IF(val=0, "", val))</f>
        <v/>
      </c>
      <c r="DH40" s="44" t="str">
        <f t="array" ref="DH40">LET(val, IFERROR(INDEX('Daily 쨈 raw'!$A:$ZZ, MATCH(DH$3, 'Daily 쨈 raw'!$A:$A, 0), MATCH($A40, 'Daily 쨈 raw'!$1:$1, 0)), ""), IF(val=0, "", val))</f>
        <v/>
      </c>
      <c r="DI40" s="44" t="str">
        <f t="array" ref="DI40">LET(val, IFERROR(INDEX('Daily 쨈 raw'!$A:$ZZ, MATCH(DI$3, 'Daily 쨈 raw'!$A:$A, 0), MATCH($A40, 'Daily 쨈 raw'!$1:$1, 0)), ""), IF(val=0, "", val))</f>
        <v/>
      </c>
      <c r="DJ40" s="44" t="str">
        <f t="array" ref="DJ40">LET(val, IFERROR(INDEX('Daily 쨈 raw'!$A:$ZZ, MATCH(DJ$3, 'Daily 쨈 raw'!$A:$A, 0), MATCH($A40, 'Daily 쨈 raw'!$1:$1, 0)), ""), IF(val=0, "", val))</f>
        <v/>
      </c>
      <c r="DK40" s="44" t="str">
        <f t="array" ref="DK40">LET(val, IFERROR(INDEX('Daily 쨈 raw'!$A:$ZZ, MATCH(DK$3, 'Daily 쨈 raw'!$A:$A, 0), MATCH($A40, 'Daily 쨈 raw'!$1:$1, 0)), ""), IF(val=0, "", val))</f>
        <v/>
      </c>
      <c r="DL40" s="44" t="str">
        <f t="array" ref="DL40">LET(val, IFERROR(INDEX('Daily 쨈 raw'!$A:$ZZ, MATCH(DL$3, 'Daily 쨈 raw'!$A:$A, 0), MATCH($A40, 'Daily 쨈 raw'!$1:$1, 0)), ""), IF(val=0, "", val))</f>
        <v/>
      </c>
      <c r="DM40" s="44" t="str">
        <f t="array" ref="DM40">LET(val, IFERROR(INDEX('Daily 쨈 raw'!$A:$ZZ, MATCH(DM$3, 'Daily 쨈 raw'!$A:$A, 0), MATCH($A40, 'Daily 쨈 raw'!$1:$1, 0)), ""), IF(val=0, "", val))</f>
        <v/>
      </c>
      <c r="DN40" s="44" t="str">
        <f t="array" ref="DN40">LET(val, IFERROR(INDEX('Daily 쨈 raw'!$A:$ZZ, MATCH(DN$3, 'Daily 쨈 raw'!$A:$A, 0), MATCH($A40, 'Daily 쨈 raw'!$1:$1, 0)), ""), IF(val=0, "", val))</f>
        <v/>
      </c>
      <c r="DO40" s="44" t="str">
        <f t="array" ref="DO40">LET(val, IFERROR(INDEX('Daily 쨈 raw'!$A:$ZZ, MATCH(DO$3, 'Daily 쨈 raw'!$A:$A, 0), MATCH($A40, 'Daily 쨈 raw'!$1:$1, 0)), ""), IF(val=0, "", val))</f>
        <v/>
      </c>
      <c r="DP40" s="44" t="str">
        <f t="array" ref="DP40">LET(val, IFERROR(INDEX('Daily 쨈 raw'!$A:$ZZ, MATCH(DP$3, 'Daily 쨈 raw'!$A:$A, 0), MATCH($A40, 'Daily 쨈 raw'!$1:$1, 0)), ""), IF(val=0, "", val))</f>
        <v/>
      </c>
      <c r="DQ40" s="44" t="str">
        <f t="array" ref="DQ40">LET(val, IFERROR(INDEX('Daily 쨈 raw'!$A:$ZZ, MATCH(DQ$3, 'Daily 쨈 raw'!$A:$A, 0), MATCH($A40, 'Daily 쨈 raw'!$1:$1, 0)), ""), IF(val=0, "", val))</f>
        <v/>
      </c>
      <c r="DR40" s="44" t="str">
        <f t="array" ref="DR40">LET(val, IFERROR(INDEX('Daily 쨈 raw'!$A:$ZZ, MATCH(DR$3, 'Daily 쨈 raw'!$A:$A, 0), MATCH($A40, 'Daily 쨈 raw'!$1:$1, 0)), ""), IF(val=0, "", val))</f>
        <v/>
      </c>
      <c r="DS40" s="44" t="str">
        <f t="array" ref="DS40">LET(val, IFERROR(INDEX('Daily 쨈 raw'!$A:$ZZ, MATCH(DS$3, 'Daily 쨈 raw'!$A:$A, 0), MATCH($A40, 'Daily 쨈 raw'!$1:$1, 0)), ""), IF(val=0, "", val))</f>
        <v/>
      </c>
      <c r="DT40" s="44" t="str">
        <f t="array" ref="DT40">LET(val, IFERROR(INDEX('Daily 쨈 raw'!$A:$ZZ, MATCH(DT$3, 'Daily 쨈 raw'!$A:$A, 0), MATCH($A40, 'Daily 쨈 raw'!$1:$1, 0)), ""), IF(val=0, "", val))</f>
        <v/>
      </c>
      <c r="DU40" s="44" t="str">
        <f t="array" ref="DU40">LET(val, IFERROR(INDEX('Daily 쨈 raw'!$A:$ZZ, MATCH(DU$3, 'Daily 쨈 raw'!$A:$A, 0), MATCH($A40, 'Daily 쨈 raw'!$1:$1, 0)), ""), IF(val=0, "", val))</f>
        <v/>
      </c>
      <c r="DV40" s="44" t="str">
        <f t="array" ref="DV40">LET(val, IFERROR(INDEX('Daily 쨈 raw'!$A:$ZZ, MATCH(DV$3, 'Daily 쨈 raw'!$A:$A, 0), MATCH($A40, 'Daily 쨈 raw'!$1:$1, 0)), ""), IF(val=0, "", val))</f>
        <v/>
      </c>
      <c r="DW40" s="44" t="str">
        <f t="array" ref="DW40">LET(val, IFERROR(INDEX('Daily 쨈 raw'!$A:$ZZ, MATCH(DW$3, 'Daily 쨈 raw'!$A:$A, 0), MATCH($A40, 'Daily 쨈 raw'!$1:$1, 0)), ""), IF(val=0, "", val))</f>
        <v/>
      </c>
      <c r="DX40" s="57"/>
      <c r="DY40" s="57"/>
      <c r="DZ40" s="57"/>
    </row>
    <row r="41" ht="18.75" customHeight="1">
      <c r="B41" s="17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44" t="str">
        <f t="array" ref="BA41">IFERROR(INDEX('Daily 쨈 raw'!$A:$Z, MATCH(BA$3, 'Daily 쨈 raw'!$A:$A, 0), MATCH($A41, 'Daily 쨈 raw'!$1:$1, 0)), "")</f>
        <v/>
      </c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</row>
    <row r="42" ht="18.75" customHeight="1">
      <c r="B42" s="1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</row>
    <row r="43">
      <c r="A43" s="30"/>
      <c r="B43" s="30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</row>
    <row r="44">
      <c r="A44" s="30"/>
      <c r="B44" s="3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57"/>
      <c r="AQ44" s="57"/>
      <c r="AR44" s="57"/>
      <c r="AS44" s="57"/>
      <c r="AT44" s="57"/>
      <c r="AU44" s="57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</row>
  </sheetData>
  <mergeCells count="1">
    <mergeCell ref="B2:B3"/>
  </mergeCells>
  <conditionalFormatting sqref="C1:DZ2">
    <cfRule type="containsText" dxfId="2" priority="1" operator="containsText" text="토">
      <formula>NOT(ISERROR(SEARCH(("토"),(C1))))</formula>
    </cfRule>
  </conditionalFormatting>
  <conditionalFormatting sqref="C1:DZ2">
    <cfRule type="containsText" dxfId="2" priority="2" operator="containsText" text="일">
      <formula>NOT(ISERROR(SEARCH(("일"),(C1))))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hidden="1" min="1" max="1" width="33.25"/>
    <col customWidth="1" min="2" max="2" width="45.38"/>
    <col customWidth="1" min="3" max="21" width="12.63"/>
  </cols>
  <sheetData>
    <row r="1">
      <c r="A1" s="1"/>
      <c r="B1" s="62"/>
      <c r="C1" s="8"/>
      <c r="D1" s="8"/>
      <c r="E1" s="8"/>
      <c r="F1" s="8"/>
      <c r="G1" s="63" t="s">
        <v>90</v>
      </c>
      <c r="H1" s="8"/>
      <c r="I1" s="8"/>
      <c r="J1" s="8"/>
      <c r="K1" s="8"/>
      <c r="L1" s="64" t="s">
        <v>91</v>
      </c>
      <c r="M1" s="64" t="s">
        <v>92</v>
      </c>
      <c r="N1" s="38" t="s">
        <v>93</v>
      </c>
      <c r="O1" s="38" t="s">
        <v>94</v>
      </c>
      <c r="P1" s="8"/>
      <c r="Q1" s="8"/>
      <c r="R1" s="8"/>
      <c r="S1" s="8"/>
      <c r="T1" s="8"/>
      <c r="U1" s="8"/>
    </row>
    <row r="2">
      <c r="A2" s="1"/>
      <c r="B2" s="62"/>
      <c r="C2" s="8" t="s">
        <v>95</v>
      </c>
      <c r="D2" s="8" t="s">
        <v>96</v>
      </c>
      <c r="E2" s="8" t="s">
        <v>97</v>
      </c>
      <c r="F2" s="8" t="s">
        <v>98</v>
      </c>
      <c r="G2" s="8" t="s">
        <v>99</v>
      </c>
      <c r="H2" s="8" t="s">
        <v>100</v>
      </c>
      <c r="I2" s="8" t="s">
        <v>101</v>
      </c>
      <c r="J2" s="8" t="s">
        <v>102</v>
      </c>
      <c r="K2" s="8" t="s">
        <v>103</v>
      </c>
      <c r="L2" s="8" t="s">
        <v>104</v>
      </c>
      <c r="M2" s="8" t="s">
        <v>105</v>
      </c>
      <c r="N2" s="8" t="s">
        <v>106</v>
      </c>
      <c r="O2" s="8" t="s">
        <v>107</v>
      </c>
      <c r="P2" s="8" t="s">
        <v>108</v>
      </c>
      <c r="Q2" s="8" t="s">
        <v>109</v>
      </c>
      <c r="R2" s="8" t="s">
        <v>110</v>
      </c>
      <c r="S2" s="8" t="s">
        <v>111</v>
      </c>
      <c r="T2" s="8" t="s">
        <v>112</v>
      </c>
      <c r="U2" s="8" t="s">
        <v>107</v>
      </c>
    </row>
    <row r="3" ht="22.5" customHeight="1">
      <c r="A3" s="7" t="s">
        <v>3</v>
      </c>
      <c r="B3" s="35" t="s">
        <v>61</v>
      </c>
      <c r="C3" s="40">
        <v>45985.0</v>
      </c>
      <c r="D3" s="40">
        <v>45992.0</v>
      </c>
      <c r="E3" s="40">
        <v>45999.0</v>
      </c>
      <c r="F3" s="40">
        <v>46006.0</v>
      </c>
      <c r="G3" s="40">
        <v>46013.0</v>
      </c>
      <c r="H3" s="40">
        <v>46020.0</v>
      </c>
      <c r="I3" s="40">
        <f t="shared" ref="I3:U3" si="1">H3+7</f>
        <v>46027</v>
      </c>
      <c r="J3" s="40">
        <f t="shared" si="1"/>
        <v>46034</v>
      </c>
      <c r="K3" s="40">
        <f t="shared" si="1"/>
        <v>46041</v>
      </c>
      <c r="L3" s="40">
        <f t="shared" si="1"/>
        <v>46048</v>
      </c>
      <c r="M3" s="40">
        <f t="shared" si="1"/>
        <v>46055</v>
      </c>
      <c r="N3" s="40">
        <f t="shared" si="1"/>
        <v>46062</v>
      </c>
      <c r="O3" s="40">
        <f t="shared" si="1"/>
        <v>46069</v>
      </c>
      <c r="P3" s="40">
        <f t="shared" si="1"/>
        <v>46076</v>
      </c>
      <c r="Q3" s="40">
        <f t="shared" si="1"/>
        <v>46083</v>
      </c>
      <c r="R3" s="40">
        <f t="shared" si="1"/>
        <v>46090</v>
      </c>
      <c r="S3" s="40">
        <f t="shared" si="1"/>
        <v>46097</v>
      </c>
      <c r="T3" s="40">
        <f t="shared" si="1"/>
        <v>46104</v>
      </c>
      <c r="U3" s="40">
        <f t="shared" si="1"/>
        <v>46111</v>
      </c>
    </row>
    <row r="4" ht="18.75" customHeight="1">
      <c r="A4" s="65" t="s">
        <v>10</v>
      </c>
      <c r="B4" s="66" t="s">
        <v>11</v>
      </c>
      <c r="C4" s="67">
        <f t="array" ref="C4">LET(val, IFERROR(INDEX('Weekly 쨈 raw'!$A:$AAQ, MATCH(C$3, 'Weekly 쨈 raw'!$A:$A, 0), MATCH($A4, 'Weekly 쨈 raw'!$1:$1, 0)), ""), IF(val=0, "", val))</f>
        <v>0.7012048193</v>
      </c>
      <c r="D4" s="67">
        <f t="array" ref="D4">LET(val, IFERROR(INDEX('Weekly 쨈 raw'!$A:$AAQ, MATCH(D$3, 'Weekly 쨈 raw'!$A:$A, 0), MATCH($A4, 'Weekly 쨈 raw'!$1:$1, 0)), ""), IF(val=0, "", val))</f>
        <v>0.5728542914</v>
      </c>
      <c r="E4" s="67">
        <f t="array" ref="E4">LET(val, IFERROR(INDEX('Weekly 쨈 raw'!$A:$AAQ, MATCH(E$3, 'Weekly 쨈 raw'!$A:$A, 0), MATCH($A4, 'Weekly 쨈 raw'!$1:$1, 0)), ""), IF(val=0, "", val))</f>
        <v>0.4757834758</v>
      </c>
      <c r="F4" s="67">
        <f t="array" ref="F4">LET(val, IFERROR(INDEX('Weekly 쨈 raw'!$A:$AAQ, MATCH(F$3, 'Weekly 쨈 raw'!$A:$A, 0), MATCH($A4, 'Weekly 쨈 raw'!$1:$1, 0)), ""), IF(val=0, "", val))</f>
        <v>0.5408560311</v>
      </c>
      <c r="G4" s="67">
        <f t="array" ref="G4">LET(val, IFERROR(INDEX('Weekly 쨈 raw'!$A:$AAQ, MATCH(G$3, 'Weekly 쨈 raw'!$A:$A, 0), MATCH($A4, 'Weekly 쨈 raw'!$1:$1, 0)), ""), IF(val=0, "", val))</f>
        <v>0.5955610358</v>
      </c>
      <c r="H4" s="67">
        <f t="array" ref="H4">LET(val, IFERROR(INDEX('Weekly 쨈 raw'!$A:$AAQ, MATCH(H$3, 'Weekly 쨈 raw'!$A:$A, 0), MATCH($A4, 'Weekly 쨈 raw'!$1:$1, 0)), ""), IF(val=0, "", val))</f>
        <v>0.5106382979</v>
      </c>
      <c r="I4" s="67">
        <f t="array" ref="I4">LET(val, IFERROR(INDEX('Weekly 쨈 raw'!$A:$AAQ, MATCH(I$3, 'Weekly 쨈 raw'!$A:$A, 0), MATCH($A4, 'Weekly 쨈 raw'!$1:$1, 0)), ""), IF(val=0, "", val))</f>
        <v>0.5086206897</v>
      </c>
      <c r="J4" s="67">
        <f t="array" ref="J4">LET(val, IFERROR(INDEX('Weekly 쨈 raw'!$A:$AAQ, MATCH(J$3, 'Weekly 쨈 raw'!$A:$A, 0), MATCH($A4, 'Weekly 쨈 raw'!$1:$1, 0)), ""), IF(val=0, "", val))</f>
        <v>0.501618123</v>
      </c>
      <c r="K4" s="67">
        <f t="array" ref="K4">LET(val, IFERROR(INDEX('Weekly 쨈 raw'!$A:$AAQ, MATCH(K$3, 'Weekly 쨈 raw'!$A:$A, 0), MATCH($A4, 'Weekly 쨈 raw'!$1:$1, 0)), ""), IF(val=0, "", val))</f>
        <v>0.4561403509</v>
      </c>
      <c r="L4" s="67">
        <f t="array" ref="L4">LET(val, IFERROR(INDEX('Weekly 쨈 raw'!$A:$AAQ, MATCH(L$3, 'Weekly 쨈 raw'!$A:$A, 0), MATCH($A4, 'Weekly 쨈 raw'!$1:$1, 0)), ""), IF(val=0, "", val))</f>
        <v>0.4973544974</v>
      </c>
      <c r="M4" s="67">
        <f t="array" ref="M4">LET(val, IFERROR(INDEX('Weekly 쨈 raw'!$A:$AAQ, MATCH(M$3, 'Weekly 쨈 raw'!$A:$A, 0), MATCH($A4, 'Weekly 쨈 raw'!$1:$1, 0)), ""), IF(val=0, "", val))</f>
        <v>0.4627659574</v>
      </c>
      <c r="N4" s="67">
        <f t="array" ref="N4">LET(val, IFERROR(INDEX('Weekly 쨈 raw'!$A:$AAQ, MATCH(N$3, 'Weekly 쨈 raw'!$A:$A, 0), MATCH($A4, 'Weekly 쨈 raw'!$1:$1, 0)), ""), IF(val=0, "", val))</f>
        <v>0.496031746</v>
      </c>
      <c r="O4" s="67" t="str">
        <f t="array" ref="O4">LET(val, IFERROR(INDEX('Weekly 쨈 raw'!$A:$AAQ, MATCH(O$3, 'Weekly 쨈 raw'!$A:$A, 0), MATCH($A4, 'Weekly 쨈 raw'!$1:$1, 0)), ""), IF(val=0, "", val))</f>
        <v/>
      </c>
      <c r="P4" s="67" t="str">
        <f t="array" ref="P4">LET(val, IFERROR(INDEX('Weekly 쨈 raw'!$A:$AAQ, MATCH(P$3, 'Weekly 쨈 raw'!$A:$A, 0), MATCH($A4, 'Weekly 쨈 raw'!$1:$1, 0)), ""), IF(val=0, "", val))</f>
        <v/>
      </c>
      <c r="Q4" s="67" t="str">
        <f t="array" ref="Q4">IF(IFERROR(INDEX('Weekly 쨈 raw'!$A:$AAQ, MATCH(Q$3, 'Weekly 쨈 raw'!$A:$A, 0), MATCH($A4, 'Weekly 쨈 raw'!$1:$1, 0)), 0)=0, "", IFERROR(INDEX('Weekly 쨈 raw'!$A:$AAQ, MATCH(Q$3, 'Weekly 쨈 raw'!$A:$A, 0), MATCH($A4, 'Weekly 쨈 raw'!$1:$1, 0)), 0))</f>
        <v/>
      </c>
      <c r="R4" s="67" t="str">
        <f t="array" ref="R4">IF(IFERROR(INDEX('Weekly 쨈 raw'!$A:$AAQ, MATCH(R$3, 'Weekly 쨈 raw'!$A:$A, 0), MATCH($A4, 'Weekly 쨈 raw'!$1:$1, 0)), 0)=0, "", IFERROR(INDEX('Weekly 쨈 raw'!$A:$AAQ, MATCH(R$3, 'Weekly 쨈 raw'!$A:$A, 0), MATCH($A4, 'Weekly 쨈 raw'!$1:$1, 0)), 0))</f>
        <v/>
      </c>
      <c r="S4" s="67" t="str">
        <f t="array" ref="S4">IF(IFERROR(INDEX('Weekly 쨈 raw'!$A:$AAQ, MATCH(S$3, 'Weekly 쨈 raw'!$A:$A, 0), MATCH($A4, 'Weekly 쨈 raw'!$1:$1, 0)), 0)=0, "", IFERROR(INDEX('Weekly 쨈 raw'!$A:$AAQ, MATCH(S$3, 'Weekly 쨈 raw'!$A:$A, 0), MATCH($A4, 'Weekly 쨈 raw'!$1:$1, 0)), 0))</f>
        <v/>
      </c>
      <c r="T4" s="67" t="str">
        <f t="array" ref="T4">IF(IFERROR(INDEX('Weekly 쨈 raw'!$A:$AAQ, MATCH(T$3, 'Weekly 쨈 raw'!$A:$A, 0), MATCH($A4, 'Weekly 쨈 raw'!$1:$1, 0)), 0)=0, "", IFERROR(INDEX('Weekly 쨈 raw'!$A:$AAQ, MATCH(T$3, 'Weekly 쨈 raw'!$A:$A, 0), MATCH($A4, 'Weekly 쨈 raw'!$1:$1, 0)), 0))</f>
        <v/>
      </c>
      <c r="U4" s="67" t="str">
        <f t="array" ref="U4">IF(IFERROR(INDEX('Weekly 쨈 raw'!$A:$AAQ, MATCH(U$3, 'Weekly 쨈 raw'!$A:$A, 0), MATCH($A4, 'Weekly 쨈 raw'!$1:$1, 0)), 0)=0, "", IFERROR(INDEX('Weekly 쨈 raw'!$A:$AAQ, MATCH(U$3, 'Weekly 쨈 raw'!$A:$A, 0), MATCH($A4, 'Weekly 쨈 raw'!$1:$1, 0)), 0))</f>
        <v/>
      </c>
    </row>
    <row r="5" ht="18.75" customHeight="1">
      <c r="A5" s="16" t="s">
        <v>12</v>
      </c>
      <c r="B5" s="68" t="s">
        <v>113</v>
      </c>
      <c r="C5" s="69">
        <f t="array" ref="C5">LET(val, IFERROR(INDEX('Weekly 쨈 raw'!$A:$AAQ, MATCH(C$3, 'Weekly 쨈 raw'!$A:$A, 0), MATCH($A5, 'Weekly 쨈 raw'!$1:$1, 0)), ""), IF(val=0, "", val))</f>
        <v>291</v>
      </c>
      <c r="D5" s="69">
        <f t="array" ref="D5">LET(val, IFERROR(INDEX('Weekly 쨈 raw'!$A:$AAQ, MATCH(D$3, 'Weekly 쨈 raw'!$A:$A, 0), MATCH($A5, 'Weekly 쨈 raw'!$1:$1, 0)), ""), IF(val=0, "", val))</f>
        <v>287</v>
      </c>
      <c r="E5" s="69">
        <f t="array" ref="E5">LET(val, IFERROR(INDEX('Weekly 쨈 raw'!$A:$AAQ, MATCH(E$3, 'Weekly 쨈 raw'!$A:$A, 0), MATCH($A5, 'Weekly 쨈 raw'!$1:$1, 0)), ""), IF(val=0, "", val))</f>
        <v>167</v>
      </c>
      <c r="F5" s="69">
        <f t="array" ref="F5">LET(val, IFERROR(INDEX('Weekly 쨈 raw'!$A:$AAQ, MATCH(F$3, 'Weekly 쨈 raw'!$A:$A, 0), MATCH($A5, 'Weekly 쨈 raw'!$1:$1, 0)), ""), IF(val=0, "", val))</f>
        <v>139</v>
      </c>
      <c r="G5" s="69">
        <f t="array" ref="G5">LET(val, IFERROR(INDEX('Weekly 쨈 raw'!$A:$AAQ, MATCH(G$3, 'Weekly 쨈 raw'!$A:$A, 0), MATCH($A5, 'Weekly 쨈 raw'!$1:$1, 0)), ""), IF(val=0, "", val))</f>
        <v>483</v>
      </c>
      <c r="H5" s="69">
        <f t="array" ref="H5">LET(val, IFERROR(INDEX('Weekly 쨈 raw'!$A:$AAQ, MATCH(H$3, 'Weekly 쨈 raw'!$A:$A, 0), MATCH($A5, 'Weekly 쨈 raw'!$1:$1, 0)), ""), IF(val=0, "", val))</f>
        <v>216</v>
      </c>
      <c r="I5" s="69">
        <f t="array" ref="I5">LET(val, IFERROR(INDEX('Weekly 쨈 raw'!$A:$AAQ, MATCH(I$3, 'Weekly 쨈 raw'!$A:$A, 0), MATCH($A5, 'Weekly 쨈 raw'!$1:$1, 0)), ""), IF(val=0, "", val))</f>
        <v>118</v>
      </c>
      <c r="J5" s="69">
        <f t="array" ref="J5">LET(val, IFERROR(INDEX('Weekly 쨈 raw'!$A:$AAQ, MATCH(J$3, 'Weekly 쨈 raw'!$A:$A, 0), MATCH($A5, 'Weekly 쨈 raw'!$1:$1, 0)), ""), IF(val=0, "", val))</f>
        <v>155</v>
      </c>
      <c r="K5" s="69">
        <f t="array" ref="K5">LET(val, IFERROR(INDEX('Weekly 쨈 raw'!$A:$AAQ, MATCH(K$3, 'Weekly 쨈 raw'!$A:$A, 0), MATCH($A5, 'Weekly 쨈 raw'!$1:$1, 0)), ""), IF(val=0, "", val))</f>
        <v>156</v>
      </c>
      <c r="L5" s="69">
        <f t="array" ref="L5">LET(val, IFERROR(INDEX('Weekly 쨈 raw'!$A:$AAQ, MATCH(L$3, 'Weekly 쨈 raw'!$A:$A, 0), MATCH($A5, 'Weekly 쨈 raw'!$1:$1, 0)), ""), IF(val=0, "", val))</f>
        <v>94</v>
      </c>
      <c r="M5" s="69">
        <f t="array" ref="M5">LET(val, IFERROR(INDEX('Weekly 쨈 raw'!$A:$AAQ, MATCH(M$3, 'Weekly 쨈 raw'!$A:$A, 0), MATCH($A5, 'Weekly 쨈 raw'!$1:$1, 0)), ""), IF(val=0, "", val))</f>
        <v>87</v>
      </c>
      <c r="N5" s="69">
        <f t="array" ref="N5">LET(val, IFERROR(INDEX('Weekly 쨈 raw'!$A:$AAQ, MATCH(N$3, 'Weekly 쨈 raw'!$A:$A, 0), MATCH($A5, 'Weekly 쨈 raw'!$1:$1, 0)), ""), IF(val=0, "", val))</f>
        <v>125</v>
      </c>
      <c r="O5" s="69" t="str">
        <f t="array" ref="O5">LET(val, IFERROR(INDEX('Weekly 쨈 raw'!$A:$AAQ, MATCH(O$3, 'Weekly 쨈 raw'!$A:$A, 0), MATCH($A5, 'Weekly 쨈 raw'!$1:$1, 0)), ""), IF(val=0, "", val))</f>
        <v/>
      </c>
      <c r="P5" s="69" t="str">
        <f t="array" ref="P5">LET(val, IFERROR(INDEX('Weekly 쨈 raw'!$A:$AAQ, MATCH(P$3, 'Weekly 쨈 raw'!$A:$A, 0), MATCH($A5, 'Weekly 쨈 raw'!$1:$1, 0)), ""), IF(val=0, "", val))</f>
        <v/>
      </c>
      <c r="Q5" s="69" t="str">
        <f t="array" ref="Q5">IF(IFERROR(INDEX('Weekly 쨈 raw'!$A:$AAQ, MATCH(Q$3, 'Weekly 쨈 raw'!$A:$A, 0), MATCH($A5, 'Weekly 쨈 raw'!$1:$1, 0)), 0)=0, "", IFERROR(INDEX('Weekly 쨈 raw'!$A:$AAQ, MATCH(Q$3, 'Weekly 쨈 raw'!$A:$A, 0), MATCH($A5, 'Weekly 쨈 raw'!$1:$1, 0)), 0))</f>
        <v/>
      </c>
      <c r="R5" s="69" t="str">
        <f t="array" ref="R5">IF(IFERROR(INDEX('Weekly 쨈 raw'!$A:$AAQ, MATCH(R$3, 'Weekly 쨈 raw'!$A:$A, 0), MATCH($A5, 'Weekly 쨈 raw'!$1:$1, 0)), 0)=0, "", IFERROR(INDEX('Weekly 쨈 raw'!$A:$AAQ, MATCH(R$3, 'Weekly 쨈 raw'!$A:$A, 0), MATCH($A5, 'Weekly 쨈 raw'!$1:$1, 0)), 0))</f>
        <v/>
      </c>
      <c r="S5" s="69" t="str">
        <f t="array" ref="S5">IF(IFERROR(INDEX('Weekly 쨈 raw'!$A:$AAQ, MATCH(S$3, 'Weekly 쨈 raw'!$A:$A, 0), MATCH($A5, 'Weekly 쨈 raw'!$1:$1, 0)), 0)=0, "", IFERROR(INDEX('Weekly 쨈 raw'!$A:$AAQ, MATCH(S$3, 'Weekly 쨈 raw'!$A:$A, 0), MATCH($A5, 'Weekly 쨈 raw'!$1:$1, 0)), 0))</f>
        <v/>
      </c>
      <c r="T5" s="69" t="str">
        <f t="array" ref="T5">IF(IFERROR(INDEX('Weekly 쨈 raw'!$A:$AAQ, MATCH(T$3, 'Weekly 쨈 raw'!$A:$A, 0), MATCH($A5, 'Weekly 쨈 raw'!$1:$1, 0)), 0)=0, "", IFERROR(INDEX('Weekly 쨈 raw'!$A:$AAQ, MATCH(T$3, 'Weekly 쨈 raw'!$A:$A, 0), MATCH($A5, 'Weekly 쨈 raw'!$1:$1, 0)), 0))</f>
        <v/>
      </c>
      <c r="U5" s="69" t="str">
        <f t="array" ref="U5">IF(IFERROR(INDEX('Weekly 쨈 raw'!$A:$AAQ, MATCH(U$3, 'Weekly 쨈 raw'!$A:$A, 0), MATCH($A5, 'Weekly 쨈 raw'!$1:$1, 0)), 0)=0, "", IFERROR(INDEX('Weekly 쨈 raw'!$A:$AAQ, MATCH(U$3, 'Weekly 쨈 raw'!$A:$A, 0), MATCH($A5, 'Weekly 쨈 raw'!$1:$1, 0)), 0))</f>
        <v/>
      </c>
    </row>
    <row r="6" ht="18.75" customHeight="1">
      <c r="A6" s="16" t="s">
        <v>15</v>
      </c>
      <c r="B6" s="68" t="s">
        <v>114</v>
      </c>
      <c r="C6" s="69">
        <f t="array" ref="C6">LET(val, IFERROR(INDEX('Weekly 쨈 raw'!$A:$AAQ, MATCH(C$3, 'Weekly 쨈 raw'!$A:$A, 0), MATCH($A6, 'Weekly 쨈 raw'!$1:$1, 0)), ""), IF(val=0, "", val))</f>
        <v>415</v>
      </c>
      <c r="D6" s="69">
        <f t="array" ref="D6">LET(val, IFERROR(INDEX('Weekly 쨈 raw'!$A:$AAQ, MATCH(D$3, 'Weekly 쨈 raw'!$A:$A, 0), MATCH($A6, 'Weekly 쨈 raw'!$1:$1, 0)), ""), IF(val=0, "", val))</f>
        <v>501</v>
      </c>
      <c r="E6" s="69">
        <f t="array" ref="E6">LET(val, IFERROR(INDEX('Weekly 쨈 raw'!$A:$AAQ, MATCH(E$3, 'Weekly 쨈 raw'!$A:$A, 0), MATCH($A6, 'Weekly 쨈 raw'!$1:$1, 0)), ""), IF(val=0, "", val))</f>
        <v>351</v>
      </c>
      <c r="F6" s="69">
        <f t="array" ref="F6">LET(val, IFERROR(INDEX('Weekly 쨈 raw'!$A:$AAQ, MATCH(F$3, 'Weekly 쨈 raw'!$A:$A, 0), MATCH($A6, 'Weekly 쨈 raw'!$1:$1, 0)), ""), IF(val=0, "", val))</f>
        <v>257</v>
      </c>
      <c r="G6" s="69">
        <f t="array" ref="G6">LET(val, IFERROR(INDEX('Weekly 쨈 raw'!$A:$AAQ, MATCH(G$3, 'Weekly 쨈 raw'!$A:$A, 0), MATCH($A6, 'Weekly 쨈 raw'!$1:$1, 0)), ""), IF(val=0, "", val))</f>
        <v>811</v>
      </c>
      <c r="H6" s="69">
        <f t="array" ref="H6">LET(val, IFERROR(INDEX('Weekly 쨈 raw'!$A:$AAQ, MATCH(H$3, 'Weekly 쨈 raw'!$A:$A, 0), MATCH($A6, 'Weekly 쨈 raw'!$1:$1, 0)), ""), IF(val=0, "", val))</f>
        <v>423</v>
      </c>
      <c r="I6" s="69">
        <f t="array" ref="I6">LET(val, IFERROR(INDEX('Weekly 쨈 raw'!$A:$AAQ, MATCH(I$3, 'Weekly 쨈 raw'!$A:$A, 0), MATCH($A6, 'Weekly 쨈 raw'!$1:$1, 0)), ""), IF(val=0, "", val))</f>
        <v>232</v>
      </c>
      <c r="J6" s="69">
        <f t="array" ref="J6">LET(val, IFERROR(INDEX('Weekly 쨈 raw'!$A:$AAQ, MATCH(J$3, 'Weekly 쨈 raw'!$A:$A, 0), MATCH($A6, 'Weekly 쨈 raw'!$1:$1, 0)), ""), IF(val=0, "", val))</f>
        <v>309</v>
      </c>
      <c r="K6" s="69">
        <f t="array" ref="K6">LET(val, IFERROR(INDEX('Weekly 쨈 raw'!$A:$AAQ, MATCH(K$3, 'Weekly 쨈 raw'!$A:$A, 0), MATCH($A6, 'Weekly 쨈 raw'!$1:$1, 0)), ""), IF(val=0, "", val))</f>
        <v>342</v>
      </c>
      <c r="L6" s="69">
        <f t="array" ref="L6">LET(val, IFERROR(INDEX('Weekly 쨈 raw'!$A:$AAQ, MATCH(L$3, 'Weekly 쨈 raw'!$A:$A, 0), MATCH($A6, 'Weekly 쨈 raw'!$1:$1, 0)), ""), IF(val=0, "", val))</f>
        <v>189</v>
      </c>
      <c r="M6" s="69">
        <f t="array" ref="M6">LET(val, IFERROR(INDEX('Weekly 쨈 raw'!$A:$AAQ, MATCH(M$3, 'Weekly 쨈 raw'!$A:$A, 0), MATCH($A6, 'Weekly 쨈 raw'!$1:$1, 0)), ""), IF(val=0, "", val))</f>
        <v>188</v>
      </c>
      <c r="N6" s="69">
        <f t="array" ref="N6">LET(val, IFERROR(INDEX('Weekly 쨈 raw'!$A:$AAQ, MATCH(N$3, 'Weekly 쨈 raw'!$A:$A, 0), MATCH($A6, 'Weekly 쨈 raw'!$1:$1, 0)), ""), IF(val=0, "", val))</f>
        <v>252</v>
      </c>
      <c r="O6" s="69">
        <f t="array" ref="O6">LET(val, IFERROR(INDEX('Weekly 쨈 raw'!$A:$AAQ, MATCH(O$3, 'Weekly 쨈 raw'!$A:$A, 0), MATCH($A6, 'Weekly 쨈 raw'!$1:$1, 0)), ""), IF(val=0, "", val))</f>
        <v>383</v>
      </c>
      <c r="P6" s="69">
        <f t="array" ref="P6">LET(val, IFERROR(INDEX('Weekly 쨈 raw'!$A:$AAQ, MATCH(P$3, 'Weekly 쨈 raw'!$A:$A, 0), MATCH($A6, 'Weekly 쨈 raw'!$1:$1, 0)), ""), IF(val=0, "", val))</f>
        <v>14</v>
      </c>
      <c r="Q6" s="69" t="str">
        <f t="array" ref="Q6">IF(IFERROR(INDEX('Weekly 쨈 raw'!$A:$AAQ, MATCH(Q$3, 'Weekly 쨈 raw'!$A:$A, 0), MATCH($A6, 'Weekly 쨈 raw'!$1:$1, 0)), 0)=0, "", IFERROR(INDEX('Weekly 쨈 raw'!$A:$AAQ, MATCH(Q$3, 'Weekly 쨈 raw'!$A:$A, 0), MATCH($A6, 'Weekly 쨈 raw'!$1:$1, 0)), 0))</f>
        <v/>
      </c>
      <c r="R6" s="69" t="str">
        <f t="array" ref="R6">IF(IFERROR(INDEX('Weekly 쨈 raw'!$A:$AAQ, MATCH(R$3, 'Weekly 쨈 raw'!$A:$A, 0), MATCH($A6, 'Weekly 쨈 raw'!$1:$1, 0)), 0)=0, "", IFERROR(INDEX('Weekly 쨈 raw'!$A:$AAQ, MATCH(R$3, 'Weekly 쨈 raw'!$A:$A, 0), MATCH($A6, 'Weekly 쨈 raw'!$1:$1, 0)), 0))</f>
        <v/>
      </c>
      <c r="S6" s="69" t="str">
        <f t="array" ref="S6">IF(IFERROR(INDEX('Weekly 쨈 raw'!$A:$AAQ, MATCH(S$3, 'Weekly 쨈 raw'!$A:$A, 0), MATCH($A6, 'Weekly 쨈 raw'!$1:$1, 0)), 0)=0, "", IFERROR(INDEX('Weekly 쨈 raw'!$A:$AAQ, MATCH(S$3, 'Weekly 쨈 raw'!$A:$A, 0), MATCH($A6, 'Weekly 쨈 raw'!$1:$1, 0)), 0))</f>
        <v/>
      </c>
      <c r="T6" s="69" t="str">
        <f t="array" ref="T6">IF(IFERROR(INDEX('Weekly 쨈 raw'!$A:$AAQ, MATCH(T$3, 'Weekly 쨈 raw'!$A:$A, 0), MATCH($A6, 'Weekly 쨈 raw'!$1:$1, 0)), 0)=0, "", IFERROR(INDEX('Weekly 쨈 raw'!$A:$AAQ, MATCH(T$3, 'Weekly 쨈 raw'!$A:$A, 0), MATCH($A6, 'Weekly 쨈 raw'!$1:$1, 0)), 0))</f>
        <v/>
      </c>
      <c r="U6" s="69" t="str">
        <f t="array" ref="U6">IF(IFERROR(INDEX('Weekly 쨈 raw'!$A:$AAQ, MATCH(U$3, 'Weekly 쨈 raw'!$A:$A, 0), MATCH($A6, 'Weekly 쨈 raw'!$1:$1, 0)), 0)=0, "", IFERROR(INDEX('Weekly 쨈 raw'!$A:$AAQ, MATCH(U$3, 'Weekly 쨈 raw'!$A:$A, 0), MATCH($A6, 'Weekly 쨈 raw'!$1:$1, 0)), 0))</f>
        <v/>
      </c>
    </row>
    <row r="7" ht="18.75" customHeight="1">
      <c r="A7" s="70" t="s">
        <v>18</v>
      </c>
      <c r="B7" s="71" t="s">
        <v>18</v>
      </c>
      <c r="C7" s="67">
        <f t="array" ref="C7">LET(val, IFERROR(INDEX('Weekly 쨈 raw'!$A:$AAQ, MATCH(C$3, 'Weekly 쨈 raw'!$A:$A, 0), MATCH($A7, 'Weekly 쨈 raw'!$1:$1, 0)), ""), IF(val=0, "", val))</f>
        <v>0.04146682654</v>
      </c>
      <c r="D7" s="67">
        <f t="array" ref="D7">LET(val, IFERROR(INDEX('Weekly 쨈 raw'!$A:$AAQ, MATCH(D$3, 'Weekly 쨈 raw'!$A:$A, 0), MATCH($A7, 'Weekly 쨈 raw'!$1:$1, 0)), ""), IF(val=0, "", val))</f>
        <v>0.1179123711</v>
      </c>
      <c r="E7" s="67">
        <f t="array" ref="E7">LET(val, IFERROR(INDEX('Weekly 쨈 raw'!$A:$AAQ, MATCH(E$3, 'Weekly 쨈 raw'!$A:$A, 0), MATCH($A7, 'Weekly 쨈 raw'!$1:$1, 0)), ""), IF(val=0, "", val))</f>
        <v>0.1293900185</v>
      </c>
      <c r="F7" s="67">
        <f t="array" ref="F7">LET(val, IFERROR(INDEX('Weekly 쨈 raw'!$A:$AAQ, MATCH(F$3, 'Weekly 쨈 raw'!$A:$A, 0), MATCH($A7, 'Weekly 쨈 raw'!$1:$1, 0)), ""), IF(val=0, "", val))</f>
        <v>0.1306439674</v>
      </c>
      <c r="G7" s="67">
        <f t="array" ref="G7">LET(val, IFERROR(INDEX('Weekly 쨈 raw'!$A:$AAQ, MATCH(G$3, 'Weekly 쨈 raw'!$A:$A, 0), MATCH($A7, 'Weekly 쨈 raw'!$1:$1, 0)), ""), IF(val=0, "", val))</f>
        <v>0.2049564635</v>
      </c>
      <c r="H7" s="67">
        <f t="array" ref="H7">LET(val, IFERROR(INDEX('Weekly 쨈 raw'!$A:$AAQ, MATCH(H$3, 'Weekly 쨈 raw'!$A:$A, 0), MATCH($A7, 'Weekly 쨈 raw'!$1:$1, 0)), ""), IF(val=0, "", val))</f>
        <v>0.1441769998</v>
      </c>
      <c r="I7" s="67">
        <f t="array" ref="I7">LET(val, IFERROR(INDEX('Weekly 쨈 raw'!$A:$AAQ, MATCH(I$3, 'Weekly 쨈 raw'!$A:$A, 0), MATCH($A7, 'Weekly 쨈 raw'!$1:$1, 0)), ""), IF(val=0, "", val))</f>
        <v>0.1143685567</v>
      </c>
      <c r="J7" s="67">
        <f t="array" ref="J7">LET(val, IFERROR(INDEX('Weekly 쨈 raw'!$A:$AAQ, MATCH(J$3, 'Weekly 쨈 raw'!$A:$A, 0), MATCH($A7, 'Weekly 쨈 raw'!$1:$1, 0)), ""), IF(val=0, "", val))</f>
        <v>0.1557678178</v>
      </c>
      <c r="K7" s="67">
        <f t="array" ref="K7">LET(val, IFERROR(INDEX('Weekly 쨈 raw'!$A:$AAQ, MATCH(K$3, 'Weekly 쨈 raw'!$A:$A, 0), MATCH($A7, 'Weekly 쨈 raw'!$1:$1, 0)), ""), IF(val=0, "", val))</f>
        <v>0.1531270148</v>
      </c>
      <c r="L7" s="67">
        <f t="array" ref="L7">LET(val, IFERROR(INDEX('Weekly 쨈 raw'!$A:$AAQ, MATCH(L$3, 'Weekly 쨈 raw'!$A:$A, 0), MATCH($A7, 'Weekly 쨈 raw'!$1:$1, 0)), ""), IF(val=0, "", val))</f>
        <v>0.1129378127</v>
      </c>
      <c r="M7" s="67">
        <f t="array" ref="M7">LET(val, IFERROR(INDEX('Weekly 쨈 raw'!$A:$AAQ, MATCH(M$3, 'Weekly 쨈 raw'!$A:$A, 0), MATCH($A7, 'Weekly 쨈 raw'!$1:$1, 0)), ""), IF(val=0, "", val))</f>
        <v>0.1065934066</v>
      </c>
      <c r="N7" s="67">
        <f t="array" ref="N7">LET(val, IFERROR(INDEX('Weekly 쨈 raw'!$A:$AAQ, MATCH(N$3, 'Weekly 쨈 raw'!$A:$A, 0), MATCH($A7, 'Weekly 쨈 raw'!$1:$1, 0)), ""), IF(val=0, "", val))</f>
        <v>0.1596474045</v>
      </c>
      <c r="O7" s="67">
        <f t="array" ref="O7">LET(val, IFERROR(INDEX('Weekly 쨈 raw'!$A:$AAQ, MATCH(O$3, 'Weekly 쨈 raw'!$A:$A, 0), MATCH($A7, 'Weekly 쨈 raw'!$1:$1, 0)), ""), IF(val=0, "", val))</f>
        <v>0.2049007182</v>
      </c>
      <c r="P7" s="67">
        <f t="array" ref="P7">LET(val, IFERROR(INDEX('Weekly 쨈 raw'!$A:$AAQ, MATCH(P$3, 'Weekly 쨈 raw'!$A:$A, 0), MATCH($A7, 'Weekly 쨈 raw'!$1:$1, 0)), ""), IF(val=0, "", val))</f>
        <v>0.06684491979</v>
      </c>
      <c r="Q7" s="72" t="str">
        <f t="array" ref="Q7">IF(IFERROR(INDEX('Weekly 쨈 raw'!$A:$AAQ, MATCH(Q$3, 'Weekly 쨈 raw'!$A:$A, 0), MATCH($A7, 'Weekly 쨈 raw'!$1:$1, 0)), 0)=0, "", IFERROR(INDEX('Weekly 쨈 raw'!$A:$AAQ, MATCH(Q$3, 'Weekly 쨈 raw'!$A:$A, 0), MATCH($A7, 'Weekly 쨈 raw'!$1:$1, 0)), 0))</f>
        <v/>
      </c>
      <c r="R7" s="72" t="str">
        <f t="array" ref="R7">IF(IFERROR(INDEX('Weekly 쨈 raw'!$A:$AAQ, MATCH(R$3, 'Weekly 쨈 raw'!$A:$A, 0), MATCH($A7, 'Weekly 쨈 raw'!$1:$1, 0)), 0)=0, "", IFERROR(INDEX('Weekly 쨈 raw'!$A:$AAQ, MATCH(R$3, 'Weekly 쨈 raw'!$A:$A, 0), MATCH($A7, 'Weekly 쨈 raw'!$1:$1, 0)), 0))</f>
        <v/>
      </c>
      <c r="S7" s="72" t="str">
        <f t="array" ref="S7">IF(IFERROR(INDEX('Weekly 쨈 raw'!$A:$AAQ, MATCH(S$3, 'Weekly 쨈 raw'!$A:$A, 0), MATCH($A7, 'Weekly 쨈 raw'!$1:$1, 0)), 0)=0, "", IFERROR(INDEX('Weekly 쨈 raw'!$A:$AAQ, MATCH(S$3, 'Weekly 쨈 raw'!$A:$A, 0), MATCH($A7, 'Weekly 쨈 raw'!$1:$1, 0)), 0))</f>
        <v/>
      </c>
      <c r="T7" s="72" t="str">
        <f t="array" ref="T7">IF(IFERROR(INDEX('Weekly 쨈 raw'!$A:$AAQ, MATCH(T$3, 'Weekly 쨈 raw'!$A:$A, 0), MATCH($A7, 'Weekly 쨈 raw'!$1:$1, 0)), 0)=0, "", IFERROR(INDEX('Weekly 쨈 raw'!$A:$AAQ, MATCH(T$3, 'Weekly 쨈 raw'!$A:$A, 0), MATCH($A7, 'Weekly 쨈 raw'!$1:$1, 0)), 0))</f>
        <v/>
      </c>
      <c r="U7" s="72" t="str">
        <f t="array" ref="U7">IF(IFERROR(INDEX('Weekly 쨈 raw'!$A:$AAQ, MATCH(U$3, 'Weekly 쨈 raw'!$A:$A, 0), MATCH($A7, 'Weekly 쨈 raw'!$1:$1, 0)), 0)=0, "", IFERROR(INDEX('Weekly 쨈 raw'!$A:$AAQ, MATCH(U$3, 'Weekly 쨈 raw'!$A:$A, 0), MATCH($A7, 'Weekly 쨈 raw'!$1:$1, 0)), 0))</f>
        <v/>
      </c>
    </row>
    <row r="8" ht="18.75" customHeight="1">
      <c r="A8" s="73" t="s">
        <v>19</v>
      </c>
      <c r="B8" s="68" t="s">
        <v>66</v>
      </c>
      <c r="C8" s="69">
        <f t="array" ref="C8">LET(val, IFERROR(INDEX('Weekly 쨈 raw'!$A:$AAQ, MATCH(C$3, 'Weekly 쨈 raw'!$A:$A, 0), MATCH($A8, 'Weekly 쨈 raw'!$1:$1, 0)), ""), IF(val=0, "", val))</f>
        <v>415</v>
      </c>
      <c r="D8" s="69">
        <f t="array" ref="D8">LET(val, IFERROR(INDEX('Weekly 쨈 raw'!$A:$AAQ, MATCH(D$3, 'Weekly 쨈 raw'!$A:$A, 0), MATCH($A8, 'Weekly 쨈 raw'!$1:$1, 0)), ""), IF(val=0, "", val))</f>
        <v>549</v>
      </c>
      <c r="E8" s="69">
        <f t="array" ref="E8">LET(val, IFERROR(INDEX('Weekly 쨈 raw'!$A:$AAQ, MATCH(E$3, 'Weekly 쨈 raw'!$A:$A, 0), MATCH($A8, 'Weekly 쨈 raw'!$1:$1, 0)), ""), IF(val=0, "", val))</f>
        <v>420</v>
      </c>
      <c r="F8" s="69">
        <f t="array" ref="F8">LET(val, IFERROR(INDEX('Weekly 쨈 raw'!$A:$AAQ, MATCH(F$3, 'Weekly 쨈 raw'!$A:$A, 0), MATCH($A8, 'Weekly 쨈 raw'!$1:$1, 0)), ""), IF(val=0, "", val))</f>
        <v>353</v>
      </c>
      <c r="G8" s="69">
        <f t="array" ref="G8">LET(val, IFERROR(INDEX('Weekly 쨈 raw'!$A:$AAQ, MATCH(G$3, 'Weekly 쨈 raw'!$A:$A, 0), MATCH($A8, 'Weekly 쨈 raw'!$1:$1, 0)), ""), IF(val=0, "", val))</f>
        <v>918</v>
      </c>
      <c r="H8" s="69">
        <f t="array" ref="H8">LET(val, IFERROR(INDEX('Weekly 쨈 raw'!$A:$AAQ, MATCH(H$3, 'Weekly 쨈 raw'!$A:$A, 0), MATCH($A8, 'Weekly 쨈 raw'!$1:$1, 0)), ""), IF(val=0, "", val))</f>
        <v>593</v>
      </c>
      <c r="I8" s="69">
        <f t="array" ref="I8">LET(val, IFERROR(INDEX('Weekly 쨈 raw'!$A:$AAQ, MATCH(I$3, 'Weekly 쨈 raw'!$A:$A, 0), MATCH($A8, 'Weekly 쨈 raw'!$1:$1, 0)), ""), IF(val=0, "", val))</f>
        <v>355</v>
      </c>
      <c r="J8" s="69">
        <f t="array" ref="J8">LET(val, IFERROR(INDEX('Weekly 쨈 raw'!$A:$AAQ, MATCH(J$3, 'Weekly 쨈 raw'!$A:$A, 0), MATCH($A8, 'Weekly 쨈 raw'!$1:$1, 0)), ""), IF(val=0, "", val))</f>
        <v>424</v>
      </c>
      <c r="K8" s="69">
        <f t="array" ref="K8">LET(val, IFERROR(INDEX('Weekly 쨈 raw'!$A:$AAQ, MATCH(K$3, 'Weekly 쨈 raw'!$A:$A, 0), MATCH($A8, 'Weekly 쨈 raw'!$1:$1, 0)), ""), IF(val=0, "", val))</f>
        <v>475</v>
      </c>
      <c r="L8" s="69">
        <f t="array" ref="L8">LET(val, IFERROR(INDEX('Weekly 쨈 raw'!$A:$AAQ, MATCH(L$3, 'Weekly 쨈 raw'!$A:$A, 0), MATCH($A8, 'Weekly 쨈 raw'!$1:$1, 0)), ""), IF(val=0, "", val))</f>
        <v>316</v>
      </c>
      <c r="M8" s="69">
        <f t="array" ref="M8">LET(val, IFERROR(INDEX('Weekly 쨈 raw'!$A:$AAQ, MATCH(M$3, 'Weekly 쨈 raw'!$A:$A, 0), MATCH($A8, 'Weekly 쨈 raw'!$1:$1, 0)), ""), IF(val=0, "", val))</f>
        <v>291</v>
      </c>
      <c r="N8" s="69">
        <f t="array" ref="N8">LET(val, IFERROR(INDEX('Weekly 쨈 raw'!$A:$AAQ, MATCH(N$3, 'Weekly 쨈 raw'!$A:$A, 0), MATCH($A8, 'Weekly 쨈 raw'!$1:$1, 0)), ""), IF(val=0, "", val))</f>
        <v>326</v>
      </c>
      <c r="O8" s="69">
        <f t="array" ref="O8">LET(val, IFERROR(INDEX('Weekly 쨈 raw'!$A:$AAQ, MATCH(O$3, 'Weekly 쨈 raw'!$A:$A, 0), MATCH($A8, 'Weekly 쨈 raw'!$1:$1, 0)), ""), IF(val=0, "", val))</f>
        <v>485</v>
      </c>
      <c r="P8" s="69">
        <f t="array" ref="P8">LET(val, IFERROR(INDEX('Weekly 쨈 raw'!$A:$AAQ, MATCH(P$3, 'Weekly 쨈 raw'!$A:$A, 0), MATCH($A8, 'Weekly 쨈 raw'!$1:$1, 0)), ""), IF(val=0, "", val))</f>
        <v>25</v>
      </c>
      <c r="Q8" s="69" t="str">
        <f t="array" ref="Q8">IF(IFERROR(INDEX('Weekly 쨈 raw'!$A:$AAQ, MATCH(Q$3, 'Weekly 쨈 raw'!$A:$A, 0), MATCH($A8, 'Weekly 쨈 raw'!$1:$1, 0)), 0)=0, "", IFERROR(INDEX('Weekly 쨈 raw'!$A:$AAQ, MATCH(Q$3, 'Weekly 쨈 raw'!$A:$A, 0), MATCH($A8, 'Weekly 쨈 raw'!$1:$1, 0)), 0))</f>
        <v/>
      </c>
      <c r="R8" s="69" t="str">
        <f t="array" ref="R8">IF(IFERROR(INDEX('Weekly 쨈 raw'!$A:$AAQ, MATCH(R$3, 'Weekly 쨈 raw'!$A:$A, 0), MATCH($A8, 'Weekly 쨈 raw'!$1:$1, 0)), 0)=0, "", IFERROR(INDEX('Weekly 쨈 raw'!$A:$AAQ, MATCH(R$3, 'Weekly 쨈 raw'!$A:$A, 0), MATCH($A8, 'Weekly 쨈 raw'!$1:$1, 0)), 0))</f>
        <v/>
      </c>
      <c r="S8" s="69" t="str">
        <f t="array" ref="S8">IF(IFERROR(INDEX('Weekly 쨈 raw'!$A:$AAQ, MATCH(S$3, 'Weekly 쨈 raw'!$A:$A, 0), MATCH($A8, 'Weekly 쨈 raw'!$1:$1, 0)), 0)=0, "", IFERROR(INDEX('Weekly 쨈 raw'!$A:$AAQ, MATCH(S$3, 'Weekly 쨈 raw'!$A:$A, 0), MATCH($A8, 'Weekly 쨈 raw'!$1:$1, 0)), 0))</f>
        <v/>
      </c>
      <c r="T8" s="69" t="str">
        <f t="array" ref="T8">IF(IFERROR(INDEX('Weekly 쨈 raw'!$A:$AAQ, MATCH(T$3, 'Weekly 쨈 raw'!$A:$A, 0), MATCH($A8, 'Weekly 쨈 raw'!$1:$1, 0)), 0)=0, "", IFERROR(INDEX('Weekly 쨈 raw'!$A:$AAQ, MATCH(T$3, 'Weekly 쨈 raw'!$A:$A, 0), MATCH($A8, 'Weekly 쨈 raw'!$1:$1, 0)), 0))</f>
        <v/>
      </c>
      <c r="U8" s="69" t="str">
        <f t="array" ref="U8">IF(IFERROR(INDEX('Weekly 쨈 raw'!$A:$AAQ, MATCH(U$3, 'Weekly 쨈 raw'!$A:$A, 0), MATCH($A8, 'Weekly 쨈 raw'!$1:$1, 0)), 0)=0, "", IFERROR(INDEX('Weekly 쨈 raw'!$A:$AAQ, MATCH(U$3, 'Weekly 쨈 raw'!$A:$A, 0), MATCH($A8, 'Weekly 쨈 raw'!$1:$1, 0)), 0))</f>
        <v/>
      </c>
    </row>
    <row r="9" ht="18.75" customHeight="1">
      <c r="A9" s="73" t="s">
        <v>21</v>
      </c>
      <c r="B9" s="68" t="s">
        <v>67</v>
      </c>
      <c r="C9" s="69">
        <f t="array" ref="C9">LET(val, IFERROR(INDEX('Weekly 쨈 raw'!$A:$AAQ, MATCH(C$3, 'Weekly 쨈 raw'!$A:$A, 0), MATCH($A9, 'Weekly 쨈 raw'!$1:$1, 0)), ""), IF(val=0, "", val))</f>
        <v>10008</v>
      </c>
      <c r="D9" s="69">
        <f t="array" ref="D9">LET(val, IFERROR(INDEX('Weekly 쨈 raw'!$A:$AAQ, MATCH(D$3, 'Weekly 쨈 raw'!$A:$A, 0), MATCH($A9, 'Weekly 쨈 raw'!$1:$1, 0)), ""), IF(val=0, "", val))</f>
        <v>4656</v>
      </c>
      <c r="E9" s="69">
        <f t="array" ref="E9">LET(val, IFERROR(INDEX('Weekly 쨈 raw'!$A:$AAQ, MATCH(E$3, 'Weekly 쨈 raw'!$A:$A, 0), MATCH($A9, 'Weekly 쨈 raw'!$1:$1, 0)), ""), IF(val=0, "", val))</f>
        <v>3246</v>
      </c>
      <c r="F9" s="69">
        <f t="array" ref="F9">LET(val, IFERROR(INDEX('Weekly 쨈 raw'!$A:$AAQ, MATCH(F$3, 'Weekly 쨈 raw'!$A:$A, 0), MATCH($A9, 'Weekly 쨈 raw'!$1:$1, 0)), ""), IF(val=0, "", val))</f>
        <v>2702</v>
      </c>
      <c r="G9" s="69">
        <f t="array" ref="G9">LET(val, IFERROR(INDEX('Weekly 쨈 raw'!$A:$AAQ, MATCH(G$3, 'Weekly 쨈 raw'!$A:$A, 0), MATCH($A9, 'Weekly 쨈 raw'!$1:$1, 0)), ""), IF(val=0, "", val))</f>
        <v>4479</v>
      </c>
      <c r="H9" s="69">
        <f t="array" ref="H9">LET(val, IFERROR(INDEX('Weekly 쨈 raw'!$A:$AAQ, MATCH(H$3, 'Weekly 쨈 raw'!$A:$A, 0), MATCH($A9, 'Weekly 쨈 raw'!$1:$1, 0)), ""), IF(val=0, "", val))</f>
        <v>4113</v>
      </c>
      <c r="I9" s="69">
        <f t="array" ref="I9">LET(val, IFERROR(INDEX('Weekly 쨈 raw'!$A:$AAQ, MATCH(I$3, 'Weekly 쨈 raw'!$A:$A, 0), MATCH($A9, 'Weekly 쨈 raw'!$1:$1, 0)), ""), IF(val=0, "", val))</f>
        <v>3104</v>
      </c>
      <c r="J9" s="69">
        <f t="array" ref="J9">LET(val, IFERROR(INDEX('Weekly 쨈 raw'!$A:$AAQ, MATCH(J$3, 'Weekly 쨈 raw'!$A:$A, 0), MATCH($A9, 'Weekly 쨈 raw'!$1:$1, 0)), ""), IF(val=0, "", val))</f>
        <v>2722</v>
      </c>
      <c r="K9" s="69">
        <f t="array" ref="K9">LET(val, IFERROR(INDEX('Weekly 쨈 raw'!$A:$AAQ, MATCH(K$3, 'Weekly 쨈 raw'!$A:$A, 0), MATCH($A9, 'Weekly 쨈 raw'!$1:$1, 0)), ""), IF(val=0, "", val))</f>
        <v>3102</v>
      </c>
      <c r="L9" s="69">
        <f t="array" ref="L9">LET(val, IFERROR(INDEX('Weekly 쨈 raw'!$A:$AAQ, MATCH(L$3, 'Weekly 쨈 raw'!$A:$A, 0), MATCH($A9, 'Weekly 쨈 raw'!$1:$1, 0)), ""), IF(val=0, "", val))</f>
        <v>2798</v>
      </c>
      <c r="M9" s="69">
        <f t="array" ref="M9">LET(val, IFERROR(INDEX('Weekly 쨈 raw'!$A:$AAQ, MATCH(M$3, 'Weekly 쨈 raw'!$A:$A, 0), MATCH($A9, 'Weekly 쨈 raw'!$1:$1, 0)), ""), IF(val=0, "", val))</f>
        <v>2730</v>
      </c>
      <c r="N9" s="69">
        <f t="array" ref="N9">LET(val, IFERROR(INDEX('Weekly 쨈 raw'!$A:$AAQ, MATCH(N$3, 'Weekly 쨈 raw'!$A:$A, 0), MATCH($A9, 'Weekly 쨈 raw'!$1:$1, 0)), ""), IF(val=0, "", val))</f>
        <v>2042</v>
      </c>
      <c r="O9" s="69">
        <f t="array" ref="O9">LET(val, IFERROR(INDEX('Weekly 쨈 raw'!$A:$AAQ, MATCH(O$3, 'Weekly 쨈 raw'!$A:$A, 0), MATCH($A9, 'Weekly 쨈 raw'!$1:$1, 0)), ""), IF(val=0, "", val))</f>
        <v>2367</v>
      </c>
      <c r="P9" s="69">
        <f t="array" ref="P9">LET(val, IFERROR(INDEX('Weekly 쨈 raw'!$A:$AAQ, MATCH(P$3, 'Weekly 쨈 raw'!$A:$A, 0), MATCH($A9, 'Weekly 쨈 raw'!$1:$1, 0)), ""), IF(val=0, "", val))</f>
        <v>374</v>
      </c>
      <c r="Q9" s="69" t="str">
        <f t="array" ref="Q9">IF(IFERROR(INDEX('Weekly 쨈 raw'!$A:$AAQ, MATCH(Q$3, 'Weekly 쨈 raw'!$A:$A, 0), MATCH($A9, 'Weekly 쨈 raw'!$1:$1, 0)), 0)=0, "", IFERROR(INDEX('Weekly 쨈 raw'!$A:$AAQ, MATCH(Q$3, 'Weekly 쨈 raw'!$A:$A, 0), MATCH($A9, 'Weekly 쨈 raw'!$1:$1, 0)), 0))</f>
        <v/>
      </c>
      <c r="R9" s="69" t="str">
        <f t="array" ref="R9">IF(IFERROR(INDEX('Weekly 쨈 raw'!$A:$AAQ, MATCH(R$3, 'Weekly 쨈 raw'!$A:$A, 0), MATCH($A9, 'Weekly 쨈 raw'!$1:$1, 0)), 0)=0, "", IFERROR(INDEX('Weekly 쨈 raw'!$A:$AAQ, MATCH(R$3, 'Weekly 쨈 raw'!$A:$A, 0), MATCH($A9, 'Weekly 쨈 raw'!$1:$1, 0)), 0))</f>
        <v/>
      </c>
      <c r="S9" s="69" t="str">
        <f t="array" ref="S9">IF(IFERROR(INDEX('Weekly 쨈 raw'!$A:$AAQ, MATCH(S$3, 'Weekly 쨈 raw'!$A:$A, 0), MATCH($A9, 'Weekly 쨈 raw'!$1:$1, 0)), 0)=0, "", IFERROR(INDEX('Weekly 쨈 raw'!$A:$AAQ, MATCH(S$3, 'Weekly 쨈 raw'!$A:$A, 0), MATCH($A9, 'Weekly 쨈 raw'!$1:$1, 0)), 0))</f>
        <v/>
      </c>
      <c r="T9" s="69" t="str">
        <f t="array" ref="T9">IF(IFERROR(INDEX('Weekly 쨈 raw'!$A:$AAQ, MATCH(T$3, 'Weekly 쨈 raw'!$A:$A, 0), MATCH($A9, 'Weekly 쨈 raw'!$1:$1, 0)), 0)=0, "", IFERROR(INDEX('Weekly 쨈 raw'!$A:$AAQ, MATCH(T$3, 'Weekly 쨈 raw'!$A:$A, 0), MATCH($A9, 'Weekly 쨈 raw'!$1:$1, 0)), 0))</f>
        <v/>
      </c>
      <c r="U9" s="69" t="str">
        <f t="array" ref="U9">IF(IFERROR(INDEX('Weekly 쨈 raw'!$A:$AAQ, MATCH(U$3, 'Weekly 쨈 raw'!$A:$A, 0), MATCH($A9, 'Weekly 쨈 raw'!$1:$1, 0)), 0)=0, "", IFERROR(INDEX('Weekly 쨈 raw'!$A:$AAQ, MATCH(U$3, 'Weekly 쨈 raw'!$A:$A, 0), MATCH($A9, 'Weekly 쨈 raw'!$1:$1, 0)), 0))</f>
        <v/>
      </c>
    </row>
    <row r="10" ht="18.75" customHeight="1">
      <c r="A10" s="73" t="s">
        <v>68</v>
      </c>
      <c r="B10" s="17" t="s">
        <v>69</v>
      </c>
      <c r="C10" s="69">
        <f t="array" ref="C10">LET(val, IFERROR(INDEX('Weekly 쨈 raw'!$A:$AAQ, MATCH(C$3, 'Weekly 쨈 raw'!$A:$A, 0), MATCH($A10, 'Weekly 쨈 raw'!$1:$1, 0)), ""), IF(val=0, "", val))</f>
        <v>10008</v>
      </c>
      <c r="D10" s="69">
        <f t="array" ref="D10">LET(val, IFERROR(INDEX('Weekly 쨈 raw'!$A:$AAQ, MATCH(D$3, 'Weekly 쨈 raw'!$A:$A, 0), MATCH($A10, 'Weekly 쨈 raw'!$1:$1, 0)), ""), IF(val=0, "", val))</f>
        <v>4656</v>
      </c>
      <c r="E10" s="69">
        <f t="array" ref="E10">LET(val, IFERROR(INDEX('Weekly 쨈 raw'!$A:$AAQ, MATCH(E$3, 'Weekly 쨈 raw'!$A:$A, 0), MATCH($A10, 'Weekly 쨈 raw'!$1:$1, 0)), ""), IF(val=0, "", val))</f>
        <v>3246</v>
      </c>
      <c r="F10" s="69">
        <f t="array" ref="F10">LET(val, IFERROR(INDEX('Weekly 쨈 raw'!$A:$AAQ, MATCH(F$3, 'Weekly 쨈 raw'!$A:$A, 0), MATCH($A10, 'Weekly 쨈 raw'!$1:$1, 0)), ""), IF(val=0, "", val))</f>
        <v>2702</v>
      </c>
      <c r="G10" s="69">
        <f t="array" ref="G10">LET(val, IFERROR(INDEX('Weekly 쨈 raw'!$A:$AAQ, MATCH(G$3, 'Weekly 쨈 raw'!$A:$A, 0), MATCH($A10, 'Weekly 쨈 raw'!$1:$1, 0)), ""), IF(val=0, "", val))</f>
        <v>4479</v>
      </c>
      <c r="H10" s="69">
        <f t="array" ref="H10">LET(val, IFERROR(INDEX('Weekly 쨈 raw'!$A:$AAQ, MATCH(H$3, 'Weekly 쨈 raw'!$A:$A, 0), MATCH($A10, 'Weekly 쨈 raw'!$1:$1, 0)), ""), IF(val=0, "", val))</f>
        <v>4113</v>
      </c>
      <c r="I10" s="69">
        <f t="array" ref="I10">LET(val, IFERROR(INDEX('Weekly 쨈 raw'!$A:$AAQ, MATCH(I$3, 'Weekly 쨈 raw'!$A:$A, 0), MATCH($A10, 'Weekly 쨈 raw'!$1:$1, 0)), ""), IF(val=0, "", val))</f>
        <v>3104</v>
      </c>
      <c r="J10" s="69">
        <f t="array" ref="J10">LET(val, IFERROR(INDEX('Weekly 쨈 raw'!$A:$AAQ, MATCH(J$3, 'Weekly 쨈 raw'!$A:$A, 0), MATCH($A10, 'Weekly 쨈 raw'!$1:$1, 0)), ""), IF(val=0, "", val))</f>
        <v>2722</v>
      </c>
      <c r="K10" s="69">
        <f t="array" ref="K10">LET(val, IFERROR(INDEX('Weekly 쨈 raw'!$A:$AAQ, MATCH(K$3, 'Weekly 쨈 raw'!$A:$A, 0), MATCH($A10, 'Weekly 쨈 raw'!$1:$1, 0)), ""), IF(val=0, "", val))</f>
        <v>3102</v>
      </c>
      <c r="L10" s="69">
        <f t="array" ref="L10">LET(val, IFERROR(INDEX('Weekly 쨈 raw'!$A:$AAQ, MATCH(L$3, 'Weekly 쨈 raw'!$A:$A, 0), MATCH($A10, 'Weekly 쨈 raw'!$1:$1, 0)), ""), IF(val=0, "", val))</f>
        <v>2798</v>
      </c>
      <c r="M10" s="69">
        <f t="array" ref="M10">LET(val, IFERROR(INDEX('Weekly 쨈 raw'!$A:$AAQ, MATCH(M$3, 'Weekly 쨈 raw'!$A:$A, 0), MATCH($A10, 'Weekly 쨈 raw'!$1:$1, 0)), ""), IF(val=0, "", val))</f>
        <v>2674</v>
      </c>
      <c r="N10" s="69">
        <f t="array" ref="N10">LET(val, IFERROR(INDEX('Weekly 쨈 raw'!$A:$AAQ, MATCH(N$3, 'Weekly 쨈 raw'!$A:$A, 0), MATCH($A10, 'Weekly 쨈 raw'!$1:$1, 0)), ""), IF(val=0, "", val))</f>
        <v>1808</v>
      </c>
      <c r="O10" s="69">
        <f t="array" ref="O10">LET(val, IFERROR(INDEX('Weekly 쨈 raw'!$A:$AAQ, MATCH(O$3, 'Weekly 쨈 raw'!$A:$A, 0), MATCH($A10, 'Weekly 쨈 raw'!$1:$1, 0)), ""), IF(val=0, "", val))</f>
        <v>2157</v>
      </c>
      <c r="P10" s="69">
        <f t="array" ref="P10">LET(val, IFERROR(INDEX('Weekly 쨈 raw'!$A:$AAQ, MATCH(P$3, 'Weekly 쨈 raw'!$A:$A, 0), MATCH($A10, 'Weekly 쨈 raw'!$1:$1, 0)), ""), IF(val=0, "", val))</f>
        <v>357</v>
      </c>
      <c r="Q10" s="69" t="str">
        <f t="array" ref="Q10">LET(val, IFERROR(INDEX('Weekly 쨈 raw'!$A:$AAQ, MATCH(Q$3, 'Weekly 쨈 raw'!$A:$A, 0), MATCH($A10, 'Weekly 쨈 raw'!$1:$1, 0)), ""), IF(val=0, "", val))</f>
        <v/>
      </c>
      <c r="R10" s="69" t="str">
        <f t="array" ref="R10">LET(val, IFERROR(INDEX('Weekly 쨈 raw'!$A:$AAQ, MATCH(R$3, 'Weekly 쨈 raw'!$A:$A, 0), MATCH($A10, 'Weekly 쨈 raw'!$1:$1, 0)), ""), IF(val=0, "", val))</f>
        <v/>
      </c>
      <c r="S10" s="69" t="str">
        <f t="array" ref="S10">LET(val, IFERROR(INDEX('Weekly 쨈 raw'!$A:$AAQ, MATCH(S$3, 'Weekly 쨈 raw'!$A:$A, 0), MATCH($A10, 'Weekly 쨈 raw'!$1:$1, 0)), ""), IF(val=0, "", val))</f>
        <v/>
      </c>
      <c r="T10" s="69" t="str">
        <f t="array" ref="T10">LET(val, IFERROR(INDEX('Weekly 쨈 raw'!$A:$AAQ, MATCH(T$3, 'Weekly 쨈 raw'!$A:$A, 0), MATCH($A10, 'Weekly 쨈 raw'!$1:$1, 0)), ""), IF(val=0, "", val))</f>
        <v/>
      </c>
      <c r="U10" s="69" t="str">
        <f t="array" ref="U10">LET(val, IFERROR(INDEX('Weekly 쨈 raw'!$A:$AAQ, MATCH(U$3, 'Weekly 쨈 raw'!$A:$A, 0), MATCH($A10, 'Weekly 쨈 raw'!$1:$1, 0)), ""), IF(val=0, "", val))</f>
        <v/>
      </c>
    </row>
    <row r="11" ht="18.75" customHeight="1">
      <c r="A11" s="73" t="s">
        <v>70</v>
      </c>
      <c r="B11" s="17" t="s">
        <v>71</v>
      </c>
      <c r="C11" s="69" t="str">
        <f t="array" ref="C11">LET(val, IFERROR(INDEX('Weekly 쨈 raw'!$A:$AAQ, MATCH(C$3, 'Weekly 쨈 raw'!$A:$A, 0), MATCH($A11, 'Weekly 쨈 raw'!$1:$1, 0)), ""), IF(val=0, "", val))</f>
        <v/>
      </c>
      <c r="D11" s="69" t="str">
        <f t="array" ref="D11">LET(val, IFERROR(INDEX('Weekly 쨈 raw'!$A:$AAQ, MATCH(D$3, 'Weekly 쨈 raw'!$A:$A, 0), MATCH($A11, 'Weekly 쨈 raw'!$1:$1, 0)), ""), IF(val=0, "", val))</f>
        <v/>
      </c>
      <c r="E11" s="69" t="str">
        <f t="array" ref="E11">LET(val, IFERROR(INDEX('Weekly 쨈 raw'!$A:$AAQ, MATCH(E$3, 'Weekly 쨈 raw'!$A:$A, 0), MATCH($A11, 'Weekly 쨈 raw'!$1:$1, 0)), ""), IF(val=0, "", val))</f>
        <v/>
      </c>
      <c r="F11" s="69" t="str">
        <f t="array" ref="F11">LET(val, IFERROR(INDEX('Weekly 쨈 raw'!$A:$AAQ, MATCH(F$3, 'Weekly 쨈 raw'!$A:$A, 0), MATCH($A11, 'Weekly 쨈 raw'!$1:$1, 0)), ""), IF(val=0, "", val))</f>
        <v/>
      </c>
      <c r="G11" s="69" t="str">
        <f t="array" ref="G11">LET(val, IFERROR(INDEX('Weekly 쨈 raw'!$A:$AAQ, MATCH(G$3, 'Weekly 쨈 raw'!$A:$A, 0), MATCH($A11, 'Weekly 쨈 raw'!$1:$1, 0)), ""), IF(val=0, "", val))</f>
        <v/>
      </c>
      <c r="H11" s="69" t="str">
        <f t="array" ref="H11">LET(val, IFERROR(INDEX('Weekly 쨈 raw'!$A:$AAQ, MATCH(H$3, 'Weekly 쨈 raw'!$A:$A, 0), MATCH($A11, 'Weekly 쨈 raw'!$1:$1, 0)), ""), IF(val=0, "", val))</f>
        <v/>
      </c>
      <c r="I11" s="69" t="str">
        <f t="array" ref="I11">LET(val, IFERROR(INDEX('Weekly 쨈 raw'!$A:$AAQ, MATCH(I$3, 'Weekly 쨈 raw'!$A:$A, 0), MATCH($A11, 'Weekly 쨈 raw'!$1:$1, 0)), ""), IF(val=0, "", val))</f>
        <v/>
      </c>
      <c r="J11" s="69" t="str">
        <f t="array" ref="J11">LET(val, IFERROR(INDEX('Weekly 쨈 raw'!$A:$AAQ, MATCH(J$3, 'Weekly 쨈 raw'!$A:$A, 0), MATCH($A11, 'Weekly 쨈 raw'!$1:$1, 0)), ""), IF(val=0, "", val))</f>
        <v/>
      </c>
      <c r="K11" s="69" t="str">
        <f t="array" ref="K11">LET(val, IFERROR(INDEX('Weekly 쨈 raw'!$A:$AAQ, MATCH(K$3, 'Weekly 쨈 raw'!$A:$A, 0), MATCH($A11, 'Weekly 쨈 raw'!$1:$1, 0)), ""), IF(val=0, "", val))</f>
        <v/>
      </c>
      <c r="L11" s="69" t="str">
        <f t="array" ref="L11">LET(val, IFERROR(INDEX('Weekly 쨈 raw'!$A:$AAQ, MATCH(L$3, 'Weekly 쨈 raw'!$A:$A, 0), MATCH($A11, 'Weekly 쨈 raw'!$1:$1, 0)), ""), IF(val=0, "", val))</f>
        <v/>
      </c>
      <c r="M11" s="69">
        <f t="array" ref="M11">LET(val, IFERROR(INDEX('Weekly 쨈 raw'!$A:$AAQ, MATCH(M$3, 'Weekly 쨈 raw'!$A:$A, 0), MATCH($A11, 'Weekly 쨈 raw'!$1:$1, 0)), ""), IF(val=0, "", val))</f>
        <v>105</v>
      </c>
      <c r="N11" s="69">
        <f t="array" ref="N11">LET(val, IFERROR(INDEX('Weekly 쨈 raw'!$A:$AAQ, MATCH(N$3, 'Weekly 쨈 raw'!$A:$A, 0), MATCH($A11, 'Weekly 쨈 raw'!$1:$1, 0)), ""), IF(val=0, "", val))</f>
        <v>357</v>
      </c>
      <c r="O11" s="69">
        <f t="array" ref="O11">LET(val, IFERROR(INDEX('Weekly 쨈 raw'!$A:$AAQ, MATCH(O$3, 'Weekly 쨈 raw'!$A:$A, 0), MATCH($A11, 'Weekly 쨈 raw'!$1:$1, 0)), ""), IF(val=0, "", val))</f>
        <v>351</v>
      </c>
      <c r="P11" s="69">
        <f t="array" ref="P11">LET(val, IFERROR(INDEX('Weekly 쨈 raw'!$A:$AAQ, MATCH(P$3, 'Weekly 쨈 raw'!$A:$A, 0), MATCH($A11, 'Weekly 쨈 raw'!$1:$1, 0)), ""), IF(val=0, "", val))</f>
        <v>27</v>
      </c>
      <c r="Q11" s="69" t="str">
        <f t="array" ref="Q11">LET(val, IFERROR(INDEX('Weekly 쨈 raw'!$A:$AAQ, MATCH(Q$3, 'Weekly 쨈 raw'!$A:$A, 0), MATCH($A11, 'Weekly 쨈 raw'!$1:$1, 0)), ""), IF(val=0, "", val))</f>
        <v/>
      </c>
      <c r="R11" s="69" t="str">
        <f t="array" ref="R11">LET(val, IFERROR(INDEX('Weekly 쨈 raw'!$A:$AAQ, MATCH(R$3, 'Weekly 쨈 raw'!$A:$A, 0), MATCH($A11, 'Weekly 쨈 raw'!$1:$1, 0)), ""), IF(val=0, "", val))</f>
        <v/>
      </c>
      <c r="S11" s="69" t="str">
        <f t="array" ref="S11">LET(val, IFERROR(INDEX('Weekly 쨈 raw'!$A:$AAQ, MATCH(S$3, 'Weekly 쨈 raw'!$A:$A, 0), MATCH($A11, 'Weekly 쨈 raw'!$1:$1, 0)), ""), IF(val=0, "", val))</f>
        <v/>
      </c>
      <c r="T11" s="69" t="str">
        <f t="array" ref="T11">LET(val, IFERROR(INDEX('Weekly 쨈 raw'!$A:$AAQ, MATCH(T$3, 'Weekly 쨈 raw'!$A:$A, 0), MATCH($A11, 'Weekly 쨈 raw'!$1:$1, 0)), ""), IF(val=0, "", val))</f>
        <v/>
      </c>
      <c r="U11" s="69" t="str">
        <f t="array" ref="U11">LET(val, IFERROR(INDEX('Weekly 쨈 raw'!$A:$AAQ, MATCH(U$3, 'Weekly 쨈 raw'!$A:$A, 0), MATCH($A11, 'Weekly 쨈 raw'!$1:$1, 0)), ""), IF(val=0, "", val))</f>
        <v/>
      </c>
    </row>
    <row r="12" ht="18.75" customHeight="1">
      <c r="A12" s="73"/>
      <c r="B12" s="17" t="s">
        <v>72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74">
        <f t="shared" ref="M12:P12" si="2">M11/M9</f>
        <v>0.03846153846</v>
      </c>
      <c r="N12" s="74">
        <f t="shared" si="2"/>
        <v>0.1748285994</v>
      </c>
      <c r="O12" s="74">
        <f t="shared" si="2"/>
        <v>0.1482889734</v>
      </c>
      <c r="P12" s="74">
        <f t="shared" si="2"/>
        <v>0.07219251337</v>
      </c>
      <c r="Q12" s="74" t="str">
        <f t="shared" ref="Q12:U12" si="3">iferror(Q11/Q9, "")</f>
        <v/>
      </c>
      <c r="R12" s="74" t="str">
        <f t="shared" si="3"/>
        <v/>
      </c>
      <c r="S12" s="74" t="str">
        <f t="shared" si="3"/>
        <v/>
      </c>
      <c r="T12" s="74" t="str">
        <f t="shared" si="3"/>
        <v/>
      </c>
      <c r="U12" s="74" t="str">
        <f t="shared" si="3"/>
        <v/>
      </c>
    </row>
    <row r="13" ht="18.75" customHeight="1">
      <c r="A13" s="73" t="s">
        <v>23</v>
      </c>
      <c r="B13" s="68" t="s">
        <v>73</v>
      </c>
      <c r="C13" s="69">
        <f t="array" ref="C13">LET(val, IFERROR(INDEX('Weekly 쨈 raw'!$A:$AAQ, MATCH(C$3, 'Weekly 쨈 raw'!$A:$A, 0), MATCH($A13, 'Weekly 쨈 raw'!$1:$1, 0)), ""), IF(val=0, "", val))</f>
        <v>29740</v>
      </c>
      <c r="D13" s="69">
        <f t="array" ref="D13">LET(val, IFERROR(INDEX('Weekly 쨈 raw'!$A:$AAQ, MATCH(D$3, 'Weekly 쨈 raw'!$A:$A, 0), MATCH($A13, 'Weekly 쨈 raw'!$1:$1, 0)), ""), IF(val=0, "", val))</f>
        <v>19960</v>
      </c>
      <c r="E13" s="69">
        <f t="array" ref="E13">LET(val, IFERROR(INDEX('Weekly 쨈 raw'!$A:$AAQ, MATCH(E$3, 'Weekly 쨈 raw'!$A:$A, 0), MATCH($A13, 'Weekly 쨈 raw'!$1:$1, 0)), ""), IF(val=0, "", val))</f>
        <v>15695</v>
      </c>
      <c r="F13" s="69">
        <f t="array" ref="F13">LET(val, IFERROR(INDEX('Weekly 쨈 raw'!$A:$AAQ, MATCH(F$3, 'Weekly 쨈 raw'!$A:$A, 0), MATCH($A13, 'Weekly 쨈 raw'!$1:$1, 0)), ""), IF(val=0, "", val))</f>
        <v>10949</v>
      </c>
      <c r="G13" s="69">
        <f t="array" ref="G13">LET(val, IFERROR(INDEX('Weekly 쨈 raw'!$A:$AAQ, MATCH(G$3, 'Weekly 쨈 raw'!$A:$A, 0), MATCH($A13, 'Weekly 쨈 raw'!$1:$1, 0)), ""), IF(val=0, "", val))</f>
        <v>14924</v>
      </c>
      <c r="H13" s="69">
        <f t="array" ref="H13">LET(val, IFERROR(INDEX('Weekly 쨈 raw'!$A:$AAQ, MATCH(H$3, 'Weekly 쨈 raw'!$A:$A, 0), MATCH($A13, 'Weekly 쨈 raw'!$1:$1, 0)), ""), IF(val=0, "", val))</f>
        <v>12910</v>
      </c>
      <c r="I13" s="69">
        <f t="array" ref="I13">LET(val, IFERROR(INDEX('Weekly 쨈 raw'!$A:$AAQ, MATCH(I$3, 'Weekly 쨈 raw'!$A:$A, 0), MATCH($A13, 'Weekly 쨈 raw'!$1:$1, 0)), ""), IF(val=0, "", val))</f>
        <v>9204</v>
      </c>
      <c r="J13" s="69">
        <f t="array" ref="J13">LET(val, IFERROR(INDEX('Weekly 쨈 raw'!$A:$AAQ, MATCH(J$3, 'Weekly 쨈 raw'!$A:$A, 0), MATCH($A13, 'Weekly 쨈 raw'!$1:$1, 0)), ""), IF(val=0, "", val))</f>
        <v>7448</v>
      </c>
      <c r="K13" s="69">
        <f t="array" ref="K13">LET(val, IFERROR(INDEX('Weekly 쨈 raw'!$A:$AAQ, MATCH(K$3, 'Weekly 쨈 raw'!$A:$A, 0), MATCH($A13, 'Weekly 쨈 raw'!$1:$1, 0)), ""), IF(val=0, "", val))</f>
        <v>7845</v>
      </c>
      <c r="L13" s="69">
        <f t="array" ref="L13">LET(val, IFERROR(INDEX('Weekly 쨈 raw'!$A:$AAQ, MATCH(L$3, 'Weekly 쨈 raw'!$A:$A, 0), MATCH($A13, 'Weekly 쨈 raw'!$1:$1, 0)), ""), IF(val=0, "", val))</f>
        <v>7849</v>
      </c>
      <c r="M13" s="69">
        <f t="array" ref="M13">LET(val, IFERROR(INDEX('Weekly 쨈 raw'!$A:$AAQ, MATCH(M$3, 'Weekly 쨈 raw'!$A:$A, 0), MATCH($A13, 'Weekly 쨈 raw'!$1:$1, 0)), ""), IF(val=0, "", val))</f>
        <v>7852</v>
      </c>
      <c r="N13" s="69">
        <f t="array" ref="N13">LET(val, IFERROR(INDEX('Weekly 쨈 raw'!$A:$AAQ, MATCH(N$3, 'Weekly 쨈 raw'!$A:$A, 0), MATCH($A13, 'Weekly 쨈 raw'!$1:$1, 0)), ""), IF(val=0, "", val))</f>
        <v>7739</v>
      </c>
      <c r="O13" s="69">
        <f t="array" ref="O13">LET(val, IFERROR(INDEX('Weekly 쨈 raw'!$A:$AAQ, MATCH(O$3, 'Weekly 쨈 raw'!$A:$A, 0), MATCH($A13, 'Weekly 쨈 raw'!$1:$1, 0)), ""), IF(val=0, "", val))</f>
        <v>8951</v>
      </c>
      <c r="P13" s="69">
        <f t="array" ref="P13">LET(val, IFERROR(INDEX('Weekly 쨈 raw'!$A:$AAQ, MATCH(P$3, 'Weekly 쨈 raw'!$A:$A, 0), MATCH($A13, 'Weekly 쨈 raw'!$1:$1, 0)), ""), IF(val=0, "", val))</f>
        <v>691</v>
      </c>
      <c r="Q13" s="69" t="str">
        <f t="array" ref="Q13">LET(val, IFERROR(INDEX('Weekly 쨈 raw'!$A:$AAQ, MATCH(Q$3, 'Weekly 쨈 raw'!$A:$A, 0), MATCH($A13, 'Weekly 쨈 raw'!$1:$1, 0)), ""), IF(val=0, "", val))</f>
        <v/>
      </c>
      <c r="R13" s="69" t="str">
        <f t="array" ref="R13">LET(val, IFERROR(INDEX('Weekly 쨈 raw'!$A:$AAQ, MATCH(R$3, 'Weekly 쨈 raw'!$A:$A, 0), MATCH($A13, 'Weekly 쨈 raw'!$1:$1, 0)), ""), IF(val=0, "", val))</f>
        <v/>
      </c>
      <c r="S13" s="69" t="str">
        <f t="array" ref="S13">LET(val, IFERROR(INDEX('Weekly 쨈 raw'!$A:$AAQ, MATCH(S$3, 'Weekly 쨈 raw'!$A:$A, 0), MATCH($A13, 'Weekly 쨈 raw'!$1:$1, 0)), ""), IF(val=0, "", val))</f>
        <v/>
      </c>
      <c r="T13" s="69" t="str">
        <f t="array" ref="T13">LET(val, IFERROR(INDEX('Weekly 쨈 raw'!$A:$AAQ, MATCH(T$3, 'Weekly 쨈 raw'!$A:$A, 0), MATCH($A13, 'Weekly 쨈 raw'!$1:$1, 0)), ""), IF(val=0, "", val))</f>
        <v/>
      </c>
      <c r="U13" s="69" t="str">
        <f t="array" ref="U13">LET(val, IFERROR(INDEX('Weekly 쨈 raw'!$A:$AAQ, MATCH(U$3, 'Weekly 쨈 raw'!$A:$A, 0), MATCH($A13, 'Weekly 쨈 raw'!$1:$1, 0)), ""), IF(val=0, "", val))</f>
        <v/>
      </c>
    </row>
    <row r="14" ht="18.75" customHeight="1">
      <c r="A14" s="73" t="s">
        <v>74</v>
      </c>
      <c r="B14" s="17" t="s">
        <v>75</v>
      </c>
      <c r="C14" s="69">
        <f t="array" ref="C14">LET(val, IFERROR(INDEX('Weekly 쨈 raw'!$A:$AAQ, MATCH(C$3, 'Weekly 쨈 raw'!$A:$A, 0), MATCH($A14, 'Weekly 쨈 raw'!$1:$1, 0)), ""), IF(val=0, "", val))</f>
        <v>29740</v>
      </c>
      <c r="D14" s="69">
        <f t="array" ref="D14">LET(val, IFERROR(INDEX('Weekly 쨈 raw'!$A:$AAQ, MATCH(D$3, 'Weekly 쨈 raw'!$A:$A, 0), MATCH($A14, 'Weekly 쨈 raw'!$1:$1, 0)), ""), IF(val=0, "", val))</f>
        <v>19960</v>
      </c>
      <c r="E14" s="69">
        <f t="array" ref="E14">LET(val, IFERROR(INDEX('Weekly 쨈 raw'!$A:$AAQ, MATCH(E$3, 'Weekly 쨈 raw'!$A:$A, 0), MATCH($A14, 'Weekly 쨈 raw'!$1:$1, 0)), ""), IF(val=0, "", val))</f>
        <v>15695</v>
      </c>
      <c r="F14" s="69">
        <f t="array" ref="F14">LET(val, IFERROR(INDEX('Weekly 쨈 raw'!$A:$AAQ, MATCH(F$3, 'Weekly 쨈 raw'!$A:$A, 0), MATCH($A14, 'Weekly 쨈 raw'!$1:$1, 0)), ""), IF(val=0, "", val))</f>
        <v>10949</v>
      </c>
      <c r="G14" s="69">
        <f t="array" ref="G14">LET(val, IFERROR(INDEX('Weekly 쨈 raw'!$A:$AAQ, MATCH(G$3, 'Weekly 쨈 raw'!$A:$A, 0), MATCH($A14, 'Weekly 쨈 raw'!$1:$1, 0)), ""), IF(val=0, "", val))</f>
        <v>14924</v>
      </c>
      <c r="H14" s="69">
        <f t="array" ref="H14">LET(val, IFERROR(INDEX('Weekly 쨈 raw'!$A:$AAQ, MATCH(H$3, 'Weekly 쨈 raw'!$A:$A, 0), MATCH($A14, 'Weekly 쨈 raw'!$1:$1, 0)), ""), IF(val=0, "", val))</f>
        <v>12910</v>
      </c>
      <c r="I14" s="69">
        <f t="array" ref="I14">LET(val, IFERROR(INDEX('Weekly 쨈 raw'!$A:$AAQ, MATCH(I$3, 'Weekly 쨈 raw'!$A:$A, 0), MATCH($A14, 'Weekly 쨈 raw'!$1:$1, 0)), ""), IF(val=0, "", val))</f>
        <v>9204</v>
      </c>
      <c r="J14" s="69">
        <f t="array" ref="J14">LET(val, IFERROR(INDEX('Weekly 쨈 raw'!$A:$AAQ, MATCH(J$3, 'Weekly 쨈 raw'!$A:$A, 0), MATCH($A14, 'Weekly 쨈 raw'!$1:$1, 0)), ""), IF(val=0, "", val))</f>
        <v>7448</v>
      </c>
      <c r="K14" s="69">
        <f t="array" ref="K14">LET(val, IFERROR(INDEX('Weekly 쨈 raw'!$A:$AAQ, MATCH(K$3, 'Weekly 쨈 raw'!$A:$A, 0), MATCH($A14, 'Weekly 쨈 raw'!$1:$1, 0)), ""), IF(val=0, "", val))</f>
        <v>7845</v>
      </c>
      <c r="L14" s="69">
        <f t="array" ref="L14">LET(val, IFERROR(INDEX('Weekly 쨈 raw'!$A:$AAQ, MATCH(L$3, 'Weekly 쨈 raw'!$A:$A, 0), MATCH($A14, 'Weekly 쨈 raw'!$1:$1, 0)), ""), IF(val=0, "", val))</f>
        <v>7849</v>
      </c>
      <c r="M14" s="69">
        <f t="array" ref="M14">LET(val, IFERROR(INDEX('Weekly 쨈 raw'!$A:$AAQ, MATCH(M$3, 'Weekly 쨈 raw'!$A:$A, 0), MATCH($A14, 'Weekly 쨈 raw'!$1:$1, 0)), ""), IF(val=0, "", val))</f>
        <v>7572</v>
      </c>
      <c r="N14" s="69">
        <f t="array" ref="N14">LET(val, IFERROR(INDEX('Weekly 쨈 raw'!$A:$AAQ, MATCH(N$3, 'Weekly 쨈 raw'!$A:$A, 0), MATCH($A14, 'Weekly 쨈 raw'!$1:$1, 0)), ""), IF(val=0, "", val))</f>
        <v>6626</v>
      </c>
      <c r="O14" s="69">
        <f t="array" ref="O14">LET(val, IFERROR(INDEX('Weekly 쨈 raw'!$A:$AAQ, MATCH(O$3, 'Weekly 쨈 raw'!$A:$A, 0), MATCH($A14, 'Weekly 쨈 raw'!$1:$1, 0)), ""), IF(val=0, "", val))</f>
        <v>7964</v>
      </c>
      <c r="P14" s="69">
        <f t="array" ref="P14">LET(val, IFERROR(INDEX('Weekly 쨈 raw'!$A:$AAQ, MATCH(P$3, 'Weekly 쨈 raw'!$A:$A, 0), MATCH($A14, 'Weekly 쨈 raw'!$1:$1, 0)), ""), IF(val=0, "", val))</f>
        <v>634</v>
      </c>
      <c r="Q14" s="69" t="str">
        <f t="array" ref="Q14">LET(val, IFERROR(INDEX('Weekly 쨈 raw'!$A:$AAQ, MATCH(Q$3, 'Weekly 쨈 raw'!$A:$A, 0), MATCH($A14, 'Weekly 쨈 raw'!$1:$1, 0)), ""), IF(val=0, "", val))</f>
        <v/>
      </c>
      <c r="R14" s="69" t="str">
        <f t="array" ref="R14">LET(val, IFERROR(INDEX('Weekly 쨈 raw'!$A:$AAQ, MATCH(R$3, 'Weekly 쨈 raw'!$A:$A, 0), MATCH($A14, 'Weekly 쨈 raw'!$1:$1, 0)), ""), IF(val=0, "", val))</f>
        <v/>
      </c>
      <c r="S14" s="69" t="str">
        <f t="array" ref="S14">LET(val, IFERROR(INDEX('Weekly 쨈 raw'!$A:$AAQ, MATCH(S$3, 'Weekly 쨈 raw'!$A:$A, 0), MATCH($A14, 'Weekly 쨈 raw'!$1:$1, 0)), ""), IF(val=0, "", val))</f>
        <v/>
      </c>
      <c r="T14" s="69" t="str">
        <f t="array" ref="T14">LET(val, IFERROR(INDEX('Weekly 쨈 raw'!$A:$AAQ, MATCH(T$3, 'Weekly 쨈 raw'!$A:$A, 0), MATCH($A14, 'Weekly 쨈 raw'!$1:$1, 0)), ""), IF(val=0, "", val))</f>
        <v/>
      </c>
      <c r="U14" s="69" t="str">
        <f t="array" ref="U14">LET(val, IFERROR(INDEX('Weekly 쨈 raw'!$A:$AAQ, MATCH(U$3, 'Weekly 쨈 raw'!$A:$A, 0), MATCH($A14, 'Weekly 쨈 raw'!$1:$1, 0)), ""), IF(val=0, "", val))</f>
        <v/>
      </c>
    </row>
    <row r="15" ht="18.75" customHeight="1">
      <c r="A15" s="73" t="s">
        <v>76</v>
      </c>
      <c r="B15" s="17" t="s">
        <v>77</v>
      </c>
      <c r="C15" s="69" t="str">
        <f t="array" ref="C15">LET(val, IFERROR(INDEX('Weekly 쨈 raw'!$A:$AAQ, MATCH(C$3, 'Weekly 쨈 raw'!$A:$A, 0), MATCH($A15, 'Weekly 쨈 raw'!$1:$1, 0)), ""), IF(val=0, "", val))</f>
        <v/>
      </c>
      <c r="D15" s="69" t="str">
        <f t="array" ref="D15">LET(val, IFERROR(INDEX('Weekly 쨈 raw'!$A:$AAQ, MATCH(D$3, 'Weekly 쨈 raw'!$A:$A, 0), MATCH($A15, 'Weekly 쨈 raw'!$1:$1, 0)), ""), IF(val=0, "", val))</f>
        <v/>
      </c>
      <c r="E15" s="69" t="str">
        <f t="array" ref="E15">LET(val, IFERROR(INDEX('Weekly 쨈 raw'!$A:$AAQ, MATCH(E$3, 'Weekly 쨈 raw'!$A:$A, 0), MATCH($A15, 'Weekly 쨈 raw'!$1:$1, 0)), ""), IF(val=0, "", val))</f>
        <v/>
      </c>
      <c r="F15" s="69" t="str">
        <f t="array" ref="F15">LET(val, IFERROR(INDEX('Weekly 쨈 raw'!$A:$AAQ, MATCH(F$3, 'Weekly 쨈 raw'!$A:$A, 0), MATCH($A15, 'Weekly 쨈 raw'!$1:$1, 0)), ""), IF(val=0, "", val))</f>
        <v/>
      </c>
      <c r="G15" s="69" t="str">
        <f t="array" ref="G15">LET(val, IFERROR(INDEX('Weekly 쨈 raw'!$A:$AAQ, MATCH(G$3, 'Weekly 쨈 raw'!$A:$A, 0), MATCH($A15, 'Weekly 쨈 raw'!$1:$1, 0)), ""), IF(val=0, "", val))</f>
        <v/>
      </c>
      <c r="H15" s="69" t="str">
        <f t="array" ref="H15">LET(val, IFERROR(INDEX('Weekly 쨈 raw'!$A:$AAQ, MATCH(H$3, 'Weekly 쨈 raw'!$A:$A, 0), MATCH($A15, 'Weekly 쨈 raw'!$1:$1, 0)), ""), IF(val=0, "", val))</f>
        <v/>
      </c>
      <c r="I15" s="69" t="str">
        <f t="array" ref="I15">LET(val, IFERROR(INDEX('Weekly 쨈 raw'!$A:$AAQ, MATCH(I$3, 'Weekly 쨈 raw'!$A:$A, 0), MATCH($A15, 'Weekly 쨈 raw'!$1:$1, 0)), ""), IF(val=0, "", val))</f>
        <v/>
      </c>
      <c r="J15" s="69" t="str">
        <f t="array" ref="J15">LET(val, IFERROR(INDEX('Weekly 쨈 raw'!$A:$AAQ, MATCH(J$3, 'Weekly 쨈 raw'!$A:$A, 0), MATCH($A15, 'Weekly 쨈 raw'!$1:$1, 0)), ""), IF(val=0, "", val))</f>
        <v/>
      </c>
      <c r="K15" s="69" t="str">
        <f t="array" ref="K15">LET(val, IFERROR(INDEX('Weekly 쨈 raw'!$A:$AAQ, MATCH(K$3, 'Weekly 쨈 raw'!$A:$A, 0), MATCH($A15, 'Weekly 쨈 raw'!$1:$1, 0)), ""), IF(val=0, "", val))</f>
        <v/>
      </c>
      <c r="L15" s="69" t="str">
        <f t="array" ref="L15">LET(val, IFERROR(INDEX('Weekly 쨈 raw'!$A:$AAQ, MATCH(L$3, 'Weekly 쨈 raw'!$A:$A, 0), MATCH($A15, 'Weekly 쨈 raw'!$1:$1, 0)), ""), IF(val=0, "", val))</f>
        <v/>
      </c>
      <c r="M15" s="69">
        <f t="array" ref="M15">LET(val, IFERROR(INDEX('Weekly 쨈 raw'!$A:$AAQ, MATCH(M$3, 'Weekly 쨈 raw'!$A:$A, 0), MATCH($A15, 'Weekly 쨈 raw'!$1:$1, 0)), ""), IF(val=0, "", val))</f>
        <v>280</v>
      </c>
      <c r="N15" s="69">
        <f t="array" ref="N15">LET(val, IFERROR(INDEX('Weekly 쨈 raw'!$A:$AAQ, MATCH(N$3, 'Weekly 쨈 raw'!$A:$A, 0), MATCH($A15, 'Weekly 쨈 raw'!$1:$1, 0)), ""), IF(val=0, "", val))</f>
        <v>1113</v>
      </c>
      <c r="O15" s="69">
        <f t="array" ref="O15">LET(val, IFERROR(INDEX('Weekly 쨈 raw'!$A:$AAQ, MATCH(O$3, 'Weekly 쨈 raw'!$A:$A, 0), MATCH($A15, 'Weekly 쨈 raw'!$1:$1, 0)), ""), IF(val=0, "", val))</f>
        <v>987</v>
      </c>
      <c r="P15" s="69">
        <f t="array" ref="P15">LET(val, IFERROR(INDEX('Weekly 쨈 raw'!$A:$AAQ, MATCH(P$3, 'Weekly 쨈 raw'!$A:$A, 0), MATCH($A15, 'Weekly 쨈 raw'!$1:$1, 0)), ""), IF(val=0, "", val))</f>
        <v>57</v>
      </c>
      <c r="Q15" s="69" t="str">
        <f t="array" ref="Q15">LET(val, IFERROR(INDEX('Weekly 쨈 raw'!$A:$AAQ, MATCH(Q$3, 'Weekly 쨈 raw'!$A:$A, 0), MATCH($A15, 'Weekly 쨈 raw'!$1:$1, 0)), ""), IF(val=0, "", val))</f>
        <v/>
      </c>
      <c r="R15" s="69" t="str">
        <f t="array" ref="R15">LET(val, IFERROR(INDEX('Weekly 쨈 raw'!$A:$AAQ, MATCH(R$3, 'Weekly 쨈 raw'!$A:$A, 0), MATCH($A15, 'Weekly 쨈 raw'!$1:$1, 0)), ""), IF(val=0, "", val))</f>
        <v/>
      </c>
      <c r="S15" s="69" t="str">
        <f t="array" ref="S15">LET(val, IFERROR(INDEX('Weekly 쨈 raw'!$A:$AAQ, MATCH(S$3, 'Weekly 쨈 raw'!$A:$A, 0), MATCH($A15, 'Weekly 쨈 raw'!$1:$1, 0)), ""), IF(val=0, "", val))</f>
        <v/>
      </c>
      <c r="T15" s="69" t="str">
        <f t="array" ref="T15">LET(val, IFERROR(INDEX('Weekly 쨈 raw'!$A:$AAQ, MATCH(T$3, 'Weekly 쨈 raw'!$A:$A, 0), MATCH($A15, 'Weekly 쨈 raw'!$1:$1, 0)), ""), IF(val=0, "", val))</f>
        <v/>
      </c>
      <c r="U15" s="69" t="str">
        <f t="array" ref="U15">LET(val, IFERROR(INDEX('Weekly 쨈 raw'!$A:$AAQ, MATCH(U$3, 'Weekly 쨈 raw'!$A:$A, 0), MATCH($A15, 'Weekly 쨈 raw'!$1:$1, 0)), ""), IF(val=0, "", val))</f>
        <v/>
      </c>
    </row>
    <row r="16" ht="18.75" customHeight="1">
      <c r="A16" s="73"/>
      <c r="B16" s="17" t="s">
        <v>78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4">
        <f t="shared" ref="M16:P16" si="4">M15/M13</f>
        <v>0.03565970453</v>
      </c>
      <c r="N16" s="74">
        <f t="shared" si="4"/>
        <v>0.1438170306</v>
      </c>
      <c r="O16" s="74">
        <f t="shared" si="4"/>
        <v>0.1102670093</v>
      </c>
      <c r="P16" s="74">
        <f t="shared" si="4"/>
        <v>0.08248914616</v>
      </c>
      <c r="Q16" s="69"/>
      <c r="R16" s="69"/>
      <c r="S16" s="69"/>
      <c r="T16" s="69"/>
      <c r="U16" s="69"/>
    </row>
    <row r="17" ht="18.75" customHeight="1">
      <c r="A17" s="73" t="s">
        <v>79</v>
      </c>
      <c r="B17" s="17" t="s">
        <v>80</v>
      </c>
      <c r="C17" s="75">
        <f t="array" ref="C17">LET(val, IFERROR(INDEX('Weekly 쨈 raw'!$A:$AAQ, MATCH(C$3, 'Weekly 쨈 raw'!$A:$A, 0), MATCH($A17, 'Weekly 쨈 raw'!$1:$1, 0)), ""), IF(val=0, "", val))</f>
        <v>2.971622702</v>
      </c>
      <c r="D17" s="75">
        <f t="array" ref="D17">LET(val, IFERROR(INDEX('Weekly 쨈 raw'!$A:$AAQ, MATCH(D$3, 'Weekly 쨈 raw'!$A:$A, 0), MATCH($A17, 'Weekly 쨈 raw'!$1:$1, 0)), ""), IF(val=0, "", val))</f>
        <v>4.286941581</v>
      </c>
      <c r="E17" s="75">
        <f t="array" ref="E17">LET(val, IFERROR(INDEX('Weekly 쨈 raw'!$A:$AAQ, MATCH(E$3, 'Weekly 쨈 raw'!$A:$A, 0), MATCH($A17, 'Weekly 쨈 raw'!$1:$1, 0)), ""), IF(val=0, "", val))</f>
        <v>4.835181762</v>
      </c>
      <c r="F17" s="75">
        <f t="array" ref="F17">LET(val, IFERROR(INDEX('Weekly 쨈 raw'!$A:$AAQ, MATCH(F$3, 'Weekly 쨈 raw'!$A:$A, 0), MATCH($A17, 'Weekly 쨈 raw'!$1:$1, 0)), ""), IF(val=0, "", val))</f>
        <v>4.052183568</v>
      </c>
      <c r="G17" s="75">
        <f t="array" ref="G17">LET(val, IFERROR(INDEX('Weekly 쨈 raw'!$A:$AAQ, MATCH(G$3, 'Weekly 쨈 raw'!$A:$A, 0), MATCH($A17, 'Weekly 쨈 raw'!$1:$1, 0)), ""), IF(val=0, "", val))</f>
        <v>3.331993749</v>
      </c>
      <c r="H17" s="75">
        <f t="array" ref="H17">LET(val, IFERROR(INDEX('Weekly 쨈 raw'!$A:$AAQ, MATCH(H$3, 'Weekly 쨈 raw'!$A:$A, 0), MATCH($A17, 'Weekly 쨈 raw'!$1:$1, 0)), ""), IF(val=0, "", val))</f>
        <v>3.138828106</v>
      </c>
      <c r="I17" s="75">
        <f t="array" ref="I17">LET(val, IFERROR(INDEX('Weekly 쨈 raw'!$A:$AAQ, MATCH(I$3, 'Weekly 쨈 raw'!$A:$A, 0), MATCH($A17, 'Weekly 쨈 raw'!$1:$1, 0)), ""), IF(val=0, "", val))</f>
        <v>2.965206186</v>
      </c>
      <c r="J17" s="75">
        <f t="array" ref="J17">LET(val, IFERROR(INDEX('Weekly 쨈 raw'!$A:$AAQ, MATCH(J$3, 'Weekly 쨈 raw'!$A:$A, 0), MATCH($A17, 'Weekly 쨈 raw'!$1:$1, 0)), ""), IF(val=0, "", val))</f>
        <v>2.736223365</v>
      </c>
      <c r="K17" s="75">
        <f t="array" ref="K17">LET(val, IFERROR(INDEX('Weekly 쨈 raw'!$A:$AAQ, MATCH(K$3, 'Weekly 쨈 raw'!$A:$A, 0), MATCH($A17, 'Weekly 쨈 raw'!$1:$1, 0)), ""), IF(val=0, "", val))</f>
        <v>2.52901354</v>
      </c>
      <c r="L17" s="75">
        <f t="array" ref="L17">LET(val, IFERROR(INDEX('Weekly 쨈 raw'!$A:$AAQ, MATCH(L$3, 'Weekly 쨈 raw'!$A:$A, 0), MATCH($A17, 'Weekly 쨈 raw'!$1:$1, 0)), ""), IF(val=0, "", val))</f>
        <v>2.805218013</v>
      </c>
      <c r="M17" s="75">
        <f t="array" ref="M17">LET(val, IFERROR(INDEX('Weekly 쨈 raw'!$A:$AAQ, MATCH(M$3, 'Weekly 쨈 raw'!$A:$A, 0), MATCH($A17, 'Weekly 쨈 raw'!$1:$1, 0)), ""), IF(val=0, "", val))</f>
        <v>2.876190476</v>
      </c>
      <c r="N17" s="75">
        <f t="array" ref="N17">LET(val, IFERROR(INDEX('Weekly 쨈 raw'!$A:$AAQ, MATCH(N$3, 'Weekly 쨈 raw'!$A:$A, 0), MATCH($A17, 'Weekly 쨈 raw'!$1:$1, 0)), ""), IF(val=0, "", val))</f>
        <v>3.789911851</v>
      </c>
      <c r="O17" s="75">
        <f t="array" ref="O17">LET(val, IFERROR(INDEX('Weekly 쨈 raw'!$A:$AAQ, MATCH(O$3, 'Weekly 쨈 raw'!$A:$A, 0), MATCH($A17, 'Weekly 쨈 raw'!$1:$1, 0)), ""), IF(val=0, "", val))</f>
        <v>3.781580059</v>
      </c>
      <c r="P17" s="75">
        <f t="array" ref="P17">LET(val, IFERROR(INDEX('Weekly 쨈 raw'!$A:$AAQ, MATCH(P$3, 'Weekly 쨈 raw'!$A:$A, 0), MATCH($A17, 'Weekly 쨈 raw'!$1:$1, 0)), ""), IF(val=0, "", val))</f>
        <v>1.847593583</v>
      </c>
      <c r="Q17" s="75" t="str">
        <f t="array" ref="Q17">LET(val, IFERROR(INDEX('Weekly 쨈 raw'!$A:$AAQ, MATCH(Q$3, 'Weekly 쨈 raw'!$A:$A, 0), MATCH($A17, 'Weekly 쨈 raw'!$1:$1, 0)), ""), IF(val=0, "", val))</f>
        <v/>
      </c>
      <c r="R17" s="75" t="str">
        <f t="array" ref="R17">LET(val, IFERROR(INDEX('Weekly 쨈 raw'!$A:$AAQ, MATCH(R$3, 'Weekly 쨈 raw'!$A:$A, 0), MATCH($A17, 'Weekly 쨈 raw'!$1:$1, 0)), ""), IF(val=0, "", val))</f>
        <v/>
      </c>
      <c r="S17" s="75" t="str">
        <f t="array" ref="S17">LET(val, IFERROR(INDEX('Weekly 쨈 raw'!$A:$AAQ, MATCH(S$3, 'Weekly 쨈 raw'!$A:$A, 0), MATCH($A17, 'Weekly 쨈 raw'!$1:$1, 0)), ""), IF(val=0, "", val))</f>
        <v/>
      </c>
      <c r="T17" s="75" t="str">
        <f t="array" ref="T17">LET(val, IFERROR(INDEX('Weekly 쨈 raw'!$A:$AAQ, MATCH(T$3, 'Weekly 쨈 raw'!$A:$A, 0), MATCH($A17, 'Weekly 쨈 raw'!$1:$1, 0)), ""), IF(val=0, "", val))</f>
        <v/>
      </c>
      <c r="U17" s="75" t="str">
        <f t="array" ref="U17">LET(val, IFERROR(INDEX('Weekly 쨈 raw'!$A:$AAQ, MATCH(U$3, 'Weekly 쨈 raw'!$A:$A, 0), MATCH($A17, 'Weekly 쨈 raw'!$1:$1, 0)), ""), IF(val=0, "", val))</f>
        <v/>
      </c>
    </row>
    <row r="18" ht="18.75" customHeight="1">
      <c r="A18" s="73" t="s">
        <v>81</v>
      </c>
      <c r="B18" s="17" t="s">
        <v>82</v>
      </c>
      <c r="C18" s="75">
        <f t="array" ref="C18">LET(val, IFERROR(INDEX('Weekly 쨈 raw'!$A:$AAQ, MATCH(C$3, 'Weekly 쨈 raw'!$A:$A, 0), MATCH($A18, 'Weekly 쨈 raw'!$1:$1, 0)), ""), IF(val=0, "", val))</f>
        <v>2.971622702</v>
      </c>
      <c r="D18" s="75">
        <f t="array" ref="D18">LET(val, IFERROR(INDEX('Weekly 쨈 raw'!$A:$AAQ, MATCH(D$3, 'Weekly 쨈 raw'!$A:$A, 0), MATCH($A18, 'Weekly 쨈 raw'!$1:$1, 0)), ""), IF(val=0, "", val))</f>
        <v>4.286941581</v>
      </c>
      <c r="E18" s="75">
        <f t="array" ref="E18">LET(val, IFERROR(INDEX('Weekly 쨈 raw'!$A:$AAQ, MATCH(E$3, 'Weekly 쨈 raw'!$A:$A, 0), MATCH($A18, 'Weekly 쨈 raw'!$1:$1, 0)), ""), IF(val=0, "", val))</f>
        <v>4.835181762</v>
      </c>
      <c r="F18" s="75">
        <f t="array" ref="F18">LET(val, IFERROR(INDEX('Weekly 쨈 raw'!$A:$AAQ, MATCH(F$3, 'Weekly 쨈 raw'!$A:$A, 0), MATCH($A18, 'Weekly 쨈 raw'!$1:$1, 0)), ""), IF(val=0, "", val))</f>
        <v>4.052183568</v>
      </c>
      <c r="G18" s="75">
        <f t="array" ref="G18">LET(val, IFERROR(INDEX('Weekly 쨈 raw'!$A:$AAQ, MATCH(G$3, 'Weekly 쨈 raw'!$A:$A, 0), MATCH($A18, 'Weekly 쨈 raw'!$1:$1, 0)), ""), IF(val=0, "", val))</f>
        <v>3.331993749</v>
      </c>
      <c r="H18" s="75">
        <f t="array" ref="H18">LET(val, IFERROR(INDEX('Weekly 쨈 raw'!$A:$AAQ, MATCH(H$3, 'Weekly 쨈 raw'!$A:$A, 0), MATCH($A18, 'Weekly 쨈 raw'!$1:$1, 0)), ""), IF(val=0, "", val))</f>
        <v>3.138828106</v>
      </c>
      <c r="I18" s="75">
        <f t="array" ref="I18">LET(val, IFERROR(INDEX('Weekly 쨈 raw'!$A:$AAQ, MATCH(I$3, 'Weekly 쨈 raw'!$A:$A, 0), MATCH($A18, 'Weekly 쨈 raw'!$1:$1, 0)), ""), IF(val=0, "", val))</f>
        <v>2.965206186</v>
      </c>
      <c r="J18" s="75">
        <f t="array" ref="J18">LET(val, IFERROR(INDEX('Weekly 쨈 raw'!$A:$AAQ, MATCH(J$3, 'Weekly 쨈 raw'!$A:$A, 0), MATCH($A18, 'Weekly 쨈 raw'!$1:$1, 0)), ""), IF(val=0, "", val))</f>
        <v>2.736223365</v>
      </c>
      <c r="K18" s="75">
        <f t="array" ref="K18">LET(val, IFERROR(INDEX('Weekly 쨈 raw'!$A:$AAQ, MATCH(K$3, 'Weekly 쨈 raw'!$A:$A, 0), MATCH($A18, 'Weekly 쨈 raw'!$1:$1, 0)), ""), IF(val=0, "", val))</f>
        <v>2.52901354</v>
      </c>
      <c r="L18" s="75">
        <f t="array" ref="L18">LET(val, IFERROR(INDEX('Weekly 쨈 raw'!$A:$AAQ, MATCH(L$3, 'Weekly 쨈 raw'!$A:$A, 0), MATCH($A18, 'Weekly 쨈 raw'!$1:$1, 0)), ""), IF(val=0, "", val))</f>
        <v>2.805218013</v>
      </c>
      <c r="M18" s="75">
        <f t="array" ref="M18">LET(val, IFERROR(INDEX('Weekly 쨈 raw'!$A:$AAQ, MATCH(M$3, 'Weekly 쨈 raw'!$A:$A, 0), MATCH($A18, 'Weekly 쨈 raw'!$1:$1, 0)), ""), IF(val=0, "", val))</f>
        <v>2.773626374</v>
      </c>
      <c r="N18" s="75">
        <f t="array" ref="N18">LET(val, IFERROR(INDEX('Weekly 쨈 raw'!$A:$AAQ, MATCH(N$3, 'Weekly 쨈 raw'!$A:$A, 0), MATCH($A18, 'Weekly 쨈 raw'!$1:$1, 0)), ""), IF(val=0, "", val))</f>
        <v>3.244857982</v>
      </c>
      <c r="O18" s="75">
        <f t="array" ref="O18">LET(val, IFERROR(INDEX('Weekly 쨈 raw'!$A:$AAQ, MATCH(O$3, 'Weekly 쨈 raw'!$A:$A, 0), MATCH($A18, 'Weekly 쨈 raw'!$1:$1, 0)), ""), IF(val=0, "", val))</f>
        <v>3.364596536</v>
      </c>
      <c r="P18" s="75">
        <f t="array" ref="P18">LET(val, IFERROR(INDEX('Weekly 쨈 raw'!$A:$AAQ, MATCH(P$3, 'Weekly 쨈 raw'!$A:$A, 0), MATCH($A18, 'Weekly 쨈 raw'!$1:$1, 0)), ""), IF(val=0, "", val))</f>
        <v>1.695187166</v>
      </c>
      <c r="Q18" s="75" t="str">
        <f t="array" ref="Q18">LET(val, IFERROR(INDEX('Weekly 쨈 raw'!$A:$AAQ, MATCH(Q$3, 'Weekly 쨈 raw'!$A:$A, 0), MATCH($A18, 'Weekly 쨈 raw'!$1:$1, 0)), ""), IF(val=0, "", val))</f>
        <v/>
      </c>
      <c r="R18" s="75" t="str">
        <f t="array" ref="R18">LET(val, IFERROR(INDEX('Weekly 쨈 raw'!$A:$AAQ, MATCH(R$3, 'Weekly 쨈 raw'!$A:$A, 0), MATCH($A18, 'Weekly 쨈 raw'!$1:$1, 0)), ""), IF(val=0, "", val))</f>
        <v/>
      </c>
      <c r="S18" s="75" t="str">
        <f t="array" ref="S18">LET(val, IFERROR(INDEX('Weekly 쨈 raw'!$A:$AAQ, MATCH(S$3, 'Weekly 쨈 raw'!$A:$A, 0), MATCH($A18, 'Weekly 쨈 raw'!$1:$1, 0)), ""), IF(val=0, "", val))</f>
        <v/>
      </c>
      <c r="T18" s="75" t="str">
        <f t="array" ref="T18">LET(val, IFERROR(INDEX('Weekly 쨈 raw'!$A:$AAQ, MATCH(T$3, 'Weekly 쨈 raw'!$A:$A, 0), MATCH($A18, 'Weekly 쨈 raw'!$1:$1, 0)), ""), IF(val=0, "", val))</f>
        <v/>
      </c>
      <c r="U18" s="75" t="str">
        <f t="array" ref="U18">LET(val, IFERROR(INDEX('Weekly 쨈 raw'!$A:$AAQ, MATCH(U$3, 'Weekly 쨈 raw'!$A:$A, 0), MATCH($A18, 'Weekly 쨈 raw'!$1:$1, 0)), ""), IF(val=0, "", val))</f>
        <v/>
      </c>
    </row>
    <row r="19" ht="18.75" customHeight="1">
      <c r="A19" s="76" t="s">
        <v>83</v>
      </c>
      <c r="B19" s="17" t="s">
        <v>84</v>
      </c>
      <c r="C19" s="74" t="str">
        <f t="array" ref="C19">LET(val, IFERROR(INDEX('Weekly 쨈 raw'!$A:$AAQ, MATCH(C$3, 'Weekly 쨈 raw'!$A:$A, 0), MATCH($A19, 'Weekly 쨈 raw'!$1:$1, 0)), ""), IF(val=0, "", val))</f>
        <v/>
      </c>
      <c r="D19" s="74" t="str">
        <f t="array" ref="D19">LET(val, IFERROR(INDEX('Weekly 쨈 raw'!$A:$AAQ, MATCH(D$3, 'Weekly 쨈 raw'!$A:$A, 0), MATCH($A19, 'Weekly 쨈 raw'!$1:$1, 0)), ""), IF(val=0, "", val))</f>
        <v/>
      </c>
      <c r="E19" s="74" t="str">
        <f t="array" ref="E19">LET(val, IFERROR(INDEX('Weekly 쨈 raw'!$A:$AAQ, MATCH(E$3, 'Weekly 쨈 raw'!$A:$A, 0), MATCH($A19, 'Weekly 쨈 raw'!$1:$1, 0)), ""), IF(val=0, "", val))</f>
        <v/>
      </c>
      <c r="F19" s="74" t="str">
        <f t="array" ref="F19">LET(val, IFERROR(INDEX('Weekly 쨈 raw'!$A:$AAQ, MATCH(F$3, 'Weekly 쨈 raw'!$A:$A, 0), MATCH($A19, 'Weekly 쨈 raw'!$1:$1, 0)), ""), IF(val=0, "", val))</f>
        <v/>
      </c>
      <c r="G19" s="74" t="str">
        <f t="array" ref="G19">LET(val, IFERROR(INDEX('Weekly 쨈 raw'!$A:$AAQ, MATCH(G$3, 'Weekly 쨈 raw'!$A:$A, 0), MATCH($A19, 'Weekly 쨈 raw'!$1:$1, 0)), ""), IF(val=0, "", val))</f>
        <v/>
      </c>
      <c r="H19" s="74" t="str">
        <f t="array" ref="H19">LET(val, IFERROR(INDEX('Weekly 쨈 raw'!$A:$AAQ, MATCH(H$3, 'Weekly 쨈 raw'!$A:$A, 0), MATCH($A19, 'Weekly 쨈 raw'!$1:$1, 0)), ""), IF(val=0, "", val))</f>
        <v/>
      </c>
      <c r="I19" s="74" t="str">
        <f t="array" ref="I19">LET(val, IFERROR(INDEX('Weekly 쨈 raw'!$A:$AAQ, MATCH(I$3, 'Weekly 쨈 raw'!$A:$A, 0), MATCH($A19, 'Weekly 쨈 raw'!$1:$1, 0)), ""), IF(val=0, "", val))</f>
        <v/>
      </c>
      <c r="J19" s="74" t="str">
        <f t="array" ref="J19">LET(val, IFERROR(INDEX('Weekly 쨈 raw'!$A:$AAQ, MATCH(J$3, 'Weekly 쨈 raw'!$A:$A, 0), MATCH($A19, 'Weekly 쨈 raw'!$1:$1, 0)), ""), IF(val=0, "", val))</f>
        <v/>
      </c>
      <c r="K19" s="74" t="str">
        <f t="array" ref="K19">LET(val, IFERROR(INDEX('Weekly 쨈 raw'!$A:$AAQ, MATCH(K$3, 'Weekly 쨈 raw'!$A:$A, 0), MATCH($A19, 'Weekly 쨈 raw'!$1:$1, 0)), ""), IF(val=0, "", val))</f>
        <v/>
      </c>
      <c r="L19" s="74" t="str">
        <f t="array" ref="L19">LET(val, IFERROR(INDEX('Weekly 쨈 raw'!$A:$AAQ, MATCH(L$3, 'Weekly 쨈 raw'!$A:$A, 0), MATCH($A19, 'Weekly 쨈 raw'!$1:$1, 0)), ""), IF(val=0, "", val))</f>
        <v/>
      </c>
      <c r="M19" s="77">
        <f t="array" ref="M19">LET(val, IFERROR(INDEX('Weekly 쨈 raw'!$A:$AAQ, MATCH(M$3, 'Weekly 쨈 raw'!$A:$A, 0), MATCH($A19, 'Weekly 쨈 raw'!$1:$1, 0)), ""), IF(val=0, "", val))</f>
        <v>0.1025641026</v>
      </c>
      <c r="N19" s="77">
        <f t="array" ref="N19">LET(val, IFERROR(INDEX('Weekly 쨈 raw'!$A:$AAQ, MATCH(N$3, 'Weekly 쨈 raw'!$A:$A, 0), MATCH($A19, 'Weekly 쨈 raw'!$1:$1, 0)), ""), IF(val=0, "", val))</f>
        <v>0.5450538688</v>
      </c>
      <c r="O19" s="77">
        <f t="array" ref="O19">LET(val, IFERROR(INDEX('Weekly 쨈 raw'!$A:$AAQ, MATCH(O$3, 'Weekly 쨈 raw'!$A:$A, 0), MATCH($A19, 'Weekly 쨈 raw'!$1:$1, 0)), ""), IF(val=0, "", val))</f>
        <v>0.4169835234</v>
      </c>
      <c r="P19" s="77">
        <f t="array" ref="P19">LET(val, IFERROR(INDEX('Weekly 쨈 raw'!$A:$AAQ, MATCH(P$3, 'Weekly 쨈 raw'!$A:$A, 0), MATCH($A19, 'Weekly 쨈 raw'!$1:$1, 0)), ""), IF(val=0, "", val))</f>
        <v>0.1524064171</v>
      </c>
      <c r="Q19" s="74" t="str">
        <f t="array" ref="Q19">LET(val, IFERROR(INDEX('Weekly 쨈 raw'!$A:$AAQ, MATCH(Q$3, 'Weekly 쨈 raw'!$A:$A, 0), MATCH($A19, 'Weekly 쨈 raw'!$1:$1, 0)), ""), IF(val=0, "", val))</f>
        <v/>
      </c>
      <c r="R19" s="74" t="str">
        <f t="array" ref="R19">LET(val, IFERROR(INDEX('Weekly 쨈 raw'!$A:$AAQ, MATCH(R$3, 'Weekly 쨈 raw'!$A:$A, 0), MATCH($A19, 'Weekly 쨈 raw'!$1:$1, 0)), ""), IF(val=0, "", val))</f>
        <v/>
      </c>
      <c r="S19" s="74" t="str">
        <f t="array" ref="S19">LET(val, IFERROR(INDEX('Weekly 쨈 raw'!$A:$AAQ, MATCH(S$3, 'Weekly 쨈 raw'!$A:$A, 0), MATCH($A19, 'Weekly 쨈 raw'!$1:$1, 0)), ""), IF(val=0, "", val))</f>
        <v/>
      </c>
      <c r="T19" s="74" t="str">
        <f t="array" ref="T19">LET(val, IFERROR(INDEX('Weekly 쨈 raw'!$A:$AAQ, MATCH(T$3, 'Weekly 쨈 raw'!$A:$A, 0), MATCH($A19, 'Weekly 쨈 raw'!$1:$1, 0)), ""), IF(val=0, "", val))</f>
        <v/>
      </c>
      <c r="U19" s="74" t="str">
        <f t="array" ref="U19">LET(val, IFERROR(INDEX('Weekly 쨈 raw'!$A:$AAQ, MATCH(U$3, 'Weekly 쨈 raw'!$A:$A, 0), MATCH($A19, 'Weekly 쨈 raw'!$1:$1, 0)), ""), IF(val=0, "", val))</f>
        <v/>
      </c>
    </row>
    <row r="20" ht="18.75" customHeight="1">
      <c r="A20" s="78" t="s">
        <v>25</v>
      </c>
      <c r="B20" s="71" t="s">
        <v>25</v>
      </c>
      <c r="C20" s="79">
        <f t="array" ref="C20">LET(val, IFERROR(INDEX('Weekly 쨈 raw'!$A:$AAQ, MATCH(C$3, 'Weekly 쨈 raw'!$A:$A, 0), MATCH($A20, 'Weekly 쨈 raw'!$1:$1, 0)), ""), IF(val=0, "", val))</f>
        <v>6674.216867</v>
      </c>
      <c r="D20" s="79">
        <f t="array" ref="D20">LET(val, IFERROR(INDEX('Weekly 쨈 raw'!$A:$AAQ, MATCH(D$3, 'Weekly 쨈 raw'!$A:$A, 0), MATCH($A20, 'Weekly 쨈 raw'!$1:$1, 0)), ""), IF(val=0, "", val))</f>
        <v>6816.393443</v>
      </c>
      <c r="E20" s="79">
        <f t="array" ref="E20">LET(val, IFERROR(INDEX('Weekly 쨈 raw'!$A:$AAQ, MATCH(E$3, 'Weekly 쨈 raw'!$A:$A, 0), MATCH($A20, 'Weekly 쨈 raw'!$1:$1, 0)), ""), IF(val=0, "", val))</f>
        <v>6178.333333</v>
      </c>
      <c r="F20" s="79">
        <f t="array" ref="F20">LET(val, IFERROR(INDEX('Weekly 쨈 raw'!$A:$AAQ, MATCH(F$3, 'Weekly 쨈 raw'!$A:$A, 0), MATCH($A20, 'Weekly 쨈 raw'!$1:$1, 0)), ""), IF(val=0, "", val))</f>
        <v>6671.671388</v>
      </c>
      <c r="G20" s="79">
        <f t="array" ref="G20">LET(val, IFERROR(INDEX('Weekly 쨈 raw'!$A:$AAQ, MATCH(G$3, 'Weekly 쨈 raw'!$A:$A, 0), MATCH($A20, 'Weekly 쨈 raw'!$1:$1, 0)), ""), IF(val=0, "", val))</f>
        <v>7648.474946</v>
      </c>
      <c r="H20" s="79">
        <f t="array" ref="H20">LET(val, IFERROR(INDEX('Weekly 쨈 raw'!$A:$AAQ, MATCH(H$3, 'Weekly 쨈 raw'!$A:$A, 0), MATCH($A20, 'Weekly 쨈 raw'!$1:$1, 0)), ""), IF(val=0, "", val))</f>
        <v>7781.618887</v>
      </c>
      <c r="I20" s="79">
        <f t="array" ref="I20">LET(val, IFERROR(INDEX('Weekly 쨈 raw'!$A:$AAQ, MATCH(I$3, 'Weekly 쨈 raw'!$A:$A, 0), MATCH($A20, 'Weekly 쨈 raw'!$1:$1, 0)), ""), IF(val=0, "", val))</f>
        <v>7954.084507</v>
      </c>
      <c r="J20" s="79">
        <f t="array" ref="J20">LET(val, IFERROR(INDEX('Weekly 쨈 raw'!$A:$AAQ, MATCH(J$3, 'Weekly 쨈 raw'!$A:$A, 0), MATCH($A20, 'Weekly 쨈 raw'!$1:$1, 0)), ""), IF(val=0, "", val))</f>
        <v>7642.924528</v>
      </c>
      <c r="K20" s="79">
        <f t="array" ref="K20">LET(val, IFERROR(INDEX('Weekly 쨈 raw'!$A:$AAQ, MATCH(K$3, 'Weekly 쨈 raw'!$A:$A, 0), MATCH($A20, 'Weekly 쨈 raw'!$1:$1, 0)), ""), IF(val=0, "", val))</f>
        <v>7484.631579</v>
      </c>
      <c r="L20" s="79">
        <f t="array" ref="L20">LET(val, IFERROR(INDEX('Weekly 쨈 raw'!$A:$AAQ, MATCH(L$3, 'Weekly 쨈 raw'!$A:$A, 0), MATCH($A20, 'Weekly 쨈 raw'!$1:$1, 0)), ""), IF(val=0, "", val))</f>
        <v>9501.265823</v>
      </c>
      <c r="M20" s="79">
        <f t="array" ref="M20">LET(val, IFERROR(INDEX('Weekly 쨈 raw'!$A:$AAQ, MATCH(M$3, 'Weekly 쨈 raw'!$A:$A, 0), MATCH($A20, 'Weekly 쨈 raw'!$1:$1, 0)), ""), IF(val=0, "", val))</f>
        <v>12902.06186</v>
      </c>
      <c r="N20" s="79">
        <f t="array" ref="N20">LET(val, IFERROR(INDEX('Weekly 쨈 raw'!$A:$AAQ, MATCH(N$3, 'Weekly 쨈 raw'!$A:$A, 0), MATCH($A20, 'Weekly 쨈 raw'!$1:$1, 0)), ""), IF(val=0, "", val))</f>
        <v>18170.55215</v>
      </c>
      <c r="O20" s="79">
        <f t="array" ref="O20">LET(val, IFERROR(INDEX('Weekly 쨈 raw'!$A:$AAQ, MATCH(O$3, 'Weekly 쨈 raw'!$A:$A, 0), MATCH($A20, 'Weekly 쨈 raw'!$1:$1, 0)), ""), IF(val=0, "", val))</f>
        <v>17841.23711</v>
      </c>
      <c r="P20" s="79">
        <f t="array" ref="P20">LET(val, IFERROR(INDEX('Weekly 쨈 raw'!$A:$AAQ, MATCH(P$3, 'Weekly 쨈 raw'!$A:$A, 0), MATCH($A20, 'Weekly 쨈 raw'!$1:$1, 0)), ""), IF(val=0, "", val))</f>
        <v>12488</v>
      </c>
      <c r="Q20" s="80" t="str">
        <f t="array" ref="Q20">IF(IFERROR(INDEX('Weekly 쨈 raw'!$A:$AAQ, MATCH(Q$3, 'Weekly 쨈 raw'!$A:$A, 0), MATCH($A20, 'Weekly 쨈 raw'!$1:$1, 0)), 0)=0, "", IFERROR(INDEX('Weekly 쨈 raw'!$A:$AAQ, MATCH(Q$3, 'Weekly 쨈 raw'!$A:$A, 0), MATCH($A20, 'Weekly 쨈 raw'!$1:$1, 0)), 0))</f>
        <v/>
      </c>
      <c r="R20" s="80" t="str">
        <f t="array" ref="R20">IF(IFERROR(INDEX('Weekly 쨈 raw'!$A:$AAQ, MATCH(R$3, 'Weekly 쨈 raw'!$A:$A, 0), MATCH($A20, 'Weekly 쨈 raw'!$1:$1, 0)), 0)=0, "", IFERROR(INDEX('Weekly 쨈 raw'!$A:$AAQ, MATCH(R$3, 'Weekly 쨈 raw'!$A:$A, 0), MATCH($A20, 'Weekly 쨈 raw'!$1:$1, 0)), 0))</f>
        <v/>
      </c>
      <c r="S20" s="80" t="str">
        <f t="array" ref="S20">IF(IFERROR(INDEX('Weekly 쨈 raw'!$A:$AAQ, MATCH(S$3, 'Weekly 쨈 raw'!$A:$A, 0), MATCH($A20, 'Weekly 쨈 raw'!$1:$1, 0)), 0)=0, "", IFERROR(INDEX('Weekly 쨈 raw'!$A:$AAQ, MATCH(S$3, 'Weekly 쨈 raw'!$A:$A, 0), MATCH($A20, 'Weekly 쨈 raw'!$1:$1, 0)), 0))</f>
        <v/>
      </c>
      <c r="T20" s="80" t="str">
        <f t="array" ref="T20">IF(IFERROR(INDEX('Weekly 쨈 raw'!$A:$AAQ, MATCH(T$3, 'Weekly 쨈 raw'!$A:$A, 0), MATCH($A20, 'Weekly 쨈 raw'!$1:$1, 0)), 0)=0, "", IFERROR(INDEX('Weekly 쨈 raw'!$A:$AAQ, MATCH(T$3, 'Weekly 쨈 raw'!$A:$A, 0), MATCH($A20, 'Weekly 쨈 raw'!$1:$1, 0)), 0))</f>
        <v/>
      </c>
      <c r="U20" s="80" t="str">
        <f t="array" ref="U20">IF(IFERROR(INDEX('Weekly 쨈 raw'!$A:$AAQ, MATCH(U$3, 'Weekly 쨈 raw'!$A:$A, 0), MATCH($A20, 'Weekly 쨈 raw'!$1:$1, 0)), 0)=0, "", IFERROR(INDEX('Weekly 쨈 raw'!$A:$AAQ, MATCH(U$3, 'Weekly 쨈 raw'!$A:$A, 0), MATCH($A20, 'Weekly 쨈 raw'!$1:$1, 0)), 0))</f>
        <v/>
      </c>
    </row>
    <row r="21" ht="18.75" customHeight="1">
      <c r="A21" s="78" t="s">
        <v>26</v>
      </c>
      <c r="B21" s="81" t="s">
        <v>26</v>
      </c>
      <c r="C21" s="79">
        <f t="array" ref="C21">LET(val, IFERROR(INDEX('Weekly 쨈 raw'!$A:$AAQ, MATCH(C$3, 'Weekly 쨈 raw'!$A:$A, 0), MATCH($A21, 'Weekly 쨈 raw'!$1:$1, 0)), ""), IF(val=0, "", val))</f>
        <v>2769800</v>
      </c>
      <c r="D21" s="79">
        <f t="array" ref="D21">LET(val, IFERROR(INDEX('Weekly 쨈 raw'!$A:$AAQ, MATCH(D$3, 'Weekly 쨈 raw'!$A:$A, 0), MATCH($A21, 'Weekly 쨈 raw'!$1:$1, 0)), ""), IF(val=0, "", val))</f>
        <v>3742200</v>
      </c>
      <c r="E21" s="79">
        <f t="array" ref="E21">LET(val, IFERROR(INDEX('Weekly 쨈 raw'!$A:$AAQ, MATCH(E$3, 'Weekly 쨈 raw'!$A:$A, 0), MATCH($A21, 'Weekly 쨈 raw'!$1:$1, 0)), ""), IF(val=0, "", val))</f>
        <v>2594900</v>
      </c>
      <c r="F21" s="79">
        <f t="array" ref="F21">LET(val, IFERROR(INDEX('Weekly 쨈 raw'!$A:$AAQ, MATCH(F$3, 'Weekly 쨈 raw'!$A:$A, 0), MATCH($A21, 'Weekly 쨈 raw'!$1:$1, 0)), ""), IF(val=0, "", val))</f>
        <v>2355100</v>
      </c>
      <c r="G21" s="79">
        <f t="array" ref="G21">LET(val, IFERROR(INDEX('Weekly 쨈 raw'!$A:$AAQ, MATCH(G$3, 'Weekly 쨈 raw'!$A:$A, 0), MATCH($A21, 'Weekly 쨈 raw'!$1:$1, 0)), ""), IF(val=0, "", val))</f>
        <v>7021300</v>
      </c>
      <c r="H21" s="79">
        <f t="array" ref="H21">LET(val, IFERROR(INDEX('Weekly 쨈 raw'!$A:$AAQ, MATCH(H$3, 'Weekly 쨈 raw'!$A:$A, 0), MATCH($A21, 'Weekly 쨈 raw'!$1:$1, 0)), ""), IF(val=0, "", val))</f>
        <v>4614500</v>
      </c>
      <c r="I21" s="79">
        <f t="array" ref="I21">LET(val, IFERROR(INDEX('Weekly 쨈 raw'!$A:$AAQ, MATCH(I$3, 'Weekly 쨈 raw'!$A:$A, 0), MATCH($A21, 'Weekly 쨈 raw'!$1:$1, 0)), ""), IF(val=0, "", val))</f>
        <v>2823700</v>
      </c>
      <c r="J21" s="79">
        <f t="array" ref="J21">LET(val, IFERROR(INDEX('Weekly 쨈 raw'!$A:$AAQ, MATCH(J$3, 'Weekly 쨈 raw'!$A:$A, 0), MATCH($A21, 'Weekly 쨈 raw'!$1:$1, 0)), ""), IF(val=0, "", val))</f>
        <v>3240600</v>
      </c>
      <c r="K21" s="79">
        <f t="array" ref="K21">LET(val, IFERROR(INDEX('Weekly 쨈 raw'!$A:$AAQ, MATCH(K$3, 'Weekly 쨈 raw'!$A:$A, 0), MATCH($A21, 'Weekly 쨈 raw'!$1:$1, 0)), ""), IF(val=0, "", val))</f>
        <v>3555200</v>
      </c>
      <c r="L21" s="79">
        <f t="array" ref="L21">LET(val, IFERROR(INDEX('Weekly 쨈 raw'!$A:$AAQ, MATCH(L$3, 'Weekly 쨈 raw'!$A:$A, 0), MATCH($A21, 'Weekly 쨈 raw'!$1:$1, 0)), ""), IF(val=0, "", val))</f>
        <v>3002400</v>
      </c>
      <c r="M21" s="79">
        <f t="array" ref="M21">LET(val, IFERROR(INDEX('Weekly 쨈 raw'!$A:$AAQ, MATCH(M$3, 'Weekly 쨈 raw'!$A:$A, 0), MATCH($A21, 'Weekly 쨈 raw'!$1:$1, 0)), ""), IF(val=0, "", val))</f>
        <v>3754500</v>
      </c>
      <c r="N21" s="79">
        <f t="array" ref="N21">LET(val, IFERROR(INDEX('Weekly 쨈 raw'!$A:$AAQ, MATCH(N$3, 'Weekly 쨈 raw'!$A:$A, 0), MATCH($A21, 'Weekly 쨈 raw'!$1:$1, 0)), ""), IF(val=0, "", val))</f>
        <v>5923600</v>
      </c>
      <c r="O21" s="79">
        <f t="array" ref="O21">LET(val, IFERROR(INDEX('Weekly 쨈 raw'!$A:$AAQ, MATCH(O$3, 'Weekly 쨈 raw'!$A:$A, 0), MATCH($A21, 'Weekly 쨈 raw'!$1:$1, 0)), ""), IF(val=0, "", val))</f>
        <v>8653000</v>
      </c>
      <c r="P21" s="79">
        <f t="array" ref="P21">LET(val, IFERROR(INDEX('Weekly 쨈 raw'!$A:$AAQ, MATCH(P$3, 'Weekly 쨈 raw'!$A:$A, 0), MATCH($A21, 'Weekly 쨈 raw'!$1:$1, 0)), ""), IF(val=0, "", val))</f>
        <v>312200</v>
      </c>
      <c r="Q21" s="80" t="str">
        <f t="array" ref="Q21">IF(IFERROR(INDEX('Weekly 쨈 raw'!$A:$AAQ, MATCH(Q$3, 'Weekly 쨈 raw'!$A:$A, 0), MATCH($A21, 'Weekly 쨈 raw'!$1:$1, 0)), 0)=0, "", IFERROR(INDEX('Weekly 쨈 raw'!$A:$AAQ, MATCH(Q$3, 'Weekly 쨈 raw'!$A:$A, 0), MATCH($A21, 'Weekly 쨈 raw'!$1:$1, 0)), 0))</f>
        <v/>
      </c>
      <c r="R21" s="80" t="str">
        <f t="array" ref="R21">IF(IFERROR(INDEX('Weekly 쨈 raw'!$A:$AAQ, MATCH(R$3, 'Weekly 쨈 raw'!$A:$A, 0), MATCH($A21, 'Weekly 쨈 raw'!$1:$1, 0)), 0)=0, "", IFERROR(INDEX('Weekly 쨈 raw'!$A:$AAQ, MATCH(R$3, 'Weekly 쨈 raw'!$A:$A, 0), MATCH($A21, 'Weekly 쨈 raw'!$1:$1, 0)), 0))</f>
        <v/>
      </c>
      <c r="S21" s="80" t="str">
        <f t="array" ref="S21">IF(IFERROR(INDEX('Weekly 쨈 raw'!$A:$AAQ, MATCH(S$3, 'Weekly 쨈 raw'!$A:$A, 0), MATCH($A21, 'Weekly 쨈 raw'!$1:$1, 0)), 0)=0, "", IFERROR(INDEX('Weekly 쨈 raw'!$A:$AAQ, MATCH(S$3, 'Weekly 쨈 raw'!$A:$A, 0), MATCH($A21, 'Weekly 쨈 raw'!$1:$1, 0)), 0))</f>
        <v/>
      </c>
      <c r="T21" s="80" t="str">
        <f t="array" ref="T21">IF(IFERROR(INDEX('Weekly 쨈 raw'!$A:$AAQ, MATCH(T$3, 'Weekly 쨈 raw'!$A:$A, 0), MATCH($A21, 'Weekly 쨈 raw'!$1:$1, 0)), 0)=0, "", IFERROR(INDEX('Weekly 쨈 raw'!$A:$AAQ, MATCH(T$3, 'Weekly 쨈 raw'!$A:$A, 0), MATCH($A21, 'Weekly 쨈 raw'!$1:$1, 0)), 0))</f>
        <v/>
      </c>
      <c r="U21" s="80" t="str">
        <f t="array" ref="U21">IF(IFERROR(INDEX('Weekly 쨈 raw'!$A:$AAQ, MATCH(U$3, 'Weekly 쨈 raw'!$A:$A, 0), MATCH($A21, 'Weekly 쨈 raw'!$1:$1, 0)), 0)=0, "", IFERROR(INDEX('Weekly 쨈 raw'!$A:$AAQ, MATCH(U$3, 'Weekly 쨈 raw'!$A:$A, 0), MATCH($A21, 'Weekly 쨈 raw'!$1:$1, 0)), 0))</f>
        <v/>
      </c>
    </row>
    <row r="22" ht="18.75" customHeight="1">
      <c r="A22" s="23" t="s">
        <v>28</v>
      </c>
      <c r="B22" s="68" t="s">
        <v>66</v>
      </c>
      <c r="C22" s="69">
        <f t="array" ref="C22">LET(val, IFERROR(INDEX('Weekly 쨈 raw'!$A:$AAQ, MATCH(C$3, 'Weekly 쨈 raw'!$A:$A, 0), MATCH($A22, 'Weekly 쨈 raw'!$1:$1, 0)), ""), IF(val=0, "", val))</f>
        <v>415</v>
      </c>
      <c r="D22" s="69">
        <f t="array" ref="D22">LET(val, IFERROR(INDEX('Weekly 쨈 raw'!$A:$AAQ, MATCH(D$3, 'Weekly 쨈 raw'!$A:$A, 0), MATCH($A22, 'Weekly 쨈 raw'!$1:$1, 0)), ""), IF(val=0, "", val))</f>
        <v>549</v>
      </c>
      <c r="E22" s="69">
        <f t="array" ref="E22">LET(val, IFERROR(INDEX('Weekly 쨈 raw'!$A:$AAQ, MATCH(E$3, 'Weekly 쨈 raw'!$A:$A, 0), MATCH($A22, 'Weekly 쨈 raw'!$1:$1, 0)), ""), IF(val=0, "", val))</f>
        <v>420</v>
      </c>
      <c r="F22" s="69">
        <f t="array" ref="F22">LET(val, IFERROR(INDEX('Weekly 쨈 raw'!$A:$AAQ, MATCH(F$3, 'Weekly 쨈 raw'!$A:$A, 0), MATCH($A22, 'Weekly 쨈 raw'!$1:$1, 0)), ""), IF(val=0, "", val))</f>
        <v>353</v>
      </c>
      <c r="G22" s="69">
        <f t="array" ref="G22">LET(val, IFERROR(INDEX('Weekly 쨈 raw'!$A:$AAQ, MATCH(G$3, 'Weekly 쨈 raw'!$A:$A, 0), MATCH($A22, 'Weekly 쨈 raw'!$1:$1, 0)), ""), IF(val=0, "", val))</f>
        <v>918</v>
      </c>
      <c r="H22" s="69">
        <f t="array" ref="H22">LET(val, IFERROR(INDEX('Weekly 쨈 raw'!$A:$AAQ, MATCH(H$3, 'Weekly 쨈 raw'!$A:$A, 0), MATCH($A22, 'Weekly 쨈 raw'!$1:$1, 0)), ""), IF(val=0, "", val))</f>
        <v>593</v>
      </c>
      <c r="I22" s="69">
        <f t="array" ref="I22">LET(val, IFERROR(INDEX('Weekly 쨈 raw'!$A:$AAQ, MATCH(I$3, 'Weekly 쨈 raw'!$A:$A, 0), MATCH($A22, 'Weekly 쨈 raw'!$1:$1, 0)), ""), IF(val=0, "", val))</f>
        <v>355</v>
      </c>
      <c r="J22" s="69">
        <f t="array" ref="J22">LET(val, IFERROR(INDEX('Weekly 쨈 raw'!$A:$AAQ, MATCH(J$3, 'Weekly 쨈 raw'!$A:$A, 0), MATCH($A22, 'Weekly 쨈 raw'!$1:$1, 0)), ""), IF(val=0, "", val))</f>
        <v>424</v>
      </c>
      <c r="K22" s="69">
        <f t="array" ref="K22">LET(val, IFERROR(INDEX('Weekly 쨈 raw'!$A:$AAQ, MATCH(K$3, 'Weekly 쨈 raw'!$A:$A, 0), MATCH($A22, 'Weekly 쨈 raw'!$1:$1, 0)), ""), IF(val=0, "", val))</f>
        <v>475</v>
      </c>
      <c r="L22" s="69">
        <f t="array" ref="L22">LET(val, IFERROR(INDEX('Weekly 쨈 raw'!$A:$AAQ, MATCH(L$3, 'Weekly 쨈 raw'!$A:$A, 0), MATCH($A22, 'Weekly 쨈 raw'!$1:$1, 0)), ""), IF(val=0, "", val))</f>
        <v>316</v>
      </c>
      <c r="M22" s="69">
        <f t="array" ref="M22">LET(val, IFERROR(INDEX('Weekly 쨈 raw'!$A:$AAQ, MATCH(M$3, 'Weekly 쨈 raw'!$A:$A, 0), MATCH($A22, 'Weekly 쨈 raw'!$1:$1, 0)), ""), IF(val=0, "", val))</f>
        <v>291</v>
      </c>
      <c r="N22" s="69">
        <f t="array" ref="N22">LET(val, IFERROR(INDEX('Weekly 쨈 raw'!$A:$AAQ, MATCH(N$3, 'Weekly 쨈 raw'!$A:$A, 0), MATCH($A22, 'Weekly 쨈 raw'!$1:$1, 0)), ""), IF(val=0, "", val))</f>
        <v>326</v>
      </c>
      <c r="O22" s="69">
        <f t="array" ref="O22">LET(val, IFERROR(INDEX('Weekly 쨈 raw'!$A:$AAQ, MATCH(O$3, 'Weekly 쨈 raw'!$A:$A, 0), MATCH($A22, 'Weekly 쨈 raw'!$1:$1, 0)), ""), IF(val=0, "", val))</f>
        <v>485</v>
      </c>
      <c r="P22" s="69">
        <f t="array" ref="P22">LET(val, IFERROR(INDEX('Weekly 쨈 raw'!$A:$AAQ, MATCH(P$3, 'Weekly 쨈 raw'!$A:$A, 0), MATCH($A22, 'Weekly 쨈 raw'!$1:$1, 0)), ""), IF(val=0, "", val))</f>
        <v>25</v>
      </c>
      <c r="Q22" s="69" t="str">
        <f t="array" ref="Q22">IF(IFERROR(INDEX('Weekly 쨈 raw'!$A:$AAQ, MATCH(Q$3, 'Weekly 쨈 raw'!$A:$A, 0), MATCH($A22, 'Weekly 쨈 raw'!$1:$1, 0)), 0)=0, "", IFERROR(INDEX('Weekly 쨈 raw'!$A:$AAQ, MATCH(Q$3, 'Weekly 쨈 raw'!$A:$A, 0), MATCH($A22, 'Weekly 쨈 raw'!$1:$1, 0)), 0))</f>
        <v/>
      </c>
      <c r="R22" s="69" t="str">
        <f t="array" ref="R22">IF(IFERROR(INDEX('Weekly 쨈 raw'!$A:$AAQ, MATCH(R$3, 'Weekly 쨈 raw'!$A:$A, 0), MATCH($A22, 'Weekly 쨈 raw'!$1:$1, 0)), 0)=0, "", IFERROR(INDEX('Weekly 쨈 raw'!$A:$AAQ, MATCH(R$3, 'Weekly 쨈 raw'!$A:$A, 0), MATCH($A22, 'Weekly 쨈 raw'!$1:$1, 0)), 0))</f>
        <v/>
      </c>
      <c r="S22" s="69" t="str">
        <f t="array" ref="S22">IF(IFERROR(INDEX('Weekly 쨈 raw'!$A:$AAQ, MATCH(S$3, 'Weekly 쨈 raw'!$A:$A, 0), MATCH($A22, 'Weekly 쨈 raw'!$1:$1, 0)), 0)=0, "", IFERROR(INDEX('Weekly 쨈 raw'!$A:$AAQ, MATCH(S$3, 'Weekly 쨈 raw'!$A:$A, 0), MATCH($A22, 'Weekly 쨈 raw'!$1:$1, 0)), 0))</f>
        <v/>
      </c>
      <c r="T22" s="69" t="str">
        <f t="array" ref="T22">IF(IFERROR(INDEX('Weekly 쨈 raw'!$A:$AAQ, MATCH(T$3, 'Weekly 쨈 raw'!$A:$A, 0), MATCH($A22, 'Weekly 쨈 raw'!$1:$1, 0)), 0)=0, "", IFERROR(INDEX('Weekly 쨈 raw'!$A:$AAQ, MATCH(T$3, 'Weekly 쨈 raw'!$A:$A, 0), MATCH($A22, 'Weekly 쨈 raw'!$1:$1, 0)), 0))</f>
        <v/>
      </c>
      <c r="U22" s="69" t="str">
        <f t="array" ref="U22">IF(IFERROR(INDEX('Weekly 쨈 raw'!$A:$AAQ, MATCH(U$3, 'Weekly 쨈 raw'!$A:$A, 0), MATCH($A22, 'Weekly 쨈 raw'!$1:$1, 0)), 0)=0, "", IFERROR(INDEX('Weekly 쨈 raw'!$A:$AAQ, MATCH(U$3, 'Weekly 쨈 raw'!$A:$A, 0), MATCH($A22, 'Weekly 쨈 raw'!$1:$1, 0)), 0))</f>
        <v/>
      </c>
    </row>
    <row r="23" ht="18.75" customHeight="1">
      <c r="A23" s="23" t="s">
        <v>29</v>
      </c>
      <c r="B23" s="68" t="s">
        <v>85</v>
      </c>
      <c r="C23" s="69">
        <f t="array" ref="C23">LET(val, IFERROR(INDEX('Weekly 쨈 raw'!$A:$AAQ, MATCH(C$3, 'Weekly 쨈 raw'!$A:$A, 0), MATCH($A23, 'Weekly 쨈 raw'!$1:$1, 0)), ""), IF(val=0, "", val))</f>
        <v>475</v>
      </c>
      <c r="D23" s="69">
        <f t="array" ref="D23">LET(val, IFERROR(INDEX('Weekly 쨈 raw'!$A:$AAQ, MATCH(D$3, 'Weekly 쨈 raw'!$A:$A, 0), MATCH($A23, 'Weekly 쨈 raw'!$1:$1, 0)), ""), IF(val=0, "", val))</f>
        <v>618</v>
      </c>
      <c r="E23" s="69">
        <f t="array" ref="E23">LET(val, IFERROR(INDEX('Weekly 쨈 raw'!$A:$AAQ, MATCH(E$3, 'Weekly 쨈 raw'!$A:$A, 0), MATCH($A23, 'Weekly 쨈 raw'!$1:$1, 0)), ""), IF(val=0, "", val))</f>
        <v>474</v>
      </c>
      <c r="F23" s="69">
        <f t="array" ref="F23">LET(val, IFERROR(INDEX('Weekly 쨈 raw'!$A:$AAQ, MATCH(F$3, 'Weekly 쨈 raw'!$A:$A, 0), MATCH($A23, 'Weekly 쨈 raw'!$1:$1, 0)), ""), IF(val=0, "", val))</f>
        <v>402</v>
      </c>
      <c r="G23" s="69">
        <f t="array" ref="G23">LET(val, IFERROR(INDEX('Weekly 쨈 raw'!$A:$AAQ, MATCH(G$3, 'Weekly 쨈 raw'!$A:$A, 0), MATCH($A23, 'Weekly 쨈 raw'!$1:$1, 0)), ""), IF(val=0, "", val))</f>
        <v>1071</v>
      </c>
      <c r="H23" s="69">
        <f t="array" ref="H23">LET(val, IFERROR(INDEX('Weekly 쨈 raw'!$A:$AAQ, MATCH(H$3, 'Weekly 쨈 raw'!$A:$A, 0), MATCH($A23, 'Weekly 쨈 raw'!$1:$1, 0)), ""), IF(val=0, "", val))</f>
        <v>696</v>
      </c>
      <c r="I23" s="69">
        <f t="array" ref="I23">LET(val, IFERROR(INDEX('Weekly 쨈 raw'!$A:$AAQ, MATCH(I$3, 'Weekly 쨈 raw'!$A:$A, 0), MATCH($A23, 'Weekly 쨈 raw'!$1:$1, 0)), ""), IF(val=0, "", val))</f>
        <v>431</v>
      </c>
      <c r="J23" s="69">
        <f t="array" ref="J23">LET(val, IFERROR(INDEX('Weekly 쨈 raw'!$A:$AAQ, MATCH(J$3, 'Weekly 쨈 raw'!$A:$A, 0), MATCH($A23, 'Weekly 쨈 raw'!$1:$1, 0)), ""), IF(val=0, "", val))</f>
        <v>493</v>
      </c>
      <c r="K23" s="69">
        <f t="array" ref="K23">LET(val, IFERROR(INDEX('Weekly 쨈 raw'!$A:$AAQ, MATCH(K$3, 'Weekly 쨈 raw'!$A:$A, 0), MATCH($A23, 'Weekly 쨈 raw'!$1:$1, 0)), ""), IF(val=0, "", val))</f>
        <v>548</v>
      </c>
      <c r="L23" s="69">
        <f t="array" ref="L23">LET(val, IFERROR(INDEX('Weekly 쨈 raw'!$A:$AAQ, MATCH(L$3, 'Weekly 쨈 raw'!$A:$A, 0), MATCH($A23, 'Weekly 쨈 raw'!$1:$1, 0)), ""), IF(val=0, "", val))</f>
        <v>392</v>
      </c>
      <c r="M23" s="69">
        <f t="array" ref="M23">LET(val, IFERROR(INDEX('Weekly 쨈 raw'!$A:$AAQ, MATCH(M$3, 'Weekly 쨈 raw'!$A:$A, 0), MATCH($A23, 'Weekly 쨈 raw'!$1:$1, 0)), ""), IF(val=0, "", val))</f>
        <v>360</v>
      </c>
      <c r="N23" s="69">
        <f t="array" ref="N23">LET(val, IFERROR(INDEX('Weekly 쨈 raw'!$A:$AAQ, MATCH(N$3, 'Weekly 쨈 raw'!$A:$A, 0), MATCH($A23, 'Weekly 쨈 raw'!$1:$1, 0)), ""), IF(val=0, "", val))</f>
        <v>401</v>
      </c>
      <c r="O23" s="69">
        <f t="array" ref="O23">LET(val, IFERROR(INDEX('Weekly 쨈 raw'!$A:$AAQ, MATCH(O$3, 'Weekly 쨈 raw'!$A:$A, 0), MATCH($A23, 'Weekly 쨈 raw'!$1:$1, 0)), ""), IF(val=0, "", val))</f>
        <v>621</v>
      </c>
      <c r="P23" s="69">
        <f t="array" ref="P23">LET(val, IFERROR(INDEX('Weekly 쨈 raw'!$A:$AAQ, MATCH(P$3, 'Weekly 쨈 raw'!$A:$A, 0), MATCH($A23, 'Weekly 쨈 raw'!$1:$1, 0)), ""), IF(val=0, "", val))</f>
        <v>26</v>
      </c>
      <c r="Q23" s="69" t="str">
        <f t="array" ref="Q23">IF(IFERROR(INDEX('Weekly 쨈 raw'!$A:$AAQ, MATCH(Q$3, 'Weekly 쨈 raw'!$A:$A, 0), MATCH($A23, 'Weekly 쨈 raw'!$1:$1, 0)), 0)=0, "", IFERROR(INDEX('Weekly 쨈 raw'!$A:$AAQ, MATCH(Q$3, 'Weekly 쨈 raw'!$A:$A, 0), MATCH($A23, 'Weekly 쨈 raw'!$1:$1, 0)), 0))</f>
        <v/>
      </c>
      <c r="R23" s="69" t="str">
        <f t="array" ref="R23">IF(IFERROR(INDEX('Weekly 쨈 raw'!$A:$AAQ, MATCH(R$3, 'Weekly 쨈 raw'!$A:$A, 0), MATCH($A23, 'Weekly 쨈 raw'!$1:$1, 0)), 0)=0, "", IFERROR(INDEX('Weekly 쨈 raw'!$A:$AAQ, MATCH(R$3, 'Weekly 쨈 raw'!$A:$A, 0), MATCH($A23, 'Weekly 쨈 raw'!$1:$1, 0)), 0))</f>
        <v/>
      </c>
      <c r="S23" s="69" t="str">
        <f t="array" ref="S23">IF(IFERROR(INDEX('Weekly 쨈 raw'!$A:$AAQ, MATCH(S$3, 'Weekly 쨈 raw'!$A:$A, 0), MATCH($A23, 'Weekly 쨈 raw'!$1:$1, 0)), 0)=0, "", IFERROR(INDEX('Weekly 쨈 raw'!$A:$AAQ, MATCH(S$3, 'Weekly 쨈 raw'!$A:$A, 0), MATCH($A23, 'Weekly 쨈 raw'!$1:$1, 0)), 0))</f>
        <v/>
      </c>
      <c r="T23" s="69" t="str">
        <f t="array" ref="T23">IF(IFERROR(INDEX('Weekly 쨈 raw'!$A:$AAQ, MATCH(T$3, 'Weekly 쨈 raw'!$A:$A, 0), MATCH($A23, 'Weekly 쨈 raw'!$1:$1, 0)), 0)=0, "", IFERROR(INDEX('Weekly 쨈 raw'!$A:$AAQ, MATCH(T$3, 'Weekly 쨈 raw'!$A:$A, 0), MATCH($A23, 'Weekly 쨈 raw'!$1:$1, 0)), 0))</f>
        <v/>
      </c>
      <c r="U23" s="69" t="str">
        <f t="array" ref="U23">IF(IFERROR(INDEX('Weekly 쨈 raw'!$A:$AAQ, MATCH(U$3, 'Weekly 쨈 raw'!$A:$A, 0), MATCH($A23, 'Weekly 쨈 raw'!$1:$1, 0)), 0)=0, "", IFERROR(INDEX('Weekly 쨈 raw'!$A:$AAQ, MATCH(U$3, 'Weekly 쨈 raw'!$A:$A, 0), MATCH($A23, 'Weekly 쨈 raw'!$1:$1, 0)), 0))</f>
        <v/>
      </c>
    </row>
    <row r="24" ht="18.75" customHeight="1">
      <c r="A24" s="82" t="s">
        <v>31</v>
      </c>
      <c r="B24" s="71" t="s">
        <v>32</v>
      </c>
      <c r="C24" s="67">
        <f t="array" ref="C24">LET(val, IFERROR(INDEX('Weekly 쨈 raw'!$A:$AAQ, MATCH(C$3, 'Weekly 쨈 raw'!$A:$A, 0), MATCH($A24, 'Weekly 쨈 raw'!$1:$1, 0)), ""), IF(val=0, "", val))</f>
        <v>-0.4162513178</v>
      </c>
      <c r="D24" s="67">
        <f t="array" ref="D24">LET(val, IFERROR(INDEX('Weekly 쨈 raw'!$A:$AAQ, MATCH(D$3, 'Weekly 쨈 raw'!$A:$A, 0), MATCH($A24, 'Weekly 쨈 raw'!$1:$1, 0)), ""), IF(val=0, "", val))</f>
        <v>0.2333114478</v>
      </c>
      <c r="E24" s="67">
        <f t="array" ref="E24">LET(val, IFERROR(INDEX('Weekly 쨈 raw'!$A:$AAQ, MATCH(E$3, 'Weekly 쨈 raw'!$A:$A, 0), MATCH($A24, 'Weekly 쨈 raw'!$1:$1, 0)), ""), IF(val=0, "", val))</f>
        <v>0.0989401133</v>
      </c>
      <c r="F24" s="67">
        <f t="array" ref="F24">LET(val, IFERROR(INDEX('Weekly 쨈 raw'!$A:$AAQ, MATCH(F$3, 'Weekly 쨈 raw'!$A:$A, 0), MATCH($A24, 'Weekly 쨈 raw'!$1:$1, 0)), ""), IF(val=0, "", val))</f>
        <v>0.1674426988</v>
      </c>
      <c r="G24" s="67">
        <f t="array" ref="G24">LET(val, IFERROR(INDEX('Weekly 쨈 raw'!$A:$AAQ, MATCH(G$3, 'Weekly 쨈 raw'!$A:$A, 0), MATCH($A24, 'Weekly 쨈 raw'!$1:$1, 0)), ""), IF(val=0, "", val))</f>
        <v>0.1949529859</v>
      </c>
      <c r="H24" s="67">
        <f t="array" ref="H24">LET(val, IFERROR(INDEX('Weekly 쨈 raw'!$A:$AAQ, MATCH(H$3, 'Weekly 쨈 raw'!$A:$A, 0), MATCH($A24, 'Weekly 쨈 raw'!$1:$1, 0)), ""), IF(val=0, "", val))</f>
        <v>0.05234929028</v>
      </c>
      <c r="I24" s="67">
        <f t="array" ref="I24">LET(val, IFERROR(INDEX('Weekly 쨈 raw'!$A:$AAQ, MATCH(I$3, 'Weekly 쨈 raw'!$A:$A, 0), MATCH($A24, 'Weekly 쨈 raw'!$1:$1, 0)), ""), IF(val=0, "", val))</f>
        <v>-0.07361316712</v>
      </c>
      <c r="J24" s="67">
        <f t="array" ref="J24">LET(val, IFERROR(INDEX('Weekly 쨈 raw'!$A:$AAQ, MATCH(J$3, 'Weekly 쨈 raw'!$A:$A, 0), MATCH($A24, 'Weekly 쨈 raw'!$1:$1, 0)), ""), IF(val=0, "", val))</f>
        <v>0.1781954268</v>
      </c>
      <c r="K24" s="67">
        <f t="array" ref="K24">LET(val, IFERROR(INDEX('Weekly 쨈 raw'!$A:$AAQ, MATCH(K$3, 'Weekly 쨈 raw'!$A:$A, 0), MATCH($A24, 'Weekly 쨈 raw'!$1:$1, 0)), ""), IF(val=0, "", val))</f>
        <v>0.3382957921</v>
      </c>
      <c r="L24" s="67">
        <f t="array" ref="L24">LET(val, IFERROR(INDEX('Weekly 쨈 raw'!$A:$AAQ, MATCH(L$3, 'Weekly 쨈 raw'!$A:$A, 0), MATCH($A24, 'Weekly 쨈 raw'!$1:$1, 0)), ""), IF(val=0, "", val))</f>
        <v>0.2599752531</v>
      </c>
      <c r="M24" s="67">
        <f t="array" ref="M24">LET(val, IFERROR(INDEX('Weekly 쨈 raw'!$A:$AAQ, MATCH(M$3, 'Weekly 쨈 raw'!$A:$A, 0), MATCH($A24, 'Weekly 쨈 raw'!$1:$1, 0)), ""), IF(val=0, "", val))</f>
        <v>0.2609624983</v>
      </c>
      <c r="N24" s="67">
        <f t="array" ref="N24">LET(val, IFERROR(INDEX('Weekly 쨈 raw'!$A:$AAQ, MATCH(N$3, 'Weekly 쨈 raw'!$A:$A, 0), MATCH($A24, 'Weekly 쨈 raw'!$1:$1, 0)), ""), IF(val=0, "", val))</f>
        <v>0.3134196941</v>
      </c>
      <c r="O24" s="67">
        <f t="array" ref="O24">LET(val, IFERROR(INDEX('Weekly 쨈 raw'!$A:$AAQ, MATCH(O$3, 'Weekly 쨈 raw'!$A:$A, 0), MATCH($A24, 'Weekly 쨈 raw'!$1:$1, 0)), ""), IF(val=0, "", val))</f>
        <v>0.3147598983</v>
      </c>
      <c r="P24" s="67">
        <f t="array" ref="P24">LET(val, IFERROR(INDEX('Weekly 쨈 raw'!$A:$AAQ, MATCH(P$3, 'Weekly 쨈 raw'!$A:$A, 0), MATCH($A24, 'Weekly 쨈 raw'!$1:$1, 0)), ""), IF(val=0, "", val))</f>
        <v>-0.003959641256</v>
      </c>
      <c r="Q24" s="72" t="str">
        <f t="array" ref="Q24">IF(IFERROR(INDEX('Weekly 쨈 raw'!$A:$AAQ, MATCH(Q$3, 'Weekly 쨈 raw'!$A:$A, 0), MATCH($A24, 'Weekly 쨈 raw'!$1:$1, 0)), 0)=0, "", IFERROR(INDEX('Weekly 쨈 raw'!$A:$AAQ, MATCH(Q$3, 'Weekly 쨈 raw'!$A:$A, 0), MATCH($A24, 'Weekly 쨈 raw'!$1:$1, 0)), 0))</f>
        <v/>
      </c>
      <c r="R24" s="72" t="str">
        <f t="array" ref="R24">IF(IFERROR(INDEX('Weekly 쨈 raw'!$A:$AAQ, MATCH(R$3, 'Weekly 쨈 raw'!$A:$A, 0), MATCH($A24, 'Weekly 쨈 raw'!$1:$1, 0)), 0)=0, "", IFERROR(INDEX('Weekly 쨈 raw'!$A:$AAQ, MATCH(R$3, 'Weekly 쨈 raw'!$A:$A, 0), MATCH($A24, 'Weekly 쨈 raw'!$1:$1, 0)), 0))</f>
        <v/>
      </c>
      <c r="S24" s="72" t="str">
        <f t="array" ref="S24">IF(IFERROR(INDEX('Weekly 쨈 raw'!$A:$AAQ, MATCH(S$3, 'Weekly 쨈 raw'!$A:$A, 0), MATCH($A24, 'Weekly 쨈 raw'!$1:$1, 0)), 0)=0, "", IFERROR(INDEX('Weekly 쨈 raw'!$A:$AAQ, MATCH(S$3, 'Weekly 쨈 raw'!$A:$A, 0), MATCH($A24, 'Weekly 쨈 raw'!$1:$1, 0)), 0))</f>
        <v/>
      </c>
      <c r="T24" s="72" t="str">
        <f t="array" ref="T24">IF(IFERROR(INDEX('Weekly 쨈 raw'!$A:$AAQ, MATCH(T$3, 'Weekly 쨈 raw'!$A:$A, 0), MATCH($A24, 'Weekly 쨈 raw'!$1:$1, 0)), 0)=0, "", IFERROR(INDEX('Weekly 쨈 raw'!$A:$AAQ, MATCH(T$3, 'Weekly 쨈 raw'!$A:$A, 0), MATCH($A24, 'Weekly 쨈 raw'!$1:$1, 0)), 0))</f>
        <v/>
      </c>
      <c r="U24" s="72" t="str">
        <f t="array" ref="U24">IF(IFERROR(INDEX('Weekly 쨈 raw'!$A:$AAQ, MATCH(U$3, 'Weekly 쨈 raw'!$A:$A, 0), MATCH($A24, 'Weekly 쨈 raw'!$1:$1, 0)), 0)=0, "", IFERROR(INDEX('Weekly 쨈 raw'!$A:$AAQ, MATCH(U$3, 'Weekly 쨈 raw'!$A:$A, 0), MATCH($A24, 'Weekly 쨈 raw'!$1:$1, 0)), 0))</f>
        <v/>
      </c>
    </row>
    <row r="25" ht="18.75" customHeight="1">
      <c r="A25" s="23" t="s">
        <v>33</v>
      </c>
      <c r="B25" s="68" t="s">
        <v>33</v>
      </c>
      <c r="C25" s="83">
        <f t="array" ref="C25">LET(val, IFERROR(INDEX('Weekly 쨈 raw'!$A:$AAQ, MATCH(C$3, 'Weekly 쨈 raw'!$A:$A, 0), MATCH($A25, 'Weekly 쨈 raw'!$1:$1, 0)), ""), IF(val=0, "", val))</f>
        <v>3922732.9</v>
      </c>
      <c r="D25" s="83">
        <f t="array" ref="D25">LET(val, IFERROR(INDEX('Weekly 쨈 raw'!$A:$AAQ, MATCH(D$3, 'Weekly 쨈 raw'!$A:$A, 0), MATCH($A25, 'Weekly 쨈 raw'!$1:$1, 0)), ""), IF(val=0, "", val))</f>
        <v>2869101.9</v>
      </c>
      <c r="E25" s="83">
        <f t="array" ref="E25">LET(val, IFERROR(INDEX('Weekly 쨈 raw'!$A:$AAQ, MATCH(E$3, 'Weekly 쨈 raw'!$A:$A, 0), MATCH($A25, 'Weekly 쨈 raw'!$1:$1, 0)), ""), IF(val=0, "", val))</f>
        <v>2338160.3</v>
      </c>
      <c r="F25" s="83">
        <f t="array" ref="F25">LET(val, IFERROR(INDEX('Weekly 쨈 raw'!$A:$AAQ, MATCH(F$3, 'Weekly 쨈 raw'!$A:$A, 0), MATCH($A25, 'Weekly 쨈 raw'!$1:$1, 0)), ""), IF(val=0, "", val))</f>
        <v>1960755.7</v>
      </c>
      <c r="G25" s="83">
        <f t="array" ref="G25">LET(val, IFERROR(INDEX('Weekly 쨈 raw'!$A:$AAQ, MATCH(G$3, 'Weekly 쨈 raw'!$A:$A, 0), MATCH($A25, 'Weekly 쨈 raw'!$1:$1, 0)), ""), IF(val=0, "", val))</f>
        <v>5652476.6</v>
      </c>
      <c r="H25" s="83">
        <f t="array" ref="H25">LET(val, IFERROR(INDEX('Weekly 쨈 raw'!$A:$AAQ, MATCH(H$3, 'Weekly 쨈 raw'!$A:$A, 0), MATCH($A25, 'Weekly 쨈 raw'!$1:$1, 0)), ""), IF(val=0, "", val))</f>
        <v>4372934.2</v>
      </c>
      <c r="I25" s="83">
        <f t="array" ref="I25">LET(val, IFERROR(INDEX('Weekly 쨈 raw'!$A:$AAQ, MATCH(I$3, 'Weekly 쨈 raw'!$A:$A, 0), MATCH($A25, 'Weekly 쨈 raw'!$1:$1, 0)), ""), IF(val=0, "", val))</f>
        <v>3031561.5</v>
      </c>
      <c r="J25" s="83">
        <f t="array" ref="J25">LET(val, IFERROR(INDEX('Weekly 쨈 raw'!$A:$AAQ, MATCH(J$3, 'Weekly 쨈 raw'!$A:$A, 0), MATCH($A25, 'Weekly 쨈 raw'!$1:$1, 0)), ""), IF(val=0, "", val))</f>
        <v>2663139.9</v>
      </c>
      <c r="K25" s="83">
        <f t="array" ref="K25">LET(val, IFERROR(INDEX('Weekly 쨈 raw'!$A:$AAQ, MATCH(K$3, 'Weekly 쨈 raw'!$A:$A, 0), MATCH($A25, 'Weekly 쨈 raw'!$1:$1, 0)), ""), IF(val=0, "", val))</f>
        <v>2352490.8</v>
      </c>
      <c r="L25" s="83">
        <f t="array" ref="L25">LET(val, IFERROR(INDEX('Weekly 쨈 raw'!$A:$AAQ, MATCH(L$3, 'Weekly 쨈 raw'!$A:$A, 0), MATCH($A25, 'Weekly 쨈 raw'!$1:$1, 0)), ""), IF(val=0, "", val))</f>
        <v>2221850.3</v>
      </c>
      <c r="M25" s="83">
        <f t="array" ref="M25">LET(val, IFERROR(INDEX('Weekly 쨈 raw'!$A:$AAQ, MATCH(M$3, 'Weekly 쨈 raw'!$A:$A, 0), MATCH($A25, 'Weekly 쨈 raw'!$1:$1, 0)), ""), IF(val=0, "", val))</f>
        <v>2774716.3</v>
      </c>
      <c r="N25" s="83">
        <f t="array" ref="N25">LET(val, IFERROR(INDEX('Weekly 쨈 raw'!$A:$AAQ, MATCH(N$3, 'Weekly 쨈 raw'!$A:$A, 0), MATCH($A25, 'Weekly 쨈 raw'!$1:$1, 0)), ""), IF(val=0, "", val))</f>
        <v>4067027.1</v>
      </c>
      <c r="O25" s="83">
        <f t="array" ref="O25">LET(val, IFERROR(INDEX('Weekly 쨈 raw'!$A:$AAQ, MATCH(O$3, 'Weekly 쨈 raw'!$A:$A, 0), MATCH($A25, 'Weekly 쨈 raw'!$1:$1, 0)), ""), IF(val=0, "", val))</f>
        <v>5929382.6</v>
      </c>
      <c r="P25" s="83">
        <f t="array" ref="P25">LET(val, IFERROR(INDEX('Weekly 쨈 raw'!$A:$AAQ, MATCH(P$3, 'Weekly 쨈 raw'!$A:$A, 0), MATCH($A25, 'Weekly 쨈 raw'!$1:$1, 0)), ""), IF(val=0, "", val))</f>
        <v>313436.2</v>
      </c>
      <c r="Q25" s="84" t="str">
        <f t="array" ref="Q25">IF(IFERROR(INDEX('Weekly 쨈 raw'!$A:$AAQ, MATCH(Q$3, 'Weekly 쨈 raw'!$A:$A, 0), MATCH($A25, 'Weekly 쨈 raw'!$1:$1, 0)), 0)=0, "", IFERROR(INDEX('Weekly 쨈 raw'!$A:$AAQ, MATCH(Q$3, 'Weekly 쨈 raw'!$A:$A, 0), MATCH($A25, 'Weekly 쨈 raw'!$1:$1, 0)), 0))</f>
        <v/>
      </c>
      <c r="R25" s="84" t="str">
        <f t="array" ref="R25">IF(IFERROR(INDEX('Weekly 쨈 raw'!$A:$AAQ, MATCH(R$3, 'Weekly 쨈 raw'!$A:$A, 0), MATCH($A25, 'Weekly 쨈 raw'!$1:$1, 0)), 0)=0, "", IFERROR(INDEX('Weekly 쨈 raw'!$A:$AAQ, MATCH(R$3, 'Weekly 쨈 raw'!$A:$A, 0), MATCH($A25, 'Weekly 쨈 raw'!$1:$1, 0)), 0))</f>
        <v/>
      </c>
      <c r="S25" s="84" t="str">
        <f t="array" ref="S25">IF(IFERROR(INDEX('Weekly 쨈 raw'!$A:$AAQ, MATCH(S$3, 'Weekly 쨈 raw'!$A:$A, 0), MATCH($A25, 'Weekly 쨈 raw'!$1:$1, 0)), 0)=0, "", IFERROR(INDEX('Weekly 쨈 raw'!$A:$AAQ, MATCH(S$3, 'Weekly 쨈 raw'!$A:$A, 0), MATCH($A25, 'Weekly 쨈 raw'!$1:$1, 0)), 0))</f>
        <v/>
      </c>
      <c r="T25" s="84" t="str">
        <f t="array" ref="T25">IF(IFERROR(INDEX('Weekly 쨈 raw'!$A:$AAQ, MATCH(T$3, 'Weekly 쨈 raw'!$A:$A, 0), MATCH($A25, 'Weekly 쨈 raw'!$1:$1, 0)), 0)=0, "", IFERROR(INDEX('Weekly 쨈 raw'!$A:$AAQ, MATCH(T$3, 'Weekly 쨈 raw'!$A:$A, 0), MATCH($A25, 'Weekly 쨈 raw'!$1:$1, 0)), 0))</f>
        <v/>
      </c>
      <c r="U25" s="84" t="str">
        <f t="array" ref="U25">IF(IFERROR(INDEX('Weekly 쨈 raw'!$A:$AAQ, MATCH(U$3, 'Weekly 쨈 raw'!$A:$A, 0), MATCH($A25, 'Weekly 쨈 raw'!$1:$1, 0)), 0)=0, "", IFERROR(INDEX('Weekly 쨈 raw'!$A:$AAQ, MATCH(U$3, 'Weekly 쨈 raw'!$A:$A, 0), MATCH($A25, 'Weekly 쨈 raw'!$1:$1, 0)), 0))</f>
        <v/>
      </c>
    </row>
    <row r="26" ht="18.75" customHeight="1">
      <c r="A26" s="23" t="s">
        <v>35</v>
      </c>
      <c r="B26" s="68" t="s">
        <v>26</v>
      </c>
      <c r="C26" s="83">
        <f t="array" ref="C26">LET(val, IFERROR(INDEX('Weekly 쨈 raw'!$A:$AAQ, MATCH(C$3, 'Weekly 쨈 raw'!$A:$A, 0), MATCH($A26, 'Weekly 쨈 raw'!$1:$1, 0)), ""), IF(val=0, "", val))</f>
        <v>2769800</v>
      </c>
      <c r="D26" s="83">
        <f t="array" ref="D26">LET(val, IFERROR(INDEX('Weekly 쨈 raw'!$A:$AAQ, MATCH(D$3, 'Weekly 쨈 raw'!$A:$A, 0), MATCH($A26, 'Weekly 쨈 raw'!$1:$1, 0)), ""), IF(val=0, "", val))</f>
        <v>3742200</v>
      </c>
      <c r="E26" s="83">
        <f t="array" ref="E26">LET(val, IFERROR(INDEX('Weekly 쨈 raw'!$A:$AAQ, MATCH(E$3, 'Weekly 쨈 raw'!$A:$A, 0), MATCH($A26, 'Weekly 쨈 raw'!$1:$1, 0)), ""), IF(val=0, "", val))</f>
        <v>2594900</v>
      </c>
      <c r="F26" s="83">
        <f t="array" ref="F26">LET(val, IFERROR(INDEX('Weekly 쨈 raw'!$A:$AAQ, MATCH(F$3, 'Weekly 쨈 raw'!$A:$A, 0), MATCH($A26, 'Weekly 쨈 raw'!$1:$1, 0)), ""), IF(val=0, "", val))</f>
        <v>2355100</v>
      </c>
      <c r="G26" s="83">
        <f t="array" ref="G26">LET(val, IFERROR(INDEX('Weekly 쨈 raw'!$A:$AAQ, MATCH(G$3, 'Weekly 쨈 raw'!$A:$A, 0), MATCH($A26, 'Weekly 쨈 raw'!$1:$1, 0)), ""), IF(val=0, "", val))</f>
        <v>7021300</v>
      </c>
      <c r="H26" s="83">
        <f t="array" ref="H26">LET(val, IFERROR(INDEX('Weekly 쨈 raw'!$A:$AAQ, MATCH(H$3, 'Weekly 쨈 raw'!$A:$A, 0), MATCH($A26, 'Weekly 쨈 raw'!$1:$1, 0)), ""), IF(val=0, "", val))</f>
        <v>4614500</v>
      </c>
      <c r="I26" s="83">
        <f t="array" ref="I26">LET(val, IFERROR(INDEX('Weekly 쨈 raw'!$A:$AAQ, MATCH(I$3, 'Weekly 쨈 raw'!$A:$A, 0), MATCH($A26, 'Weekly 쨈 raw'!$1:$1, 0)), ""), IF(val=0, "", val))</f>
        <v>2823700</v>
      </c>
      <c r="J26" s="83">
        <f t="array" ref="J26">LET(val, IFERROR(INDEX('Weekly 쨈 raw'!$A:$AAQ, MATCH(J$3, 'Weekly 쨈 raw'!$A:$A, 0), MATCH($A26, 'Weekly 쨈 raw'!$1:$1, 0)), ""), IF(val=0, "", val))</f>
        <v>3240600</v>
      </c>
      <c r="K26" s="83">
        <f t="array" ref="K26">LET(val, IFERROR(INDEX('Weekly 쨈 raw'!$A:$AAQ, MATCH(K$3, 'Weekly 쨈 raw'!$A:$A, 0), MATCH($A26, 'Weekly 쨈 raw'!$1:$1, 0)), ""), IF(val=0, "", val))</f>
        <v>3555200</v>
      </c>
      <c r="L26" s="83">
        <f t="array" ref="L26">LET(val, IFERROR(INDEX('Weekly 쨈 raw'!$A:$AAQ, MATCH(L$3, 'Weekly 쨈 raw'!$A:$A, 0), MATCH($A26, 'Weekly 쨈 raw'!$1:$1, 0)), ""), IF(val=0, "", val))</f>
        <v>3002400</v>
      </c>
      <c r="M26" s="83">
        <f t="array" ref="M26">LET(val, IFERROR(INDEX('Weekly 쨈 raw'!$A:$AAQ, MATCH(M$3, 'Weekly 쨈 raw'!$A:$A, 0), MATCH($A26, 'Weekly 쨈 raw'!$1:$1, 0)), ""), IF(val=0, "", val))</f>
        <v>3754500</v>
      </c>
      <c r="N26" s="83">
        <f t="array" ref="N26">LET(val, IFERROR(INDEX('Weekly 쨈 raw'!$A:$AAQ, MATCH(N$3, 'Weekly 쨈 raw'!$A:$A, 0), MATCH($A26, 'Weekly 쨈 raw'!$1:$1, 0)), ""), IF(val=0, "", val))</f>
        <v>5923600</v>
      </c>
      <c r="O26" s="83">
        <f t="array" ref="O26">LET(val, IFERROR(INDEX('Weekly 쨈 raw'!$A:$AAQ, MATCH(O$3, 'Weekly 쨈 raw'!$A:$A, 0), MATCH($A26, 'Weekly 쨈 raw'!$1:$1, 0)), ""), IF(val=0, "", val))</f>
        <v>8653000</v>
      </c>
      <c r="P26" s="83">
        <f t="array" ref="P26">LET(val, IFERROR(INDEX('Weekly 쨈 raw'!$A:$AAQ, MATCH(P$3, 'Weekly 쨈 raw'!$A:$A, 0), MATCH($A26, 'Weekly 쨈 raw'!$1:$1, 0)), ""), IF(val=0, "", val))</f>
        <v>312200</v>
      </c>
      <c r="Q26" s="84" t="str">
        <f t="array" ref="Q26">IF(IFERROR(INDEX('Weekly 쨈 raw'!$A:$AAQ, MATCH(Q$3, 'Weekly 쨈 raw'!$A:$A, 0), MATCH($A26, 'Weekly 쨈 raw'!$1:$1, 0)), 0)=0, "", IFERROR(INDEX('Weekly 쨈 raw'!$A:$AAQ, MATCH(Q$3, 'Weekly 쨈 raw'!$A:$A, 0), MATCH($A26, 'Weekly 쨈 raw'!$1:$1, 0)), 0))</f>
        <v/>
      </c>
      <c r="R26" s="84" t="str">
        <f t="array" ref="R26">IF(IFERROR(INDEX('Weekly 쨈 raw'!$A:$AAQ, MATCH(R$3, 'Weekly 쨈 raw'!$A:$A, 0), MATCH($A26, 'Weekly 쨈 raw'!$1:$1, 0)), 0)=0, "", IFERROR(INDEX('Weekly 쨈 raw'!$A:$AAQ, MATCH(R$3, 'Weekly 쨈 raw'!$A:$A, 0), MATCH($A26, 'Weekly 쨈 raw'!$1:$1, 0)), 0))</f>
        <v/>
      </c>
      <c r="S26" s="84" t="str">
        <f t="array" ref="S26">IF(IFERROR(INDEX('Weekly 쨈 raw'!$A:$AAQ, MATCH(S$3, 'Weekly 쨈 raw'!$A:$A, 0), MATCH($A26, 'Weekly 쨈 raw'!$1:$1, 0)), 0)=0, "", IFERROR(INDEX('Weekly 쨈 raw'!$A:$AAQ, MATCH(S$3, 'Weekly 쨈 raw'!$A:$A, 0), MATCH($A26, 'Weekly 쨈 raw'!$1:$1, 0)), 0))</f>
        <v/>
      </c>
      <c r="T26" s="84" t="str">
        <f t="array" ref="T26">IF(IFERROR(INDEX('Weekly 쨈 raw'!$A:$AAQ, MATCH(T$3, 'Weekly 쨈 raw'!$A:$A, 0), MATCH($A26, 'Weekly 쨈 raw'!$1:$1, 0)), 0)=0, "", IFERROR(INDEX('Weekly 쨈 raw'!$A:$AAQ, MATCH(T$3, 'Weekly 쨈 raw'!$A:$A, 0), MATCH($A26, 'Weekly 쨈 raw'!$1:$1, 0)), 0))</f>
        <v/>
      </c>
      <c r="U26" s="84" t="str">
        <f t="array" ref="U26">IF(IFERROR(INDEX('Weekly 쨈 raw'!$A:$AAQ, MATCH(U$3, 'Weekly 쨈 raw'!$A:$A, 0), MATCH($A26, 'Weekly 쨈 raw'!$1:$1, 0)), 0)=0, "", IFERROR(INDEX('Weekly 쨈 raw'!$A:$AAQ, MATCH(U$3, 'Weekly 쨈 raw'!$A:$A, 0), MATCH($A26, 'Weekly 쨈 raw'!$1:$1, 0)), 0))</f>
        <v/>
      </c>
    </row>
    <row r="27" ht="18.75" hidden="1" customHeight="1">
      <c r="A27" s="1"/>
      <c r="B27" s="62" t="s">
        <v>115</v>
      </c>
      <c r="C27" s="69" t="str">
        <f t="array" ref="C27">LET(val, IFERROR(INDEX('Weekly 쨈 raw'!$A:$AAQ, MATCH(C$3, 'Weekly 쨈 raw'!$A:$A, 0), MATCH($A27, 'Weekly 쨈 raw'!$1:$1, 0)), ""), IF(val=0, "", val))</f>
        <v/>
      </c>
      <c r="D27" s="69" t="str">
        <f t="array" ref="D27">LET(val, IFERROR(INDEX('Weekly 쨈 raw'!$A:$AAQ, MATCH(D$3, 'Weekly 쨈 raw'!$A:$A, 0), MATCH($A27, 'Weekly 쨈 raw'!$1:$1, 0)), ""), IF(val=0, "", val))</f>
        <v/>
      </c>
      <c r="E27" s="69" t="str">
        <f t="array" ref="E27">LET(val, IFERROR(INDEX('Weekly 쨈 raw'!$A:$AAQ, MATCH(E$3, 'Weekly 쨈 raw'!$A:$A, 0), MATCH($A27, 'Weekly 쨈 raw'!$1:$1, 0)), ""), IF(val=0, "", val))</f>
        <v/>
      </c>
      <c r="F27" s="69" t="str">
        <f t="array" ref="F27">LET(val, IFERROR(INDEX('Weekly 쨈 raw'!$A:$AAQ, MATCH(F$3, 'Weekly 쨈 raw'!$A:$A, 0), MATCH($A27, 'Weekly 쨈 raw'!$1:$1, 0)), ""), IF(val=0, "", val))</f>
        <v/>
      </c>
      <c r="G27" s="69" t="str">
        <f t="array" ref="G27">LET(val, IFERROR(INDEX('Weekly 쨈 raw'!$A:$AAQ, MATCH(G$3, 'Weekly 쨈 raw'!$A:$A, 0), MATCH($A27, 'Weekly 쨈 raw'!$1:$1, 0)), ""), IF(val=0, "", val))</f>
        <v/>
      </c>
      <c r="H27" s="69" t="str">
        <f t="array" ref="H27">LET(val, IFERROR(INDEX('Weekly 쨈 raw'!$A:$AAQ, MATCH(H$3, 'Weekly 쨈 raw'!$A:$A, 0), MATCH($A27, 'Weekly 쨈 raw'!$1:$1, 0)), ""), IF(val=0, "", val))</f>
        <v/>
      </c>
      <c r="I27" s="85" t="str">
        <f t="array" ref="I27">LET(val, IFERROR(INDEX('Weekly 쨈 raw'!$A:$AAQ, MATCH(I$3, 'Weekly 쨈 raw'!$A:$A, 0), MATCH($A27, 'Weekly 쨈 raw'!$1:$1, 0)), ""), IF(val=0, "", val))</f>
        <v/>
      </c>
      <c r="J27" s="69" t="str">
        <f t="array" ref="J27">LET(val, IFERROR(INDEX('Weekly 쨈 raw'!$A:$AAQ, MATCH(J$3, 'Weekly 쨈 raw'!$A:$A, 0), MATCH($A27, 'Weekly 쨈 raw'!$1:$1, 0)), ""), IF(val=0, "", val))</f>
        <v/>
      </c>
      <c r="K27" s="69" t="str">
        <f t="array" ref="K27">LET(val, IFERROR(INDEX('Weekly 쨈 raw'!$A:$AAQ, MATCH(K$3, 'Weekly 쨈 raw'!$A:$A, 0), MATCH($A27, 'Weekly 쨈 raw'!$1:$1, 0)), ""), IF(val=0, "", val))</f>
        <v/>
      </c>
      <c r="L27" s="69" t="str">
        <f t="array" ref="L27">LET(val, IFERROR(INDEX('Weekly 쨈 raw'!$A:$AAQ, MATCH(L$3, 'Weekly 쨈 raw'!$A:$A, 0), MATCH($A27, 'Weekly 쨈 raw'!$1:$1, 0)), ""), IF(val=0, "", val))</f>
        <v/>
      </c>
      <c r="M27" s="69" t="str">
        <f t="array" ref="M27">LET(val, IFERROR(INDEX('Weekly 쨈 raw'!$A:$AAQ, MATCH(M$3, 'Weekly 쨈 raw'!$A:$A, 0), MATCH($A27, 'Weekly 쨈 raw'!$1:$1, 0)), ""), IF(val=0, "", val))</f>
        <v/>
      </c>
      <c r="N27" s="69" t="str">
        <f t="array" ref="N27">LET(val, IFERROR(INDEX('Weekly 쨈 raw'!$A:$AAQ, MATCH(N$3, 'Weekly 쨈 raw'!$A:$A, 0), MATCH($A27, 'Weekly 쨈 raw'!$1:$1, 0)), ""), IF(val=0, "", val))</f>
        <v/>
      </c>
      <c r="O27" s="69" t="str">
        <f t="array" ref="O27">LET(val, IFERROR(INDEX('Weekly 쨈 raw'!$A:$AAQ, MATCH(O$3, 'Weekly 쨈 raw'!$A:$A, 0), MATCH($A27, 'Weekly 쨈 raw'!$1:$1, 0)), ""), IF(val=0, "", val))</f>
        <v/>
      </c>
      <c r="P27" s="69" t="str">
        <f t="array" ref="P27">LET(val, IFERROR(INDEX('Weekly 쨈 raw'!$A:$AAQ, MATCH(P$3, 'Weekly 쨈 raw'!$A:$A, 0), MATCH($A27, 'Weekly 쨈 raw'!$1:$1, 0)), ""), IF(val=0, "", val))</f>
        <v/>
      </c>
      <c r="Q27" s="85" t="str">
        <f t="array" ref="Q27">IF(IFERROR(INDEX('Weekly 쨈 raw'!$A:$AAQ, MATCH(Q$3, 'Weekly 쨈 raw'!$A:$A, 0), MATCH($A27, 'Weekly 쨈 raw'!$1:$1, 0)), 0)=0, "", IFERROR(INDEX('Weekly 쨈 raw'!$A:$AAQ, MATCH(Q$3, 'Weekly 쨈 raw'!$A:$A, 0), MATCH($A27, 'Weekly 쨈 raw'!$1:$1, 0)), 0))</f>
        <v/>
      </c>
      <c r="R27" s="85" t="str">
        <f t="array" ref="R27">IF(IFERROR(INDEX('Weekly 쨈 raw'!$A:$AAQ, MATCH(R$3, 'Weekly 쨈 raw'!$A:$A, 0), MATCH($A27, 'Weekly 쨈 raw'!$1:$1, 0)), 0)=0, "", IFERROR(INDEX('Weekly 쨈 raw'!$A:$AAQ, MATCH(R$3, 'Weekly 쨈 raw'!$A:$A, 0), MATCH($A27, 'Weekly 쨈 raw'!$1:$1, 0)), 0))</f>
        <v/>
      </c>
      <c r="S27" s="85" t="str">
        <f t="array" ref="S27">IF(IFERROR(INDEX('Weekly 쨈 raw'!$A:$AAQ, MATCH(S$3, 'Weekly 쨈 raw'!$A:$A, 0), MATCH($A27, 'Weekly 쨈 raw'!$1:$1, 0)), 0)=0, "", IFERROR(INDEX('Weekly 쨈 raw'!$A:$AAQ, MATCH(S$3, 'Weekly 쨈 raw'!$A:$A, 0), MATCH($A27, 'Weekly 쨈 raw'!$1:$1, 0)), 0))</f>
        <v/>
      </c>
      <c r="T27" s="85" t="str">
        <f t="array" ref="T27">IF(IFERROR(INDEX('Weekly 쨈 raw'!$A:$AAQ, MATCH(T$3, 'Weekly 쨈 raw'!$A:$A, 0), MATCH($A27, 'Weekly 쨈 raw'!$1:$1, 0)), 0)=0, "", IFERROR(INDEX('Weekly 쨈 raw'!$A:$AAQ, MATCH(T$3, 'Weekly 쨈 raw'!$A:$A, 0), MATCH($A27, 'Weekly 쨈 raw'!$1:$1, 0)), 0))</f>
        <v/>
      </c>
      <c r="U27" s="85" t="str">
        <f t="array" ref="U27">IF(IFERROR(INDEX('Weekly 쨈 raw'!$A:$AAQ, MATCH(U$3, 'Weekly 쨈 raw'!$A:$A, 0), MATCH($A27, 'Weekly 쨈 raw'!$1:$1, 0)), 0)=0, "", IFERROR(INDEX('Weekly 쨈 raw'!$A:$AAQ, MATCH(U$3, 'Weekly 쨈 raw'!$A:$A, 0), MATCH($A27, 'Weekly 쨈 raw'!$1:$1, 0)), 0))</f>
        <v/>
      </c>
    </row>
    <row r="28" ht="18.75" hidden="1" customHeight="1">
      <c r="A28" s="1"/>
      <c r="B28" s="68" t="s">
        <v>116</v>
      </c>
      <c r="C28" s="69" t="str">
        <f t="array" ref="C28">LET(val, IFERROR(INDEX('Weekly 쨈 raw'!$A:$AAQ, MATCH(C$3, 'Weekly 쨈 raw'!$A:$A, 0), MATCH($A28, 'Weekly 쨈 raw'!$1:$1, 0)), ""), IF(val=0, "", val))</f>
        <v/>
      </c>
      <c r="D28" s="69" t="str">
        <f t="array" ref="D28">LET(val, IFERROR(INDEX('Weekly 쨈 raw'!$A:$AAQ, MATCH(D$3, 'Weekly 쨈 raw'!$A:$A, 0), MATCH($A28, 'Weekly 쨈 raw'!$1:$1, 0)), ""), IF(val=0, "", val))</f>
        <v/>
      </c>
      <c r="E28" s="69" t="str">
        <f t="array" ref="E28">LET(val, IFERROR(INDEX('Weekly 쨈 raw'!$A:$AAQ, MATCH(E$3, 'Weekly 쨈 raw'!$A:$A, 0), MATCH($A28, 'Weekly 쨈 raw'!$1:$1, 0)), ""), IF(val=0, "", val))</f>
        <v/>
      </c>
      <c r="F28" s="69" t="str">
        <f t="array" ref="F28">LET(val, IFERROR(INDEX('Weekly 쨈 raw'!$A:$AAQ, MATCH(F$3, 'Weekly 쨈 raw'!$A:$A, 0), MATCH($A28, 'Weekly 쨈 raw'!$1:$1, 0)), ""), IF(val=0, "", val))</f>
        <v/>
      </c>
      <c r="G28" s="69" t="str">
        <f t="array" ref="G28">LET(val, IFERROR(INDEX('Weekly 쨈 raw'!$A:$AAQ, MATCH(G$3, 'Weekly 쨈 raw'!$A:$A, 0), MATCH($A28, 'Weekly 쨈 raw'!$1:$1, 0)), ""), IF(val=0, "", val))</f>
        <v/>
      </c>
      <c r="H28" s="69" t="str">
        <f t="array" ref="H28">LET(val, IFERROR(INDEX('Weekly 쨈 raw'!$A:$AAQ, MATCH(H$3, 'Weekly 쨈 raw'!$A:$A, 0), MATCH($A28, 'Weekly 쨈 raw'!$1:$1, 0)), ""), IF(val=0, "", val))</f>
        <v/>
      </c>
      <c r="I28" s="69" t="str">
        <f t="array" ref="I28">LET(val, IFERROR(INDEX('Weekly 쨈 raw'!$A:$AAQ, MATCH(I$3, 'Weekly 쨈 raw'!$A:$A, 0), MATCH($A28, 'Weekly 쨈 raw'!$1:$1, 0)), ""), IF(val=0, "", val))</f>
        <v/>
      </c>
      <c r="J28" s="69" t="str">
        <f t="array" ref="J28">LET(val, IFERROR(INDEX('Weekly 쨈 raw'!$A:$AAQ, MATCH(J$3, 'Weekly 쨈 raw'!$A:$A, 0), MATCH($A28, 'Weekly 쨈 raw'!$1:$1, 0)), ""), IF(val=0, "", val))</f>
        <v/>
      </c>
      <c r="K28" s="69" t="str">
        <f t="array" ref="K28">LET(val, IFERROR(INDEX('Weekly 쨈 raw'!$A:$AAQ, MATCH(K$3, 'Weekly 쨈 raw'!$A:$A, 0), MATCH($A28, 'Weekly 쨈 raw'!$1:$1, 0)), ""), IF(val=0, "", val))</f>
        <v/>
      </c>
      <c r="L28" s="69" t="str">
        <f t="array" ref="L28">LET(val, IFERROR(INDEX('Weekly 쨈 raw'!$A:$AAQ, MATCH(L$3, 'Weekly 쨈 raw'!$A:$A, 0), MATCH($A28, 'Weekly 쨈 raw'!$1:$1, 0)), ""), IF(val=0, "", val))</f>
        <v/>
      </c>
      <c r="M28" s="69" t="str">
        <f t="array" ref="M28">LET(val, IFERROR(INDEX('Weekly 쨈 raw'!$A:$AAQ, MATCH(M$3, 'Weekly 쨈 raw'!$A:$A, 0), MATCH($A28, 'Weekly 쨈 raw'!$1:$1, 0)), ""), IF(val=0, "", val))</f>
        <v/>
      </c>
      <c r="N28" s="69" t="str">
        <f t="array" ref="N28">LET(val, IFERROR(INDEX('Weekly 쨈 raw'!$A:$AAQ, MATCH(N$3, 'Weekly 쨈 raw'!$A:$A, 0), MATCH($A28, 'Weekly 쨈 raw'!$1:$1, 0)), ""), IF(val=0, "", val))</f>
        <v/>
      </c>
      <c r="O28" s="69" t="str">
        <f t="array" ref="O28">LET(val, IFERROR(INDEX('Weekly 쨈 raw'!$A:$AAQ, MATCH(O$3, 'Weekly 쨈 raw'!$A:$A, 0), MATCH($A28, 'Weekly 쨈 raw'!$1:$1, 0)), ""), IF(val=0, "", val))</f>
        <v/>
      </c>
      <c r="P28" s="69" t="str">
        <f t="array" ref="P28">LET(val, IFERROR(INDEX('Weekly 쨈 raw'!$A:$AAQ, MATCH(P$3, 'Weekly 쨈 raw'!$A:$A, 0), MATCH($A28, 'Weekly 쨈 raw'!$1:$1, 0)), ""), IF(val=0, "", val))</f>
        <v/>
      </c>
      <c r="Q28" s="85" t="str">
        <f t="array" ref="Q28">IF(IFERROR(INDEX('Weekly 쨈 raw'!$A:$AAQ, MATCH(Q$3, 'Weekly 쨈 raw'!$A:$A, 0), MATCH($A28, 'Weekly 쨈 raw'!$1:$1, 0)), 0)=0, "", IFERROR(INDEX('Weekly 쨈 raw'!$A:$AAQ, MATCH(Q$3, 'Weekly 쨈 raw'!$A:$A, 0), MATCH($A28, 'Weekly 쨈 raw'!$1:$1, 0)), 0))</f>
        <v/>
      </c>
      <c r="R28" s="85" t="str">
        <f t="array" ref="R28">IF(IFERROR(INDEX('Weekly 쨈 raw'!$A:$AAQ, MATCH(R$3, 'Weekly 쨈 raw'!$A:$A, 0), MATCH($A28, 'Weekly 쨈 raw'!$1:$1, 0)), 0)=0, "", IFERROR(INDEX('Weekly 쨈 raw'!$A:$AAQ, MATCH(R$3, 'Weekly 쨈 raw'!$A:$A, 0), MATCH($A28, 'Weekly 쨈 raw'!$1:$1, 0)), 0))</f>
        <v/>
      </c>
      <c r="S28" s="85" t="str">
        <f t="array" ref="S28">IF(IFERROR(INDEX('Weekly 쨈 raw'!$A:$AAQ, MATCH(S$3, 'Weekly 쨈 raw'!$A:$A, 0), MATCH($A28, 'Weekly 쨈 raw'!$1:$1, 0)), 0)=0, "", IFERROR(INDEX('Weekly 쨈 raw'!$A:$AAQ, MATCH(S$3, 'Weekly 쨈 raw'!$A:$A, 0), MATCH($A28, 'Weekly 쨈 raw'!$1:$1, 0)), 0))</f>
        <v/>
      </c>
      <c r="T28" s="85" t="str">
        <f t="array" ref="T28">IF(IFERROR(INDEX('Weekly 쨈 raw'!$A:$AAQ, MATCH(T$3, 'Weekly 쨈 raw'!$A:$A, 0), MATCH($A28, 'Weekly 쨈 raw'!$1:$1, 0)), 0)=0, "", IFERROR(INDEX('Weekly 쨈 raw'!$A:$AAQ, MATCH(T$3, 'Weekly 쨈 raw'!$A:$A, 0), MATCH($A28, 'Weekly 쨈 raw'!$1:$1, 0)), 0))</f>
        <v/>
      </c>
      <c r="U28" s="85" t="str">
        <f t="array" ref="U28">IF(IFERROR(INDEX('Weekly 쨈 raw'!$A:$AAQ, MATCH(U$3, 'Weekly 쨈 raw'!$A:$A, 0), MATCH($A28, 'Weekly 쨈 raw'!$1:$1, 0)), 0)=0, "", IFERROR(INDEX('Weekly 쨈 raw'!$A:$AAQ, MATCH(U$3, 'Weekly 쨈 raw'!$A:$A, 0), MATCH($A28, 'Weekly 쨈 raw'!$1:$1, 0)), 0))</f>
        <v/>
      </c>
    </row>
    <row r="29" ht="18.75" hidden="1" customHeight="1">
      <c r="A29" s="1"/>
      <c r="B29" s="68" t="s">
        <v>117</v>
      </c>
      <c r="C29" s="69" t="str">
        <f t="array" ref="C29">LET(val, IFERROR(INDEX('Weekly 쨈 raw'!$A:$AAQ, MATCH(C$3, 'Weekly 쨈 raw'!$A:$A, 0), MATCH($A29, 'Weekly 쨈 raw'!$1:$1, 0)), ""), IF(val=0, "", val))</f>
        <v/>
      </c>
      <c r="D29" s="69" t="str">
        <f t="array" ref="D29">LET(val, IFERROR(INDEX('Weekly 쨈 raw'!$A:$AAQ, MATCH(D$3, 'Weekly 쨈 raw'!$A:$A, 0), MATCH($A29, 'Weekly 쨈 raw'!$1:$1, 0)), ""), IF(val=0, "", val))</f>
        <v/>
      </c>
      <c r="E29" s="69" t="str">
        <f t="array" ref="E29">LET(val, IFERROR(INDEX('Weekly 쨈 raw'!$A:$AAQ, MATCH(E$3, 'Weekly 쨈 raw'!$A:$A, 0), MATCH($A29, 'Weekly 쨈 raw'!$1:$1, 0)), ""), IF(val=0, "", val))</f>
        <v/>
      </c>
      <c r="F29" s="69" t="str">
        <f t="array" ref="F29">LET(val, IFERROR(INDEX('Weekly 쨈 raw'!$A:$AAQ, MATCH(F$3, 'Weekly 쨈 raw'!$A:$A, 0), MATCH($A29, 'Weekly 쨈 raw'!$1:$1, 0)), ""), IF(val=0, "", val))</f>
        <v/>
      </c>
      <c r="G29" s="69" t="str">
        <f t="array" ref="G29">LET(val, IFERROR(INDEX('Weekly 쨈 raw'!$A:$AAQ, MATCH(G$3, 'Weekly 쨈 raw'!$A:$A, 0), MATCH($A29, 'Weekly 쨈 raw'!$1:$1, 0)), ""), IF(val=0, "", val))</f>
        <v/>
      </c>
      <c r="H29" s="69" t="str">
        <f t="array" ref="H29">LET(val, IFERROR(INDEX('Weekly 쨈 raw'!$A:$AAQ, MATCH(H$3, 'Weekly 쨈 raw'!$A:$A, 0), MATCH($A29, 'Weekly 쨈 raw'!$1:$1, 0)), ""), IF(val=0, "", val))</f>
        <v/>
      </c>
      <c r="I29" s="69" t="str">
        <f t="array" ref="I29">LET(val, IFERROR(INDEX('Weekly 쨈 raw'!$A:$AAQ, MATCH(I$3, 'Weekly 쨈 raw'!$A:$A, 0), MATCH($A29, 'Weekly 쨈 raw'!$1:$1, 0)), ""), IF(val=0, "", val))</f>
        <v/>
      </c>
      <c r="J29" s="69" t="str">
        <f t="array" ref="J29">LET(val, IFERROR(INDEX('Weekly 쨈 raw'!$A:$AAQ, MATCH(J$3, 'Weekly 쨈 raw'!$A:$A, 0), MATCH($A29, 'Weekly 쨈 raw'!$1:$1, 0)), ""), IF(val=0, "", val))</f>
        <v/>
      </c>
      <c r="K29" s="69" t="str">
        <f t="array" ref="K29">LET(val, IFERROR(INDEX('Weekly 쨈 raw'!$A:$AAQ, MATCH(K$3, 'Weekly 쨈 raw'!$A:$A, 0), MATCH($A29, 'Weekly 쨈 raw'!$1:$1, 0)), ""), IF(val=0, "", val))</f>
        <v/>
      </c>
      <c r="L29" s="69" t="str">
        <f t="array" ref="L29">LET(val, IFERROR(INDEX('Weekly 쨈 raw'!$A:$AAQ, MATCH(L$3, 'Weekly 쨈 raw'!$A:$A, 0), MATCH($A29, 'Weekly 쨈 raw'!$1:$1, 0)), ""), IF(val=0, "", val))</f>
        <v/>
      </c>
      <c r="M29" s="69" t="str">
        <f t="array" ref="M29">LET(val, IFERROR(INDEX('Weekly 쨈 raw'!$A:$AAQ, MATCH(M$3, 'Weekly 쨈 raw'!$A:$A, 0), MATCH($A29, 'Weekly 쨈 raw'!$1:$1, 0)), ""), IF(val=0, "", val))</f>
        <v/>
      </c>
      <c r="N29" s="69" t="str">
        <f t="array" ref="N29">LET(val, IFERROR(INDEX('Weekly 쨈 raw'!$A:$AAQ, MATCH(N$3, 'Weekly 쨈 raw'!$A:$A, 0), MATCH($A29, 'Weekly 쨈 raw'!$1:$1, 0)), ""), IF(val=0, "", val))</f>
        <v/>
      </c>
      <c r="O29" s="69" t="str">
        <f t="array" ref="O29">LET(val, IFERROR(INDEX('Weekly 쨈 raw'!$A:$AAQ, MATCH(O$3, 'Weekly 쨈 raw'!$A:$A, 0), MATCH($A29, 'Weekly 쨈 raw'!$1:$1, 0)), ""), IF(val=0, "", val))</f>
        <v/>
      </c>
      <c r="P29" s="69" t="str">
        <f t="array" ref="P29">LET(val, IFERROR(INDEX('Weekly 쨈 raw'!$A:$AAQ, MATCH(P$3, 'Weekly 쨈 raw'!$A:$A, 0), MATCH($A29, 'Weekly 쨈 raw'!$1:$1, 0)), ""), IF(val=0, "", val))</f>
        <v/>
      </c>
      <c r="Q29" s="85" t="str">
        <f t="array" ref="Q29">IF(IFERROR(INDEX('Weekly 쨈 raw'!$A:$AAQ, MATCH(Q$3, 'Weekly 쨈 raw'!$A:$A, 0), MATCH($A29, 'Weekly 쨈 raw'!$1:$1, 0)), 0)=0, "", IFERROR(INDEX('Weekly 쨈 raw'!$A:$AAQ, MATCH(Q$3, 'Weekly 쨈 raw'!$A:$A, 0), MATCH($A29, 'Weekly 쨈 raw'!$1:$1, 0)), 0))</f>
        <v/>
      </c>
      <c r="R29" s="85" t="str">
        <f t="array" ref="R29">IF(IFERROR(INDEX('Weekly 쨈 raw'!$A:$AAQ, MATCH(R$3, 'Weekly 쨈 raw'!$A:$A, 0), MATCH($A29, 'Weekly 쨈 raw'!$1:$1, 0)), 0)=0, "", IFERROR(INDEX('Weekly 쨈 raw'!$A:$AAQ, MATCH(R$3, 'Weekly 쨈 raw'!$A:$A, 0), MATCH($A29, 'Weekly 쨈 raw'!$1:$1, 0)), 0))</f>
        <v/>
      </c>
      <c r="S29" s="85" t="str">
        <f t="array" ref="S29">IF(IFERROR(INDEX('Weekly 쨈 raw'!$A:$AAQ, MATCH(S$3, 'Weekly 쨈 raw'!$A:$A, 0), MATCH($A29, 'Weekly 쨈 raw'!$1:$1, 0)), 0)=0, "", IFERROR(INDEX('Weekly 쨈 raw'!$A:$AAQ, MATCH(S$3, 'Weekly 쨈 raw'!$A:$A, 0), MATCH($A29, 'Weekly 쨈 raw'!$1:$1, 0)), 0))</f>
        <v/>
      </c>
      <c r="T29" s="85" t="str">
        <f t="array" ref="T29">IF(IFERROR(INDEX('Weekly 쨈 raw'!$A:$AAQ, MATCH(T$3, 'Weekly 쨈 raw'!$A:$A, 0), MATCH($A29, 'Weekly 쨈 raw'!$1:$1, 0)), 0)=0, "", IFERROR(INDEX('Weekly 쨈 raw'!$A:$AAQ, MATCH(T$3, 'Weekly 쨈 raw'!$A:$A, 0), MATCH($A29, 'Weekly 쨈 raw'!$1:$1, 0)), 0))</f>
        <v/>
      </c>
      <c r="U29" s="85" t="str">
        <f t="array" ref="U29">IF(IFERROR(INDEX('Weekly 쨈 raw'!$A:$AAQ, MATCH(U$3, 'Weekly 쨈 raw'!$A:$A, 0), MATCH($A29, 'Weekly 쨈 raw'!$1:$1, 0)), 0)=0, "", IFERROR(INDEX('Weekly 쨈 raw'!$A:$AAQ, MATCH(U$3, 'Weekly 쨈 raw'!$A:$A, 0), MATCH($A29, 'Weekly 쨈 raw'!$1:$1, 0)), 0))</f>
        <v/>
      </c>
    </row>
    <row r="30" ht="18.75" hidden="1" customHeight="1">
      <c r="A30" s="1"/>
      <c r="B30" s="68" t="s">
        <v>118</v>
      </c>
      <c r="C30" s="69" t="str">
        <f t="array" ref="C30">LET(val, IFERROR(INDEX('Weekly 쨈 raw'!$A:$AAQ, MATCH(C$3, 'Weekly 쨈 raw'!$A:$A, 0), MATCH($A30, 'Weekly 쨈 raw'!$1:$1, 0)), ""), IF(val=0, "", val))</f>
        <v/>
      </c>
      <c r="D30" s="69" t="str">
        <f t="array" ref="D30">LET(val, IFERROR(INDEX('Weekly 쨈 raw'!$A:$AAQ, MATCH(D$3, 'Weekly 쨈 raw'!$A:$A, 0), MATCH($A30, 'Weekly 쨈 raw'!$1:$1, 0)), ""), IF(val=0, "", val))</f>
        <v/>
      </c>
      <c r="E30" s="69" t="str">
        <f t="array" ref="E30">LET(val, IFERROR(INDEX('Weekly 쨈 raw'!$A:$AAQ, MATCH(E$3, 'Weekly 쨈 raw'!$A:$A, 0), MATCH($A30, 'Weekly 쨈 raw'!$1:$1, 0)), ""), IF(val=0, "", val))</f>
        <v/>
      </c>
      <c r="F30" s="69" t="str">
        <f t="array" ref="F30">LET(val, IFERROR(INDEX('Weekly 쨈 raw'!$A:$AAQ, MATCH(F$3, 'Weekly 쨈 raw'!$A:$A, 0), MATCH($A30, 'Weekly 쨈 raw'!$1:$1, 0)), ""), IF(val=0, "", val))</f>
        <v/>
      </c>
      <c r="G30" s="69" t="str">
        <f t="array" ref="G30">LET(val, IFERROR(INDEX('Weekly 쨈 raw'!$A:$AAQ, MATCH(G$3, 'Weekly 쨈 raw'!$A:$A, 0), MATCH($A30, 'Weekly 쨈 raw'!$1:$1, 0)), ""), IF(val=0, "", val))</f>
        <v/>
      </c>
      <c r="H30" s="69" t="str">
        <f t="array" ref="H30">LET(val, IFERROR(INDEX('Weekly 쨈 raw'!$A:$AAQ, MATCH(H$3, 'Weekly 쨈 raw'!$A:$A, 0), MATCH($A30, 'Weekly 쨈 raw'!$1:$1, 0)), ""), IF(val=0, "", val))</f>
        <v/>
      </c>
      <c r="I30" s="74" t="str">
        <f t="array" ref="I30">LET(val, IFERROR(INDEX('Weekly 쨈 raw'!$A:$AAQ, MATCH(I$3, 'Weekly 쨈 raw'!$A:$A, 0), MATCH($A30, 'Weekly 쨈 raw'!$1:$1, 0)), ""), IF(val=0, "", val))</f>
        <v/>
      </c>
      <c r="J30" s="69" t="str">
        <f t="array" ref="J30">LET(val, IFERROR(INDEX('Weekly 쨈 raw'!$A:$AAQ, MATCH(J$3, 'Weekly 쨈 raw'!$A:$A, 0), MATCH($A30, 'Weekly 쨈 raw'!$1:$1, 0)), ""), IF(val=0, "", val))</f>
        <v/>
      </c>
      <c r="K30" s="69" t="str">
        <f t="array" ref="K30">LET(val, IFERROR(INDEX('Weekly 쨈 raw'!$A:$AAQ, MATCH(K$3, 'Weekly 쨈 raw'!$A:$A, 0), MATCH($A30, 'Weekly 쨈 raw'!$1:$1, 0)), ""), IF(val=0, "", val))</f>
        <v/>
      </c>
      <c r="L30" s="69" t="str">
        <f t="array" ref="L30">LET(val, IFERROR(INDEX('Weekly 쨈 raw'!$A:$AAQ, MATCH(L$3, 'Weekly 쨈 raw'!$A:$A, 0), MATCH($A30, 'Weekly 쨈 raw'!$1:$1, 0)), ""), IF(val=0, "", val))</f>
        <v/>
      </c>
      <c r="M30" s="69" t="str">
        <f t="array" ref="M30">LET(val, IFERROR(INDEX('Weekly 쨈 raw'!$A:$AAQ, MATCH(M$3, 'Weekly 쨈 raw'!$A:$A, 0), MATCH($A30, 'Weekly 쨈 raw'!$1:$1, 0)), ""), IF(val=0, "", val))</f>
        <v/>
      </c>
      <c r="N30" s="69" t="str">
        <f t="array" ref="N30">LET(val, IFERROR(INDEX('Weekly 쨈 raw'!$A:$AAQ, MATCH(N$3, 'Weekly 쨈 raw'!$A:$A, 0), MATCH($A30, 'Weekly 쨈 raw'!$1:$1, 0)), ""), IF(val=0, "", val))</f>
        <v/>
      </c>
      <c r="O30" s="69" t="str">
        <f t="array" ref="O30">LET(val, IFERROR(INDEX('Weekly 쨈 raw'!$A:$AAQ, MATCH(O$3, 'Weekly 쨈 raw'!$A:$A, 0), MATCH($A30, 'Weekly 쨈 raw'!$1:$1, 0)), ""), IF(val=0, "", val))</f>
        <v/>
      </c>
      <c r="P30" s="69" t="str">
        <f t="array" ref="P30">LET(val, IFERROR(INDEX('Weekly 쨈 raw'!$A:$AAQ, MATCH(P$3, 'Weekly 쨈 raw'!$A:$A, 0), MATCH($A30, 'Weekly 쨈 raw'!$1:$1, 0)), ""), IF(val=0, "", val))</f>
        <v/>
      </c>
      <c r="Q30" s="85" t="str">
        <f t="array" ref="Q30">IF(IFERROR(INDEX('Weekly 쨈 raw'!$A:$AAQ, MATCH(Q$3, 'Weekly 쨈 raw'!$A:$A, 0), MATCH($A30, 'Weekly 쨈 raw'!$1:$1, 0)), 0)=0, "", IFERROR(INDEX('Weekly 쨈 raw'!$A:$AAQ, MATCH(Q$3, 'Weekly 쨈 raw'!$A:$A, 0), MATCH($A30, 'Weekly 쨈 raw'!$1:$1, 0)), 0))</f>
        <v/>
      </c>
      <c r="R30" s="85" t="str">
        <f t="array" ref="R30">IF(IFERROR(INDEX('Weekly 쨈 raw'!$A:$AAQ, MATCH(R$3, 'Weekly 쨈 raw'!$A:$A, 0), MATCH($A30, 'Weekly 쨈 raw'!$1:$1, 0)), 0)=0, "", IFERROR(INDEX('Weekly 쨈 raw'!$A:$AAQ, MATCH(R$3, 'Weekly 쨈 raw'!$A:$A, 0), MATCH($A30, 'Weekly 쨈 raw'!$1:$1, 0)), 0))</f>
        <v/>
      </c>
      <c r="S30" s="85" t="str">
        <f t="array" ref="S30">IF(IFERROR(INDEX('Weekly 쨈 raw'!$A:$AAQ, MATCH(S$3, 'Weekly 쨈 raw'!$A:$A, 0), MATCH($A30, 'Weekly 쨈 raw'!$1:$1, 0)), 0)=0, "", IFERROR(INDEX('Weekly 쨈 raw'!$A:$AAQ, MATCH(S$3, 'Weekly 쨈 raw'!$A:$A, 0), MATCH($A30, 'Weekly 쨈 raw'!$1:$1, 0)), 0))</f>
        <v/>
      </c>
      <c r="T30" s="85" t="str">
        <f t="array" ref="T30">IF(IFERROR(INDEX('Weekly 쨈 raw'!$A:$AAQ, MATCH(T$3, 'Weekly 쨈 raw'!$A:$A, 0), MATCH($A30, 'Weekly 쨈 raw'!$1:$1, 0)), 0)=0, "", IFERROR(INDEX('Weekly 쨈 raw'!$A:$AAQ, MATCH(T$3, 'Weekly 쨈 raw'!$A:$A, 0), MATCH($A30, 'Weekly 쨈 raw'!$1:$1, 0)), 0))</f>
        <v/>
      </c>
      <c r="U30" s="85" t="str">
        <f t="array" ref="U30">IF(IFERROR(INDEX('Weekly 쨈 raw'!$A:$AAQ, MATCH(U$3, 'Weekly 쨈 raw'!$A:$A, 0), MATCH($A30, 'Weekly 쨈 raw'!$1:$1, 0)), 0)=0, "", IFERROR(INDEX('Weekly 쨈 raw'!$A:$AAQ, MATCH(U$3, 'Weekly 쨈 raw'!$A:$A, 0), MATCH($A30, 'Weekly 쨈 raw'!$1:$1, 0)), 0))</f>
        <v/>
      </c>
    </row>
    <row r="31" ht="18.75" customHeight="1">
      <c r="A31" s="16"/>
      <c r="B31" s="86" t="s">
        <v>36</v>
      </c>
      <c r="C31" s="69" t="str">
        <f t="array" ref="C31">LET(val, IFERROR(INDEX('Weekly 쨈 raw'!$A:$AAQ, MATCH(C$3, 'Weekly 쨈 raw'!$A:$A, 0), MATCH($A31, 'Weekly 쨈 raw'!$1:$1, 0)), ""), IF(val=0, "", val))</f>
        <v/>
      </c>
      <c r="D31" s="69" t="str">
        <f t="array" ref="D31">LET(val, IFERROR(INDEX('Weekly 쨈 raw'!$A:$AAQ, MATCH(D$3, 'Weekly 쨈 raw'!$A:$A, 0), MATCH($A31, 'Weekly 쨈 raw'!$1:$1, 0)), ""), IF(val=0, "", val))</f>
        <v/>
      </c>
      <c r="E31" s="69" t="str">
        <f t="array" ref="E31">LET(val, IFERROR(INDEX('Weekly 쨈 raw'!$A:$AAQ, MATCH(E$3, 'Weekly 쨈 raw'!$A:$A, 0), MATCH($A31, 'Weekly 쨈 raw'!$1:$1, 0)), ""), IF(val=0, "", val))</f>
        <v/>
      </c>
      <c r="F31" s="69" t="str">
        <f t="array" ref="F31">LET(val, IFERROR(INDEX('Weekly 쨈 raw'!$A:$AAQ, MATCH(F$3, 'Weekly 쨈 raw'!$A:$A, 0), MATCH($A31, 'Weekly 쨈 raw'!$1:$1, 0)), ""), IF(val=0, "", val))</f>
        <v/>
      </c>
      <c r="G31" s="69" t="str">
        <f t="array" ref="G31">LET(val, IFERROR(INDEX('Weekly 쨈 raw'!$A:$AAQ, MATCH(G$3, 'Weekly 쨈 raw'!$A:$A, 0), MATCH($A31, 'Weekly 쨈 raw'!$1:$1, 0)), ""), IF(val=0, "", val))</f>
        <v/>
      </c>
      <c r="H31" s="69" t="str">
        <f t="array" ref="H31">LET(val, IFERROR(INDEX('Weekly 쨈 raw'!$A:$AAQ, MATCH(H$3, 'Weekly 쨈 raw'!$A:$A, 0), MATCH($A31, 'Weekly 쨈 raw'!$1:$1, 0)), ""), IF(val=0, "", val))</f>
        <v/>
      </c>
      <c r="I31" s="69" t="str">
        <f t="array" ref="I31">LET(val, IFERROR(INDEX('Weekly 쨈 raw'!$A:$AAQ, MATCH(I$3, 'Weekly 쨈 raw'!$A:$A, 0), MATCH($A31, 'Weekly 쨈 raw'!$1:$1, 0)), ""), IF(val=0, "", val))</f>
        <v/>
      </c>
      <c r="J31" s="69" t="str">
        <f t="array" ref="J31">LET(val, IFERROR(INDEX('Weekly 쨈 raw'!$A:$AAQ, MATCH(J$3, 'Weekly 쨈 raw'!$A:$A, 0), MATCH($A31, 'Weekly 쨈 raw'!$1:$1, 0)), ""), IF(val=0, "", val))</f>
        <v/>
      </c>
      <c r="K31" s="69" t="str">
        <f t="array" ref="K31">LET(val, IFERROR(INDEX('Weekly 쨈 raw'!$A:$AAQ, MATCH(K$3, 'Weekly 쨈 raw'!$A:$A, 0), MATCH($A31, 'Weekly 쨈 raw'!$1:$1, 0)), ""), IF(val=0, "", val))</f>
        <v/>
      </c>
      <c r="L31" s="69" t="str">
        <f t="array" ref="L31">LET(val, IFERROR(INDEX('Weekly 쨈 raw'!$A:$AAQ, MATCH(L$3, 'Weekly 쨈 raw'!$A:$A, 0), MATCH($A31, 'Weekly 쨈 raw'!$1:$1, 0)), ""), IF(val=0, "", val))</f>
        <v/>
      </c>
      <c r="M31" s="69" t="str">
        <f t="array" ref="M31">LET(val, IFERROR(INDEX('Weekly 쨈 raw'!$A:$AAQ, MATCH(M$3, 'Weekly 쨈 raw'!$A:$A, 0), MATCH($A31, 'Weekly 쨈 raw'!$1:$1, 0)), ""), IF(val=0, "", val))</f>
        <v/>
      </c>
      <c r="N31" s="69" t="str">
        <f t="array" ref="N31">LET(val, IFERROR(INDEX('Weekly 쨈 raw'!$A:$AAQ, MATCH(N$3, 'Weekly 쨈 raw'!$A:$A, 0), MATCH($A31, 'Weekly 쨈 raw'!$1:$1, 0)), ""), IF(val=0, "", val))</f>
        <v/>
      </c>
      <c r="O31" s="69" t="str">
        <f t="array" ref="O31">LET(val, IFERROR(INDEX('Weekly 쨈 raw'!$A:$AAQ, MATCH(O$3, 'Weekly 쨈 raw'!$A:$A, 0), MATCH($A31, 'Weekly 쨈 raw'!$1:$1, 0)), ""), IF(val=0, "", val))</f>
        <v/>
      </c>
      <c r="P31" s="69" t="str">
        <f t="array" ref="P31">LET(val, IFERROR(INDEX('Weekly 쨈 raw'!$A:$AAQ, MATCH(P$3, 'Weekly 쨈 raw'!$A:$A, 0), MATCH($A31, 'Weekly 쨈 raw'!$1:$1, 0)), ""), IF(val=0, "", val))</f>
        <v/>
      </c>
      <c r="Q31" s="85" t="str">
        <f t="array" ref="Q31">IF(IFERROR(INDEX('Weekly 쨈 raw'!$A:$AAQ, MATCH(Q$3, 'Weekly 쨈 raw'!$A:$A, 0), MATCH($A31, 'Weekly 쨈 raw'!$1:$1, 0)), 0)=0, "", IFERROR(INDEX('Weekly 쨈 raw'!$A:$AAQ, MATCH(Q$3, 'Weekly 쨈 raw'!$A:$A, 0), MATCH($A31, 'Weekly 쨈 raw'!$1:$1, 0)), 0))</f>
        <v/>
      </c>
      <c r="R31" s="85" t="str">
        <f t="array" ref="R31">IF(IFERROR(INDEX('Weekly 쨈 raw'!$A:$AAQ, MATCH(R$3, 'Weekly 쨈 raw'!$A:$A, 0), MATCH($A31, 'Weekly 쨈 raw'!$1:$1, 0)), 0)=0, "", IFERROR(INDEX('Weekly 쨈 raw'!$A:$AAQ, MATCH(R$3, 'Weekly 쨈 raw'!$A:$A, 0), MATCH($A31, 'Weekly 쨈 raw'!$1:$1, 0)), 0))</f>
        <v/>
      </c>
      <c r="S31" s="85" t="str">
        <f t="array" ref="S31">IF(IFERROR(INDEX('Weekly 쨈 raw'!$A:$AAQ, MATCH(S$3, 'Weekly 쨈 raw'!$A:$A, 0), MATCH($A31, 'Weekly 쨈 raw'!$1:$1, 0)), 0)=0, "", IFERROR(INDEX('Weekly 쨈 raw'!$A:$AAQ, MATCH(S$3, 'Weekly 쨈 raw'!$A:$A, 0), MATCH($A31, 'Weekly 쨈 raw'!$1:$1, 0)), 0))</f>
        <v/>
      </c>
      <c r="T31" s="85" t="str">
        <f t="array" ref="T31">IF(IFERROR(INDEX('Weekly 쨈 raw'!$A:$AAQ, MATCH(T$3, 'Weekly 쨈 raw'!$A:$A, 0), MATCH($A31, 'Weekly 쨈 raw'!$1:$1, 0)), 0)=0, "", IFERROR(INDEX('Weekly 쨈 raw'!$A:$AAQ, MATCH(T$3, 'Weekly 쨈 raw'!$A:$A, 0), MATCH($A31, 'Weekly 쨈 raw'!$1:$1, 0)), 0))</f>
        <v/>
      </c>
      <c r="U31" s="85" t="str">
        <f t="array" ref="U31">IF(IFERROR(INDEX('Weekly 쨈 raw'!$A:$AAQ, MATCH(U$3, 'Weekly 쨈 raw'!$A:$A, 0), MATCH($A31, 'Weekly 쨈 raw'!$1:$1, 0)), 0)=0, "", IFERROR(INDEX('Weekly 쨈 raw'!$A:$AAQ, MATCH(U$3, 'Weekly 쨈 raw'!$A:$A, 0), MATCH($A31, 'Weekly 쨈 raw'!$1:$1, 0)), 0))</f>
        <v/>
      </c>
    </row>
    <row r="32" ht="18.75" customHeight="1">
      <c r="A32" s="16" t="s">
        <v>37</v>
      </c>
      <c r="B32" s="68" t="s">
        <v>38</v>
      </c>
      <c r="C32" s="69" t="str">
        <f t="array" ref="C32">LET(val, IFERROR(INDEX('Weekly 쨈 raw'!$A:$AAQ, MATCH(C$3, 'Weekly 쨈 raw'!$A:$A, 0), MATCH($A32, 'Weekly 쨈 raw'!$1:$1, 0)), ""), IF(val=0, "", val))</f>
        <v/>
      </c>
      <c r="D32" s="69" t="str">
        <f t="array" ref="D32">LET(val, IFERROR(INDEX('Weekly 쨈 raw'!$A:$AAQ, MATCH(D$3, 'Weekly 쨈 raw'!$A:$A, 0), MATCH($A32, 'Weekly 쨈 raw'!$1:$1, 0)), ""), IF(val=0, "", val))</f>
        <v/>
      </c>
      <c r="E32" s="69" t="str">
        <f t="array" ref="E32">LET(val, IFERROR(INDEX('Weekly 쨈 raw'!$A:$AAQ, MATCH(E$3, 'Weekly 쨈 raw'!$A:$A, 0), MATCH($A32, 'Weekly 쨈 raw'!$1:$1, 0)), ""), IF(val=0, "", val))</f>
        <v/>
      </c>
      <c r="F32" s="69" t="str">
        <f t="array" ref="F32">LET(val, IFERROR(INDEX('Weekly 쨈 raw'!$A:$AAQ, MATCH(F$3, 'Weekly 쨈 raw'!$A:$A, 0), MATCH($A32, 'Weekly 쨈 raw'!$1:$1, 0)), ""), IF(val=0, "", val))</f>
        <v/>
      </c>
      <c r="G32" s="69" t="str">
        <f t="array" ref="G32">LET(val, IFERROR(INDEX('Weekly 쨈 raw'!$A:$AAQ, MATCH(G$3, 'Weekly 쨈 raw'!$A:$A, 0), MATCH($A32, 'Weekly 쨈 raw'!$1:$1, 0)), ""), IF(val=0, "", val))</f>
        <v/>
      </c>
      <c r="H32" s="69" t="str">
        <f t="array" ref="H32">LET(val, IFERROR(INDEX('Weekly 쨈 raw'!$A:$AAQ, MATCH(H$3, 'Weekly 쨈 raw'!$A:$A, 0), MATCH($A32, 'Weekly 쨈 raw'!$1:$1, 0)), ""), IF(val=0, "", val))</f>
        <v/>
      </c>
      <c r="I32" s="69" t="str">
        <f t="array" ref="I32">LET(val, IFERROR(INDEX('Weekly 쨈 raw'!$A:$AAQ, MATCH(I$3, 'Weekly 쨈 raw'!$A:$A, 0), MATCH($A32, 'Weekly 쨈 raw'!$1:$1, 0)), ""), IF(val=0, "", val))</f>
        <v/>
      </c>
      <c r="J32" s="69" t="str">
        <f t="array" ref="J32">LET(val, IFERROR(INDEX('Weekly 쨈 raw'!$A:$AAQ, MATCH(J$3, 'Weekly 쨈 raw'!$A:$A, 0), MATCH($A32, 'Weekly 쨈 raw'!$1:$1, 0)), ""), IF(val=0, "", val))</f>
        <v/>
      </c>
      <c r="K32" s="69" t="str">
        <f t="array" ref="K32">LET(val, IFERROR(INDEX('Weekly 쨈 raw'!$A:$AAQ, MATCH(K$3, 'Weekly 쨈 raw'!$A:$A, 0), MATCH($A32, 'Weekly 쨈 raw'!$1:$1, 0)), ""), IF(val=0, "", val))</f>
        <v/>
      </c>
      <c r="L32" s="69" t="str">
        <f t="array" ref="L32">LET(val, IFERROR(INDEX('Weekly 쨈 raw'!$A:$AAQ, MATCH(L$3, 'Weekly 쨈 raw'!$A:$A, 0), MATCH($A32, 'Weekly 쨈 raw'!$1:$1, 0)), ""), IF(val=0, "", val))</f>
        <v/>
      </c>
      <c r="M32" s="69" t="str">
        <f t="array" ref="M32">LET(val, IFERROR(INDEX('Weekly 쨈 raw'!$A:$AAQ, MATCH(M$3, 'Weekly 쨈 raw'!$A:$A, 0), MATCH($A32, 'Weekly 쨈 raw'!$1:$1, 0)), ""), IF(val=0, "", val))</f>
        <v/>
      </c>
      <c r="N32" s="69" t="str">
        <f t="array" ref="N32">LET(val, IFERROR(INDEX('Weekly 쨈 raw'!$A:$AAQ, MATCH(N$3, 'Weekly 쨈 raw'!$A:$A, 0), MATCH($A32, 'Weekly 쨈 raw'!$1:$1, 0)), ""), IF(val=0, "", val))</f>
        <v/>
      </c>
      <c r="O32" s="69" t="str">
        <f t="array" ref="O32">LET(val, IFERROR(INDEX('Weekly 쨈 raw'!$A:$AAQ, MATCH(O$3, 'Weekly 쨈 raw'!$A:$A, 0), MATCH($A32, 'Weekly 쨈 raw'!$1:$1, 0)), ""), IF(val=0, "", val))</f>
        <v/>
      </c>
      <c r="P32" s="69" t="str">
        <f t="array" ref="P32">LET(val, IFERROR(INDEX('Weekly 쨈 raw'!$A:$AAQ, MATCH(P$3, 'Weekly 쨈 raw'!$A:$A, 0), MATCH($A32, 'Weekly 쨈 raw'!$1:$1, 0)), ""), IF(val=0, "", val))</f>
        <v/>
      </c>
      <c r="Q32" s="69" t="str">
        <f t="array" ref="Q32">IF(IFERROR(INDEX('Weekly 쨈 raw'!$A:$AAQ, MATCH(Q$3, 'Weekly 쨈 raw'!$A:$A, 0), MATCH($A32, 'Weekly 쨈 raw'!$1:$1, 0)), 0)=0, "", IFERROR(INDEX('Weekly 쨈 raw'!$A:$AAQ, MATCH(Q$3, 'Weekly 쨈 raw'!$A:$A, 0), MATCH($A32, 'Weekly 쨈 raw'!$1:$1, 0)), 0))</f>
        <v/>
      </c>
      <c r="R32" s="69" t="str">
        <f t="array" ref="R32">IF(IFERROR(INDEX('Weekly 쨈 raw'!$A:$AAQ, MATCH(R$3, 'Weekly 쨈 raw'!$A:$A, 0), MATCH($A32, 'Weekly 쨈 raw'!$1:$1, 0)), 0)=0, "", IFERROR(INDEX('Weekly 쨈 raw'!$A:$AAQ, MATCH(R$3, 'Weekly 쨈 raw'!$A:$A, 0), MATCH($A32, 'Weekly 쨈 raw'!$1:$1, 0)), 0))</f>
        <v/>
      </c>
      <c r="S32" s="69" t="str">
        <f t="array" ref="S32">IF(IFERROR(INDEX('Weekly 쨈 raw'!$A:$AAQ, MATCH(S$3, 'Weekly 쨈 raw'!$A:$A, 0), MATCH($A32, 'Weekly 쨈 raw'!$1:$1, 0)), 0)=0, "", IFERROR(INDEX('Weekly 쨈 raw'!$A:$AAQ, MATCH(S$3, 'Weekly 쨈 raw'!$A:$A, 0), MATCH($A32, 'Weekly 쨈 raw'!$1:$1, 0)), 0))</f>
        <v/>
      </c>
      <c r="T32" s="69" t="str">
        <f t="array" ref="T32">IF(IFERROR(INDEX('Weekly 쨈 raw'!$A:$AAQ, MATCH(T$3, 'Weekly 쨈 raw'!$A:$A, 0), MATCH($A32, 'Weekly 쨈 raw'!$1:$1, 0)), 0)=0, "", IFERROR(INDEX('Weekly 쨈 raw'!$A:$AAQ, MATCH(T$3, 'Weekly 쨈 raw'!$A:$A, 0), MATCH($A32, 'Weekly 쨈 raw'!$1:$1, 0)), 0))</f>
        <v/>
      </c>
      <c r="U32" s="69" t="str">
        <f t="array" ref="U32">IF(IFERROR(INDEX('Weekly 쨈 raw'!$A:$AAQ, MATCH(U$3, 'Weekly 쨈 raw'!$A:$A, 0), MATCH($A32, 'Weekly 쨈 raw'!$1:$1, 0)), 0)=0, "", IFERROR(INDEX('Weekly 쨈 raw'!$A:$AAQ, MATCH(U$3, 'Weekly 쨈 raw'!$A:$A, 0), MATCH($A32, 'Weekly 쨈 raw'!$1:$1, 0)), 0))</f>
        <v/>
      </c>
    </row>
    <row r="33" ht="18.75" customHeight="1">
      <c r="A33" s="16" t="s">
        <v>39</v>
      </c>
      <c r="B33" s="68" t="s">
        <v>40</v>
      </c>
      <c r="C33" s="69" t="str">
        <f t="array" ref="C33">LET(val, IFERROR(INDEX('Weekly 쨈 raw'!$A:$AAQ, MATCH(C$3, 'Weekly 쨈 raw'!$A:$A, 0), MATCH($A33, 'Weekly 쨈 raw'!$1:$1, 0)), ""), IF(val=0, "", val))</f>
        <v/>
      </c>
      <c r="D33" s="69" t="str">
        <f t="array" ref="D33">LET(val, IFERROR(INDEX('Weekly 쨈 raw'!$A:$AAQ, MATCH(D$3, 'Weekly 쨈 raw'!$A:$A, 0), MATCH($A33, 'Weekly 쨈 raw'!$1:$1, 0)), ""), IF(val=0, "", val))</f>
        <v/>
      </c>
      <c r="E33" s="69" t="str">
        <f t="array" ref="E33">LET(val, IFERROR(INDEX('Weekly 쨈 raw'!$A:$AAQ, MATCH(E$3, 'Weekly 쨈 raw'!$A:$A, 0), MATCH($A33, 'Weekly 쨈 raw'!$1:$1, 0)), ""), IF(val=0, "", val))</f>
        <v/>
      </c>
      <c r="F33" s="69" t="str">
        <f t="array" ref="F33">LET(val, IFERROR(INDEX('Weekly 쨈 raw'!$A:$AAQ, MATCH(F$3, 'Weekly 쨈 raw'!$A:$A, 0), MATCH($A33, 'Weekly 쨈 raw'!$1:$1, 0)), ""), IF(val=0, "", val))</f>
        <v/>
      </c>
      <c r="G33" s="69" t="str">
        <f t="array" ref="G33">LET(val, IFERROR(INDEX('Weekly 쨈 raw'!$A:$AAQ, MATCH(G$3, 'Weekly 쨈 raw'!$A:$A, 0), MATCH($A33, 'Weekly 쨈 raw'!$1:$1, 0)), ""), IF(val=0, "", val))</f>
        <v/>
      </c>
      <c r="H33" s="69" t="str">
        <f t="array" ref="H33">LET(val, IFERROR(INDEX('Weekly 쨈 raw'!$A:$AAQ, MATCH(H$3, 'Weekly 쨈 raw'!$A:$A, 0), MATCH($A33, 'Weekly 쨈 raw'!$1:$1, 0)), ""), IF(val=0, "", val))</f>
        <v/>
      </c>
      <c r="I33" s="69" t="str">
        <f t="array" ref="I33">LET(val, IFERROR(INDEX('Weekly 쨈 raw'!$A:$AAQ, MATCH(I$3, 'Weekly 쨈 raw'!$A:$A, 0), MATCH($A33, 'Weekly 쨈 raw'!$1:$1, 0)), ""), IF(val=0, "", val))</f>
        <v/>
      </c>
      <c r="J33" s="69" t="str">
        <f t="array" ref="J33">LET(val, IFERROR(INDEX('Weekly 쨈 raw'!$A:$AAQ, MATCH(J$3, 'Weekly 쨈 raw'!$A:$A, 0), MATCH($A33, 'Weekly 쨈 raw'!$1:$1, 0)), ""), IF(val=0, "", val))</f>
        <v/>
      </c>
      <c r="K33" s="69" t="str">
        <f t="array" ref="K33">LET(val, IFERROR(INDEX('Weekly 쨈 raw'!$A:$AAQ, MATCH(K$3, 'Weekly 쨈 raw'!$A:$A, 0), MATCH($A33, 'Weekly 쨈 raw'!$1:$1, 0)), ""), IF(val=0, "", val))</f>
        <v/>
      </c>
      <c r="L33" s="69" t="str">
        <f t="array" ref="L33">LET(val, IFERROR(INDEX('Weekly 쨈 raw'!$A:$AAQ, MATCH(L$3, 'Weekly 쨈 raw'!$A:$A, 0), MATCH($A33, 'Weekly 쨈 raw'!$1:$1, 0)), ""), IF(val=0, "", val))</f>
        <v/>
      </c>
      <c r="M33" s="69" t="str">
        <f t="array" ref="M33">LET(val, IFERROR(INDEX('Weekly 쨈 raw'!$A:$AAQ, MATCH(M$3, 'Weekly 쨈 raw'!$A:$A, 0), MATCH($A33, 'Weekly 쨈 raw'!$1:$1, 0)), ""), IF(val=0, "", val))</f>
        <v/>
      </c>
      <c r="N33" s="69" t="str">
        <f t="array" ref="N33">LET(val, IFERROR(INDEX('Weekly 쨈 raw'!$A:$AAQ, MATCH(N$3, 'Weekly 쨈 raw'!$A:$A, 0), MATCH($A33, 'Weekly 쨈 raw'!$1:$1, 0)), ""), IF(val=0, "", val))</f>
        <v/>
      </c>
      <c r="O33" s="69" t="str">
        <f t="array" ref="O33">LET(val, IFERROR(INDEX('Weekly 쨈 raw'!$A:$AAQ, MATCH(O$3, 'Weekly 쨈 raw'!$A:$A, 0), MATCH($A33, 'Weekly 쨈 raw'!$1:$1, 0)), ""), IF(val=0, "", val))</f>
        <v/>
      </c>
      <c r="P33" s="69" t="str">
        <f t="array" ref="P33">LET(val, IFERROR(INDEX('Weekly 쨈 raw'!$A:$AAQ, MATCH(P$3, 'Weekly 쨈 raw'!$A:$A, 0), MATCH($A33, 'Weekly 쨈 raw'!$1:$1, 0)), ""), IF(val=0, "", val))</f>
        <v/>
      </c>
      <c r="Q33" s="69" t="str">
        <f t="array" ref="Q33">IF(IFERROR(INDEX('Weekly 쨈 raw'!$A:$AAQ, MATCH(Q$3, 'Weekly 쨈 raw'!$A:$A, 0), MATCH($A33, 'Weekly 쨈 raw'!$1:$1, 0)), 0)=0, "", IFERROR(INDEX('Weekly 쨈 raw'!$A:$AAQ, MATCH(Q$3, 'Weekly 쨈 raw'!$A:$A, 0), MATCH($A33, 'Weekly 쨈 raw'!$1:$1, 0)), 0))</f>
        <v/>
      </c>
      <c r="R33" s="69" t="str">
        <f t="array" ref="R33">IF(IFERROR(INDEX('Weekly 쨈 raw'!$A:$AAQ, MATCH(R$3, 'Weekly 쨈 raw'!$A:$A, 0), MATCH($A33, 'Weekly 쨈 raw'!$1:$1, 0)), 0)=0, "", IFERROR(INDEX('Weekly 쨈 raw'!$A:$AAQ, MATCH(R$3, 'Weekly 쨈 raw'!$A:$A, 0), MATCH($A33, 'Weekly 쨈 raw'!$1:$1, 0)), 0))</f>
        <v/>
      </c>
      <c r="S33" s="69" t="str">
        <f t="array" ref="S33">IF(IFERROR(INDEX('Weekly 쨈 raw'!$A:$AAQ, MATCH(S$3, 'Weekly 쨈 raw'!$A:$A, 0), MATCH($A33, 'Weekly 쨈 raw'!$1:$1, 0)), 0)=0, "", IFERROR(INDEX('Weekly 쨈 raw'!$A:$AAQ, MATCH(S$3, 'Weekly 쨈 raw'!$A:$A, 0), MATCH($A33, 'Weekly 쨈 raw'!$1:$1, 0)), 0))</f>
        <v/>
      </c>
      <c r="T33" s="69" t="str">
        <f t="array" ref="T33">IF(IFERROR(INDEX('Weekly 쨈 raw'!$A:$AAQ, MATCH(T$3, 'Weekly 쨈 raw'!$A:$A, 0), MATCH($A33, 'Weekly 쨈 raw'!$1:$1, 0)), 0)=0, "", IFERROR(INDEX('Weekly 쨈 raw'!$A:$AAQ, MATCH(T$3, 'Weekly 쨈 raw'!$A:$A, 0), MATCH($A33, 'Weekly 쨈 raw'!$1:$1, 0)), 0))</f>
        <v/>
      </c>
      <c r="U33" s="69" t="str">
        <f t="array" ref="U33">IF(IFERROR(INDEX('Weekly 쨈 raw'!$A:$AAQ, MATCH(U$3, 'Weekly 쨈 raw'!$A:$A, 0), MATCH($A33, 'Weekly 쨈 raw'!$1:$1, 0)), 0)=0, "", IFERROR(INDEX('Weekly 쨈 raw'!$A:$AAQ, MATCH(U$3, 'Weekly 쨈 raw'!$A:$A, 0), MATCH($A33, 'Weekly 쨈 raw'!$1:$1, 0)), 0))</f>
        <v/>
      </c>
    </row>
    <row r="34" ht="18.75" customHeight="1">
      <c r="A34" s="16" t="s">
        <v>41</v>
      </c>
      <c r="B34" s="68" t="s">
        <v>42</v>
      </c>
      <c r="C34" s="69">
        <f t="array" ref="C34">LET(val, IFERROR(INDEX('Weekly 쨈 raw'!$A:$AAQ, MATCH(C$3, 'Weekly 쨈 raw'!$A:$A, 0), MATCH($A34, 'Weekly 쨈 raw'!$1:$1, 0)), ""), IF(val=0, "", val))</f>
        <v>3304</v>
      </c>
      <c r="D34" s="69">
        <f t="array" ref="D34">LET(val, IFERROR(INDEX('Weekly 쨈 raw'!$A:$AAQ, MATCH(D$3, 'Weekly 쨈 raw'!$A:$A, 0), MATCH($A34, 'Weekly 쨈 raw'!$1:$1, 0)), ""), IF(val=0, "", val))</f>
        <v>3736</v>
      </c>
      <c r="E34" s="69">
        <f t="array" ref="E34">LET(val, IFERROR(INDEX('Weekly 쨈 raw'!$A:$AAQ, MATCH(E$3, 'Weekly 쨈 raw'!$A:$A, 0), MATCH($A34, 'Weekly 쨈 raw'!$1:$1, 0)), ""), IF(val=0, "", val))</f>
        <v>3544</v>
      </c>
      <c r="F34" s="69">
        <f t="array" ref="F34">LET(val, IFERROR(INDEX('Weekly 쨈 raw'!$A:$AAQ, MATCH(F$3, 'Weekly 쨈 raw'!$A:$A, 0), MATCH($A34, 'Weekly 쨈 raw'!$1:$1, 0)), ""), IF(val=0, "", val))</f>
        <v>3380</v>
      </c>
      <c r="G34" s="69">
        <f t="array" ref="G34">LET(val, IFERROR(INDEX('Weekly 쨈 raw'!$A:$AAQ, MATCH(G$3, 'Weekly 쨈 raw'!$A:$A, 0), MATCH($A34, 'Weekly 쨈 raw'!$1:$1, 0)), ""), IF(val=0, "", val))</f>
        <v>3450</v>
      </c>
      <c r="H34" s="69">
        <f t="array" ref="H34">LET(val, IFERROR(INDEX('Weekly 쨈 raw'!$A:$AAQ, MATCH(H$3, 'Weekly 쨈 raw'!$A:$A, 0), MATCH($A34, 'Weekly 쨈 raw'!$1:$1, 0)), ""), IF(val=0, "", val))</f>
        <v>2976</v>
      </c>
      <c r="I34" s="69">
        <f t="array" ref="I34">LET(val, IFERROR(INDEX('Weekly 쨈 raw'!$A:$AAQ, MATCH(I$3, 'Weekly 쨈 raw'!$A:$A, 0), MATCH($A34, 'Weekly 쨈 raw'!$1:$1, 0)), ""), IF(val=0, "", val))</f>
        <v>2439</v>
      </c>
      <c r="J34" s="69">
        <f t="array" ref="J34">LET(val, IFERROR(INDEX('Weekly 쨈 raw'!$A:$AAQ, MATCH(J$3, 'Weekly 쨈 raw'!$A:$A, 0), MATCH($A34, 'Weekly 쨈 raw'!$1:$1, 0)), ""), IF(val=0, "", val))</f>
        <v>3844</v>
      </c>
      <c r="K34" s="69">
        <f t="array" ref="K34">LET(val, IFERROR(INDEX('Weekly 쨈 raw'!$A:$AAQ, MATCH(K$3, 'Weekly 쨈 raw'!$A:$A, 0), MATCH($A34, 'Weekly 쨈 raw'!$1:$1, 0)), ""), IF(val=0, "", val))</f>
        <v>3325</v>
      </c>
      <c r="L34" s="69">
        <f t="array" ref="L34">LET(val, IFERROR(INDEX('Weekly 쨈 raw'!$A:$AAQ, MATCH(L$3, 'Weekly 쨈 raw'!$A:$A, 0), MATCH($A34, 'Weekly 쨈 raw'!$1:$1, 0)), ""), IF(val=0, "", val))</f>
        <v>4814</v>
      </c>
      <c r="M34" s="69">
        <f t="array" ref="M34">LET(val, IFERROR(INDEX('Weekly 쨈 raw'!$A:$AAQ, MATCH(M$3, 'Weekly 쨈 raw'!$A:$A, 0), MATCH($A34, 'Weekly 쨈 raw'!$1:$1, 0)), ""), IF(val=0, "", val))</f>
        <v>3138</v>
      </c>
      <c r="N34" s="69">
        <f t="array" ref="N34">LET(val, IFERROR(INDEX('Weekly 쨈 raw'!$A:$AAQ, MATCH(N$3, 'Weekly 쨈 raw'!$A:$A, 0), MATCH($A34, 'Weekly 쨈 raw'!$1:$1, 0)), ""), IF(val=0, "", val))</f>
        <v>4308</v>
      </c>
      <c r="O34" s="69">
        <f t="array" ref="O34">LET(val, IFERROR(INDEX('Weekly 쨈 raw'!$A:$AAQ, MATCH(O$3, 'Weekly 쨈 raw'!$A:$A, 0), MATCH($A34, 'Weekly 쨈 raw'!$1:$1, 0)), ""), IF(val=0, "", val))</f>
        <v>4426</v>
      </c>
      <c r="P34" s="69" t="str">
        <f t="array" ref="P34">LET(val, IFERROR(INDEX('Weekly 쨈 raw'!$A:$AAQ, MATCH(P$3, 'Weekly 쨈 raw'!$A:$A, 0), MATCH($A34, 'Weekly 쨈 raw'!$1:$1, 0)), ""), IF(val=0, "", val))</f>
        <v/>
      </c>
      <c r="Q34" s="69" t="str">
        <f t="array" ref="Q34">IF(IFERROR(INDEX('Weekly 쨈 raw'!$A:$AAQ, MATCH(Q$3, 'Weekly 쨈 raw'!$A:$A, 0), MATCH($A34, 'Weekly 쨈 raw'!$1:$1, 0)), 0)=0, "", IFERROR(INDEX('Weekly 쨈 raw'!$A:$AAQ, MATCH(Q$3, 'Weekly 쨈 raw'!$A:$A, 0), MATCH($A34, 'Weekly 쨈 raw'!$1:$1, 0)), 0))</f>
        <v/>
      </c>
      <c r="R34" s="69" t="str">
        <f t="array" ref="R34">IF(IFERROR(INDEX('Weekly 쨈 raw'!$A:$AAQ, MATCH(R$3, 'Weekly 쨈 raw'!$A:$A, 0), MATCH($A34, 'Weekly 쨈 raw'!$1:$1, 0)), 0)=0, "", IFERROR(INDEX('Weekly 쨈 raw'!$A:$AAQ, MATCH(R$3, 'Weekly 쨈 raw'!$A:$A, 0), MATCH($A34, 'Weekly 쨈 raw'!$1:$1, 0)), 0))</f>
        <v/>
      </c>
      <c r="S34" s="69" t="str">
        <f t="array" ref="S34">IF(IFERROR(INDEX('Weekly 쨈 raw'!$A:$AAQ, MATCH(S$3, 'Weekly 쨈 raw'!$A:$A, 0), MATCH($A34, 'Weekly 쨈 raw'!$1:$1, 0)), 0)=0, "", IFERROR(INDEX('Weekly 쨈 raw'!$A:$AAQ, MATCH(S$3, 'Weekly 쨈 raw'!$A:$A, 0), MATCH($A34, 'Weekly 쨈 raw'!$1:$1, 0)), 0))</f>
        <v/>
      </c>
      <c r="T34" s="69" t="str">
        <f t="array" ref="T34">IF(IFERROR(INDEX('Weekly 쨈 raw'!$A:$AAQ, MATCH(T$3, 'Weekly 쨈 raw'!$A:$A, 0), MATCH($A34, 'Weekly 쨈 raw'!$1:$1, 0)), 0)=0, "", IFERROR(INDEX('Weekly 쨈 raw'!$A:$AAQ, MATCH(T$3, 'Weekly 쨈 raw'!$A:$A, 0), MATCH($A34, 'Weekly 쨈 raw'!$1:$1, 0)), 0))</f>
        <v/>
      </c>
      <c r="U34" s="69" t="str">
        <f t="array" ref="U34">IF(IFERROR(INDEX('Weekly 쨈 raw'!$A:$AAQ, MATCH(U$3, 'Weekly 쨈 raw'!$A:$A, 0), MATCH($A34, 'Weekly 쨈 raw'!$1:$1, 0)), 0)=0, "", IFERROR(INDEX('Weekly 쨈 raw'!$A:$AAQ, MATCH(U$3, 'Weekly 쨈 raw'!$A:$A, 0), MATCH($A34, 'Weekly 쨈 raw'!$1:$1, 0)), 0))</f>
        <v/>
      </c>
    </row>
    <row r="35" ht="18.75" customHeight="1">
      <c r="A35" s="16" t="s">
        <v>43</v>
      </c>
      <c r="B35" s="68" t="s">
        <v>44</v>
      </c>
      <c r="C35" s="69">
        <f t="array" ref="C35">LET(val, IFERROR(INDEX('Weekly 쨈 raw'!$A:$AAQ, MATCH(C$3, 'Weekly 쨈 raw'!$A:$A, 0), MATCH($A35, 'Weekly 쨈 raw'!$1:$1, 0)), ""), IF(val=0, "", val))</f>
        <v>1513</v>
      </c>
      <c r="D35" s="69">
        <f t="array" ref="D35">LET(val, IFERROR(INDEX('Weekly 쨈 raw'!$A:$AAQ, MATCH(D$3, 'Weekly 쨈 raw'!$A:$A, 0), MATCH($A35, 'Weekly 쨈 raw'!$1:$1, 0)), ""), IF(val=0, "", val))</f>
        <v>1775</v>
      </c>
      <c r="E35" s="69">
        <f t="array" ref="E35">LET(val, IFERROR(INDEX('Weekly 쨈 raw'!$A:$AAQ, MATCH(E$3, 'Weekly 쨈 raw'!$A:$A, 0), MATCH($A35, 'Weekly 쨈 raw'!$1:$1, 0)), ""), IF(val=0, "", val))</f>
        <v>1496</v>
      </c>
      <c r="F35" s="69">
        <f t="array" ref="F35">LET(val, IFERROR(INDEX('Weekly 쨈 raw'!$A:$AAQ, MATCH(F$3, 'Weekly 쨈 raw'!$A:$A, 0), MATCH($A35, 'Weekly 쨈 raw'!$1:$1, 0)), ""), IF(val=0, "", val))</f>
        <v>1056</v>
      </c>
      <c r="G35" s="69">
        <f t="array" ref="G35">LET(val, IFERROR(INDEX('Weekly 쨈 raw'!$A:$AAQ, MATCH(G$3, 'Weekly 쨈 raw'!$A:$A, 0), MATCH($A35, 'Weekly 쨈 raw'!$1:$1, 0)), ""), IF(val=0, "", val))</f>
        <v>1631</v>
      </c>
      <c r="H35" s="69">
        <f t="array" ref="H35">LET(val, IFERROR(INDEX('Weekly 쨈 raw'!$A:$AAQ, MATCH(H$3, 'Weekly 쨈 raw'!$A:$A, 0), MATCH($A35, 'Weekly 쨈 raw'!$1:$1, 0)), ""), IF(val=0, "", val))</f>
        <v>1052</v>
      </c>
      <c r="I35" s="69">
        <f t="array" ref="I35">LET(val, IFERROR(INDEX('Weekly 쨈 raw'!$A:$AAQ, MATCH(I$3, 'Weekly 쨈 raw'!$A:$A, 0), MATCH($A35, 'Weekly 쨈 raw'!$1:$1, 0)), ""), IF(val=0, "", val))</f>
        <v>770</v>
      </c>
      <c r="J35" s="69">
        <f t="array" ref="J35">LET(val, IFERROR(INDEX('Weekly 쨈 raw'!$A:$AAQ, MATCH(J$3, 'Weekly 쨈 raw'!$A:$A, 0), MATCH($A35, 'Weekly 쨈 raw'!$1:$1, 0)), ""), IF(val=0, "", val))</f>
        <v>937</v>
      </c>
      <c r="K35" s="69">
        <f t="array" ref="K35">LET(val, IFERROR(INDEX('Weekly 쨈 raw'!$A:$AAQ, MATCH(K$3, 'Weekly 쨈 raw'!$A:$A, 0), MATCH($A35, 'Weekly 쨈 raw'!$1:$1, 0)), ""), IF(val=0, "", val))</f>
        <v>1138</v>
      </c>
      <c r="L35" s="69">
        <f t="array" ref="L35">LET(val, IFERROR(INDEX('Weekly 쨈 raw'!$A:$AAQ, MATCH(L$3, 'Weekly 쨈 raw'!$A:$A, 0), MATCH($A35, 'Weekly 쨈 raw'!$1:$1, 0)), ""), IF(val=0, "", val))</f>
        <v>1129</v>
      </c>
      <c r="M35" s="69">
        <f t="array" ref="M35">LET(val, IFERROR(INDEX('Weekly 쨈 raw'!$A:$AAQ, MATCH(M$3, 'Weekly 쨈 raw'!$A:$A, 0), MATCH($A35, 'Weekly 쨈 raw'!$1:$1, 0)), ""), IF(val=0, "", val))</f>
        <v>1313</v>
      </c>
      <c r="N35" s="69">
        <f t="array" ref="N35">LET(val, IFERROR(INDEX('Weekly 쨈 raw'!$A:$AAQ, MATCH(N$3, 'Weekly 쨈 raw'!$A:$A, 0), MATCH($A35, 'Weekly 쨈 raw'!$1:$1, 0)), ""), IF(val=0, "", val))</f>
        <v>2886</v>
      </c>
      <c r="O35" s="69">
        <f t="array" ref="O35">LET(val, IFERROR(INDEX('Weekly 쨈 raw'!$A:$AAQ, MATCH(O$3, 'Weekly 쨈 raw'!$A:$A, 0), MATCH($A35, 'Weekly 쨈 raw'!$1:$1, 0)), ""), IF(val=0, "", val))</f>
        <v>3496</v>
      </c>
      <c r="P35" s="69" t="str">
        <f t="array" ref="P35">LET(val, IFERROR(INDEX('Weekly 쨈 raw'!$A:$AAQ, MATCH(P$3, 'Weekly 쨈 raw'!$A:$A, 0), MATCH($A35, 'Weekly 쨈 raw'!$1:$1, 0)), ""), IF(val=0, "", val))</f>
        <v/>
      </c>
      <c r="Q35" s="69" t="str">
        <f t="array" ref="Q35">IF(IFERROR(INDEX('Weekly 쨈 raw'!$A:$AAQ, MATCH(Q$3, 'Weekly 쨈 raw'!$A:$A, 0), MATCH($A35, 'Weekly 쨈 raw'!$1:$1, 0)), 0)=0, "", IFERROR(INDEX('Weekly 쨈 raw'!$A:$AAQ, MATCH(Q$3, 'Weekly 쨈 raw'!$A:$A, 0), MATCH($A35, 'Weekly 쨈 raw'!$1:$1, 0)), 0))</f>
        <v/>
      </c>
      <c r="R35" s="69" t="str">
        <f t="array" ref="R35">IF(IFERROR(INDEX('Weekly 쨈 raw'!$A:$AAQ, MATCH(R$3, 'Weekly 쨈 raw'!$A:$A, 0), MATCH($A35, 'Weekly 쨈 raw'!$1:$1, 0)), 0)=0, "", IFERROR(INDEX('Weekly 쨈 raw'!$A:$AAQ, MATCH(R$3, 'Weekly 쨈 raw'!$A:$A, 0), MATCH($A35, 'Weekly 쨈 raw'!$1:$1, 0)), 0))</f>
        <v/>
      </c>
      <c r="S35" s="69" t="str">
        <f t="array" ref="S35">IF(IFERROR(INDEX('Weekly 쨈 raw'!$A:$AAQ, MATCH(S$3, 'Weekly 쨈 raw'!$A:$A, 0), MATCH($A35, 'Weekly 쨈 raw'!$1:$1, 0)), 0)=0, "", IFERROR(INDEX('Weekly 쨈 raw'!$A:$AAQ, MATCH(S$3, 'Weekly 쨈 raw'!$A:$A, 0), MATCH($A35, 'Weekly 쨈 raw'!$1:$1, 0)), 0))</f>
        <v/>
      </c>
      <c r="T35" s="69" t="str">
        <f t="array" ref="T35">IF(IFERROR(INDEX('Weekly 쨈 raw'!$A:$AAQ, MATCH(T$3, 'Weekly 쨈 raw'!$A:$A, 0), MATCH($A35, 'Weekly 쨈 raw'!$1:$1, 0)), 0)=0, "", IFERROR(INDEX('Weekly 쨈 raw'!$A:$AAQ, MATCH(T$3, 'Weekly 쨈 raw'!$A:$A, 0), MATCH($A35, 'Weekly 쨈 raw'!$1:$1, 0)), 0))</f>
        <v/>
      </c>
      <c r="U35" s="69" t="str">
        <f t="array" ref="U35">IF(IFERROR(INDEX('Weekly 쨈 raw'!$A:$AAQ, MATCH(U$3, 'Weekly 쨈 raw'!$A:$A, 0), MATCH($A35, 'Weekly 쨈 raw'!$1:$1, 0)), 0)=0, "", IFERROR(INDEX('Weekly 쨈 raw'!$A:$AAQ, MATCH(U$3, 'Weekly 쨈 raw'!$A:$A, 0), MATCH($A35, 'Weekly 쨈 raw'!$1:$1, 0)), 0))</f>
        <v/>
      </c>
    </row>
    <row r="36" ht="18.75" customHeight="1">
      <c r="A36" s="16" t="s">
        <v>45</v>
      </c>
      <c r="B36" s="68" t="s">
        <v>22</v>
      </c>
      <c r="C36" s="69">
        <f t="array" ref="C36">LET(val, IFERROR(INDEX('Weekly 쨈 raw'!$A:$AAQ, MATCH(C$3, 'Weekly 쨈 raw'!$A:$A, 0), MATCH($A36, 'Weekly 쨈 raw'!$1:$1, 0)), ""), IF(val=0, "", val))</f>
        <v>756</v>
      </c>
      <c r="D36" s="69">
        <f t="array" ref="D36">LET(val, IFERROR(INDEX('Weekly 쨈 raw'!$A:$AAQ, MATCH(D$3, 'Weekly 쨈 raw'!$A:$A, 0), MATCH($A36, 'Weekly 쨈 raw'!$1:$1, 0)), ""), IF(val=0, "", val))</f>
        <v>500</v>
      </c>
      <c r="E36" s="69">
        <f t="array" ref="E36">LET(val, IFERROR(INDEX('Weekly 쨈 raw'!$A:$AAQ, MATCH(E$3, 'Weekly 쨈 raw'!$A:$A, 0), MATCH($A36, 'Weekly 쨈 raw'!$1:$1, 0)), ""), IF(val=0, "", val))</f>
        <v>432</v>
      </c>
      <c r="F36" s="69">
        <f t="array" ref="F36">LET(val, IFERROR(INDEX('Weekly 쨈 raw'!$A:$AAQ, MATCH(F$3, 'Weekly 쨈 raw'!$A:$A, 0), MATCH($A36, 'Weekly 쨈 raw'!$1:$1, 0)), ""), IF(val=0, "", val))</f>
        <v>252</v>
      </c>
      <c r="G36" s="69">
        <f t="array" ref="G36">LET(val, IFERROR(INDEX('Weekly 쨈 raw'!$A:$AAQ, MATCH(G$3, 'Weekly 쨈 raw'!$A:$A, 0), MATCH($A36, 'Weekly 쨈 raw'!$1:$1, 0)), ""), IF(val=0, "", val))</f>
        <v>528</v>
      </c>
      <c r="H36" s="69">
        <f t="array" ref="H36">LET(val, IFERROR(INDEX('Weekly 쨈 raw'!$A:$AAQ, MATCH(H$3, 'Weekly 쨈 raw'!$A:$A, 0), MATCH($A36, 'Weekly 쨈 raw'!$1:$1, 0)), ""), IF(val=0, "", val))</f>
        <v>277</v>
      </c>
      <c r="I36" s="69">
        <f t="array" ref="I36">LET(val, IFERROR(INDEX('Weekly 쨈 raw'!$A:$AAQ, MATCH(I$3, 'Weekly 쨈 raw'!$A:$A, 0), MATCH($A36, 'Weekly 쨈 raw'!$1:$1, 0)), ""), IF(val=0, "", val))</f>
        <v>162</v>
      </c>
      <c r="J36" s="69">
        <f t="array" ref="J36">LET(val, IFERROR(INDEX('Weekly 쨈 raw'!$A:$AAQ, MATCH(J$3, 'Weekly 쨈 raw'!$A:$A, 0), MATCH($A36, 'Weekly 쨈 raw'!$1:$1, 0)), ""), IF(val=0, "", val))</f>
        <v>143</v>
      </c>
      <c r="K36" s="69">
        <f t="array" ref="K36">LET(val, IFERROR(INDEX('Weekly 쨈 raw'!$A:$AAQ, MATCH(K$3, 'Weekly 쨈 raw'!$A:$A, 0), MATCH($A36, 'Weekly 쨈 raw'!$1:$1, 0)), ""), IF(val=0, "", val))</f>
        <v>151</v>
      </c>
      <c r="L36" s="69">
        <f t="array" ref="L36">LET(val, IFERROR(INDEX('Weekly 쨈 raw'!$A:$AAQ, MATCH(L$3, 'Weekly 쨈 raw'!$A:$A, 0), MATCH($A36, 'Weekly 쨈 raw'!$1:$1, 0)), ""), IF(val=0, "", val))</f>
        <v>207</v>
      </c>
      <c r="M36" s="69">
        <f t="array" ref="M36">LET(val, IFERROR(INDEX('Weekly 쨈 raw'!$A:$AAQ, MATCH(M$3, 'Weekly 쨈 raw'!$A:$A, 0), MATCH($A36, 'Weekly 쨈 raw'!$1:$1, 0)), ""), IF(val=0, "", val))</f>
        <v>651</v>
      </c>
      <c r="N36" s="69">
        <f t="array" ref="N36">LET(val, IFERROR(INDEX('Weekly 쨈 raw'!$A:$AAQ, MATCH(N$3, 'Weekly 쨈 raw'!$A:$A, 0), MATCH($A36, 'Weekly 쨈 raw'!$1:$1, 0)), ""), IF(val=0, "", val))</f>
        <v>1587</v>
      </c>
      <c r="O36" s="69">
        <f t="array" ref="O36">LET(val, IFERROR(INDEX('Weekly 쨈 raw'!$A:$AAQ, MATCH(O$3, 'Weekly 쨈 raw'!$A:$A, 0), MATCH($A36, 'Weekly 쨈 raw'!$1:$1, 0)), ""), IF(val=0, "", val))</f>
        <v>1566</v>
      </c>
      <c r="P36" s="69" t="str">
        <f t="array" ref="P36">LET(val, IFERROR(INDEX('Weekly 쨈 raw'!$A:$AAQ, MATCH(P$3, 'Weekly 쨈 raw'!$A:$A, 0), MATCH($A36, 'Weekly 쨈 raw'!$1:$1, 0)), ""), IF(val=0, "", val))</f>
        <v/>
      </c>
      <c r="Q36" s="69" t="str">
        <f t="array" ref="Q36">IF(IFERROR(INDEX('Weekly 쨈 raw'!$A:$AAQ, MATCH(Q$3, 'Weekly 쨈 raw'!$A:$A, 0), MATCH($A36, 'Weekly 쨈 raw'!$1:$1, 0)), 0)=0, "", IFERROR(INDEX('Weekly 쨈 raw'!$A:$AAQ, MATCH(Q$3, 'Weekly 쨈 raw'!$A:$A, 0), MATCH($A36, 'Weekly 쨈 raw'!$1:$1, 0)), 0))</f>
        <v/>
      </c>
      <c r="R36" s="69" t="str">
        <f t="array" ref="R36">IF(IFERROR(INDEX('Weekly 쨈 raw'!$A:$AAQ, MATCH(R$3, 'Weekly 쨈 raw'!$A:$A, 0), MATCH($A36, 'Weekly 쨈 raw'!$1:$1, 0)), 0)=0, "", IFERROR(INDEX('Weekly 쨈 raw'!$A:$AAQ, MATCH(R$3, 'Weekly 쨈 raw'!$A:$A, 0), MATCH($A36, 'Weekly 쨈 raw'!$1:$1, 0)), 0))</f>
        <v/>
      </c>
      <c r="S36" s="69" t="str">
        <f t="array" ref="S36">IF(IFERROR(INDEX('Weekly 쨈 raw'!$A:$AAQ, MATCH(S$3, 'Weekly 쨈 raw'!$A:$A, 0), MATCH($A36, 'Weekly 쨈 raw'!$1:$1, 0)), 0)=0, "", IFERROR(INDEX('Weekly 쨈 raw'!$A:$AAQ, MATCH(S$3, 'Weekly 쨈 raw'!$A:$A, 0), MATCH($A36, 'Weekly 쨈 raw'!$1:$1, 0)), 0))</f>
        <v/>
      </c>
      <c r="T36" s="69" t="str">
        <f t="array" ref="T36">IF(IFERROR(INDEX('Weekly 쨈 raw'!$A:$AAQ, MATCH(T$3, 'Weekly 쨈 raw'!$A:$A, 0), MATCH($A36, 'Weekly 쨈 raw'!$1:$1, 0)), 0)=0, "", IFERROR(INDEX('Weekly 쨈 raw'!$A:$AAQ, MATCH(T$3, 'Weekly 쨈 raw'!$A:$A, 0), MATCH($A36, 'Weekly 쨈 raw'!$1:$1, 0)), 0))</f>
        <v/>
      </c>
      <c r="U36" s="69" t="str">
        <f t="array" ref="U36">IF(IFERROR(INDEX('Weekly 쨈 raw'!$A:$AAQ, MATCH(U$3, 'Weekly 쨈 raw'!$A:$A, 0), MATCH($A36, 'Weekly 쨈 raw'!$1:$1, 0)), 0)=0, "", IFERROR(INDEX('Weekly 쨈 raw'!$A:$AAQ, MATCH(U$3, 'Weekly 쨈 raw'!$A:$A, 0), MATCH($A36, 'Weekly 쨈 raw'!$1:$1, 0)), 0))</f>
        <v/>
      </c>
    </row>
    <row r="37" ht="18.75" customHeight="1">
      <c r="A37" s="16" t="s">
        <v>46</v>
      </c>
      <c r="B37" s="68" t="s">
        <v>47</v>
      </c>
      <c r="C37" s="69">
        <f t="array" ref="C37">LET(val, IFERROR(INDEX('Weekly 쨈 raw'!$A:$AAQ, MATCH(C$3, 'Weekly 쨈 raw'!$A:$A, 0), MATCH($A37, 'Weekly 쨈 raw'!$1:$1, 0)), ""), IF(val=0, "", val))</f>
        <v>400</v>
      </c>
      <c r="D37" s="69">
        <f t="array" ref="D37">LET(val, IFERROR(INDEX('Weekly 쨈 raw'!$A:$AAQ, MATCH(D$3, 'Weekly 쨈 raw'!$A:$A, 0), MATCH($A37, 'Weekly 쨈 raw'!$1:$1, 0)), ""), IF(val=0, "", val))</f>
        <v>582</v>
      </c>
      <c r="E37" s="69">
        <f t="array" ref="E37">LET(val, IFERROR(INDEX('Weekly 쨈 raw'!$A:$AAQ, MATCH(E$3, 'Weekly 쨈 raw'!$A:$A, 0), MATCH($A37, 'Weekly 쨈 raw'!$1:$1, 0)), ""), IF(val=0, "", val))</f>
        <v>483</v>
      </c>
      <c r="F37" s="69">
        <f t="array" ref="F37">LET(val, IFERROR(INDEX('Weekly 쨈 raw'!$A:$AAQ, MATCH(F$3, 'Weekly 쨈 raw'!$A:$A, 0), MATCH($A37, 'Weekly 쨈 raw'!$1:$1, 0)), ""), IF(val=0, "", val))</f>
        <v>327</v>
      </c>
      <c r="G37" s="69">
        <f t="array" ref="G37">LET(val, IFERROR(INDEX('Weekly 쨈 raw'!$A:$AAQ, MATCH(G$3, 'Weekly 쨈 raw'!$A:$A, 0), MATCH($A37, 'Weekly 쨈 raw'!$1:$1, 0)), ""), IF(val=0, "", val))</f>
        <v>690</v>
      </c>
      <c r="H37" s="69">
        <f t="array" ref="H37">LET(val, IFERROR(INDEX('Weekly 쨈 raw'!$A:$AAQ, MATCH(H$3, 'Weekly 쨈 raw'!$A:$A, 0), MATCH($A37, 'Weekly 쨈 raw'!$1:$1, 0)), ""), IF(val=0, "", val))</f>
        <v>350</v>
      </c>
      <c r="I37" s="69">
        <f t="array" ref="I37">LET(val, IFERROR(INDEX('Weekly 쨈 raw'!$A:$AAQ, MATCH(I$3, 'Weekly 쨈 raw'!$A:$A, 0), MATCH($A37, 'Weekly 쨈 raw'!$1:$1, 0)), ""), IF(val=0, "", val))</f>
        <v>189</v>
      </c>
      <c r="J37" s="69">
        <f t="array" ref="J37">LET(val, IFERROR(INDEX('Weekly 쨈 raw'!$A:$AAQ, MATCH(J$3, 'Weekly 쨈 raw'!$A:$A, 0), MATCH($A37, 'Weekly 쨈 raw'!$1:$1, 0)), ""), IF(val=0, "", val))</f>
        <v>263</v>
      </c>
      <c r="K37" s="69">
        <f t="array" ref="K37">LET(val, IFERROR(INDEX('Weekly 쨈 raw'!$A:$AAQ, MATCH(K$3, 'Weekly 쨈 raw'!$A:$A, 0), MATCH($A37, 'Weekly 쨈 raw'!$1:$1, 0)), ""), IF(val=0, "", val))</f>
        <v>270</v>
      </c>
      <c r="L37" s="69">
        <f t="array" ref="L37">LET(val, IFERROR(INDEX('Weekly 쨈 raw'!$A:$AAQ, MATCH(L$3, 'Weekly 쨈 raw'!$A:$A, 0), MATCH($A37, 'Weekly 쨈 raw'!$1:$1, 0)), ""), IF(val=0, "", val))</f>
        <v>265</v>
      </c>
      <c r="M37" s="69">
        <f t="array" ref="M37">LET(val, IFERROR(INDEX('Weekly 쨈 raw'!$A:$AAQ, MATCH(M$3, 'Weekly 쨈 raw'!$A:$A, 0), MATCH($A37, 'Weekly 쨈 raw'!$1:$1, 0)), ""), IF(val=0, "", val))</f>
        <v>651</v>
      </c>
      <c r="N37" s="69">
        <f t="array" ref="N37">LET(val, IFERROR(INDEX('Weekly 쨈 raw'!$A:$AAQ, MATCH(N$3, 'Weekly 쨈 raw'!$A:$A, 0), MATCH($A37, 'Weekly 쨈 raw'!$1:$1, 0)), ""), IF(val=0, "", val))</f>
        <v>1602</v>
      </c>
      <c r="O37" s="69">
        <f t="array" ref="O37">LET(val, IFERROR(INDEX('Weekly 쨈 raw'!$A:$AAQ, MATCH(O$3, 'Weekly 쨈 raw'!$A:$A, 0), MATCH($A37, 'Weekly 쨈 raw'!$1:$1, 0)), ""), IF(val=0, "", val))</f>
        <v>1947</v>
      </c>
      <c r="P37" s="69" t="str">
        <f t="array" ref="P37">LET(val, IFERROR(INDEX('Weekly 쨈 raw'!$A:$AAQ, MATCH(P$3, 'Weekly 쨈 raw'!$A:$A, 0), MATCH($A37, 'Weekly 쨈 raw'!$1:$1, 0)), ""), IF(val=0, "", val))</f>
        <v/>
      </c>
      <c r="Q37" s="69" t="str">
        <f t="array" ref="Q37">IF(IFERROR(INDEX('Weekly 쨈 raw'!$A:$AAQ, MATCH(Q$3, 'Weekly 쨈 raw'!$A:$A, 0), MATCH($A37, 'Weekly 쨈 raw'!$1:$1, 0)), 0)=0, "", IFERROR(INDEX('Weekly 쨈 raw'!$A:$AAQ, MATCH(Q$3, 'Weekly 쨈 raw'!$A:$A, 0), MATCH($A37, 'Weekly 쨈 raw'!$1:$1, 0)), 0))</f>
        <v/>
      </c>
      <c r="R37" s="69" t="str">
        <f t="array" ref="R37">IF(IFERROR(INDEX('Weekly 쨈 raw'!$A:$AAQ, MATCH(R$3, 'Weekly 쨈 raw'!$A:$A, 0), MATCH($A37, 'Weekly 쨈 raw'!$1:$1, 0)), 0)=0, "", IFERROR(INDEX('Weekly 쨈 raw'!$A:$AAQ, MATCH(R$3, 'Weekly 쨈 raw'!$A:$A, 0), MATCH($A37, 'Weekly 쨈 raw'!$1:$1, 0)), 0))</f>
        <v/>
      </c>
      <c r="S37" s="69" t="str">
        <f t="array" ref="S37">IF(IFERROR(INDEX('Weekly 쨈 raw'!$A:$AAQ, MATCH(S$3, 'Weekly 쨈 raw'!$A:$A, 0), MATCH($A37, 'Weekly 쨈 raw'!$1:$1, 0)), 0)=0, "", IFERROR(INDEX('Weekly 쨈 raw'!$A:$AAQ, MATCH(S$3, 'Weekly 쨈 raw'!$A:$A, 0), MATCH($A37, 'Weekly 쨈 raw'!$1:$1, 0)), 0))</f>
        <v/>
      </c>
      <c r="T37" s="69" t="str">
        <f t="array" ref="T37">IF(IFERROR(INDEX('Weekly 쨈 raw'!$A:$AAQ, MATCH(T$3, 'Weekly 쨈 raw'!$A:$A, 0), MATCH($A37, 'Weekly 쨈 raw'!$1:$1, 0)), 0)=0, "", IFERROR(INDEX('Weekly 쨈 raw'!$A:$AAQ, MATCH(T$3, 'Weekly 쨈 raw'!$A:$A, 0), MATCH($A37, 'Weekly 쨈 raw'!$1:$1, 0)), 0))</f>
        <v/>
      </c>
      <c r="U37" s="69" t="str">
        <f t="array" ref="U37">IF(IFERROR(INDEX('Weekly 쨈 raw'!$A:$AAQ, MATCH(U$3, 'Weekly 쨈 raw'!$A:$A, 0), MATCH($A37, 'Weekly 쨈 raw'!$1:$1, 0)), 0)=0, "", IFERROR(INDEX('Weekly 쨈 raw'!$A:$AAQ, MATCH(U$3, 'Weekly 쨈 raw'!$A:$A, 0), MATCH($A37, 'Weekly 쨈 raw'!$1:$1, 0)), 0))</f>
        <v/>
      </c>
    </row>
    <row r="38" ht="18.75" customHeight="1">
      <c r="A38" s="16" t="s">
        <v>48</v>
      </c>
      <c r="B38" s="68" t="s">
        <v>20</v>
      </c>
      <c r="C38" s="69">
        <f t="array" ref="C38">LET(val, IFERROR(INDEX('Weekly 쨈 raw'!$A:$AAQ, MATCH(C$3, 'Weekly 쨈 raw'!$A:$A, 0), MATCH($A38, 'Weekly 쨈 raw'!$1:$1, 0)), ""), IF(val=0, "", val))</f>
        <v>55</v>
      </c>
      <c r="D38" s="69">
        <f t="array" ref="D38">LET(val, IFERROR(INDEX('Weekly 쨈 raw'!$A:$AAQ, MATCH(D$3, 'Weekly 쨈 raw'!$A:$A, 0), MATCH($A38, 'Weekly 쨈 raw'!$1:$1, 0)), ""), IF(val=0, "", val))</f>
        <v>106</v>
      </c>
      <c r="E38" s="69">
        <f t="array" ref="E38">LET(val, IFERROR(INDEX('Weekly 쨈 raw'!$A:$AAQ, MATCH(E$3, 'Weekly 쨈 raw'!$A:$A, 0), MATCH($A38, 'Weekly 쨈 raw'!$1:$1, 0)), ""), IF(val=0, "", val))</f>
        <v>86</v>
      </c>
      <c r="F38" s="69">
        <f t="array" ref="F38">LET(val, IFERROR(INDEX('Weekly 쨈 raw'!$A:$AAQ, MATCH(F$3, 'Weekly 쨈 raw'!$A:$A, 0), MATCH($A38, 'Weekly 쨈 raw'!$1:$1, 0)), ""), IF(val=0, "", val))</f>
        <v>51</v>
      </c>
      <c r="G38" s="69">
        <f t="array" ref="G38">LET(val, IFERROR(INDEX('Weekly 쨈 raw'!$A:$AAQ, MATCH(G$3, 'Weekly 쨈 raw'!$A:$A, 0), MATCH($A38, 'Weekly 쨈 raw'!$1:$1, 0)), ""), IF(val=0, "", val))</f>
        <v>164</v>
      </c>
      <c r="H38" s="69">
        <f t="array" ref="H38">LET(val, IFERROR(INDEX('Weekly 쨈 raw'!$A:$AAQ, MATCH(H$3, 'Weekly 쨈 raw'!$A:$A, 0), MATCH($A38, 'Weekly 쨈 raw'!$1:$1, 0)), ""), IF(val=0, "", val))</f>
        <v>71</v>
      </c>
      <c r="I38" s="69">
        <f t="array" ref="I38">LET(val, IFERROR(INDEX('Weekly 쨈 raw'!$A:$AAQ, MATCH(I$3, 'Weekly 쨈 raw'!$A:$A, 0), MATCH($A38, 'Weekly 쨈 raw'!$1:$1, 0)), ""), IF(val=0, "", val))</f>
        <v>34</v>
      </c>
      <c r="J38" s="69">
        <f t="array" ref="J38">LET(val, IFERROR(INDEX('Weekly 쨈 raw'!$A:$AAQ, MATCH(J$3, 'Weekly 쨈 raw'!$A:$A, 0), MATCH($A38, 'Weekly 쨈 raw'!$1:$1, 0)), ""), IF(val=0, "", val))</f>
        <v>43</v>
      </c>
      <c r="K38" s="69">
        <f t="array" ref="K38">LET(val, IFERROR(INDEX('Weekly 쨈 raw'!$A:$AAQ, MATCH(K$3, 'Weekly 쨈 raw'!$A:$A, 0), MATCH($A38, 'Weekly 쨈 raw'!$1:$1, 0)), ""), IF(val=0, "", val))</f>
        <v>34</v>
      </c>
      <c r="L38" s="69">
        <f t="array" ref="L38">LET(val, IFERROR(INDEX('Weekly 쨈 raw'!$A:$AAQ, MATCH(L$3, 'Weekly 쨈 raw'!$A:$A, 0), MATCH($A38, 'Weekly 쨈 raw'!$1:$1, 0)), ""), IF(val=0, "", val))</f>
        <v>20</v>
      </c>
      <c r="M38" s="69">
        <f t="array" ref="M38">LET(val, IFERROR(INDEX('Weekly 쨈 raw'!$A:$AAQ, MATCH(M$3, 'Weekly 쨈 raw'!$A:$A, 0), MATCH($A38, 'Weekly 쨈 raw'!$1:$1, 0)), ""), IF(val=0, "", val))</f>
        <v>85</v>
      </c>
      <c r="N38" s="69">
        <f t="array" ref="N38">LET(val, IFERROR(INDEX('Weekly 쨈 raw'!$A:$AAQ, MATCH(N$3, 'Weekly 쨈 raw'!$A:$A, 0), MATCH($A38, 'Weekly 쨈 raw'!$1:$1, 0)), ""), IF(val=0, "", val))</f>
        <v>260</v>
      </c>
      <c r="O38" s="69">
        <f t="array" ref="O38">LET(val, IFERROR(INDEX('Weekly 쨈 raw'!$A:$AAQ, MATCH(O$3, 'Weekly 쨈 raw'!$A:$A, 0), MATCH($A38, 'Weekly 쨈 raw'!$1:$1, 0)), ""), IF(val=0, "", val))</f>
        <v>371</v>
      </c>
      <c r="P38" s="69" t="str">
        <f t="array" ref="P38">LET(val, IFERROR(INDEX('Weekly 쨈 raw'!$A:$AAQ, MATCH(P$3, 'Weekly 쨈 raw'!$A:$A, 0), MATCH($A38, 'Weekly 쨈 raw'!$1:$1, 0)), ""), IF(val=0, "", val))</f>
        <v/>
      </c>
      <c r="Q38" s="69" t="str">
        <f t="array" ref="Q38">IF(IFERROR(INDEX('Weekly 쨈 raw'!$A:$AAQ, MATCH(Q$3, 'Weekly 쨈 raw'!$A:$A, 0), MATCH($A38, 'Weekly 쨈 raw'!$1:$1, 0)), 0)=0, "", IFERROR(INDEX('Weekly 쨈 raw'!$A:$AAQ, MATCH(Q$3, 'Weekly 쨈 raw'!$A:$A, 0), MATCH($A38, 'Weekly 쨈 raw'!$1:$1, 0)), 0))</f>
        <v/>
      </c>
      <c r="R38" s="69" t="str">
        <f t="array" ref="R38">IF(IFERROR(INDEX('Weekly 쨈 raw'!$A:$AAQ, MATCH(R$3, 'Weekly 쨈 raw'!$A:$A, 0), MATCH($A38, 'Weekly 쨈 raw'!$1:$1, 0)), 0)=0, "", IFERROR(INDEX('Weekly 쨈 raw'!$A:$AAQ, MATCH(R$3, 'Weekly 쨈 raw'!$A:$A, 0), MATCH($A38, 'Weekly 쨈 raw'!$1:$1, 0)), 0))</f>
        <v/>
      </c>
      <c r="S38" s="69" t="str">
        <f t="array" ref="S38">IF(IFERROR(INDEX('Weekly 쨈 raw'!$A:$AAQ, MATCH(S$3, 'Weekly 쨈 raw'!$A:$A, 0), MATCH($A38, 'Weekly 쨈 raw'!$1:$1, 0)), 0)=0, "", IFERROR(INDEX('Weekly 쨈 raw'!$A:$AAQ, MATCH(S$3, 'Weekly 쨈 raw'!$A:$A, 0), MATCH($A38, 'Weekly 쨈 raw'!$1:$1, 0)), 0))</f>
        <v/>
      </c>
      <c r="T38" s="69" t="str">
        <f t="array" ref="T38">IF(IFERROR(INDEX('Weekly 쨈 raw'!$A:$AAQ, MATCH(T$3, 'Weekly 쨈 raw'!$A:$A, 0), MATCH($A38, 'Weekly 쨈 raw'!$1:$1, 0)), 0)=0, "", IFERROR(INDEX('Weekly 쨈 raw'!$A:$AAQ, MATCH(T$3, 'Weekly 쨈 raw'!$A:$A, 0), MATCH($A38, 'Weekly 쨈 raw'!$1:$1, 0)), 0))</f>
        <v/>
      </c>
      <c r="U38" s="69" t="str">
        <f t="array" ref="U38">IF(IFERROR(INDEX('Weekly 쨈 raw'!$A:$AAQ, MATCH(U$3, 'Weekly 쨈 raw'!$A:$A, 0), MATCH($A38, 'Weekly 쨈 raw'!$1:$1, 0)), 0)=0, "", IFERROR(INDEX('Weekly 쨈 raw'!$A:$AAQ, MATCH(U$3, 'Weekly 쨈 raw'!$A:$A, 0), MATCH($A38, 'Weekly 쨈 raw'!$1:$1, 0)), 0))</f>
        <v/>
      </c>
    </row>
    <row r="39">
      <c r="A39" s="16"/>
      <c r="B39" s="86" t="s">
        <v>49</v>
      </c>
      <c r="C39" s="69" t="str">
        <f t="array" ref="C39">LET(val, IFERROR(INDEX('Weekly 쨈 raw'!$A:$AAQ, MATCH(C$3, 'Weekly 쨈 raw'!$A:$A, 0), MATCH($A39, 'Weekly 쨈 raw'!$1:$1, 0)), ""), IF(val=0, "", val))</f>
        <v/>
      </c>
      <c r="D39" s="69" t="str">
        <f t="array" ref="D39">LET(val, IFERROR(INDEX('Weekly 쨈 raw'!$A:$AAQ, MATCH(D$3, 'Weekly 쨈 raw'!$A:$A, 0), MATCH($A39, 'Weekly 쨈 raw'!$1:$1, 0)), ""), IF(val=0, "", val))</f>
        <v/>
      </c>
      <c r="E39" s="69" t="str">
        <f t="array" ref="E39">LET(val, IFERROR(INDEX('Weekly 쨈 raw'!$A:$AAQ, MATCH(E$3, 'Weekly 쨈 raw'!$A:$A, 0), MATCH($A39, 'Weekly 쨈 raw'!$1:$1, 0)), ""), IF(val=0, "", val))</f>
        <v/>
      </c>
      <c r="F39" s="69" t="str">
        <f t="array" ref="F39">LET(val, IFERROR(INDEX('Weekly 쨈 raw'!$A:$AAQ, MATCH(F$3, 'Weekly 쨈 raw'!$A:$A, 0), MATCH($A39, 'Weekly 쨈 raw'!$1:$1, 0)), ""), IF(val=0, "", val))</f>
        <v/>
      </c>
      <c r="G39" s="69" t="str">
        <f t="array" ref="G39">LET(val, IFERROR(INDEX('Weekly 쨈 raw'!$A:$AAQ, MATCH(G$3, 'Weekly 쨈 raw'!$A:$A, 0), MATCH($A39, 'Weekly 쨈 raw'!$1:$1, 0)), ""), IF(val=0, "", val))</f>
        <v/>
      </c>
      <c r="H39" s="69" t="str">
        <f t="array" ref="H39">LET(val, IFERROR(INDEX('Weekly 쨈 raw'!$A:$AAQ, MATCH(H$3, 'Weekly 쨈 raw'!$A:$A, 0), MATCH($A39, 'Weekly 쨈 raw'!$1:$1, 0)), ""), IF(val=0, "", val))</f>
        <v/>
      </c>
      <c r="I39" s="69" t="str">
        <f t="array" ref="I39">LET(val, IFERROR(INDEX('Weekly 쨈 raw'!$A:$AAQ, MATCH(I$3, 'Weekly 쨈 raw'!$A:$A, 0), MATCH($A39, 'Weekly 쨈 raw'!$1:$1, 0)), ""), IF(val=0, "", val))</f>
        <v/>
      </c>
      <c r="J39" s="69" t="str">
        <f t="array" ref="J39">LET(val, IFERROR(INDEX('Weekly 쨈 raw'!$A:$AAQ, MATCH(J$3, 'Weekly 쨈 raw'!$A:$A, 0), MATCH($A39, 'Weekly 쨈 raw'!$1:$1, 0)), ""), IF(val=0, "", val))</f>
        <v/>
      </c>
      <c r="K39" s="69" t="str">
        <f t="array" ref="K39">LET(val, IFERROR(INDEX('Weekly 쨈 raw'!$A:$AAQ, MATCH(K$3, 'Weekly 쨈 raw'!$A:$A, 0), MATCH($A39, 'Weekly 쨈 raw'!$1:$1, 0)), ""), IF(val=0, "", val))</f>
        <v/>
      </c>
      <c r="L39" s="69" t="str">
        <f t="array" ref="L39">LET(val, IFERROR(INDEX('Weekly 쨈 raw'!$A:$AAQ, MATCH(L$3, 'Weekly 쨈 raw'!$A:$A, 0), MATCH($A39, 'Weekly 쨈 raw'!$1:$1, 0)), ""), IF(val=0, "", val))</f>
        <v/>
      </c>
      <c r="M39" s="69" t="str">
        <f t="array" ref="M39">LET(val, IFERROR(INDEX('Weekly 쨈 raw'!$A:$AAQ, MATCH(M$3, 'Weekly 쨈 raw'!$A:$A, 0), MATCH($A39, 'Weekly 쨈 raw'!$1:$1, 0)), ""), IF(val=0, "", val))</f>
        <v/>
      </c>
      <c r="N39" s="69" t="str">
        <f t="array" ref="N39">LET(val, IFERROR(INDEX('Weekly 쨈 raw'!$A:$AAQ, MATCH(N$3, 'Weekly 쨈 raw'!$A:$A, 0), MATCH($A39, 'Weekly 쨈 raw'!$1:$1, 0)), ""), IF(val=0, "", val))</f>
        <v/>
      </c>
      <c r="O39" s="69" t="str">
        <f t="array" ref="O39">LET(val, IFERROR(INDEX('Weekly 쨈 raw'!$A:$AAQ, MATCH(O$3, 'Weekly 쨈 raw'!$A:$A, 0), MATCH($A39, 'Weekly 쨈 raw'!$1:$1, 0)), ""), IF(val=0, "", val))</f>
        <v/>
      </c>
      <c r="P39" s="69" t="str">
        <f t="array" ref="P39">LET(val, IFERROR(INDEX('Weekly 쨈 raw'!$A:$AAQ, MATCH(P$3, 'Weekly 쨈 raw'!$A:$A, 0), MATCH($A39, 'Weekly 쨈 raw'!$1:$1, 0)), ""), IF(val=0, "", val))</f>
        <v/>
      </c>
      <c r="Q39" s="69" t="str">
        <f t="array" ref="Q39">IF(IFERROR(INDEX('Weekly 쨈 raw'!$A:$AAQ, MATCH(Q$3, 'Weekly 쨈 raw'!$A:$A, 0), MATCH($A39, 'Weekly 쨈 raw'!$1:$1, 0)), 0)=0, "", IFERROR(INDEX('Weekly 쨈 raw'!$A:$AAQ, MATCH(Q$3, 'Weekly 쨈 raw'!$A:$A, 0), MATCH($A39, 'Weekly 쨈 raw'!$1:$1, 0)), 0))</f>
        <v/>
      </c>
      <c r="R39" s="69" t="str">
        <f t="array" ref="R39">IF(IFERROR(INDEX('Weekly 쨈 raw'!$A:$AAQ, MATCH(R$3, 'Weekly 쨈 raw'!$A:$A, 0), MATCH($A39, 'Weekly 쨈 raw'!$1:$1, 0)), 0)=0, "", IFERROR(INDEX('Weekly 쨈 raw'!$A:$AAQ, MATCH(R$3, 'Weekly 쨈 raw'!$A:$A, 0), MATCH($A39, 'Weekly 쨈 raw'!$1:$1, 0)), 0))</f>
        <v/>
      </c>
      <c r="S39" s="69" t="str">
        <f t="array" ref="S39">IF(IFERROR(INDEX('Weekly 쨈 raw'!$A:$AAQ, MATCH(S$3, 'Weekly 쨈 raw'!$A:$A, 0), MATCH($A39, 'Weekly 쨈 raw'!$1:$1, 0)), 0)=0, "", IFERROR(INDEX('Weekly 쨈 raw'!$A:$AAQ, MATCH(S$3, 'Weekly 쨈 raw'!$A:$A, 0), MATCH($A39, 'Weekly 쨈 raw'!$1:$1, 0)), 0))</f>
        <v/>
      </c>
      <c r="T39" s="69" t="str">
        <f t="array" ref="T39">IF(IFERROR(INDEX('Weekly 쨈 raw'!$A:$AAQ, MATCH(T$3, 'Weekly 쨈 raw'!$A:$A, 0), MATCH($A39, 'Weekly 쨈 raw'!$1:$1, 0)), 0)=0, "", IFERROR(INDEX('Weekly 쨈 raw'!$A:$AAQ, MATCH(T$3, 'Weekly 쨈 raw'!$A:$A, 0), MATCH($A39, 'Weekly 쨈 raw'!$1:$1, 0)), 0))</f>
        <v/>
      </c>
      <c r="U39" s="69" t="str">
        <f t="array" ref="U39">IF(IFERROR(INDEX('Weekly 쨈 raw'!$A:$AAQ, MATCH(U$3, 'Weekly 쨈 raw'!$A:$A, 0), MATCH($A39, 'Weekly 쨈 raw'!$1:$1, 0)), 0)=0, "", IFERROR(INDEX('Weekly 쨈 raw'!$A:$AAQ, MATCH(U$3, 'Weekly 쨈 raw'!$A:$A, 0), MATCH($A39, 'Weekly 쨈 raw'!$1:$1, 0)), 0))</f>
        <v/>
      </c>
    </row>
    <row r="40">
      <c r="A40" s="16" t="s">
        <v>50</v>
      </c>
      <c r="B40" s="87" t="s">
        <v>42</v>
      </c>
      <c r="C40" s="69">
        <f t="array" ref="C40">LET(val, IFERROR(INDEX('Weekly 쨈 raw'!$A:$AAQ, MATCH(C$3, 'Weekly 쨈 raw'!$A:$A, 0), MATCH($A40, 'Weekly 쨈 raw'!$1:$1, 0)), ""), IF(val=0, "", val))</f>
        <v>28792</v>
      </c>
      <c r="D40" s="69">
        <f t="array" ref="D40">LET(val, IFERROR(INDEX('Weekly 쨈 raw'!$A:$AAQ, MATCH(D$3, 'Weekly 쨈 raw'!$A:$A, 0), MATCH($A40, 'Weekly 쨈 raw'!$1:$1, 0)), ""), IF(val=0, "", val))</f>
        <v>27887</v>
      </c>
      <c r="E40" s="69">
        <f t="array" ref="E40">LET(val, IFERROR(INDEX('Weekly 쨈 raw'!$A:$AAQ, MATCH(E$3, 'Weekly 쨈 raw'!$A:$A, 0), MATCH($A40, 'Weekly 쨈 raw'!$1:$1, 0)), ""), IF(val=0, "", val))</f>
        <v>23730</v>
      </c>
      <c r="F40" s="69">
        <f t="array" ref="F40">LET(val, IFERROR(INDEX('Weekly 쨈 raw'!$A:$AAQ, MATCH(F$3, 'Weekly 쨈 raw'!$A:$A, 0), MATCH($A40, 'Weekly 쨈 raw'!$1:$1, 0)), ""), IF(val=0, "", val))</f>
        <v>20477</v>
      </c>
      <c r="G40" s="69">
        <f t="array" ref="G40">LET(val, IFERROR(INDEX('Weekly 쨈 raw'!$A:$AAQ, MATCH(G$3, 'Weekly 쨈 raw'!$A:$A, 0), MATCH($A40, 'Weekly 쨈 raw'!$1:$1, 0)), ""), IF(val=0, "", val))</f>
        <v>34665</v>
      </c>
      <c r="H40" s="69">
        <f t="array" ref="H40">LET(val, IFERROR(INDEX('Weekly 쨈 raw'!$A:$AAQ, MATCH(H$3, 'Weekly 쨈 raw'!$A:$A, 0), MATCH($A40, 'Weekly 쨈 raw'!$1:$1, 0)), ""), IF(val=0, "", val))</f>
        <v>30002</v>
      </c>
      <c r="I40" s="69">
        <f t="array" ref="I40">LET(val, IFERROR(INDEX('Weekly 쨈 raw'!$A:$AAQ, MATCH(I$3, 'Weekly 쨈 raw'!$A:$A, 0), MATCH($A40, 'Weekly 쨈 raw'!$1:$1, 0)), ""), IF(val=0, "", val))</f>
        <v>25355</v>
      </c>
      <c r="J40" s="69">
        <f t="array" ref="J40">LET(val, IFERROR(INDEX('Weekly 쨈 raw'!$A:$AAQ, MATCH(J$3, 'Weekly 쨈 raw'!$A:$A, 0), MATCH($A40, 'Weekly 쨈 raw'!$1:$1, 0)), ""), IF(val=0, "", val))</f>
        <v>31876</v>
      </c>
      <c r="K40" s="69">
        <f t="array" ref="K40">LET(val, IFERROR(INDEX('Weekly 쨈 raw'!$A:$AAQ, MATCH(K$3, 'Weekly 쨈 raw'!$A:$A, 0), MATCH($A40, 'Weekly 쨈 raw'!$1:$1, 0)), ""), IF(val=0, "", val))</f>
        <v>40298</v>
      </c>
      <c r="L40" s="69">
        <f t="array" ref="L40">LET(val, IFERROR(INDEX('Weekly 쨈 raw'!$A:$AAQ, MATCH(L$3, 'Weekly 쨈 raw'!$A:$A, 0), MATCH($A40, 'Weekly 쨈 raw'!$1:$1, 0)), ""), IF(val=0, "", val))</f>
        <v>25725</v>
      </c>
      <c r="M40" s="69">
        <f t="array" ref="M40">LET(val, IFERROR(INDEX('Weekly 쨈 raw'!$A:$AAQ, MATCH(M$3, 'Weekly 쨈 raw'!$A:$A, 0), MATCH($A40, 'Weekly 쨈 raw'!$1:$1, 0)), ""), IF(val=0, "", val))</f>
        <v>9100</v>
      </c>
      <c r="N40" s="69">
        <f t="array" ref="N40">LET(val, IFERROR(INDEX('Weekly 쨈 raw'!$A:$AAQ, MATCH(N$3, 'Weekly 쨈 raw'!$A:$A, 0), MATCH($A40, 'Weekly 쨈 raw'!$1:$1, 0)), ""), IF(val=0, "", val))</f>
        <v>955</v>
      </c>
      <c r="O40" s="69">
        <f t="array" ref="O40">LET(val, IFERROR(INDEX('Weekly 쨈 raw'!$A:$AAQ, MATCH(O$3, 'Weekly 쨈 raw'!$A:$A, 0), MATCH($A40, 'Weekly 쨈 raw'!$1:$1, 0)), ""), IF(val=0, "", val))</f>
        <v>1754</v>
      </c>
      <c r="P40" s="69" t="str">
        <f t="array" ref="P40">LET(val, IFERROR(INDEX('Weekly 쨈 raw'!$A:$AAQ, MATCH(P$3, 'Weekly 쨈 raw'!$A:$A, 0), MATCH($A40, 'Weekly 쨈 raw'!$1:$1, 0)), ""), IF(val=0, "", val))</f>
        <v/>
      </c>
      <c r="Q40" s="69" t="str">
        <f t="array" ref="Q40">IF(IFERROR(INDEX('Weekly 쨈 raw'!$A:$AAQ, MATCH(Q$3, 'Weekly 쨈 raw'!$A:$A, 0), MATCH($A40, 'Weekly 쨈 raw'!$1:$1, 0)), 0)=0, "", IFERROR(INDEX('Weekly 쨈 raw'!$A:$AAQ, MATCH(Q$3, 'Weekly 쨈 raw'!$A:$A, 0), MATCH($A40, 'Weekly 쨈 raw'!$1:$1, 0)), 0))</f>
        <v/>
      </c>
      <c r="R40" s="69" t="str">
        <f t="array" ref="R40">IF(IFERROR(INDEX('Weekly 쨈 raw'!$A:$AAQ, MATCH(R$3, 'Weekly 쨈 raw'!$A:$A, 0), MATCH($A40, 'Weekly 쨈 raw'!$1:$1, 0)), 0)=0, "", IFERROR(INDEX('Weekly 쨈 raw'!$A:$AAQ, MATCH(R$3, 'Weekly 쨈 raw'!$A:$A, 0), MATCH($A40, 'Weekly 쨈 raw'!$1:$1, 0)), 0))</f>
        <v/>
      </c>
      <c r="S40" s="69" t="str">
        <f t="array" ref="S40">IF(IFERROR(INDEX('Weekly 쨈 raw'!$A:$AAQ, MATCH(S$3, 'Weekly 쨈 raw'!$A:$A, 0), MATCH($A40, 'Weekly 쨈 raw'!$1:$1, 0)), 0)=0, "", IFERROR(INDEX('Weekly 쨈 raw'!$A:$AAQ, MATCH(S$3, 'Weekly 쨈 raw'!$A:$A, 0), MATCH($A40, 'Weekly 쨈 raw'!$1:$1, 0)), 0))</f>
        <v/>
      </c>
      <c r="T40" s="69" t="str">
        <f t="array" ref="T40">IF(IFERROR(INDEX('Weekly 쨈 raw'!$A:$AAQ, MATCH(T$3, 'Weekly 쨈 raw'!$A:$A, 0), MATCH($A40, 'Weekly 쨈 raw'!$1:$1, 0)), 0)=0, "", IFERROR(INDEX('Weekly 쨈 raw'!$A:$AAQ, MATCH(T$3, 'Weekly 쨈 raw'!$A:$A, 0), MATCH($A40, 'Weekly 쨈 raw'!$1:$1, 0)), 0))</f>
        <v/>
      </c>
      <c r="U40" s="69" t="str">
        <f t="array" ref="U40">IF(IFERROR(INDEX('Weekly 쨈 raw'!$A:$AAQ, MATCH(U$3, 'Weekly 쨈 raw'!$A:$A, 0), MATCH($A40, 'Weekly 쨈 raw'!$1:$1, 0)), 0)=0, "", IFERROR(INDEX('Weekly 쨈 raw'!$A:$AAQ, MATCH(U$3, 'Weekly 쨈 raw'!$A:$A, 0), MATCH($A40, 'Weekly 쨈 raw'!$1:$1, 0)), 0))</f>
        <v/>
      </c>
    </row>
    <row r="41">
      <c r="A41" s="16" t="s">
        <v>51</v>
      </c>
      <c r="B41" s="87" t="s">
        <v>44</v>
      </c>
      <c r="C41" s="69">
        <f t="array" ref="C41">LET(val, IFERROR(INDEX('Weekly 쨈 raw'!$A:$AAQ, MATCH(C$3, 'Weekly 쨈 raw'!$A:$A, 0), MATCH($A41, 'Weekly 쨈 raw'!$1:$1, 0)), ""), IF(val=0, "", val))</f>
        <v>19226</v>
      </c>
      <c r="D41" s="69">
        <f t="array" ref="D41">LET(val, IFERROR(INDEX('Weekly 쨈 raw'!$A:$AAQ, MATCH(D$3, 'Weekly 쨈 raw'!$A:$A, 0), MATCH($A41, 'Weekly 쨈 raw'!$1:$1, 0)), ""), IF(val=0, "", val))</f>
        <v>18479</v>
      </c>
      <c r="E41" s="69">
        <f t="array" ref="E41">LET(val, IFERROR(INDEX('Weekly 쨈 raw'!$A:$AAQ, MATCH(E$3, 'Weekly 쨈 raw'!$A:$A, 0), MATCH($A41, 'Weekly 쨈 raw'!$1:$1, 0)), ""), IF(val=0, "", val))</f>
        <v>15611</v>
      </c>
      <c r="F41" s="69">
        <f t="array" ref="F41">LET(val, IFERROR(INDEX('Weekly 쨈 raw'!$A:$AAQ, MATCH(F$3, 'Weekly 쨈 raw'!$A:$A, 0), MATCH($A41, 'Weekly 쨈 raw'!$1:$1, 0)), ""), IF(val=0, "", val))</f>
        <v>12498</v>
      </c>
      <c r="G41" s="69">
        <f t="array" ref="G41">LET(val, IFERROR(INDEX('Weekly 쨈 raw'!$A:$AAQ, MATCH(G$3, 'Weekly 쨈 raw'!$A:$A, 0), MATCH($A41, 'Weekly 쨈 raw'!$1:$1, 0)), ""), IF(val=0, "", val))</f>
        <v>26370</v>
      </c>
      <c r="H41" s="69">
        <f t="array" ref="H41">LET(val, IFERROR(INDEX('Weekly 쨈 raw'!$A:$AAQ, MATCH(H$3, 'Weekly 쨈 raw'!$A:$A, 0), MATCH($A41, 'Weekly 쨈 raw'!$1:$1, 0)), ""), IF(val=0, "", val))</f>
        <v>20837</v>
      </c>
      <c r="I41" s="69">
        <f t="array" ref="I41">LET(val, IFERROR(INDEX('Weekly 쨈 raw'!$A:$AAQ, MATCH(I$3, 'Weekly 쨈 raw'!$A:$A, 0), MATCH($A41, 'Weekly 쨈 raw'!$1:$1, 0)), ""), IF(val=0, "", val))</f>
        <v>17817</v>
      </c>
      <c r="J41" s="69">
        <f t="array" ref="J41">LET(val, IFERROR(INDEX('Weekly 쨈 raw'!$A:$AAQ, MATCH(J$3, 'Weekly 쨈 raw'!$A:$A, 0), MATCH($A41, 'Weekly 쨈 raw'!$1:$1, 0)), ""), IF(val=0, "", val))</f>
        <v>22988</v>
      </c>
      <c r="K41" s="69">
        <f t="array" ref="K41">LET(val, IFERROR(INDEX('Weekly 쨈 raw'!$A:$AAQ, MATCH(K$3, 'Weekly 쨈 raw'!$A:$A, 0), MATCH($A41, 'Weekly 쨈 raw'!$1:$1, 0)), ""), IF(val=0, "", val))</f>
        <v>33386</v>
      </c>
      <c r="L41" s="69">
        <f t="array" ref="L41">LET(val, IFERROR(INDEX('Weekly 쨈 raw'!$A:$AAQ, MATCH(L$3, 'Weekly 쨈 raw'!$A:$A, 0), MATCH($A41, 'Weekly 쨈 raw'!$1:$1, 0)), ""), IF(val=0, "", val))</f>
        <v>16498</v>
      </c>
      <c r="M41" s="69">
        <f t="array" ref="M41">LET(val, IFERROR(INDEX('Weekly 쨈 raw'!$A:$AAQ, MATCH(M$3, 'Weekly 쨈 raw'!$A:$A, 0), MATCH($A41, 'Weekly 쨈 raw'!$1:$1, 0)), ""), IF(val=0, "", val))</f>
        <v>6024</v>
      </c>
      <c r="N41" s="69">
        <f t="array" ref="N41">LET(val, IFERROR(INDEX('Weekly 쨈 raw'!$A:$AAQ, MATCH(N$3, 'Weekly 쨈 raw'!$A:$A, 0), MATCH($A41, 'Weekly 쨈 raw'!$1:$1, 0)), ""), IF(val=0, "", val))</f>
        <v>776</v>
      </c>
      <c r="O41" s="69">
        <f t="array" ref="O41">LET(val, IFERROR(INDEX('Weekly 쨈 raw'!$A:$AAQ, MATCH(O$3, 'Weekly 쨈 raw'!$A:$A, 0), MATCH($A41, 'Weekly 쨈 raw'!$1:$1, 0)), ""), IF(val=0, "", val))</f>
        <v>1464</v>
      </c>
      <c r="P41" s="69" t="str">
        <f t="array" ref="P41">LET(val, IFERROR(INDEX('Weekly 쨈 raw'!$A:$AAQ, MATCH(P$3, 'Weekly 쨈 raw'!$A:$A, 0), MATCH($A41, 'Weekly 쨈 raw'!$1:$1, 0)), ""), IF(val=0, "", val))</f>
        <v/>
      </c>
      <c r="Q41" s="69" t="str">
        <f t="array" ref="Q41">IF(IFERROR(INDEX('Weekly 쨈 raw'!$A:$AAQ, MATCH(Q$3, 'Weekly 쨈 raw'!$A:$A, 0), MATCH($A41, 'Weekly 쨈 raw'!$1:$1, 0)), 0)=0, "", IFERROR(INDEX('Weekly 쨈 raw'!$A:$AAQ, MATCH(Q$3, 'Weekly 쨈 raw'!$A:$A, 0), MATCH($A41, 'Weekly 쨈 raw'!$1:$1, 0)), 0))</f>
        <v/>
      </c>
      <c r="R41" s="69" t="str">
        <f t="array" ref="R41">IF(IFERROR(INDEX('Weekly 쨈 raw'!$A:$AAQ, MATCH(R$3, 'Weekly 쨈 raw'!$A:$A, 0), MATCH($A41, 'Weekly 쨈 raw'!$1:$1, 0)), 0)=0, "", IFERROR(INDEX('Weekly 쨈 raw'!$A:$AAQ, MATCH(R$3, 'Weekly 쨈 raw'!$A:$A, 0), MATCH($A41, 'Weekly 쨈 raw'!$1:$1, 0)), 0))</f>
        <v/>
      </c>
      <c r="S41" s="69" t="str">
        <f t="array" ref="S41">IF(IFERROR(INDEX('Weekly 쨈 raw'!$A:$AAQ, MATCH(S$3, 'Weekly 쨈 raw'!$A:$A, 0), MATCH($A41, 'Weekly 쨈 raw'!$1:$1, 0)), 0)=0, "", IFERROR(INDEX('Weekly 쨈 raw'!$A:$AAQ, MATCH(S$3, 'Weekly 쨈 raw'!$A:$A, 0), MATCH($A41, 'Weekly 쨈 raw'!$1:$1, 0)), 0))</f>
        <v/>
      </c>
      <c r="T41" s="69" t="str">
        <f t="array" ref="T41">IF(IFERROR(INDEX('Weekly 쨈 raw'!$A:$AAQ, MATCH(T$3, 'Weekly 쨈 raw'!$A:$A, 0), MATCH($A41, 'Weekly 쨈 raw'!$1:$1, 0)), 0)=0, "", IFERROR(INDEX('Weekly 쨈 raw'!$A:$AAQ, MATCH(T$3, 'Weekly 쨈 raw'!$A:$A, 0), MATCH($A41, 'Weekly 쨈 raw'!$1:$1, 0)), 0))</f>
        <v/>
      </c>
      <c r="U41" s="69" t="str">
        <f t="array" ref="U41">IF(IFERROR(INDEX('Weekly 쨈 raw'!$A:$AAQ, MATCH(U$3, 'Weekly 쨈 raw'!$A:$A, 0), MATCH($A41, 'Weekly 쨈 raw'!$1:$1, 0)), 0)=0, "", IFERROR(INDEX('Weekly 쨈 raw'!$A:$AAQ, MATCH(U$3, 'Weekly 쨈 raw'!$A:$A, 0), MATCH($A41, 'Weekly 쨈 raw'!$1:$1, 0)), 0))</f>
        <v/>
      </c>
    </row>
    <row r="42">
      <c r="A42" s="16" t="s">
        <v>52</v>
      </c>
      <c r="B42" s="87" t="s">
        <v>22</v>
      </c>
      <c r="C42" s="69">
        <f t="array" ref="C42">LET(val, IFERROR(INDEX('Weekly 쨈 raw'!$A:$AAQ, MATCH(C$3, 'Weekly 쨈 raw'!$A:$A, 0), MATCH($A42, 'Weekly 쨈 raw'!$1:$1, 0)), ""), IF(val=0, "", val))</f>
        <v>9252</v>
      </c>
      <c r="D42" s="69">
        <f t="array" ref="D42">LET(val, IFERROR(INDEX('Weekly 쨈 raw'!$A:$AAQ, MATCH(D$3, 'Weekly 쨈 raw'!$A:$A, 0), MATCH($A42, 'Weekly 쨈 raw'!$1:$1, 0)), ""), IF(val=0, "", val))</f>
        <v>4156</v>
      </c>
      <c r="E42" s="69">
        <f t="array" ref="E42">LET(val, IFERROR(INDEX('Weekly 쨈 raw'!$A:$AAQ, MATCH(E$3, 'Weekly 쨈 raw'!$A:$A, 0), MATCH($A42, 'Weekly 쨈 raw'!$1:$1, 0)), ""), IF(val=0, "", val))</f>
        <v>2814</v>
      </c>
      <c r="F42" s="69">
        <f t="array" ref="F42">LET(val, IFERROR(INDEX('Weekly 쨈 raw'!$A:$AAQ, MATCH(F$3, 'Weekly 쨈 raw'!$A:$A, 0), MATCH($A42, 'Weekly 쨈 raw'!$1:$1, 0)), ""), IF(val=0, "", val))</f>
        <v>2450</v>
      </c>
      <c r="G42" s="69">
        <f t="array" ref="G42">LET(val, IFERROR(INDEX('Weekly 쨈 raw'!$A:$AAQ, MATCH(G$3, 'Weekly 쨈 raw'!$A:$A, 0), MATCH($A42, 'Weekly 쨈 raw'!$1:$1, 0)), ""), IF(val=0, "", val))</f>
        <v>3951</v>
      </c>
      <c r="H42" s="69">
        <f t="array" ref="H42">LET(val, IFERROR(INDEX('Weekly 쨈 raw'!$A:$AAQ, MATCH(H$3, 'Weekly 쨈 raw'!$A:$A, 0), MATCH($A42, 'Weekly 쨈 raw'!$1:$1, 0)), ""), IF(val=0, "", val))</f>
        <v>3836</v>
      </c>
      <c r="I42" s="69">
        <f t="array" ref="I42">LET(val, IFERROR(INDEX('Weekly 쨈 raw'!$A:$AAQ, MATCH(I$3, 'Weekly 쨈 raw'!$A:$A, 0), MATCH($A42, 'Weekly 쨈 raw'!$1:$1, 0)), ""), IF(val=0, "", val))</f>
        <v>2942</v>
      </c>
      <c r="J42" s="69">
        <f t="array" ref="J42">LET(val, IFERROR(INDEX('Weekly 쨈 raw'!$A:$AAQ, MATCH(J$3, 'Weekly 쨈 raw'!$A:$A, 0), MATCH($A42, 'Weekly 쨈 raw'!$1:$1, 0)), ""), IF(val=0, "", val))</f>
        <v>2579</v>
      </c>
      <c r="K42" s="69">
        <f t="array" ref="K42">LET(val, IFERROR(INDEX('Weekly 쨈 raw'!$A:$AAQ, MATCH(K$3, 'Weekly 쨈 raw'!$A:$A, 0), MATCH($A42, 'Weekly 쨈 raw'!$1:$1, 0)), ""), IF(val=0, "", val))</f>
        <v>2951</v>
      </c>
      <c r="L42" s="69">
        <f t="array" ref="L42">LET(val, IFERROR(INDEX('Weekly 쨈 raw'!$A:$AAQ, MATCH(L$3, 'Weekly 쨈 raw'!$A:$A, 0), MATCH($A42, 'Weekly 쨈 raw'!$1:$1, 0)), ""), IF(val=0, "", val))</f>
        <v>2591</v>
      </c>
      <c r="M42" s="69">
        <f t="array" ref="M42">LET(val, IFERROR(INDEX('Weekly 쨈 raw'!$A:$AAQ, MATCH(M$3, 'Weekly 쨈 raw'!$A:$A, 0), MATCH($A42, 'Weekly 쨈 raw'!$1:$1, 0)), ""), IF(val=0, "", val))</f>
        <v>2079</v>
      </c>
      <c r="N42" s="69">
        <f t="array" ref="N42">LET(val, IFERROR(INDEX('Weekly 쨈 raw'!$A:$AAQ, MATCH(N$3, 'Weekly 쨈 raw'!$A:$A, 0), MATCH($A42, 'Weekly 쨈 raw'!$1:$1, 0)), ""), IF(val=0, "", val))</f>
        <v>455</v>
      </c>
      <c r="O42" s="69">
        <f t="array" ref="O42">LET(val, IFERROR(INDEX('Weekly 쨈 raw'!$A:$AAQ, MATCH(O$3, 'Weekly 쨈 raw'!$A:$A, 0), MATCH($A42, 'Weekly 쨈 raw'!$1:$1, 0)), ""), IF(val=0, "", val))</f>
        <v>801</v>
      </c>
      <c r="P42" s="69">
        <f t="array" ref="P42">LET(val, IFERROR(INDEX('Weekly 쨈 raw'!$A:$AAQ, MATCH(P$3, 'Weekly 쨈 raw'!$A:$A, 0), MATCH($A42, 'Weekly 쨈 raw'!$1:$1, 0)), ""), IF(val=0, "", val))</f>
        <v>374</v>
      </c>
      <c r="Q42" s="69" t="str">
        <f t="array" ref="Q42">IF(IFERROR(INDEX('Weekly 쨈 raw'!$A:$AAQ, MATCH(Q$3, 'Weekly 쨈 raw'!$A:$A, 0), MATCH($A42, 'Weekly 쨈 raw'!$1:$1, 0)), 0)=0, "", IFERROR(INDEX('Weekly 쨈 raw'!$A:$AAQ, MATCH(Q$3, 'Weekly 쨈 raw'!$A:$A, 0), MATCH($A42, 'Weekly 쨈 raw'!$1:$1, 0)), 0))</f>
        <v/>
      </c>
      <c r="R42" s="69" t="str">
        <f t="array" ref="R42">IF(IFERROR(INDEX('Weekly 쨈 raw'!$A:$AAQ, MATCH(R$3, 'Weekly 쨈 raw'!$A:$A, 0), MATCH($A42, 'Weekly 쨈 raw'!$1:$1, 0)), 0)=0, "", IFERROR(INDEX('Weekly 쨈 raw'!$A:$AAQ, MATCH(R$3, 'Weekly 쨈 raw'!$A:$A, 0), MATCH($A42, 'Weekly 쨈 raw'!$1:$1, 0)), 0))</f>
        <v/>
      </c>
      <c r="S42" s="69" t="str">
        <f t="array" ref="S42">IF(IFERROR(INDEX('Weekly 쨈 raw'!$A:$AAQ, MATCH(S$3, 'Weekly 쨈 raw'!$A:$A, 0), MATCH($A42, 'Weekly 쨈 raw'!$1:$1, 0)), 0)=0, "", IFERROR(INDEX('Weekly 쨈 raw'!$A:$AAQ, MATCH(S$3, 'Weekly 쨈 raw'!$A:$A, 0), MATCH($A42, 'Weekly 쨈 raw'!$1:$1, 0)), 0))</f>
        <v/>
      </c>
      <c r="T42" s="69" t="str">
        <f t="array" ref="T42">IF(IFERROR(INDEX('Weekly 쨈 raw'!$A:$AAQ, MATCH(T$3, 'Weekly 쨈 raw'!$A:$A, 0), MATCH($A42, 'Weekly 쨈 raw'!$1:$1, 0)), 0)=0, "", IFERROR(INDEX('Weekly 쨈 raw'!$A:$AAQ, MATCH(T$3, 'Weekly 쨈 raw'!$A:$A, 0), MATCH($A42, 'Weekly 쨈 raw'!$1:$1, 0)), 0))</f>
        <v/>
      </c>
      <c r="U42" s="69" t="str">
        <f t="array" ref="U42">IF(IFERROR(INDEX('Weekly 쨈 raw'!$A:$AAQ, MATCH(U$3, 'Weekly 쨈 raw'!$A:$A, 0), MATCH($A42, 'Weekly 쨈 raw'!$1:$1, 0)), 0)=0, "", IFERROR(INDEX('Weekly 쨈 raw'!$A:$AAQ, MATCH(U$3, 'Weekly 쨈 raw'!$A:$A, 0), MATCH($A42, 'Weekly 쨈 raw'!$1:$1, 0)), 0))</f>
        <v/>
      </c>
    </row>
    <row r="43">
      <c r="A43" s="16" t="s">
        <v>53</v>
      </c>
      <c r="B43" s="87" t="s">
        <v>47</v>
      </c>
      <c r="C43" s="69">
        <f t="array" ref="C43">LET(val, IFERROR(INDEX('Weekly 쨈 raw'!$A:$AAQ, MATCH(C$3, 'Weekly 쨈 raw'!$A:$A, 0), MATCH($A43, 'Weekly 쨈 raw'!$1:$1, 0)), ""), IF(val=0, "", val))</f>
        <v>4034</v>
      </c>
      <c r="D43" s="69">
        <f t="array" ref="D43">LET(val, IFERROR(INDEX('Weekly 쨈 raw'!$A:$AAQ, MATCH(D$3, 'Weekly 쨈 raw'!$A:$A, 0), MATCH($A43, 'Weekly 쨈 raw'!$1:$1, 0)), ""), IF(val=0, "", val))</f>
        <v>5451</v>
      </c>
      <c r="E43" s="69">
        <f t="array" ref="E43">LET(val, IFERROR(INDEX('Weekly 쨈 raw'!$A:$AAQ, MATCH(E$3, 'Weekly 쨈 raw'!$A:$A, 0), MATCH($A43, 'Weekly 쨈 raw'!$1:$1, 0)), ""), IF(val=0, "", val))</f>
        <v>3827</v>
      </c>
      <c r="F43" s="69">
        <f t="array" ref="F43">LET(val, IFERROR(INDEX('Weekly 쨈 raw'!$A:$AAQ, MATCH(F$3, 'Weekly 쨈 raw'!$A:$A, 0), MATCH($A43, 'Weekly 쨈 raw'!$1:$1, 0)), ""), IF(val=0, "", val))</f>
        <v>2936</v>
      </c>
      <c r="G43" s="69">
        <f t="array" ref="G43">LET(val, IFERROR(INDEX('Weekly 쨈 raw'!$A:$AAQ, MATCH(G$3, 'Weekly 쨈 raw'!$A:$A, 0), MATCH($A43, 'Weekly 쨈 raw'!$1:$1, 0)), ""), IF(val=0, "", val))</f>
        <v>6006</v>
      </c>
      <c r="H43" s="69">
        <f t="array" ref="H43">LET(val, IFERROR(INDEX('Weekly 쨈 raw'!$A:$AAQ, MATCH(H$3, 'Weekly 쨈 raw'!$A:$A, 0), MATCH($A43, 'Weekly 쨈 raw'!$1:$1, 0)), ""), IF(val=0, "", val))</f>
        <v>4061</v>
      </c>
      <c r="I43" s="69">
        <f t="array" ref="I43">LET(val, IFERROR(INDEX('Weekly 쨈 raw'!$A:$AAQ, MATCH(I$3, 'Weekly 쨈 raw'!$A:$A, 0), MATCH($A43, 'Weekly 쨈 raw'!$1:$1, 0)), ""), IF(val=0, "", val))</f>
        <v>2545</v>
      </c>
      <c r="J43" s="69">
        <f t="array" ref="J43">LET(val, IFERROR(INDEX('Weekly 쨈 raw'!$A:$AAQ, MATCH(J$3, 'Weekly 쨈 raw'!$A:$A, 0), MATCH($A43, 'Weekly 쨈 raw'!$1:$1, 0)), ""), IF(val=0, "", val))</f>
        <v>3050</v>
      </c>
      <c r="K43" s="69">
        <f t="array" ref="K43">LET(val, IFERROR(INDEX('Weekly 쨈 raw'!$A:$AAQ, MATCH(K$3, 'Weekly 쨈 raw'!$A:$A, 0), MATCH($A43, 'Weekly 쨈 raw'!$1:$1, 0)), ""), IF(val=0, "", val))</f>
        <v>3747</v>
      </c>
      <c r="L43" s="69">
        <f t="array" ref="L43">LET(val, IFERROR(INDEX('Weekly 쨈 raw'!$A:$AAQ, MATCH(L$3, 'Weekly 쨈 raw'!$A:$A, 0), MATCH($A43, 'Weekly 쨈 raw'!$1:$1, 0)), ""), IF(val=0, "", val))</f>
        <v>2137</v>
      </c>
      <c r="M43" s="69">
        <f t="array" ref="M43">LET(val, IFERROR(INDEX('Weekly 쨈 raw'!$A:$AAQ, MATCH(M$3, 'Weekly 쨈 raw'!$A:$A, 0), MATCH($A43, 'Weekly 쨈 raw'!$1:$1, 0)), ""), IF(val=0, "", val))</f>
        <v>587</v>
      </c>
      <c r="N43" s="69">
        <f t="array" ref="N43">LET(val, IFERROR(INDEX('Weekly 쨈 raw'!$A:$AAQ, MATCH(N$3, 'Weekly 쨈 raw'!$A:$A, 0), MATCH($A43, 'Weekly 쨈 raw'!$1:$1, 0)), ""), IF(val=0, "", val))</f>
        <v>195</v>
      </c>
      <c r="O43" s="69">
        <f t="array" ref="O43">LET(val, IFERROR(INDEX('Weekly 쨈 raw'!$A:$AAQ, MATCH(O$3, 'Weekly 쨈 raw'!$A:$A, 0), MATCH($A43, 'Weekly 쨈 raw'!$1:$1, 0)), ""), IF(val=0, "", val))</f>
        <v>382</v>
      </c>
      <c r="P43" s="69" t="str">
        <f t="array" ref="P43">LET(val, IFERROR(INDEX('Weekly 쨈 raw'!$A:$AAQ, MATCH(P$3, 'Weekly 쨈 raw'!$A:$A, 0), MATCH($A43, 'Weekly 쨈 raw'!$1:$1, 0)), ""), IF(val=0, "", val))</f>
        <v/>
      </c>
      <c r="Q43" s="69" t="str">
        <f t="array" ref="Q43">IF(IFERROR(INDEX('Weekly 쨈 raw'!$A:$AAQ, MATCH(Q$3, 'Weekly 쨈 raw'!$A:$A, 0), MATCH($A43, 'Weekly 쨈 raw'!$1:$1, 0)), 0)=0, "", IFERROR(INDEX('Weekly 쨈 raw'!$A:$AAQ, MATCH(Q$3, 'Weekly 쨈 raw'!$A:$A, 0), MATCH($A43, 'Weekly 쨈 raw'!$1:$1, 0)), 0))</f>
        <v/>
      </c>
      <c r="R43" s="69" t="str">
        <f t="array" ref="R43">IF(IFERROR(INDEX('Weekly 쨈 raw'!$A:$AAQ, MATCH(R$3, 'Weekly 쨈 raw'!$A:$A, 0), MATCH($A43, 'Weekly 쨈 raw'!$1:$1, 0)), 0)=0, "", IFERROR(INDEX('Weekly 쨈 raw'!$A:$AAQ, MATCH(R$3, 'Weekly 쨈 raw'!$A:$A, 0), MATCH($A43, 'Weekly 쨈 raw'!$1:$1, 0)), 0))</f>
        <v/>
      </c>
      <c r="S43" s="69" t="str">
        <f t="array" ref="S43">IF(IFERROR(INDEX('Weekly 쨈 raw'!$A:$AAQ, MATCH(S$3, 'Weekly 쨈 raw'!$A:$A, 0), MATCH($A43, 'Weekly 쨈 raw'!$1:$1, 0)), 0)=0, "", IFERROR(INDEX('Weekly 쨈 raw'!$A:$AAQ, MATCH(S$3, 'Weekly 쨈 raw'!$A:$A, 0), MATCH($A43, 'Weekly 쨈 raw'!$1:$1, 0)), 0))</f>
        <v/>
      </c>
      <c r="T43" s="69" t="str">
        <f t="array" ref="T43">IF(IFERROR(INDEX('Weekly 쨈 raw'!$A:$AAQ, MATCH(T$3, 'Weekly 쨈 raw'!$A:$A, 0), MATCH($A43, 'Weekly 쨈 raw'!$1:$1, 0)), 0)=0, "", IFERROR(INDEX('Weekly 쨈 raw'!$A:$AAQ, MATCH(T$3, 'Weekly 쨈 raw'!$A:$A, 0), MATCH($A43, 'Weekly 쨈 raw'!$1:$1, 0)), 0))</f>
        <v/>
      </c>
      <c r="U43" s="69" t="str">
        <f t="array" ref="U43">IF(IFERROR(INDEX('Weekly 쨈 raw'!$A:$AAQ, MATCH(U$3, 'Weekly 쨈 raw'!$A:$A, 0), MATCH($A43, 'Weekly 쨈 raw'!$1:$1, 0)), 0)=0, "", IFERROR(INDEX('Weekly 쨈 raw'!$A:$AAQ, MATCH(U$3, 'Weekly 쨈 raw'!$A:$A, 0), MATCH($A43, 'Weekly 쨈 raw'!$1:$1, 0)), 0))</f>
        <v/>
      </c>
    </row>
    <row r="44">
      <c r="A44" s="16" t="s">
        <v>54</v>
      </c>
      <c r="B44" s="87" t="s">
        <v>20</v>
      </c>
      <c r="C44" s="69">
        <f t="array" ref="C44">LET(val, IFERROR(INDEX('Weekly 쨈 raw'!$A:$AAQ, MATCH(C$3, 'Weekly 쨈 raw'!$A:$A, 0), MATCH($A44, 'Weekly 쨈 raw'!$1:$1, 0)), ""), IF(val=0, "", val))</f>
        <v>360</v>
      </c>
      <c r="D44" s="69">
        <f t="array" ref="D44">LET(val, IFERROR(INDEX('Weekly 쨈 raw'!$A:$AAQ, MATCH(D$3, 'Weekly 쨈 raw'!$A:$A, 0), MATCH($A44, 'Weekly 쨈 raw'!$1:$1, 0)), ""), IF(val=0, "", val))</f>
        <v>443</v>
      </c>
      <c r="E44" s="69">
        <f t="array" ref="E44">LET(val, IFERROR(INDEX('Weekly 쨈 raw'!$A:$AAQ, MATCH(E$3, 'Weekly 쨈 raw'!$A:$A, 0), MATCH($A44, 'Weekly 쨈 raw'!$1:$1, 0)), ""), IF(val=0, "", val))</f>
        <v>334</v>
      </c>
      <c r="F44" s="69">
        <f t="array" ref="F44">LET(val, IFERROR(INDEX('Weekly 쨈 raw'!$A:$AAQ, MATCH(F$3, 'Weekly 쨈 raw'!$A:$A, 0), MATCH($A44, 'Weekly 쨈 raw'!$1:$1, 0)), ""), IF(val=0, "", val))</f>
        <v>302</v>
      </c>
      <c r="G44" s="69">
        <f t="array" ref="G44">LET(val, IFERROR(INDEX('Weekly 쨈 raw'!$A:$AAQ, MATCH(G$3, 'Weekly 쨈 raw'!$A:$A, 0), MATCH($A44, 'Weekly 쨈 raw'!$1:$1, 0)), ""), IF(val=0, "", val))</f>
        <v>754</v>
      </c>
      <c r="H44" s="69">
        <f t="array" ref="H44">LET(val, IFERROR(INDEX('Weekly 쨈 raw'!$A:$AAQ, MATCH(H$3, 'Weekly 쨈 raw'!$A:$A, 0), MATCH($A44, 'Weekly 쨈 raw'!$1:$1, 0)), ""), IF(val=0, "", val))</f>
        <v>522</v>
      </c>
      <c r="I44" s="69">
        <f t="array" ref="I44">LET(val, IFERROR(INDEX('Weekly 쨈 raw'!$A:$AAQ, MATCH(I$3, 'Weekly 쨈 raw'!$A:$A, 0), MATCH($A44, 'Weekly 쨈 raw'!$1:$1, 0)), ""), IF(val=0, "", val))</f>
        <v>321</v>
      </c>
      <c r="J44" s="69">
        <f t="array" ref="J44">LET(val, IFERROR(INDEX('Weekly 쨈 raw'!$A:$AAQ, MATCH(J$3, 'Weekly 쨈 raw'!$A:$A, 0), MATCH($A44, 'Weekly 쨈 raw'!$1:$1, 0)), ""), IF(val=0, "", val))</f>
        <v>381</v>
      </c>
      <c r="K44" s="69">
        <f t="array" ref="K44">LET(val, IFERROR(INDEX('Weekly 쨈 raw'!$A:$AAQ, MATCH(K$3, 'Weekly 쨈 raw'!$A:$A, 0), MATCH($A44, 'Weekly 쨈 raw'!$1:$1, 0)), ""), IF(val=0, "", val))</f>
        <v>441</v>
      </c>
      <c r="L44" s="69">
        <f t="array" ref="L44">LET(val, IFERROR(INDEX('Weekly 쨈 raw'!$A:$AAQ, MATCH(L$3, 'Weekly 쨈 raw'!$A:$A, 0), MATCH($A44, 'Weekly 쨈 raw'!$1:$1, 0)), ""), IF(val=0, "", val))</f>
        <v>296</v>
      </c>
      <c r="M44" s="69">
        <f t="array" ref="M44">LET(val, IFERROR(INDEX('Weekly 쨈 raw'!$A:$AAQ, MATCH(M$3, 'Weekly 쨈 raw'!$A:$A, 0), MATCH($A44, 'Weekly 쨈 raw'!$1:$1, 0)), ""), IF(val=0, "", val))</f>
        <v>206</v>
      </c>
      <c r="N44" s="69">
        <f t="array" ref="N44">LET(val, IFERROR(INDEX('Weekly 쨈 raw'!$A:$AAQ, MATCH(N$3, 'Weekly 쨈 raw'!$A:$A, 0), MATCH($A44, 'Weekly 쨈 raw'!$1:$1, 0)), ""), IF(val=0, "", val))</f>
        <v>66</v>
      </c>
      <c r="O44" s="69">
        <f t="array" ref="O44">LET(val, IFERROR(INDEX('Weekly 쨈 raw'!$A:$AAQ, MATCH(O$3, 'Weekly 쨈 raw'!$A:$A, 0), MATCH($A44, 'Weekly 쨈 raw'!$1:$1, 0)), ""), IF(val=0, "", val))</f>
        <v>114</v>
      </c>
      <c r="P44" s="69">
        <f t="array" ref="P44">LET(val, IFERROR(INDEX('Weekly 쨈 raw'!$A:$AAQ, MATCH(P$3, 'Weekly 쨈 raw'!$A:$A, 0), MATCH($A44, 'Weekly 쨈 raw'!$1:$1, 0)), ""), IF(val=0, "", val))</f>
        <v>25</v>
      </c>
      <c r="Q44" s="69" t="str">
        <f t="array" ref="Q44">IF(IFERROR(INDEX('Weekly 쨈 raw'!$A:$AAQ, MATCH(Q$3, 'Weekly 쨈 raw'!$A:$A, 0), MATCH($A44, 'Weekly 쨈 raw'!$1:$1, 0)), 0)=0, "", IFERROR(INDEX('Weekly 쨈 raw'!$A:$AAQ, MATCH(Q$3, 'Weekly 쨈 raw'!$A:$A, 0), MATCH($A44, 'Weekly 쨈 raw'!$1:$1, 0)), 0))</f>
        <v/>
      </c>
      <c r="R44" s="69" t="str">
        <f t="array" ref="R44">IF(IFERROR(INDEX('Weekly 쨈 raw'!$A:$AAQ, MATCH(R$3, 'Weekly 쨈 raw'!$A:$A, 0), MATCH($A44, 'Weekly 쨈 raw'!$1:$1, 0)), 0)=0, "", IFERROR(INDEX('Weekly 쨈 raw'!$A:$AAQ, MATCH(R$3, 'Weekly 쨈 raw'!$A:$A, 0), MATCH($A44, 'Weekly 쨈 raw'!$1:$1, 0)), 0))</f>
        <v/>
      </c>
      <c r="S44" s="69" t="str">
        <f t="array" ref="S44">IF(IFERROR(INDEX('Weekly 쨈 raw'!$A:$AAQ, MATCH(S$3, 'Weekly 쨈 raw'!$A:$A, 0), MATCH($A44, 'Weekly 쨈 raw'!$1:$1, 0)), 0)=0, "", IFERROR(INDEX('Weekly 쨈 raw'!$A:$AAQ, MATCH(S$3, 'Weekly 쨈 raw'!$A:$A, 0), MATCH($A44, 'Weekly 쨈 raw'!$1:$1, 0)), 0))</f>
        <v/>
      </c>
      <c r="T44" s="69" t="str">
        <f t="array" ref="T44">IF(IFERROR(INDEX('Weekly 쨈 raw'!$A:$AAQ, MATCH(T$3, 'Weekly 쨈 raw'!$A:$A, 0), MATCH($A44, 'Weekly 쨈 raw'!$1:$1, 0)), 0)=0, "", IFERROR(INDEX('Weekly 쨈 raw'!$A:$AAQ, MATCH(T$3, 'Weekly 쨈 raw'!$A:$A, 0), MATCH($A44, 'Weekly 쨈 raw'!$1:$1, 0)), 0))</f>
        <v/>
      </c>
      <c r="U44" s="69" t="str">
        <f t="array" ref="U44">IF(IFERROR(INDEX('Weekly 쨈 raw'!$A:$AAQ, MATCH(U$3, 'Weekly 쨈 raw'!$A:$A, 0), MATCH($A44, 'Weekly 쨈 raw'!$1:$1, 0)), 0)=0, "", IFERROR(INDEX('Weekly 쨈 raw'!$A:$AAQ, MATCH(U$3, 'Weekly 쨈 raw'!$A:$A, 0), MATCH($A44, 'Weekly 쨈 raw'!$1:$1, 0)), 0))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Row="1"/>
  <cols>
    <col customWidth="1" hidden="1" min="1" max="1" width="32.63"/>
    <col customWidth="1" min="2" max="2" width="31.25"/>
    <col customWidth="1" min="3" max="9" width="18.88"/>
  </cols>
  <sheetData>
    <row r="1" ht="22.5" customHeight="1">
      <c r="A1" s="7" t="s">
        <v>3</v>
      </c>
      <c r="B1" s="35" t="s">
        <v>61</v>
      </c>
      <c r="C1" s="7" t="s">
        <v>119</v>
      </c>
      <c r="D1" s="7" t="s">
        <v>120</v>
      </c>
      <c r="E1" s="88">
        <v>45962.0</v>
      </c>
      <c r="F1" s="89">
        <v>45992.0</v>
      </c>
      <c r="G1" s="89">
        <v>46023.0</v>
      </c>
      <c r="H1" s="89">
        <v>46054.0</v>
      </c>
      <c r="I1" s="89">
        <v>46082.0</v>
      </c>
    </row>
    <row r="2" ht="18.75" customHeight="1">
      <c r="A2" s="11" t="s">
        <v>10</v>
      </c>
      <c r="B2" s="41" t="s">
        <v>11</v>
      </c>
      <c r="C2" s="90">
        <v>0.75</v>
      </c>
      <c r="D2" s="91">
        <v>0.7563121652639633</v>
      </c>
      <c r="E2" s="92">
        <f t="array" ref="E2">LET(val, IFERROR(INDEX('Monthly 쨈 raw'!$A:$AAQ, MATCH(E$1, 'Monthly 쨈 raw'!$A:$A, 0), MATCH($A2, 'Monthly 쨈 raw'!$1:$1, 0)), ""), IF(val=0, "", val))</f>
        <v>0.8192771084</v>
      </c>
      <c r="F2" s="92">
        <f t="array" ref="F2">LET(val, IFERROR(INDEX('Monthly 쨈 raw'!$A:$AAQ, MATCH(F$1, 'Monthly 쨈 raw'!$A:$A, 0), MATCH($A2, 'Monthly 쨈 raw'!$1:$1, 0)), ""), IF(val=0, "", val))</f>
        <v>0.6386756238</v>
      </c>
      <c r="G2" s="92">
        <f t="array" ref="G2">LET(val, IFERROR(INDEX('Monthly 쨈 raw'!$A:$AAQ, MATCH(G$1, 'Monthly 쨈 raw'!$A:$A, 0), MATCH($A2, 'Monthly 쨈 raw'!$1:$1, 0)), ""), IF(val=0, "", val))</f>
        <v>0.486631016</v>
      </c>
      <c r="H2" s="92" t="str">
        <f t="array" ref="H2">LET(val, IFERROR(INDEX('Monthly 쨈 raw'!$A:$AAQ, MATCH(H$1, 'Monthly 쨈 raw'!$A:$A, 0), MATCH($A2, 'Monthly 쨈 raw'!$1:$1, 0)), ""), IF(val=0, "", val))</f>
        <v/>
      </c>
      <c r="I2" s="93" t="str">
        <f t="array" ref="I2">IF(IFERROR(INDEX('Monthly 쨈 raw'!$A:$AAQ, MATCH(I$1, 'Monthly 쨈 raw'!$A:$A, 0), MATCH($A2, 'Monthly 쨈 raw'!$1:$1, 0)), 0)=0, "", IFERROR(INDEX('Monthly 쨈 raw'!$A:$AAQ, MATCH(I$1, 'Monthly 쨈 raw'!$A:$A, 0), MATCH($A2, 'Monthly 쨈 raw'!$1:$1, 0)), 0))</f>
        <v/>
      </c>
    </row>
    <row r="3" ht="18.75" customHeight="1" outlineLevel="1">
      <c r="A3" s="16" t="s">
        <v>13</v>
      </c>
      <c r="B3" s="43" t="s">
        <v>121</v>
      </c>
      <c r="C3" s="94"/>
      <c r="D3" s="95">
        <v>7908.0</v>
      </c>
      <c r="E3" s="58">
        <f t="array" ref="E3">LET(val, IFERROR(INDEX('Monthly 쨈 raw'!$A:$AAQ, MATCH(E$1, 'Monthly 쨈 raw'!$A:$A, 0), MATCH($A3, 'Monthly 쨈 raw'!$1:$1, 0)), ""), IF(val=0, "", val))</f>
        <v>340</v>
      </c>
      <c r="F3" s="58">
        <f t="array" ref="F3">LET(val, IFERROR(INDEX('Monthly 쨈 raw'!$A:$AAQ, MATCH(F$1, 'Monthly 쨈 raw'!$A:$A, 0), MATCH($A3, 'Monthly 쨈 raw'!$1:$1, 0)), ""), IF(val=0, "", val))</f>
        <v>1331</v>
      </c>
      <c r="G3" s="58">
        <f t="array" ref="G3">LET(val, IFERROR(INDEX('Monthly 쨈 raw'!$A:$AAQ, MATCH(G$1, 'Monthly 쨈 raw'!$A:$A, 0), MATCH($A3, 'Monthly 쨈 raw'!$1:$1, 0)), ""), IF(val=0, "", val))</f>
        <v>637</v>
      </c>
      <c r="H3" s="58" t="str">
        <f t="array" ref="H3">LET(val, IFERROR(INDEX('Monthly 쨈 raw'!$A:$AAQ, MATCH(H$1, 'Monthly 쨈 raw'!$A:$A, 0), MATCH($A3, 'Monthly 쨈 raw'!$1:$1, 0)), ""), IF(val=0, "", val))</f>
        <v/>
      </c>
      <c r="I3" s="58" t="str">
        <f t="array" ref="I3">IF(IFERROR(INDEX('Monthly 쨈 raw'!$A:$AAQ, MATCH(I$1, 'Monthly 쨈 raw'!$A:$A, 0), MATCH($A3, 'Monthly 쨈 raw'!$1:$1, 0)), 0)=0, "", IFERROR(INDEX('Monthly 쨈 raw'!$A:$AAQ, MATCH(I$1, 'Monthly 쨈 raw'!$A:$A, 0), MATCH($A3, 'Monthly 쨈 raw'!$1:$1, 0)), 0))</f>
        <v/>
      </c>
    </row>
    <row r="4" ht="18.75" customHeight="1" outlineLevel="1">
      <c r="A4" s="16" t="s">
        <v>16</v>
      </c>
      <c r="B4" s="43" t="s">
        <v>122</v>
      </c>
      <c r="C4" s="94"/>
      <c r="D4" s="95">
        <v>10456.0</v>
      </c>
      <c r="E4" s="58">
        <f t="array" ref="E4">LET(val, IFERROR(INDEX('Monthly 쨈 raw'!$A:$AAQ, MATCH(E$1, 'Monthly 쨈 raw'!$A:$A, 0), MATCH($A4, 'Monthly 쨈 raw'!$1:$1, 0)), ""), IF(val=0, "", val))</f>
        <v>415</v>
      </c>
      <c r="F4" s="58">
        <f t="array" ref="F4">LET(val, IFERROR(INDEX('Monthly 쨈 raw'!$A:$AAQ, MATCH(F$1, 'Monthly 쨈 raw'!$A:$A, 0), MATCH($A4, 'Monthly 쨈 raw'!$1:$1, 0)), ""), IF(val=0, "", val))</f>
        <v>2084</v>
      </c>
      <c r="G4" s="58">
        <f t="array" ref="G4">LET(val, IFERROR(INDEX('Monthly 쨈 raw'!$A:$AAQ, MATCH(G$1, 'Monthly 쨈 raw'!$A:$A, 0), MATCH($A4, 'Monthly 쨈 raw'!$1:$1, 0)), ""), IF(val=0, "", val))</f>
        <v>1309</v>
      </c>
      <c r="H4" s="58">
        <f t="array" ref="H4">LET(val, IFERROR(INDEX('Monthly 쨈 raw'!$A:$AAQ, MATCH(H$1, 'Monthly 쨈 raw'!$A:$A, 0), MATCH($A4, 'Monthly 쨈 raw'!$1:$1, 0)), ""), IF(val=0, "", val))</f>
        <v>859</v>
      </c>
      <c r="I4" s="58" t="str">
        <f t="array" ref="I4">IF(IFERROR(INDEX('Monthly 쨈 raw'!$A:$AAQ, MATCH(I$1, 'Monthly 쨈 raw'!$A:$A, 0), MATCH($A4, 'Monthly 쨈 raw'!$1:$1, 0)), 0)=0, "", IFERROR(INDEX('Monthly 쨈 raw'!$A:$AAQ, MATCH(I$1, 'Monthly 쨈 raw'!$A:$A, 0), MATCH($A4, 'Monthly 쨈 raw'!$1:$1, 0)), 0))</f>
        <v/>
      </c>
    </row>
    <row r="5" ht="18.75" customHeight="1">
      <c r="A5" s="11" t="s">
        <v>18</v>
      </c>
      <c r="B5" s="45" t="s">
        <v>18</v>
      </c>
      <c r="C5" s="90">
        <v>0.15</v>
      </c>
      <c r="D5" s="96">
        <v>0.2933182572307172</v>
      </c>
      <c r="E5" s="97">
        <f t="array" ref="E5">LET(val, IFERROR(INDEX('Monthly 쨈 raw'!$A:$AAQ, MATCH(E$1, 'Monthly 쨈 raw'!$A:$A, 0), MATCH($A5, 'Monthly 쨈 raw'!$1:$1, 0)), ""), IF(val=0, "", val))</f>
        <v>0.04146682654</v>
      </c>
      <c r="F5" s="97">
        <f t="array" ref="F5">LET(val, IFERROR(INDEX('Monthly 쨈 raw'!$A:$AAQ, MATCH(F$1, 'Monthly 쨈 raw'!$A:$A, 0), MATCH($A5, 'Monthly 쨈 raw'!$1:$1, 0)), ""), IF(val=0, "", val))</f>
        <v>0.1816457784</v>
      </c>
      <c r="G5" s="97">
        <f t="array" ref="G5">LET(val, IFERROR(INDEX('Monthly 쨈 raw'!$A:$AAQ, MATCH(G$1, 'Monthly 쨈 raw'!$A:$A, 0), MATCH($A5, 'Monthly 쨈 raw'!$1:$1, 0)), ""), IF(val=0, "", val))</f>
        <v>0.1740567043</v>
      </c>
      <c r="H5" s="97">
        <f t="array" ref="H5">LET(val, IFERROR(INDEX('Monthly 쨈 raw'!$A:$AAQ, MATCH(H$1, 'Monthly 쨈 raw'!$A:$A, 0), MATCH($A5, 'Monthly 쨈 raw'!$1:$1, 0)), ""), IF(val=0, "", val))</f>
        <v>0.1682539683</v>
      </c>
      <c r="I5" s="97" t="str">
        <f t="array" ref="I5">IF(IFERROR(INDEX('Monthly 쨈 raw'!$A:$AAQ, MATCH(I$1, 'Monthly 쨈 raw'!$A:$A, 0), MATCH($A5, 'Monthly 쨈 raw'!$1:$1, 0)), 0)=0, "", IFERROR(INDEX('Monthly 쨈 raw'!$A:$AAQ, MATCH(I$1, 'Monthly 쨈 raw'!$A:$A, 0), MATCH($A5, 'Monthly 쨈 raw'!$1:$1, 0)), 0))</f>
        <v/>
      </c>
    </row>
    <row r="6" ht="18.75" customHeight="1" outlineLevel="1">
      <c r="A6" s="23" t="s">
        <v>19</v>
      </c>
      <c r="B6" s="47" t="s">
        <v>66</v>
      </c>
      <c r="C6" s="98"/>
      <c r="D6" s="95">
        <v>55514.0</v>
      </c>
      <c r="E6" s="58">
        <f t="array" ref="E6">LET(val, IFERROR(INDEX('Monthly 쨈 raw'!$A:$AAQ, MATCH(E$1, 'Monthly 쨈 raw'!$A:$A, 0), MATCH($A6, 'Monthly 쨈 raw'!$1:$1, 0)), ""), IF(val=0, "", val))</f>
        <v>415</v>
      </c>
      <c r="F6" s="58">
        <f t="array" ref="F6">LET(val, IFERROR(INDEX('Monthly 쨈 raw'!$A:$AAQ, MATCH(F$1, 'Monthly 쨈 raw'!$A:$A, 0), MATCH($A6, 'Monthly 쨈 raw'!$1:$1, 0)), ""), IF(val=0, "", val))</f>
        <v>2203</v>
      </c>
      <c r="G6" s="58">
        <f t="array" ref="G6">LET(val, IFERROR(INDEX('Monthly 쨈 raw'!$A:$AAQ, MATCH(G$1, 'Monthly 쨈 raw'!$A:$A, 0), MATCH($A6, 'Monthly 쨈 raw'!$1:$1, 0)), ""), IF(val=0, "", val))</f>
        <v>1633</v>
      </c>
      <c r="H6" s="58">
        <f t="array" ref="H6">LET(val, IFERROR(INDEX('Monthly 쨈 raw'!$A:$AAQ, MATCH(H$1, 'Monthly 쨈 raw'!$A:$A, 0), MATCH($A6, 'Monthly 쨈 raw'!$1:$1, 0)), ""), IF(val=0, "", val))</f>
        <v>1060</v>
      </c>
      <c r="I6" s="58" t="str">
        <f t="array" ref="I6">IF(IFERROR(INDEX('Monthly 쨈 raw'!$A:$AAQ, MATCH(I$1, 'Monthly 쨈 raw'!$A:$A, 0), MATCH($A6, 'Monthly 쨈 raw'!$1:$1, 0)), 0)=0, "", IFERROR(INDEX('Monthly 쨈 raw'!$A:$AAQ, MATCH(I$1, 'Monthly 쨈 raw'!$A:$A, 0), MATCH($A6, 'Monthly 쨈 raw'!$1:$1, 0)), 0))</f>
        <v/>
      </c>
    </row>
    <row r="7" ht="18.75" customHeight="1" outlineLevel="1">
      <c r="A7" s="23" t="s">
        <v>21</v>
      </c>
      <c r="B7" s="47" t="s">
        <v>67</v>
      </c>
      <c r="C7" s="98"/>
      <c r="D7" s="95">
        <v>189262.0</v>
      </c>
      <c r="E7" s="58">
        <f t="array" ref="E7">LET(val, IFERROR(INDEX('Monthly 쨈 raw'!$A:$AAQ, MATCH(E$1, 'Monthly 쨈 raw'!$A:$A, 0), MATCH($A7, 'Monthly 쨈 raw'!$1:$1, 0)), ""), IF(val=0, "", val))</f>
        <v>10008</v>
      </c>
      <c r="F7" s="58">
        <f t="array" ref="F7">LET(val, IFERROR(INDEX('Monthly 쨈 raw'!$A:$AAQ, MATCH(F$1, 'Monthly 쨈 raw'!$A:$A, 0), MATCH($A7, 'Monthly 쨈 raw'!$1:$1, 0)), ""), IF(val=0, "", val))</f>
        <v>12128</v>
      </c>
      <c r="G7" s="58">
        <f t="array" ref="G7">LET(val, IFERROR(INDEX('Monthly 쨈 raw'!$A:$AAQ, MATCH(G$1, 'Monthly 쨈 raw'!$A:$A, 0), MATCH($A7, 'Monthly 쨈 raw'!$1:$1, 0)), ""), IF(val=0, "", val))</f>
        <v>9382</v>
      </c>
      <c r="H7" s="58">
        <f t="array" ref="H7">LET(val, IFERROR(INDEX('Monthly 쨈 raw'!$A:$AAQ, MATCH(H$1, 'Monthly 쨈 raw'!$A:$A, 0), MATCH($A7, 'Monthly 쨈 raw'!$1:$1, 0)), ""), IF(val=0, "", val))</f>
        <v>6300</v>
      </c>
      <c r="I7" s="58" t="str">
        <f t="array" ref="I7">IF(IFERROR(INDEX('Monthly 쨈 raw'!$A:$AAQ, MATCH(I$1, 'Monthly 쨈 raw'!$A:$A, 0), MATCH($A7, 'Monthly 쨈 raw'!$1:$1, 0)), 0)=0, "", IFERROR(INDEX('Monthly 쨈 raw'!$A:$AAQ, MATCH(I$1, 'Monthly 쨈 raw'!$A:$A, 0), MATCH($A7, 'Monthly 쨈 raw'!$1:$1, 0)), 0))</f>
        <v/>
      </c>
    </row>
    <row r="8" ht="18.75" customHeight="1" outlineLevel="1">
      <c r="A8" s="73" t="s">
        <v>68</v>
      </c>
      <c r="B8" s="48" t="s">
        <v>69</v>
      </c>
      <c r="C8" s="98"/>
      <c r="D8" s="95"/>
      <c r="E8" s="58">
        <f t="array" ref="E8">LET(val, IFERROR(INDEX('Monthly 쨈 raw'!$A:$AAQ, MATCH(E$1, 'Monthly 쨈 raw'!$A:$A, 0), MATCH($A8, 'Monthly 쨈 raw'!$1:$1, 0)), ""), IF(val=0, "", val))</f>
        <v>10008</v>
      </c>
      <c r="F8" s="58">
        <f t="array" ref="F8">LET(val, IFERROR(INDEX('Monthly 쨈 raw'!$A:$AAQ, MATCH(F$1, 'Monthly 쨈 raw'!$A:$A, 0), MATCH($A8, 'Monthly 쨈 raw'!$1:$1, 0)), ""), IF(val=0, "", val))</f>
        <v>12128</v>
      </c>
      <c r="G8" s="58">
        <f t="array" ref="G8">LET(val, IFERROR(INDEX('Monthly 쨈 raw'!$A:$AAQ, MATCH(G$1, 'Monthly 쨈 raw'!$A:$A, 0), MATCH($A8, 'Monthly 쨈 raw'!$1:$1, 0)), ""), IF(val=0, "", val))</f>
        <v>9382</v>
      </c>
      <c r="H8" s="58">
        <f t="array" ref="H8">LET(val, IFERROR(INDEX('Monthly 쨈 raw'!$A:$AAQ, MATCH(H$1, 'Monthly 쨈 raw'!$A:$A, 0), MATCH($A8, 'Monthly 쨈 raw'!$1:$1, 0)), ""), IF(val=0, "", val))</f>
        <v>5840</v>
      </c>
      <c r="I8" s="58"/>
    </row>
    <row r="9" ht="18.75" customHeight="1" outlineLevel="1">
      <c r="A9" s="73" t="s">
        <v>70</v>
      </c>
      <c r="B9" s="48" t="s">
        <v>71</v>
      </c>
      <c r="C9" s="98"/>
      <c r="D9" s="95"/>
      <c r="E9" s="58" t="str">
        <f t="array" ref="E9">LET(val, IFERROR(INDEX('Monthly 쨈 raw'!$A:$AAQ, MATCH(E$1, 'Monthly 쨈 raw'!$A:$A, 0), MATCH($A9, 'Monthly 쨈 raw'!$1:$1, 0)), ""), IF(val=0, "", val))</f>
        <v/>
      </c>
      <c r="F9" s="58" t="str">
        <f t="array" ref="F9">LET(val, IFERROR(INDEX('Monthly 쨈 raw'!$A:$AAQ, MATCH(F$1, 'Monthly 쨈 raw'!$A:$A, 0), MATCH($A9, 'Monthly 쨈 raw'!$1:$1, 0)), ""), IF(val=0, "", val))</f>
        <v/>
      </c>
      <c r="G9" s="58" t="str">
        <f t="array" ref="G9">LET(val, IFERROR(INDEX('Monthly 쨈 raw'!$A:$AAQ, MATCH(G$1, 'Monthly 쨈 raw'!$A:$A, 0), MATCH($A9, 'Monthly 쨈 raw'!$1:$1, 0)), ""), IF(val=0, "", val))</f>
        <v/>
      </c>
      <c r="H9" s="58">
        <f t="array" ref="H9">LET(val, IFERROR(INDEX('Monthly 쨈 raw'!$A:$AAQ, MATCH(H$1, 'Monthly 쨈 raw'!$A:$A, 0), MATCH($A9, 'Monthly 쨈 raw'!$1:$1, 0)), ""), IF(val=0, "", val))</f>
        <v>789</v>
      </c>
      <c r="I9" s="58"/>
    </row>
    <row r="10" ht="18.75" customHeight="1" outlineLevel="1">
      <c r="A10" s="73"/>
      <c r="B10" s="48" t="s">
        <v>72</v>
      </c>
      <c r="C10" s="98"/>
      <c r="D10" s="95"/>
      <c r="E10" s="97">
        <f t="shared" ref="E10:H10" si="1">iferror(E9/E7, "")</f>
        <v>0</v>
      </c>
      <c r="F10" s="97">
        <f t="shared" si="1"/>
        <v>0</v>
      </c>
      <c r="G10" s="97">
        <f t="shared" si="1"/>
        <v>0</v>
      </c>
      <c r="H10" s="97">
        <f t="shared" si="1"/>
        <v>0.1252380952</v>
      </c>
      <c r="I10" s="58"/>
    </row>
    <row r="11" ht="18.75" customHeight="1" outlineLevel="1">
      <c r="A11" s="23" t="s">
        <v>23</v>
      </c>
      <c r="B11" s="47" t="s">
        <v>73</v>
      </c>
      <c r="C11" s="98"/>
      <c r="D11" s="95">
        <v>2.43060604E8</v>
      </c>
      <c r="E11" s="58">
        <f t="array" ref="E11">LET(val, IFERROR(INDEX('Monthly 쨈 raw'!$A:$AAQ, MATCH(E$1, 'Monthly 쨈 raw'!$A:$A, 0), MATCH($A11, 'Monthly 쨈 raw'!$1:$1, 0)), ""), IF(val=0, "", val))</f>
        <v>29740</v>
      </c>
      <c r="F11" s="58">
        <f t="array" ref="F11">LET(val, IFERROR(INDEX('Monthly 쨈 raw'!$A:$AAQ, MATCH(F$1, 'Monthly 쨈 raw'!$A:$A, 0), MATCH($A11, 'Monthly 쨈 raw'!$1:$1, 0)), ""), IF(val=0, "", val))</f>
        <v>66722</v>
      </c>
      <c r="G11" s="58">
        <f t="array" ref="G11">LET(val, IFERROR(INDEX('Monthly 쨈 raw'!$A:$AAQ, MATCH(G$1, 'Monthly 쨈 raw'!$A:$A, 0), MATCH($A11, 'Monthly 쨈 raw'!$1:$1, 0)), ""), IF(val=0, "", val))</f>
        <v>38824</v>
      </c>
      <c r="H11" s="58">
        <f t="array" ref="H11">LET(val, IFERROR(INDEX('Monthly 쨈 raw'!$A:$AAQ, MATCH(H$1, 'Monthly 쨈 raw'!$A:$A, 0), MATCH($A11, 'Monthly 쨈 raw'!$1:$1, 0)), ""), IF(val=0, "", val))</f>
        <v>26580</v>
      </c>
      <c r="I11" s="58" t="str">
        <f t="array" ref="I11">IF(IFERROR(INDEX('Monthly 쨈 raw'!$A:$AAQ, MATCH(I$1, 'Monthly 쨈 raw'!$A:$A, 0), MATCH($A11, 'Monthly 쨈 raw'!$1:$1, 0)), 0)=0, "", IFERROR(INDEX('Monthly 쨈 raw'!$A:$AAQ, MATCH(I$1, 'Monthly 쨈 raw'!$A:$A, 0), MATCH($A11, 'Monthly 쨈 raw'!$1:$1, 0)), 0))</f>
        <v/>
      </c>
    </row>
    <row r="12" ht="18.75" customHeight="1" outlineLevel="1">
      <c r="A12" s="73" t="s">
        <v>74</v>
      </c>
      <c r="B12" s="48" t="s">
        <v>75</v>
      </c>
      <c r="C12" s="98"/>
      <c r="D12" s="95"/>
      <c r="E12" s="58">
        <f t="array" ref="E12">LET(val, IFERROR(INDEX('Monthly 쨈 raw'!$A:$AAQ, MATCH(E$1, 'Monthly 쨈 raw'!$A:$A, 0), MATCH($A12, 'Monthly 쨈 raw'!$1:$1, 0)), ""), IF(val=0, "", val))</f>
        <v>29740</v>
      </c>
      <c r="F12" s="58">
        <f t="array" ref="F12">LET(val, IFERROR(INDEX('Monthly 쨈 raw'!$A:$AAQ, MATCH(F$1, 'Monthly 쨈 raw'!$A:$A, 0), MATCH($A12, 'Monthly 쨈 raw'!$1:$1, 0)), ""), IF(val=0, "", val))</f>
        <v>66722</v>
      </c>
      <c r="G12" s="58">
        <f t="array" ref="G12">LET(val, IFERROR(INDEX('Monthly 쨈 raw'!$A:$AAQ, MATCH(G$1, 'Monthly 쨈 raw'!$A:$A, 0), MATCH($A12, 'Monthly 쨈 raw'!$1:$1, 0)), ""), IF(val=0, "", val))</f>
        <v>38824</v>
      </c>
      <c r="H12" s="58">
        <f t="array" ref="H12">LET(val, IFERROR(INDEX('Monthly 쨈 raw'!$A:$AAQ, MATCH(H$1, 'Monthly 쨈 raw'!$A:$A, 0), MATCH($A12, 'Monthly 쨈 raw'!$1:$1, 0)), ""), IF(val=0, "", val))</f>
        <v>24083</v>
      </c>
      <c r="I12" s="58"/>
    </row>
    <row r="13" ht="18.75" customHeight="1" outlineLevel="1">
      <c r="A13" s="73" t="s">
        <v>76</v>
      </c>
      <c r="B13" s="48" t="s">
        <v>77</v>
      </c>
      <c r="C13" s="98"/>
      <c r="D13" s="95"/>
      <c r="E13" s="58" t="str">
        <f t="array" ref="E13">LET(val, IFERROR(INDEX('Monthly 쨈 raw'!$A:$AAQ, MATCH(E$1, 'Monthly 쨈 raw'!$A:$A, 0), MATCH($A13, 'Monthly 쨈 raw'!$1:$1, 0)), ""), IF(val=0, "", val))</f>
        <v/>
      </c>
      <c r="F13" s="58" t="str">
        <f t="array" ref="F13">LET(val, IFERROR(INDEX('Monthly 쨈 raw'!$A:$AAQ, MATCH(F$1, 'Monthly 쨈 raw'!$A:$A, 0), MATCH($A13, 'Monthly 쨈 raw'!$1:$1, 0)), ""), IF(val=0, "", val))</f>
        <v/>
      </c>
      <c r="G13" s="58" t="str">
        <f t="array" ref="G13">LET(val, IFERROR(INDEX('Monthly 쨈 raw'!$A:$AAQ, MATCH(G$1, 'Monthly 쨈 raw'!$A:$A, 0), MATCH($A13, 'Monthly 쨈 raw'!$1:$1, 0)), ""), IF(val=0, "", val))</f>
        <v/>
      </c>
      <c r="H13" s="58">
        <f t="array" ref="H13">LET(val, IFERROR(INDEX('Monthly 쨈 raw'!$A:$AAQ, MATCH(H$1, 'Monthly 쨈 raw'!$A:$A, 0), MATCH($A13, 'Monthly 쨈 raw'!$1:$1, 0)), ""), IF(val=0, "", val))</f>
        <v>2497</v>
      </c>
      <c r="I13" s="58"/>
    </row>
    <row r="14" ht="18.75" customHeight="1" outlineLevel="1">
      <c r="A14" s="73"/>
      <c r="B14" s="48" t="s">
        <v>78</v>
      </c>
      <c r="C14" s="98"/>
      <c r="D14" s="95"/>
      <c r="E14" s="97" t="str">
        <f t="shared" ref="E14:H14" si="2">if(iferror(E13/E11, "")=0, "",iferror(E13/E11, ""))</f>
        <v/>
      </c>
      <c r="F14" s="97" t="str">
        <f t="shared" si="2"/>
        <v/>
      </c>
      <c r="G14" s="97" t="str">
        <f t="shared" si="2"/>
        <v/>
      </c>
      <c r="H14" s="97">
        <f t="shared" si="2"/>
        <v>0.09394281415</v>
      </c>
      <c r="I14" s="58"/>
    </row>
    <row r="15" ht="18.75" customHeight="1" outlineLevel="1">
      <c r="A15" s="73" t="s">
        <v>79</v>
      </c>
      <c r="B15" s="48" t="s">
        <v>80</v>
      </c>
      <c r="C15" s="98"/>
      <c r="D15" s="95"/>
      <c r="E15" s="99">
        <f t="array" ref="E15">LET(val, IFERROR(INDEX('Monthly 쨈 raw'!$A:$AAQ, MATCH(E$1, 'Monthly 쨈 raw'!$A:$A, 0), MATCH($A15, 'Monthly 쨈 raw'!$1:$1, 0)), ""), IF(val=0, "", val))</f>
        <v>2.971622702</v>
      </c>
      <c r="F15" s="99">
        <f t="array" ref="F15">LET(val, IFERROR(INDEX('Monthly 쨈 raw'!$A:$AAQ, MATCH(F$1, 'Monthly 쨈 raw'!$A:$A, 0), MATCH($A15, 'Monthly 쨈 raw'!$1:$1, 0)), ""), IF(val=0, "", val))</f>
        <v>5.501484169</v>
      </c>
      <c r="G15" s="99">
        <f t="array" ref="G15">LET(val, IFERROR(INDEX('Monthly 쨈 raw'!$A:$AAQ, MATCH(G$1, 'Monthly 쨈 raw'!$A:$A, 0), MATCH($A15, 'Monthly 쨈 raw'!$1:$1, 0)), ""), IF(val=0, "", val))</f>
        <v>4.138136858</v>
      </c>
      <c r="H15" s="99">
        <f t="array" ref="H15">LET(val, IFERROR(INDEX('Monthly 쨈 raw'!$A:$AAQ, MATCH(H$1, 'Monthly 쨈 raw'!$A:$A, 0), MATCH($A15, 'Monthly 쨈 raw'!$1:$1, 0)), ""), IF(val=0, "", val))</f>
        <v>4.219047619</v>
      </c>
      <c r="I15" s="99"/>
    </row>
    <row r="16" ht="18.75" customHeight="1" outlineLevel="1">
      <c r="A16" s="73" t="s">
        <v>81</v>
      </c>
      <c r="B16" s="48" t="s">
        <v>82</v>
      </c>
      <c r="C16" s="98"/>
      <c r="D16" s="95"/>
      <c r="E16" s="99">
        <f t="array" ref="E16">LET(val, IFERROR(INDEX('Monthly 쨈 raw'!$A:$AAQ, MATCH(E$1, 'Monthly 쨈 raw'!$A:$A, 0), MATCH($A16, 'Monthly 쨈 raw'!$1:$1, 0)), ""), IF(val=0, "", val))</f>
        <v>2.971622702</v>
      </c>
      <c r="F16" s="99">
        <f t="array" ref="F16">LET(val, IFERROR(INDEX('Monthly 쨈 raw'!$A:$AAQ, MATCH(F$1, 'Monthly 쨈 raw'!$A:$A, 0), MATCH($A16, 'Monthly 쨈 raw'!$1:$1, 0)), ""), IF(val=0, "", val))</f>
        <v>5.501484169</v>
      </c>
      <c r="G16" s="99">
        <f t="array" ref="G16">LET(val, IFERROR(INDEX('Monthly 쨈 raw'!$A:$AAQ, MATCH(G$1, 'Monthly 쨈 raw'!$A:$A, 0), MATCH($A16, 'Monthly 쨈 raw'!$1:$1, 0)), ""), IF(val=0, "", val))</f>
        <v>4.138136858</v>
      </c>
      <c r="H16" s="99">
        <f t="array" ref="H16">LET(val, IFERROR(INDEX('Monthly 쨈 raw'!$A:$AAQ, MATCH(H$1, 'Monthly 쨈 raw'!$A:$A, 0), MATCH($A16, 'Monthly 쨈 raw'!$1:$1, 0)), ""), IF(val=0, "", val))</f>
        <v>3.822698413</v>
      </c>
      <c r="I16" s="99"/>
    </row>
    <row r="17" ht="18.75" customHeight="1" outlineLevel="1">
      <c r="A17" s="76" t="s">
        <v>83</v>
      </c>
      <c r="B17" s="56" t="s">
        <v>84</v>
      </c>
      <c r="C17" s="100"/>
      <c r="D17" s="96"/>
      <c r="E17" s="97" t="str">
        <f t="shared" ref="E17:H17" si="3">if(iferror(E16/E14, "")=0, "",iferror(E16/E14, ""))</f>
        <v/>
      </c>
      <c r="F17" s="97" t="str">
        <f t="shared" si="3"/>
        <v/>
      </c>
      <c r="G17" s="97" t="str">
        <f t="shared" si="3"/>
        <v/>
      </c>
      <c r="H17" s="101">
        <f t="shared" si="3"/>
        <v>40.69175964</v>
      </c>
      <c r="I17" s="97"/>
    </row>
    <row r="18" ht="18.75" customHeight="1">
      <c r="A18" s="23" t="s">
        <v>25</v>
      </c>
      <c r="B18" s="45" t="s">
        <v>25</v>
      </c>
      <c r="C18" s="102">
        <v>28000.0</v>
      </c>
      <c r="D18" s="103">
        <v>142423.4625499874</v>
      </c>
      <c r="E18" s="104">
        <f t="array" ref="E18">LET(val, IFERROR(INDEX('Monthly 쨈 raw'!$A:$AAQ, MATCH(E$1, 'Monthly 쨈 raw'!$A:$A, 0), MATCH($A18, 'Monthly 쨈 raw'!$1:$1, 0)), ""), IF(val=0, "", val))</f>
        <v>6674.216867</v>
      </c>
      <c r="F18" s="104">
        <f t="array" ref="F18">LET(val, IFERROR(INDEX('Monthly 쨈 raw'!$A:$AAQ, MATCH(F$1, 'Monthly 쨈 raw'!$A:$A, 0), MATCH($A18, 'Monthly 쨈 raw'!$1:$1, 0)), ""), IF(val=0, "", val))</f>
        <v>8020.06355</v>
      </c>
      <c r="G18" s="104">
        <f t="array" ref="G18">LET(val, IFERROR(INDEX('Monthly 쨈 raw'!$A:$AAQ, MATCH(G$1, 'Monthly 쨈 raw'!$A:$A, 0), MATCH($A18, 'Monthly 쨈 raw'!$1:$1, 0)), ""), IF(val=0, "", val))</f>
        <v>9067.176975</v>
      </c>
      <c r="H18" s="104">
        <f t="array" ref="H18">LET(val, IFERROR(INDEX('Monthly 쨈 raw'!$A:$AAQ, MATCH(H$1, 'Monthly 쨈 raw'!$A:$A, 0), MATCH($A18, 'Monthly 쨈 raw'!$1:$1, 0)), ""), IF(val=0, "", val))</f>
        <v>18036.13208</v>
      </c>
      <c r="I18" s="105" t="str">
        <f t="array" ref="I18">IF(IFERROR(INDEX('Monthly 쨈 raw'!$A:$AAQ, MATCH(I$1, 'Monthly 쨈 raw'!$A:$A, 0), MATCH($A18, 'Monthly 쨈 raw'!$1:$1, 0)), 0)=0, "", IFERROR(INDEX('Monthly 쨈 raw'!$A:$AAQ, MATCH(I$1, 'Monthly 쨈 raw'!$A:$A, 0), MATCH($A18, 'Monthly 쨈 raw'!$1:$1, 0)), 0))</f>
        <v/>
      </c>
    </row>
    <row r="19" ht="18.75" customHeight="1" outlineLevel="1">
      <c r="A19" s="23" t="s">
        <v>26</v>
      </c>
      <c r="B19" s="55" t="s">
        <v>26</v>
      </c>
      <c r="C19" s="106"/>
      <c r="D19" s="103">
        <v>7.9064961E9</v>
      </c>
      <c r="E19" s="104">
        <f t="array" ref="E19">LET(val, IFERROR(INDEX('Monthly 쨈 raw'!$A:$AAQ, MATCH(E$1, 'Monthly 쨈 raw'!$A:$A, 0), MATCH($A19, 'Monthly 쨈 raw'!$1:$1, 0)), ""), IF(val=0, "", val))</f>
        <v>2769800</v>
      </c>
      <c r="F19" s="104">
        <f t="array" ref="F19">LET(val, IFERROR(INDEX('Monthly 쨈 raw'!$A:$AAQ, MATCH(F$1, 'Monthly 쨈 raw'!$A:$A, 0), MATCH($A19, 'Monthly 쨈 raw'!$1:$1, 0)), ""), IF(val=0, "", val))</f>
        <v>17668200</v>
      </c>
      <c r="G19" s="104">
        <f t="array" ref="G19">LET(val, IFERROR(INDEX('Monthly 쨈 raw'!$A:$AAQ, MATCH(G$1, 'Monthly 쨈 raw'!$A:$A, 0), MATCH($A19, 'Monthly 쨈 raw'!$1:$1, 0)), ""), IF(val=0, "", val))</f>
        <v>14806700</v>
      </c>
      <c r="H19" s="104">
        <f t="array" ref="H19">LET(val, IFERROR(INDEX('Monthly 쨈 raw'!$A:$AAQ, MATCH(H$1, 'Monthly 쨈 raw'!$A:$A, 0), MATCH($A19, 'Monthly 쨈 raw'!$1:$1, 0)), ""), IF(val=0, "", val))</f>
        <v>19118300</v>
      </c>
      <c r="I19" s="105" t="str">
        <f t="array" ref="I19">IF(IFERROR(INDEX('Monthly 쨈 raw'!$A:$AAQ, MATCH(I$1, 'Monthly 쨈 raw'!$A:$A, 0), MATCH($A19, 'Monthly 쨈 raw'!$1:$1, 0)), 0)=0, "", IFERROR(INDEX('Monthly 쨈 raw'!$A:$AAQ, MATCH(I$1, 'Monthly 쨈 raw'!$A:$A, 0), MATCH($A19, 'Monthly 쨈 raw'!$1:$1, 0)), 0))</f>
        <v/>
      </c>
    </row>
    <row r="20" ht="18.75" customHeight="1" outlineLevel="1">
      <c r="A20" s="23" t="s">
        <v>28</v>
      </c>
      <c r="B20" s="47" t="s">
        <v>66</v>
      </c>
      <c r="C20" s="106"/>
      <c r="D20" s="95">
        <v>55514.0</v>
      </c>
      <c r="E20" s="58">
        <f t="array" ref="E20">LET(val, IFERROR(INDEX('Monthly 쨈 raw'!$A:$AAQ, MATCH(E$1, 'Monthly 쨈 raw'!$A:$A, 0), MATCH($A20, 'Monthly 쨈 raw'!$1:$1, 0)), ""), IF(val=0, "", val))</f>
        <v>415</v>
      </c>
      <c r="F20" s="58">
        <f t="array" ref="F20">LET(val, IFERROR(INDEX('Monthly 쨈 raw'!$A:$AAQ, MATCH(F$1, 'Monthly 쨈 raw'!$A:$A, 0), MATCH($A20, 'Monthly 쨈 raw'!$1:$1, 0)), ""), IF(val=0, "", val))</f>
        <v>2203</v>
      </c>
      <c r="G20" s="58">
        <f t="array" ref="G20">LET(val, IFERROR(INDEX('Monthly 쨈 raw'!$A:$AAQ, MATCH(G$1, 'Monthly 쨈 raw'!$A:$A, 0), MATCH($A20, 'Monthly 쨈 raw'!$1:$1, 0)), ""), IF(val=0, "", val))</f>
        <v>1633</v>
      </c>
      <c r="H20" s="58">
        <f t="array" ref="H20">LET(val, IFERROR(INDEX('Monthly 쨈 raw'!$A:$AAQ, MATCH(H$1, 'Monthly 쨈 raw'!$A:$A, 0), MATCH($A20, 'Monthly 쨈 raw'!$1:$1, 0)), ""), IF(val=0, "", val))</f>
        <v>1060</v>
      </c>
      <c r="I20" s="58" t="str">
        <f t="array" ref="I20">IF(IFERROR(INDEX('Monthly 쨈 raw'!$A:$AAQ, MATCH(I$1, 'Monthly 쨈 raw'!$A:$A, 0), MATCH($A20, 'Monthly 쨈 raw'!$1:$1, 0)), 0)=0, "", IFERROR(INDEX('Monthly 쨈 raw'!$A:$AAQ, MATCH(I$1, 'Monthly 쨈 raw'!$A:$A, 0), MATCH($A20, 'Monthly 쨈 raw'!$1:$1, 0)), 0))</f>
        <v/>
      </c>
    </row>
    <row r="21" ht="18.75" customHeight="1" outlineLevel="1">
      <c r="A21" s="23" t="s">
        <v>29</v>
      </c>
      <c r="B21" s="47" t="s">
        <v>85</v>
      </c>
      <c r="C21" s="106"/>
      <c r="D21" s="95">
        <v>473916.0</v>
      </c>
      <c r="E21" s="58">
        <f t="array" ref="E21">LET(val, IFERROR(INDEX('Monthly 쨈 raw'!$A:$AAQ, MATCH(E$1, 'Monthly 쨈 raw'!$A:$A, 0), MATCH($A21, 'Monthly 쨈 raw'!$1:$1, 0)), ""), IF(val=0, "", val))</f>
        <v>475</v>
      </c>
      <c r="F21" s="58">
        <f t="array" ref="F21">LET(val, IFERROR(INDEX('Monthly 쨈 raw'!$A:$AAQ, MATCH(F$1, 'Monthly 쨈 raw'!$A:$A, 0), MATCH($A21, 'Monthly 쨈 raw'!$1:$1, 0)), ""), IF(val=0, "", val))</f>
        <v>2853</v>
      </c>
      <c r="G21" s="58">
        <f t="array" ref="G21">LET(val, IFERROR(INDEX('Monthly 쨈 raw'!$A:$AAQ, MATCH(G$1, 'Monthly 쨈 raw'!$A:$A, 0), MATCH($A21, 'Monthly 쨈 raw'!$1:$1, 0)), ""), IF(val=0, "", val))</f>
        <v>2220</v>
      </c>
      <c r="H21" s="58">
        <f t="array" ref="H21">LET(val, IFERROR(INDEX('Monthly 쨈 raw'!$A:$AAQ, MATCH(H$1, 'Monthly 쨈 raw'!$A:$A, 0), MATCH($A21, 'Monthly 쨈 raw'!$1:$1, 0)), ""), IF(val=0, "", val))</f>
        <v>1460</v>
      </c>
      <c r="I21" s="58" t="str">
        <f t="array" ref="I21">IF(IFERROR(INDEX('Monthly 쨈 raw'!$A:$AAQ, MATCH(I$1, 'Monthly 쨈 raw'!$A:$A, 0), MATCH($A21, 'Monthly 쨈 raw'!$1:$1, 0)), 0)=0, "", IFERROR(INDEX('Monthly 쨈 raw'!$A:$AAQ, MATCH(I$1, 'Monthly 쨈 raw'!$A:$A, 0), MATCH($A21, 'Monthly 쨈 raw'!$1:$1, 0)), 0))</f>
        <v/>
      </c>
    </row>
    <row r="22" ht="18.75" customHeight="1">
      <c r="A22" s="11" t="s">
        <v>31</v>
      </c>
      <c r="B22" s="45" t="s">
        <v>32</v>
      </c>
      <c r="C22" s="90">
        <v>0.3</v>
      </c>
      <c r="D22" s="96">
        <v>0.39254190561279756</v>
      </c>
      <c r="E22" s="97">
        <f t="array" ref="E22">LET(val, IFERROR(INDEX('Monthly 쨈 raw'!$A:$AAQ, MATCH(E$1, 'Monthly 쨈 raw'!$A:$A, 0), MATCH($A22, 'Monthly 쨈 raw'!$1:$1, 0)), ""), IF(val=0, "", val))</f>
        <v>-0.4162513178</v>
      </c>
      <c r="F22" s="97">
        <f t="array" ref="F22">LET(val, IFERROR(INDEX('Monthly 쨈 raw'!$A:$AAQ, MATCH(F$1, 'Monthly 쨈 raw'!$A:$A, 0), MATCH($A22, 'Monthly 쨈 raw'!$1:$1, 0)), ""), IF(val=0, "", val))</f>
        <v>0.1686332733</v>
      </c>
      <c r="G22" s="97">
        <f t="array" ref="G22">LET(val, IFERROR(INDEX('Monthly 쨈 raw'!$A:$AAQ, MATCH(G$1, 'Monthly 쨈 raw'!$A:$A, 0), MATCH($A22, 'Monthly 쨈 raw'!$1:$1, 0)), ""), IF(val=0, "", val))</f>
        <v>0.1618671345</v>
      </c>
      <c r="H22" s="97">
        <f t="array" ref="H22">LET(val, IFERROR(INDEX('Monthly 쨈 raw'!$A:$AAQ, MATCH(H$1, 'Monthly 쨈 raw'!$A:$A, 0), MATCH($A22, 'Monthly 쨈 raw'!$1:$1, 0)), ""), IF(val=0, "", val))</f>
        <v>0.2965745961</v>
      </c>
      <c r="I22" s="97" t="str">
        <f t="array" ref="I22">IF(IFERROR(INDEX('Monthly 쨈 raw'!$A:$AAQ, MATCH(I$1, 'Monthly 쨈 raw'!$A:$A, 0), MATCH($A22, 'Monthly 쨈 raw'!$1:$1, 0)), 0)=0, "", IFERROR(INDEX('Monthly 쨈 raw'!$A:$AAQ, MATCH(I$1, 'Monthly 쨈 raw'!$A:$A, 0), MATCH($A22, 'Monthly 쨈 raw'!$1:$1, 0)), 0))</f>
        <v/>
      </c>
    </row>
    <row r="23" ht="18.75" customHeight="1" outlineLevel="1">
      <c r="A23" s="23" t="s">
        <v>33</v>
      </c>
      <c r="B23" s="47" t="s">
        <v>33</v>
      </c>
      <c r="C23" s="94"/>
      <c r="D23" s="107">
        <v>4.802865054185848E9</v>
      </c>
      <c r="E23" s="104">
        <f t="array" ref="E23">LET(val, IFERROR(INDEX('Monthly 쨈 raw'!$A:$AAQ, MATCH(E$1, 'Monthly 쨈 raw'!$A:$A, 0), MATCH($A23, 'Monthly 쨈 raw'!$1:$1, 0)), ""), IF(val=0, "", val))</f>
        <v>3922732.9</v>
      </c>
      <c r="F23" s="104">
        <f t="array" ref="F23">LET(val, IFERROR(INDEX('Monthly 쨈 raw'!$A:$AAQ, MATCH(F$1, 'Monthly 쨈 raw'!$A:$A, 0), MATCH($A23, 'Monthly 쨈 raw'!$1:$1, 0)), ""), IF(val=0, "", val))</f>
        <v>14688753.6</v>
      </c>
      <c r="G23" s="104">
        <f t="array" ref="G23">LET(val, IFERROR(INDEX('Monthly 쨈 raw'!$A:$AAQ, MATCH(G$1, 'Monthly 쨈 raw'!$A:$A, 0), MATCH($A23, 'Monthly 쨈 raw'!$1:$1, 0)), ""), IF(val=0, "", val))</f>
        <v>12409981.9</v>
      </c>
      <c r="H23" s="104">
        <f t="array" ref="H23">LET(val, IFERROR(INDEX('Monthly 쨈 raw'!$A:$AAQ, MATCH(H$1, 'Monthly 쨈 raw'!$A:$A, 0), MATCH($A23, 'Monthly 쨈 raw'!$1:$1, 0)), ""), IF(val=0, "", val))</f>
        <v>13448297.9</v>
      </c>
      <c r="I23" s="105" t="str">
        <f t="array" ref="I23">IF(IFERROR(INDEX('Monthly 쨈 raw'!$A:$AAQ, MATCH(I$1, 'Monthly 쨈 raw'!$A:$A, 0), MATCH($A23, 'Monthly 쨈 raw'!$1:$1, 0)), 0)=0, "", IFERROR(INDEX('Monthly 쨈 raw'!$A:$AAQ, MATCH(I$1, 'Monthly 쨈 raw'!$A:$A, 0), MATCH($A23, 'Monthly 쨈 raw'!$1:$1, 0)), 0))</f>
        <v/>
      </c>
    </row>
    <row r="24" ht="18.75" customHeight="1" outlineLevel="1">
      <c r="A24" s="23" t="s">
        <v>35</v>
      </c>
      <c r="B24" s="47" t="s">
        <v>26</v>
      </c>
      <c r="C24" s="94"/>
      <c r="D24" s="107">
        <v>7.9064961E9</v>
      </c>
      <c r="E24" s="104">
        <f t="array" ref="E24">LET(val, IFERROR(INDEX('Monthly 쨈 raw'!$A:$AAQ, MATCH(E$1, 'Monthly 쨈 raw'!$A:$A, 0), MATCH($A24, 'Monthly 쨈 raw'!$1:$1, 0)), ""), IF(val=0, "", val))</f>
        <v>2769800</v>
      </c>
      <c r="F24" s="104">
        <f t="array" ref="F24">LET(val, IFERROR(INDEX('Monthly 쨈 raw'!$A:$AAQ, MATCH(F$1, 'Monthly 쨈 raw'!$A:$A, 0), MATCH($A24, 'Monthly 쨈 raw'!$1:$1, 0)), ""), IF(val=0, "", val))</f>
        <v>17668200</v>
      </c>
      <c r="G24" s="104">
        <f t="array" ref="G24">LET(val, IFERROR(INDEX('Monthly 쨈 raw'!$A:$AAQ, MATCH(G$1, 'Monthly 쨈 raw'!$A:$A, 0), MATCH($A24, 'Monthly 쨈 raw'!$1:$1, 0)), ""), IF(val=0, "", val))</f>
        <v>14806700</v>
      </c>
      <c r="H24" s="104">
        <f t="array" ref="H24">LET(val, IFERROR(INDEX('Monthly 쨈 raw'!$A:$AAQ, MATCH(H$1, 'Monthly 쨈 raw'!$A:$A, 0), MATCH($A24, 'Monthly 쨈 raw'!$1:$1, 0)), ""), IF(val=0, "", val))</f>
        <v>19118300</v>
      </c>
      <c r="I24" s="105" t="str">
        <f t="array" ref="I24">IF(IFERROR(INDEX('Monthly 쨈 raw'!$A:$AAQ, MATCH(I$1, 'Monthly 쨈 raw'!$A:$A, 0), MATCH($A24, 'Monthly 쨈 raw'!$1:$1, 0)), 0)=0, "", IFERROR(INDEX('Monthly 쨈 raw'!$A:$AAQ, MATCH(I$1, 'Monthly 쨈 raw'!$A:$A, 0), MATCH($A24, 'Monthly 쨈 raw'!$1:$1, 0)), 0))</f>
        <v/>
      </c>
    </row>
    <row r="25" ht="18.75" customHeight="1">
      <c r="A25" s="16" t="s">
        <v>123</v>
      </c>
      <c r="B25" s="30" t="s">
        <v>124</v>
      </c>
      <c r="C25" s="90">
        <v>0.4</v>
      </c>
      <c r="D25" s="108"/>
      <c r="E25" s="58" t="str">
        <f t="array" ref="E25">LET(val, IFERROR(INDEX('Monthly 쨈 raw'!$A:$AAQ, MATCH(E$1, 'Monthly 쨈 raw'!$A:$A, 0), MATCH($A25, 'Monthly 쨈 raw'!$1:$1, 0)), ""), IF(val=0, "", val))</f>
        <v/>
      </c>
      <c r="F25" s="58" t="str">
        <f t="array" ref="F25">LET(val, IFERROR(INDEX('Monthly 쨈 raw'!$A:$AAQ, MATCH(F$1, 'Monthly 쨈 raw'!$A:$A, 0), MATCH($A25, 'Monthly 쨈 raw'!$1:$1, 0)), ""), IF(val=0, "", val))</f>
        <v/>
      </c>
      <c r="G25" s="58" t="str">
        <f t="array" ref="G25">LET(val, IFERROR(INDEX('Monthly 쨈 raw'!$A:$AAQ, MATCH(G$1, 'Monthly 쨈 raw'!$A:$A, 0), MATCH($A25, 'Monthly 쨈 raw'!$1:$1, 0)), ""), IF(val=0, "", val))</f>
        <v/>
      </c>
      <c r="H25" s="97">
        <f t="array" ref="H25">LET(val, IFERROR(INDEX('Monthly 쨈 raw'!$A:$AAQ, MATCH(H$1, 'Monthly 쨈 raw'!$A:$A, 0), MATCH($A25, 'Monthly 쨈 raw'!$1:$1, 0)), ""), IF(val=0, "", val))</f>
        <v>0.51</v>
      </c>
      <c r="I25" s="58" t="str">
        <f t="array" ref="I25">IF(IFERROR(INDEX('Monthly 쨈 raw'!$A:$AAQ, MATCH(I$1, 'Monthly 쨈 raw'!$A:$A, 0), MATCH($A25, 'Monthly 쨈 raw'!$1:$1, 0)), 0)=0, "", IFERROR(INDEX('Monthly 쨈 raw'!$A:$AAQ, MATCH(I$1, 'Monthly 쨈 raw'!$A:$A, 0), MATCH($A25, 'Monthly 쨈 raw'!$1:$1, 0)), 0))</f>
        <v/>
      </c>
    </row>
    <row r="26" ht="18.75" customHeight="1" outlineLevel="1">
      <c r="A26" s="109" t="s">
        <v>125</v>
      </c>
      <c r="B26" s="17" t="s">
        <v>116</v>
      </c>
      <c r="C26" s="90"/>
      <c r="D26" s="108"/>
      <c r="E26" s="58" t="str">
        <f t="array" ref="E26">LET(val, IFERROR(INDEX('Monthly 쨈 raw'!$A:$AAQ, MATCH(E$1, 'Monthly 쨈 raw'!$A:$A, 0), MATCH($A26, 'Monthly 쨈 raw'!$1:$1, 0)), ""), IF(val=0, "", val))</f>
        <v/>
      </c>
      <c r="F26" s="58" t="str">
        <f t="array" ref="F26">LET(val, IFERROR(INDEX('Monthly 쨈 raw'!$A:$AAQ, MATCH(F$1, 'Monthly 쨈 raw'!$A:$A, 0), MATCH($A26, 'Monthly 쨈 raw'!$1:$1, 0)), ""), IF(val=0, "", val))</f>
        <v/>
      </c>
      <c r="G26" s="92" t="str">
        <f t="array" ref="G26">LET(val, IFERROR(INDEX('Monthly 쨈 raw'!$A:$AAQ, MATCH(G$1, 'Monthly 쨈 raw'!$A:$A, 0), MATCH($A26, 'Monthly 쨈 raw'!$1:$1, 0)), ""), IF(val=0, "", val))</f>
        <v/>
      </c>
      <c r="H26" s="110">
        <f t="array" ref="H26">LET(val, IFERROR(INDEX('Monthly 쨈 raw'!$A:$AAQ, MATCH(H$1, 'Monthly 쨈 raw'!$A:$A, 0), MATCH($A26, 'Monthly 쨈 raw'!$1:$1, 0)), ""), IF(val=0, "", val))</f>
        <v>598</v>
      </c>
      <c r="I26" s="58" t="str">
        <f t="array" ref="I26">IF(IFERROR(INDEX('Monthly 쨈 raw'!$A:$AAQ, MATCH(I$1, 'Monthly 쨈 raw'!$A:$A, 0), MATCH($A26, 'Monthly 쨈 raw'!$1:$1, 0)), 0)=0, "", IFERROR(INDEX('Monthly 쨈 raw'!$A:$AAQ, MATCH(I$1, 'Monthly 쨈 raw'!$A:$A, 0), MATCH($A26, 'Monthly 쨈 raw'!$1:$1, 0)), 0))</f>
        <v/>
      </c>
    </row>
    <row r="27" ht="18.75" customHeight="1" outlineLevel="1">
      <c r="A27" s="16" t="s">
        <v>126</v>
      </c>
      <c r="B27" s="17" t="s">
        <v>117</v>
      </c>
      <c r="C27" s="90"/>
      <c r="D27" s="108"/>
      <c r="E27" s="58" t="str">
        <f t="array" ref="E27">LET(val, IFERROR(INDEX('Monthly 쨈 raw'!$A:$AAQ, MATCH(E$1, 'Monthly 쨈 raw'!$A:$A, 0), MATCH($A27, 'Monthly 쨈 raw'!$1:$1, 0)), ""), IF(val=0, "", val))</f>
        <v/>
      </c>
      <c r="F27" s="58" t="str">
        <f t="array" ref="F27">LET(val, IFERROR(INDEX('Monthly 쨈 raw'!$A:$AAQ, MATCH(F$1, 'Monthly 쨈 raw'!$A:$A, 0), MATCH($A27, 'Monthly 쨈 raw'!$1:$1, 0)), ""), IF(val=0, "", val))</f>
        <v/>
      </c>
      <c r="G27" s="58" t="str">
        <f t="array" ref="G27">LET(val, IFERROR(INDEX('Monthly 쨈 raw'!$A:$AAQ, MATCH(G$1, 'Monthly 쨈 raw'!$A:$A, 0), MATCH($A27, 'Monthly 쨈 raw'!$1:$1, 0)), ""), IF(val=0, "", val))</f>
        <v/>
      </c>
      <c r="H27" s="58">
        <f t="array" ref="H27">IF(IFERROR(INDEX('Monthly 쨈 raw'!$A:$AAQ, MATCH(H$1, 'Monthly 쨈 raw'!$A:$A, 0), MATCH($A27, 'Monthly 쨈 raw'!$1:$1, 0)), 0)=0, "", IFERROR(INDEX('Monthly 쨈 raw'!$A:$AAQ, MATCH(H$1, 'Monthly 쨈 raw'!$A:$A, 0), MATCH($A27, 'Monthly 쨈 raw'!$1:$1, 0)), 0))</f>
        <v>339</v>
      </c>
      <c r="I27" s="58" t="str">
        <f t="array" ref="I27">IF(IFERROR(INDEX('Monthly 쨈 raw'!$A:$AAQ, MATCH(I$1, 'Monthly 쨈 raw'!$A:$A, 0), MATCH($A27, 'Monthly 쨈 raw'!$1:$1, 0)), 0)=0, "", IFERROR(INDEX('Monthly 쨈 raw'!$A:$AAQ, MATCH(I$1, 'Monthly 쨈 raw'!$A:$A, 0), MATCH($A27, 'Monthly 쨈 raw'!$1:$1, 0)), 0))</f>
        <v/>
      </c>
    </row>
    <row r="28" ht="18.75" customHeight="1" outlineLevel="1">
      <c r="A28" s="16" t="s">
        <v>127</v>
      </c>
      <c r="B28" s="17" t="s">
        <v>118</v>
      </c>
      <c r="C28" s="90"/>
      <c r="D28" s="108"/>
      <c r="E28" s="58" t="str">
        <f t="array" ref="E28">LET(val, IFERROR(INDEX('Monthly 쨈 raw'!$A:$AAQ, MATCH(E$1, 'Monthly 쨈 raw'!$A:$A, 0), MATCH($A28, 'Monthly 쨈 raw'!$1:$1, 0)), ""), IF(val=0, "", val))</f>
        <v/>
      </c>
      <c r="F28" s="58" t="str">
        <f t="array" ref="F28">LET(val, IFERROR(INDEX('Monthly 쨈 raw'!$A:$AAQ, MATCH(F$1, 'Monthly 쨈 raw'!$A:$A, 0), MATCH($A28, 'Monthly 쨈 raw'!$1:$1, 0)), ""), IF(val=0, "", val))</f>
        <v/>
      </c>
      <c r="G28" s="58" t="str">
        <f t="array" ref="G28">LET(val, IFERROR(INDEX('Monthly 쨈 raw'!$A:$AAQ, MATCH(G$1, 'Monthly 쨈 raw'!$A:$A, 0), MATCH($A28, 'Monthly 쨈 raw'!$1:$1, 0)), ""), IF(val=0, "", val))</f>
        <v/>
      </c>
      <c r="H28" s="58">
        <f t="array" ref="H28">IF(IFERROR(INDEX('Monthly 쨈 raw'!$A:$AAQ, MATCH(H$1, 'Monthly 쨈 raw'!$A:$A, 0), MATCH($A28, 'Monthly 쨈 raw'!$1:$1, 0)), 0)=0, "", IFERROR(INDEX('Monthly 쨈 raw'!$A:$AAQ, MATCH(H$1, 'Monthly 쨈 raw'!$A:$A, 0), MATCH($A28, 'Monthly 쨈 raw'!$1:$1, 0)), 0))</f>
        <v>245</v>
      </c>
      <c r="I28" s="58" t="str">
        <f t="array" ref="I28">IF(IFERROR(INDEX('Monthly 쨈 raw'!$A:$AAQ, MATCH(I$1, 'Monthly 쨈 raw'!$A:$A, 0), MATCH($A28, 'Monthly 쨈 raw'!$1:$1, 0)), 0)=0, "", IFERROR(INDEX('Monthly 쨈 raw'!$A:$AAQ, MATCH(I$1, 'Monthly 쨈 raw'!$A:$A, 0), MATCH($A28, 'Monthly 쨈 raw'!$1:$1, 0)), 0))</f>
        <v/>
      </c>
    </row>
    <row r="29" ht="18.75" customHeight="1">
      <c r="A29" s="16"/>
      <c r="B29" s="30" t="s">
        <v>36</v>
      </c>
      <c r="D29" s="111"/>
      <c r="E29" s="58" t="str">
        <f t="array" ref="E29">LET(val, IFERROR(INDEX('Monthly 쨈 raw'!$A:$AAQ, MATCH(E$1, 'Monthly 쨈 raw'!$A:$A, 0), MATCH($A29, 'Monthly 쨈 raw'!$1:$1, 0)), ""), IF(val=0, "", val))</f>
        <v/>
      </c>
      <c r="F29" s="58" t="str">
        <f t="array" ref="F29">LET(val, IFERROR(INDEX('Monthly 쨈 raw'!$A:$AAQ, MATCH(F$1, 'Monthly 쨈 raw'!$A:$A, 0), MATCH($A29, 'Monthly 쨈 raw'!$1:$1, 0)), ""), IF(val=0, "", val))</f>
        <v/>
      </c>
      <c r="G29" s="58" t="str">
        <f t="array" ref="G29">LET(val, IFERROR(INDEX('Monthly 쨈 raw'!$A:$AAQ, MATCH(G$1, 'Monthly 쨈 raw'!$A:$A, 0), MATCH($A29, 'Monthly 쨈 raw'!$1:$1, 0)), ""), IF(val=0, "", val))</f>
        <v/>
      </c>
      <c r="H29" s="58" t="str">
        <f t="array" ref="H29">IF(IFERROR(INDEX('Monthly 쨈 raw'!$A:$AAQ, MATCH(H$1, 'Monthly 쨈 raw'!$A:$A, 0), MATCH($A29, 'Monthly 쨈 raw'!$1:$1, 0)), 0)=0, "", IFERROR(INDEX('Monthly 쨈 raw'!$A:$AAQ, MATCH(H$1, 'Monthly 쨈 raw'!$A:$A, 0), MATCH($A29, 'Monthly 쨈 raw'!$1:$1, 0)), 0))</f>
        <v/>
      </c>
      <c r="I29" s="58" t="str">
        <f t="array" ref="I29">IF(IFERROR(INDEX('Monthly 쨈 raw'!$A:$AAQ, MATCH(I$1, 'Monthly 쨈 raw'!$A:$A, 0), MATCH($A29, 'Monthly 쨈 raw'!$1:$1, 0)), 0)=0, "", IFERROR(INDEX('Monthly 쨈 raw'!$A:$AAQ, MATCH(I$1, 'Monthly 쨈 raw'!$A:$A, 0), MATCH($A29, 'Monthly 쨈 raw'!$1:$1, 0)), 0))</f>
        <v/>
      </c>
    </row>
    <row r="30" ht="18.75" customHeight="1" outlineLevel="1">
      <c r="A30" s="16" t="s">
        <v>37</v>
      </c>
      <c r="B30" s="17" t="s">
        <v>38</v>
      </c>
      <c r="D30" s="111"/>
      <c r="E30" s="58" t="str">
        <f t="array" ref="E30">LET(val, IFERROR(INDEX('Monthly 쨈 raw'!$A:$AAQ, MATCH(E$1, 'Monthly 쨈 raw'!$A:$A, 0), MATCH($A30, 'Monthly 쨈 raw'!$1:$1, 0)), ""), IF(val=0, "", val))</f>
        <v/>
      </c>
      <c r="F30" s="58" t="str">
        <f t="array" ref="F30">LET(val, IFERROR(INDEX('Monthly 쨈 raw'!$A:$AAQ, MATCH(F$1, 'Monthly 쨈 raw'!$A:$A, 0), MATCH($A30, 'Monthly 쨈 raw'!$1:$1, 0)), ""), IF(val=0, "", val))</f>
        <v/>
      </c>
      <c r="G30" s="58" t="str">
        <f t="array" ref="G30">LET(val, IFERROR(INDEX('Monthly 쨈 raw'!$A:$AAQ, MATCH(G$1, 'Monthly 쨈 raw'!$A:$A, 0), MATCH($A30, 'Monthly 쨈 raw'!$1:$1, 0)), ""), IF(val=0, "", val))</f>
        <v/>
      </c>
      <c r="H30" s="58" t="str">
        <f t="array" ref="H30">IF(IFERROR(INDEX('Monthly 쨈 raw'!$A:$AAQ, MATCH(H$1, 'Monthly 쨈 raw'!$A:$A, 0), MATCH($A30, 'Monthly 쨈 raw'!$1:$1, 0)), 0)=0, "", IFERROR(INDEX('Monthly 쨈 raw'!$A:$AAQ, MATCH(H$1, 'Monthly 쨈 raw'!$A:$A, 0), MATCH($A30, 'Monthly 쨈 raw'!$1:$1, 0)), 0))</f>
        <v/>
      </c>
      <c r="I30" s="58" t="str">
        <f t="array" ref="I30">IF(IFERROR(INDEX('Monthly 쨈 raw'!$A:$AAQ, MATCH(I$1, 'Monthly 쨈 raw'!$A:$A, 0), MATCH($A30, 'Monthly 쨈 raw'!$1:$1, 0)), 0)=0, "", IFERROR(INDEX('Monthly 쨈 raw'!$A:$AAQ, MATCH(I$1, 'Monthly 쨈 raw'!$A:$A, 0), MATCH($A30, 'Monthly 쨈 raw'!$1:$1, 0)), 0))</f>
        <v/>
      </c>
    </row>
    <row r="31" ht="18.75" customHeight="1" outlineLevel="1">
      <c r="A31" s="16" t="s">
        <v>39</v>
      </c>
      <c r="B31" s="17" t="s">
        <v>40</v>
      </c>
      <c r="D31" s="111"/>
      <c r="E31" s="58" t="str">
        <f t="array" ref="E31">LET(val, IFERROR(INDEX('Monthly 쨈 raw'!$A:$AAQ, MATCH(E$1, 'Monthly 쨈 raw'!$A:$A, 0), MATCH($A31, 'Monthly 쨈 raw'!$1:$1, 0)), ""), IF(val=0, "", val))</f>
        <v/>
      </c>
      <c r="F31" s="58" t="str">
        <f t="array" ref="F31">LET(val, IFERROR(INDEX('Monthly 쨈 raw'!$A:$AAQ, MATCH(F$1, 'Monthly 쨈 raw'!$A:$A, 0), MATCH($A31, 'Monthly 쨈 raw'!$1:$1, 0)), ""), IF(val=0, "", val))</f>
        <v/>
      </c>
      <c r="G31" s="58" t="str">
        <f t="array" ref="G31">LET(val, IFERROR(INDEX('Monthly 쨈 raw'!$A:$AAQ, MATCH(G$1, 'Monthly 쨈 raw'!$A:$A, 0), MATCH($A31, 'Monthly 쨈 raw'!$1:$1, 0)), ""), IF(val=0, "", val))</f>
        <v/>
      </c>
      <c r="H31" s="58" t="str">
        <f t="array" ref="H31">IF(IFERROR(INDEX('Monthly 쨈 raw'!$A:$AAQ, MATCH(H$1, 'Monthly 쨈 raw'!$A:$A, 0), MATCH($A31, 'Monthly 쨈 raw'!$1:$1, 0)), 0)=0, "", IFERROR(INDEX('Monthly 쨈 raw'!$A:$AAQ, MATCH(H$1, 'Monthly 쨈 raw'!$A:$A, 0), MATCH($A31, 'Monthly 쨈 raw'!$1:$1, 0)), 0))</f>
        <v/>
      </c>
      <c r="I31" s="58" t="str">
        <f t="array" ref="I31">IF(IFERROR(INDEX('Monthly 쨈 raw'!$A:$AAQ, MATCH(I$1, 'Monthly 쨈 raw'!$A:$A, 0), MATCH($A31, 'Monthly 쨈 raw'!$1:$1, 0)), 0)=0, "", IFERROR(INDEX('Monthly 쨈 raw'!$A:$AAQ, MATCH(I$1, 'Monthly 쨈 raw'!$A:$A, 0), MATCH($A31, 'Monthly 쨈 raw'!$1:$1, 0)), 0))</f>
        <v/>
      </c>
    </row>
    <row r="32" ht="18.75" customHeight="1" outlineLevel="1">
      <c r="A32" s="16" t="s">
        <v>41</v>
      </c>
      <c r="B32" s="17" t="s">
        <v>42</v>
      </c>
      <c r="D32" s="111"/>
      <c r="E32" s="58">
        <f t="array" ref="E32">LET(val, IFERROR(INDEX('Monthly 쨈 raw'!$A:$AAQ, MATCH(E$1, 'Monthly 쨈 raw'!$A:$A, 0), MATCH($A32, 'Monthly 쨈 raw'!$1:$1, 0)), ""), IF(val=0, "", val))</f>
        <v>3304</v>
      </c>
      <c r="F32" s="58">
        <f t="array" ref="F32">LET(val, IFERROR(INDEX('Monthly 쨈 raw'!$A:$AAQ, MATCH(F$1, 'Monthly 쨈 raw'!$A:$A, 0), MATCH($A32, 'Monthly 쨈 raw'!$1:$1, 0)), ""), IF(val=0, "", val))</f>
        <v>16831</v>
      </c>
      <c r="G32" s="58">
        <f t="array" ref="G32">LET(val, IFERROR(INDEX('Monthly 쨈 raw'!$A:$AAQ, MATCH(G$1, 'Monthly 쨈 raw'!$A:$A, 0), MATCH($A32, 'Monthly 쨈 raw'!$1:$1, 0)), ""), IF(val=0, "", val))</f>
        <v>16567</v>
      </c>
      <c r="H32" s="58">
        <f t="array" ref="H32">IF(IFERROR(INDEX('Monthly 쨈 raw'!$A:$AAQ, MATCH(H$1, 'Monthly 쨈 raw'!$A:$A, 0), MATCH($A32, 'Monthly 쨈 raw'!$1:$1, 0)), 0)=0, "", IFERROR(INDEX('Monthly 쨈 raw'!$A:$AAQ, MATCH(H$1, 'Monthly 쨈 raw'!$A:$A, 0), MATCH($A32, 'Monthly 쨈 raw'!$1:$1, 0)), 0))</f>
        <v>13278</v>
      </c>
      <c r="I32" s="58" t="str">
        <f t="array" ref="I32">IF(IFERROR(INDEX('Monthly 쨈 raw'!$A:$AAQ, MATCH(I$1, 'Monthly 쨈 raw'!$A:$A, 0), MATCH($A32, 'Monthly 쨈 raw'!$1:$1, 0)), 0)=0, "", IFERROR(INDEX('Monthly 쨈 raw'!$A:$AAQ, MATCH(I$1, 'Monthly 쨈 raw'!$A:$A, 0), MATCH($A32, 'Monthly 쨈 raw'!$1:$1, 0)), 0))</f>
        <v/>
      </c>
    </row>
    <row r="33" ht="18.75" customHeight="1" outlineLevel="1">
      <c r="A33" s="16" t="s">
        <v>43</v>
      </c>
      <c r="B33" s="17" t="s">
        <v>44</v>
      </c>
      <c r="D33" s="111"/>
      <c r="E33" s="58">
        <f t="array" ref="E33">LET(val, IFERROR(INDEX('Monthly 쨈 raw'!$A:$AAQ, MATCH(E$1, 'Monthly 쨈 raw'!$A:$A, 0), MATCH($A33, 'Monthly 쨈 raw'!$1:$1, 0)), ""), IF(val=0, "", val))</f>
        <v>1513</v>
      </c>
      <c r="F33" s="58">
        <f t="array" ref="F33">LET(val, IFERROR(INDEX('Monthly 쨈 raw'!$A:$AAQ, MATCH(F$1, 'Monthly 쨈 raw'!$A:$A, 0), MATCH($A33, 'Monthly 쨈 raw'!$1:$1, 0)), ""), IF(val=0, "", val))</f>
        <v>7400</v>
      </c>
      <c r="G33" s="58">
        <f t="array" ref="G33">LET(val, IFERROR(INDEX('Monthly 쨈 raw'!$A:$AAQ, MATCH(G$1, 'Monthly 쨈 raw'!$A:$A, 0), MATCH($A33, 'Monthly 쨈 raw'!$1:$1, 0)), ""), IF(val=0, "", val))</f>
        <v>5363</v>
      </c>
      <c r="H33" s="58">
        <f t="array" ref="H33">IF(IFERROR(INDEX('Monthly 쨈 raw'!$A:$AAQ, MATCH(H$1, 'Monthly 쨈 raw'!$A:$A, 0), MATCH($A33, 'Monthly 쨈 raw'!$1:$1, 0)), 0)=0, "", IFERROR(INDEX('Monthly 쨈 raw'!$A:$AAQ, MATCH(H$1, 'Monthly 쨈 raw'!$A:$A, 0), MATCH($A33, 'Monthly 쨈 raw'!$1:$1, 0)), 0))</f>
        <v>8504</v>
      </c>
      <c r="I33" s="58" t="str">
        <f t="array" ref="I33">IF(IFERROR(INDEX('Monthly 쨈 raw'!$A:$AAQ, MATCH(I$1, 'Monthly 쨈 raw'!$A:$A, 0), MATCH($A33, 'Monthly 쨈 raw'!$1:$1, 0)), 0)=0, "", IFERROR(INDEX('Monthly 쨈 raw'!$A:$AAQ, MATCH(I$1, 'Monthly 쨈 raw'!$A:$A, 0), MATCH($A33, 'Monthly 쨈 raw'!$1:$1, 0)), 0))</f>
        <v/>
      </c>
    </row>
    <row r="34" ht="18.75" customHeight="1" outlineLevel="1">
      <c r="A34" s="16" t="s">
        <v>45</v>
      </c>
      <c r="B34" s="17" t="s">
        <v>22</v>
      </c>
      <c r="D34" s="111"/>
      <c r="E34" s="58">
        <f t="array" ref="E34">LET(val, IFERROR(INDEX('Monthly 쨈 raw'!$A:$AAQ, MATCH(E$1, 'Monthly 쨈 raw'!$A:$A, 0), MATCH($A34, 'Monthly 쨈 raw'!$1:$1, 0)), ""), IF(val=0, "", val))</f>
        <v>756</v>
      </c>
      <c r="F34" s="58">
        <f t="array" ref="F34">LET(val, IFERROR(INDEX('Monthly 쨈 raw'!$A:$AAQ, MATCH(F$1, 'Monthly 쨈 raw'!$A:$A, 0), MATCH($A34, 'Monthly 쨈 raw'!$1:$1, 0)), ""), IF(val=0, "", val))</f>
        <v>2025</v>
      </c>
      <c r="G34" s="58">
        <f t="array" ref="G34">LET(val, IFERROR(INDEX('Monthly 쨈 raw'!$A:$AAQ, MATCH(G$1, 'Monthly 쨈 raw'!$A:$A, 0), MATCH($A34, 'Monthly 쨈 raw'!$1:$1, 0)), ""), IF(val=0, "", val))</f>
        <v>895</v>
      </c>
      <c r="H34" s="58">
        <f t="array" ref="H34">IF(IFERROR(INDEX('Monthly 쨈 raw'!$A:$AAQ, MATCH(H$1, 'Monthly 쨈 raw'!$A:$A, 0), MATCH($A34, 'Monthly 쨈 raw'!$1:$1, 0)), 0)=0, "", IFERROR(INDEX('Monthly 쨈 raw'!$A:$AAQ, MATCH(H$1, 'Monthly 쨈 raw'!$A:$A, 0), MATCH($A34, 'Monthly 쨈 raw'!$1:$1, 0)), 0))</f>
        <v>4011</v>
      </c>
      <c r="I34" s="58" t="str">
        <f t="array" ref="I34">IF(IFERROR(INDEX('Monthly 쨈 raw'!$A:$AAQ, MATCH(I$1, 'Monthly 쨈 raw'!$A:$A, 0), MATCH($A34, 'Monthly 쨈 raw'!$1:$1, 0)), 0)=0, "", IFERROR(INDEX('Monthly 쨈 raw'!$A:$AAQ, MATCH(I$1, 'Monthly 쨈 raw'!$A:$A, 0), MATCH($A34, 'Monthly 쨈 raw'!$1:$1, 0)), 0))</f>
        <v/>
      </c>
    </row>
    <row r="35" ht="18.75" customHeight="1" outlineLevel="1">
      <c r="A35" s="16" t="s">
        <v>46</v>
      </c>
      <c r="B35" s="17" t="s">
        <v>47</v>
      </c>
      <c r="D35" s="111"/>
      <c r="E35" s="58">
        <f t="array" ref="E35">LET(val, IFERROR(INDEX('Monthly 쨈 raw'!$A:$AAQ, MATCH(E$1, 'Monthly 쨈 raw'!$A:$A, 0), MATCH($A35, 'Monthly 쨈 raw'!$1:$1, 0)), ""), IF(val=0, "", val))</f>
        <v>400</v>
      </c>
      <c r="F35" s="58">
        <f t="array" ref="F35">LET(val, IFERROR(INDEX('Monthly 쨈 raw'!$A:$AAQ, MATCH(F$1, 'Monthly 쨈 raw'!$A:$A, 0), MATCH($A35, 'Monthly 쨈 raw'!$1:$1, 0)), ""), IF(val=0, "", val))</f>
        <v>2517</v>
      </c>
      <c r="G35" s="58">
        <f t="array" ref="G35">LET(val, IFERROR(INDEX('Monthly 쨈 raw'!$A:$AAQ, MATCH(G$1, 'Monthly 쨈 raw'!$A:$A, 0), MATCH($A35, 'Monthly 쨈 raw'!$1:$1, 0)), ""), IF(val=0, "", val))</f>
        <v>1297</v>
      </c>
      <c r="H35" s="58">
        <f t="array" ref="H35">IF(IFERROR(INDEX('Monthly 쨈 raw'!$A:$AAQ, MATCH(H$1, 'Monthly 쨈 raw'!$A:$A, 0), MATCH($A35, 'Monthly 쨈 raw'!$1:$1, 0)), 0)=0, "", IFERROR(INDEX('Monthly 쨈 raw'!$A:$AAQ, MATCH(H$1, 'Monthly 쨈 raw'!$A:$A, 0), MATCH($A35, 'Monthly 쨈 raw'!$1:$1, 0)), 0))</f>
        <v>4475</v>
      </c>
      <c r="I35" s="58" t="str">
        <f t="array" ref="I35">IF(IFERROR(INDEX('Monthly 쨈 raw'!$A:$AAQ, MATCH(I$1, 'Monthly 쨈 raw'!$A:$A, 0), MATCH($A35, 'Monthly 쨈 raw'!$1:$1, 0)), 0)=0, "", IFERROR(INDEX('Monthly 쨈 raw'!$A:$AAQ, MATCH(I$1, 'Monthly 쨈 raw'!$A:$A, 0), MATCH($A35, 'Monthly 쨈 raw'!$1:$1, 0)), 0))</f>
        <v/>
      </c>
    </row>
    <row r="36" ht="18.75" customHeight="1" outlineLevel="1">
      <c r="A36" s="16" t="s">
        <v>48</v>
      </c>
      <c r="B36" s="17" t="s">
        <v>20</v>
      </c>
      <c r="D36" s="111"/>
      <c r="E36" s="58">
        <f t="array" ref="E36">LET(val, IFERROR(INDEX('Monthly 쨈 raw'!$A:$AAQ, MATCH(E$1, 'Monthly 쨈 raw'!$A:$A, 0), MATCH($A36, 'Monthly 쨈 raw'!$1:$1, 0)), ""), IF(val=0, "", val))</f>
        <v>55</v>
      </c>
      <c r="F36" s="58">
        <f t="array" ref="F36">LET(val, IFERROR(INDEX('Monthly 쨈 raw'!$A:$AAQ, MATCH(F$1, 'Monthly 쨈 raw'!$A:$A, 0), MATCH($A36, 'Monthly 쨈 raw'!$1:$1, 0)), ""), IF(val=0, "", val))</f>
        <v>508</v>
      </c>
      <c r="G36" s="58">
        <f t="array" ref="G36">LET(val, IFERROR(INDEX('Monthly 쨈 raw'!$A:$AAQ, MATCH(G$1, 'Monthly 쨈 raw'!$A:$A, 0), MATCH($A36, 'Monthly 쨈 raw'!$1:$1, 0)), ""), IF(val=0, "", val))</f>
        <v>179</v>
      </c>
      <c r="H36" s="58">
        <f t="array" ref="H36">IF(IFERROR(INDEX('Monthly 쨈 raw'!$A:$AAQ, MATCH(H$1, 'Monthly 쨈 raw'!$A:$A, 0), MATCH($A36, 'Monthly 쨈 raw'!$1:$1, 0)), 0)=0, "", IFERROR(INDEX('Monthly 쨈 raw'!$A:$AAQ, MATCH(H$1, 'Monthly 쨈 raw'!$A:$A, 0), MATCH($A36, 'Monthly 쨈 raw'!$1:$1, 0)), 0))</f>
        <v>840</v>
      </c>
      <c r="I36" s="58" t="str">
        <f t="array" ref="I36">IF(IFERROR(INDEX('Monthly 쨈 raw'!$A:$AAQ, MATCH(I$1, 'Monthly 쨈 raw'!$A:$A, 0), MATCH($A36, 'Monthly 쨈 raw'!$1:$1, 0)), 0)=0, "", IFERROR(INDEX('Monthly 쨈 raw'!$A:$AAQ, MATCH(I$1, 'Monthly 쨈 raw'!$A:$A, 0), MATCH($A36, 'Monthly 쨈 raw'!$1:$1, 0)), 0))</f>
        <v/>
      </c>
    </row>
    <row r="37">
      <c r="A37" s="16"/>
      <c r="B37" s="30" t="s">
        <v>49</v>
      </c>
      <c r="D37" s="111"/>
      <c r="E37" s="58" t="str">
        <f t="array" ref="E37">LET(val, IFERROR(INDEX('Monthly 쨈 raw'!$A:$AAQ, MATCH(E$1, 'Monthly 쨈 raw'!$A:$A, 0), MATCH($A37, 'Monthly 쨈 raw'!$1:$1, 0)), ""), IF(val=0, "", val))</f>
        <v/>
      </c>
      <c r="F37" s="58" t="str">
        <f t="array" ref="F37">LET(val, IFERROR(INDEX('Monthly 쨈 raw'!$A:$AAQ, MATCH(F$1, 'Monthly 쨈 raw'!$A:$A, 0), MATCH($A37, 'Monthly 쨈 raw'!$1:$1, 0)), ""), IF(val=0, "", val))</f>
        <v/>
      </c>
      <c r="G37" s="58" t="str">
        <f t="array" ref="G37">LET(val, IFERROR(INDEX('Monthly 쨈 raw'!$A:$AAQ, MATCH(G$1, 'Monthly 쨈 raw'!$A:$A, 0), MATCH($A37, 'Monthly 쨈 raw'!$1:$1, 0)), ""), IF(val=0, "", val))</f>
        <v/>
      </c>
      <c r="H37" s="58" t="str">
        <f t="array" ref="H37">IF(IFERROR(INDEX('Monthly 쨈 raw'!$A:$AAQ, MATCH(H$1, 'Monthly 쨈 raw'!$A:$A, 0), MATCH($A37, 'Monthly 쨈 raw'!$1:$1, 0)), 0)=0, "", IFERROR(INDEX('Monthly 쨈 raw'!$A:$AAQ, MATCH(H$1, 'Monthly 쨈 raw'!$A:$A, 0), MATCH($A37, 'Monthly 쨈 raw'!$1:$1, 0)), 0))</f>
        <v/>
      </c>
      <c r="I37" s="58" t="str">
        <f t="array" ref="I37">IF(IFERROR(INDEX('Monthly 쨈 raw'!$A:$AAQ, MATCH(I$1, 'Monthly 쨈 raw'!$A:$A, 0), MATCH($A37, 'Monthly 쨈 raw'!$1:$1, 0)), 0)=0, "", IFERROR(INDEX('Monthly 쨈 raw'!$A:$AAQ, MATCH(I$1, 'Monthly 쨈 raw'!$A:$A, 0), MATCH($A37, 'Monthly 쨈 raw'!$1:$1, 0)), 0))</f>
        <v/>
      </c>
    </row>
    <row r="38" outlineLevel="1">
      <c r="A38" s="16" t="s">
        <v>50</v>
      </c>
      <c r="B38" s="48" t="s">
        <v>42</v>
      </c>
      <c r="D38" s="111"/>
      <c r="E38" s="58">
        <f t="array" ref="E38">LET(val, IFERROR(INDEX('Monthly 쨈 raw'!$A:$AAQ, MATCH(E$1, 'Monthly 쨈 raw'!$A:$A, 0), MATCH($A38, 'Monthly 쨈 raw'!$1:$1, 0)), ""), IF(val=0, "", val))</f>
        <v>28792</v>
      </c>
      <c r="F38" s="58">
        <f t="array" ref="F38">LET(val, IFERROR(INDEX('Monthly 쨈 raw'!$A:$AAQ, MATCH(F$1, 'Monthly 쨈 raw'!$A:$A, 0), MATCH($A38, 'Monthly 쨈 raw'!$1:$1, 0)), ""), IF(val=0, "", val))</f>
        <v>82775</v>
      </c>
      <c r="G38" s="58">
        <f t="array" ref="G38">LET(val, IFERROR(INDEX('Monthly 쨈 raw'!$A:$AAQ, MATCH(G$1, 'Monthly 쨈 raw'!$A:$A, 0), MATCH($A38, 'Monthly 쨈 raw'!$1:$1, 0)), ""), IF(val=0, "", val))</f>
        <v>92072</v>
      </c>
      <c r="H38" s="58">
        <f t="array" ref="H38">IF(IFERROR(INDEX('Monthly 쨈 raw'!$A:$AAQ, MATCH(H$1, 'Monthly 쨈 raw'!$A:$A, 0), MATCH($A38, 'Monthly 쨈 raw'!$1:$1, 0)), 0)=0, "", IFERROR(INDEX('Monthly 쨈 raw'!$A:$AAQ, MATCH(H$1, 'Monthly 쨈 raw'!$A:$A, 0), MATCH($A38, 'Monthly 쨈 raw'!$1:$1, 0)), 0))</f>
        <v>12716</v>
      </c>
      <c r="I38" s="58" t="str">
        <f t="array" ref="I38">IF(IFERROR(INDEX('Monthly 쨈 raw'!$A:$AAQ, MATCH(I$1, 'Monthly 쨈 raw'!$A:$A, 0), MATCH($A38, 'Monthly 쨈 raw'!$1:$1, 0)), 0)=0, "", IFERROR(INDEX('Monthly 쨈 raw'!$A:$AAQ, MATCH(I$1, 'Monthly 쨈 raw'!$A:$A, 0), MATCH($A38, 'Monthly 쨈 raw'!$1:$1, 0)), 0))</f>
        <v/>
      </c>
    </row>
    <row r="39" outlineLevel="1">
      <c r="A39" s="16" t="s">
        <v>51</v>
      </c>
      <c r="B39" s="48" t="s">
        <v>44</v>
      </c>
      <c r="D39" s="111"/>
      <c r="E39" s="58">
        <f t="array" ref="E39">LET(val, IFERROR(INDEX('Monthly 쨈 raw'!$A:$AAQ, MATCH(E$1, 'Monthly 쨈 raw'!$A:$A, 0), MATCH($A39, 'Monthly 쨈 raw'!$1:$1, 0)), ""), IF(val=0, "", val))</f>
        <v>19226</v>
      </c>
      <c r="F39" s="58">
        <f t="array" ref="F39">LET(val, IFERROR(INDEX('Monthly 쨈 raw'!$A:$AAQ, MATCH(F$1, 'Monthly 쨈 raw'!$A:$A, 0), MATCH($A39, 'Monthly 쨈 raw'!$1:$1, 0)), ""), IF(val=0, "", val))</f>
        <v>56808</v>
      </c>
      <c r="G39" s="58">
        <f t="array" ref="G39">LET(val, IFERROR(INDEX('Monthly 쨈 raw'!$A:$AAQ, MATCH(G$1, 'Monthly 쨈 raw'!$A:$A, 0), MATCH($A39, 'Monthly 쨈 raw'!$1:$1, 0)), ""), IF(val=0, "", val))</f>
        <v>68343</v>
      </c>
      <c r="H39" s="58">
        <f t="array" ref="H39">IF(IFERROR(INDEX('Monthly 쨈 raw'!$A:$AAQ, MATCH(H$1, 'Monthly 쨈 raw'!$A:$A, 0), MATCH($A39, 'Monthly 쨈 raw'!$1:$1, 0)), 0)=0, "", IFERROR(INDEX('Monthly 쨈 raw'!$A:$AAQ, MATCH(H$1, 'Monthly 쨈 raw'!$A:$A, 0), MATCH($A39, 'Monthly 쨈 raw'!$1:$1, 0)), 0))</f>
        <v>8325</v>
      </c>
      <c r="I39" s="58" t="str">
        <f t="array" ref="I39">IF(IFERROR(INDEX('Monthly 쨈 raw'!$A:$AAQ, MATCH(I$1, 'Monthly 쨈 raw'!$A:$A, 0), MATCH($A39, 'Monthly 쨈 raw'!$1:$1, 0)), 0)=0, "", IFERROR(INDEX('Monthly 쨈 raw'!$A:$AAQ, MATCH(I$1, 'Monthly 쨈 raw'!$A:$A, 0), MATCH($A39, 'Monthly 쨈 raw'!$1:$1, 0)), 0))</f>
        <v/>
      </c>
    </row>
    <row r="40" outlineLevel="1">
      <c r="A40" s="16" t="s">
        <v>52</v>
      </c>
      <c r="B40" s="48" t="s">
        <v>22</v>
      </c>
      <c r="D40" s="111"/>
      <c r="E40" s="58">
        <f t="array" ref="E40">LET(val, IFERROR(INDEX('Monthly 쨈 raw'!$A:$AAQ, MATCH(E$1, 'Monthly 쨈 raw'!$A:$A, 0), MATCH($A40, 'Monthly 쨈 raw'!$1:$1, 0)), ""), IF(val=0, "", val))</f>
        <v>9252</v>
      </c>
      <c r="F40" s="58">
        <f t="array" ref="F40">LET(val, IFERROR(INDEX('Monthly 쨈 raw'!$A:$AAQ, MATCH(F$1, 'Monthly 쨈 raw'!$A:$A, 0), MATCH($A40, 'Monthly 쨈 raw'!$1:$1, 0)), ""), IF(val=0, "", val))</f>
        <v>10103</v>
      </c>
      <c r="G40" s="58">
        <f t="array" ref="G40">LET(val, IFERROR(INDEX('Monthly 쨈 raw'!$A:$AAQ, MATCH(G$1, 'Monthly 쨈 raw'!$A:$A, 0), MATCH($A40, 'Monthly 쨈 raw'!$1:$1, 0)), ""), IF(val=0, "", val))</f>
        <v>8487</v>
      </c>
      <c r="H40" s="58">
        <f t="array" ref="H40">IF(IFERROR(INDEX('Monthly 쨈 raw'!$A:$AAQ, MATCH(H$1, 'Monthly 쨈 raw'!$A:$A, 0), MATCH($A40, 'Monthly 쨈 raw'!$1:$1, 0)), 0)=0, "", IFERROR(INDEX('Monthly 쨈 raw'!$A:$AAQ, MATCH(H$1, 'Monthly 쨈 raw'!$A:$A, 0), MATCH($A40, 'Monthly 쨈 raw'!$1:$1, 0)), 0))</f>
        <v>2289</v>
      </c>
      <c r="I40" s="58" t="str">
        <f t="array" ref="I40">IF(IFERROR(INDEX('Monthly 쨈 raw'!$A:$AAQ, MATCH(I$1, 'Monthly 쨈 raw'!$A:$A, 0), MATCH($A40, 'Monthly 쨈 raw'!$1:$1, 0)), 0)=0, "", IFERROR(INDEX('Monthly 쨈 raw'!$A:$AAQ, MATCH(I$1, 'Monthly 쨈 raw'!$A:$A, 0), MATCH($A40, 'Monthly 쨈 raw'!$1:$1, 0)), 0))</f>
        <v/>
      </c>
    </row>
    <row r="41" outlineLevel="1">
      <c r="A41" s="16" t="s">
        <v>53</v>
      </c>
      <c r="B41" s="48" t="s">
        <v>47</v>
      </c>
      <c r="D41" s="111"/>
      <c r="E41" s="58">
        <f t="array" ref="E41">LET(val, IFERROR(INDEX('Monthly 쨈 raw'!$A:$AAQ, MATCH(E$1, 'Monthly 쨈 raw'!$A:$A, 0), MATCH($A41, 'Monthly 쨈 raw'!$1:$1, 0)), ""), IF(val=0, "", val))</f>
        <v>4034</v>
      </c>
      <c r="F41" s="58">
        <f t="array" ref="F41">LET(val, IFERROR(INDEX('Monthly 쨈 raw'!$A:$AAQ, MATCH(F$1, 'Monthly 쨈 raw'!$A:$A, 0), MATCH($A41, 'Monthly 쨈 raw'!$1:$1, 0)), ""), IF(val=0, "", val))</f>
        <v>16104</v>
      </c>
      <c r="G41" s="58">
        <f t="array" ref="G41">LET(val, IFERROR(INDEX('Monthly 쨈 raw'!$A:$AAQ, MATCH(G$1, 'Monthly 쨈 raw'!$A:$A, 0), MATCH($A41, 'Monthly 쨈 raw'!$1:$1, 0)), ""), IF(val=0, "", val))</f>
        <v>11986</v>
      </c>
      <c r="H41" s="58">
        <f t="array" ref="H41">IF(IFERROR(INDEX('Monthly 쨈 raw'!$A:$AAQ, MATCH(H$1, 'Monthly 쨈 raw'!$A:$A, 0), MATCH($A41, 'Monthly 쨈 raw'!$1:$1, 0)), 0)=0, "", IFERROR(INDEX('Monthly 쨈 raw'!$A:$AAQ, MATCH(H$1, 'Monthly 쨈 raw'!$A:$A, 0), MATCH($A41, 'Monthly 쨈 raw'!$1:$1, 0)), 0))</f>
        <v>1016</v>
      </c>
      <c r="I41" s="58" t="str">
        <f t="array" ref="I41">IF(IFERROR(INDEX('Monthly 쨈 raw'!$A:$AAQ, MATCH(I$1, 'Monthly 쨈 raw'!$A:$A, 0), MATCH($A41, 'Monthly 쨈 raw'!$1:$1, 0)), 0)=0, "", IFERROR(INDEX('Monthly 쨈 raw'!$A:$AAQ, MATCH(I$1, 'Monthly 쨈 raw'!$A:$A, 0), MATCH($A41, 'Monthly 쨈 raw'!$1:$1, 0)), 0))</f>
        <v/>
      </c>
    </row>
    <row r="42" outlineLevel="1">
      <c r="A42" s="16" t="s">
        <v>54</v>
      </c>
      <c r="B42" s="48" t="s">
        <v>20</v>
      </c>
      <c r="D42" s="111"/>
      <c r="E42" s="58">
        <f t="array" ref="E42">LET(val, IFERROR(INDEX('Monthly 쨈 raw'!$A:$AAQ, MATCH(E$1, 'Monthly 쨈 raw'!$A:$A, 0), MATCH($A42, 'Monthly 쨈 raw'!$1:$1, 0)), ""), IF(val=0, "", val))</f>
        <v>360</v>
      </c>
      <c r="F42" s="58">
        <f t="array" ref="F42">LET(val, IFERROR(INDEX('Monthly 쨈 raw'!$A:$AAQ, MATCH(F$1, 'Monthly 쨈 raw'!$A:$A, 0), MATCH($A42, 'Monthly 쨈 raw'!$1:$1, 0)), ""), IF(val=0, "", val))</f>
        <v>1695</v>
      </c>
      <c r="G42" s="58">
        <f t="array" ref="G42">LET(val, IFERROR(INDEX('Monthly 쨈 raw'!$A:$AAQ, MATCH(G$1, 'Monthly 쨈 raw'!$A:$A, 0), MATCH($A42, 'Monthly 쨈 raw'!$1:$1, 0)), ""), IF(val=0, "", val))</f>
        <v>1454</v>
      </c>
      <c r="H42" s="58">
        <f t="array" ref="H42">IF(IFERROR(INDEX('Monthly 쨈 raw'!$A:$AAQ, MATCH(H$1, 'Monthly 쨈 raw'!$A:$A, 0), MATCH($A42, 'Monthly 쨈 raw'!$1:$1, 0)), 0)=0, "", IFERROR(INDEX('Monthly 쨈 raw'!$A:$AAQ, MATCH(H$1, 'Monthly 쨈 raw'!$A:$A, 0), MATCH($A42, 'Monthly 쨈 raw'!$1:$1, 0)), 0))</f>
        <v>220</v>
      </c>
      <c r="I42" s="58" t="str">
        <f t="array" ref="I42">IF(IFERROR(INDEX('Monthly 쨈 raw'!$A:$AAQ, MATCH(I$1, 'Monthly 쨈 raw'!$A:$A, 0), MATCH($A42, 'Monthly 쨈 raw'!$1:$1, 0)), 0)=0, "", IFERROR(INDEX('Monthly 쨈 raw'!$A:$AAQ, MATCH(I$1, 'Monthly 쨈 raw'!$A:$A, 0), MATCH($A42, 'Monthly 쨈 raw'!$1:$1, 0)), 0))</f>
        <v/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9" width="15.13"/>
    <col customWidth="1" min="20" max="20" width="14.63"/>
    <col min="21" max="40" width="15.13"/>
  </cols>
  <sheetData>
    <row r="1" ht="36.0">
      <c r="A1" s="112" t="s">
        <v>128</v>
      </c>
    </row>
    <row r="2">
      <c r="A2" s="113" t="s">
        <v>129</v>
      </c>
      <c r="B2" s="113" t="s">
        <v>10</v>
      </c>
      <c r="C2" s="113" t="s">
        <v>62</v>
      </c>
      <c r="D2" s="113" t="s">
        <v>64</v>
      </c>
      <c r="E2" s="113" t="s">
        <v>18</v>
      </c>
      <c r="F2" s="113" t="s">
        <v>19</v>
      </c>
      <c r="G2" s="113" t="s">
        <v>21</v>
      </c>
      <c r="H2" s="113" t="s">
        <v>68</v>
      </c>
      <c r="I2" s="113" t="s">
        <v>70</v>
      </c>
      <c r="J2" s="113" t="s">
        <v>23</v>
      </c>
      <c r="K2" s="113" t="s">
        <v>74</v>
      </c>
      <c r="L2" s="113" t="s">
        <v>76</v>
      </c>
      <c r="M2" s="113" t="s">
        <v>79</v>
      </c>
      <c r="N2" s="113" t="s">
        <v>81</v>
      </c>
      <c r="O2" s="113" t="s">
        <v>83</v>
      </c>
      <c r="P2" s="113" t="s">
        <v>25</v>
      </c>
      <c r="Q2" s="113" t="s">
        <v>26</v>
      </c>
      <c r="R2" s="113" t="s">
        <v>28</v>
      </c>
      <c r="S2" s="113" t="s">
        <v>29</v>
      </c>
      <c r="T2" s="113" t="s">
        <v>31</v>
      </c>
      <c r="U2" s="113" t="s">
        <v>33</v>
      </c>
      <c r="V2" s="113" t="s">
        <v>35</v>
      </c>
      <c r="W2" s="113" t="s">
        <v>123</v>
      </c>
      <c r="X2" s="113" t="s">
        <v>125</v>
      </c>
      <c r="Y2" s="113" t="s">
        <v>126</v>
      </c>
      <c r="Z2" s="113" t="s">
        <v>127</v>
      </c>
      <c r="AA2" s="113" t="s">
        <v>130</v>
      </c>
      <c r="AB2" s="113" t="s">
        <v>37</v>
      </c>
      <c r="AC2" s="113" t="s">
        <v>39</v>
      </c>
      <c r="AD2" s="113" t="s">
        <v>41</v>
      </c>
      <c r="AE2" s="113" t="s">
        <v>43</v>
      </c>
      <c r="AF2" s="113" t="s">
        <v>45</v>
      </c>
      <c r="AG2" s="113" t="s">
        <v>46</v>
      </c>
      <c r="AH2" s="113" t="s">
        <v>48</v>
      </c>
      <c r="AI2" s="113" t="s">
        <v>131</v>
      </c>
      <c r="AJ2" s="113" t="s">
        <v>50</v>
      </c>
      <c r="AK2" s="113" t="s">
        <v>51</v>
      </c>
      <c r="AL2" s="113" t="s">
        <v>52</v>
      </c>
      <c r="AM2" s="113" t="s">
        <v>53</v>
      </c>
      <c r="AN2" s="113" t="s">
        <v>54</v>
      </c>
    </row>
    <row r="3">
      <c r="A3" s="114">
        <v>45985.0</v>
      </c>
      <c r="B3" s="115">
        <v>0.59375</v>
      </c>
      <c r="C3" s="115">
        <v>38.0</v>
      </c>
      <c r="D3" s="115">
        <v>64.0</v>
      </c>
      <c r="E3" s="115">
        <v>0.019494364910143162</v>
      </c>
      <c r="F3" s="115">
        <v>64.0</v>
      </c>
      <c r="G3" s="115">
        <v>3283.0</v>
      </c>
      <c r="H3" s="115">
        <v>3283.0</v>
      </c>
      <c r="I3" s="115">
        <v>0.0</v>
      </c>
      <c r="J3" s="115">
        <v>4286.0</v>
      </c>
      <c r="K3" s="115">
        <v>4286.0</v>
      </c>
      <c r="L3" s="115"/>
      <c r="M3" s="115">
        <v>1.30551325007615</v>
      </c>
      <c r="N3" s="115">
        <v>1.30551325007615</v>
      </c>
      <c r="O3" s="115"/>
      <c r="P3" s="115">
        <v>5637.5</v>
      </c>
      <c r="Q3" s="115">
        <v>360800.0</v>
      </c>
      <c r="R3" s="115">
        <v>64.0</v>
      </c>
      <c r="S3" s="115">
        <v>65.0</v>
      </c>
      <c r="T3" s="115">
        <v>-0.5557821507760194</v>
      </c>
      <c r="U3" s="115">
        <v>561326.1999999878</v>
      </c>
      <c r="V3" s="115">
        <v>360800.0</v>
      </c>
      <c r="W3" s="115"/>
      <c r="X3" s="115"/>
      <c r="Y3" s="115"/>
      <c r="Z3" s="115"/>
      <c r="AA3" s="115"/>
      <c r="AB3" s="115">
        <v>0.0</v>
      </c>
      <c r="AC3" s="115">
        <v>0.0</v>
      </c>
      <c r="AD3" s="115">
        <v>362.0</v>
      </c>
      <c r="AE3" s="115">
        <v>161.0</v>
      </c>
      <c r="AF3" s="115">
        <v>91.0</v>
      </c>
      <c r="AG3" s="115">
        <v>32.0</v>
      </c>
      <c r="AH3" s="115">
        <v>3.0</v>
      </c>
      <c r="AI3" s="115"/>
      <c r="AJ3" s="115">
        <v>7263.0</v>
      </c>
      <c r="AK3" s="115">
        <v>5558.0</v>
      </c>
      <c r="AL3" s="115">
        <v>3192.0</v>
      </c>
      <c r="AM3" s="115">
        <v>539.0</v>
      </c>
      <c r="AN3" s="115">
        <v>61.0</v>
      </c>
    </row>
    <row r="4">
      <c r="A4" s="116">
        <v>45986.0</v>
      </c>
      <c r="B4" s="117">
        <v>0.7922077922077922</v>
      </c>
      <c r="C4" s="117">
        <v>61.0</v>
      </c>
      <c r="D4" s="117">
        <v>77.0</v>
      </c>
      <c r="E4" s="117">
        <v>0.024188790560471976</v>
      </c>
      <c r="F4" s="117">
        <v>82.0</v>
      </c>
      <c r="G4" s="117">
        <v>3390.0</v>
      </c>
      <c r="H4" s="117">
        <v>3390.0</v>
      </c>
      <c r="I4" s="117">
        <v>0.0</v>
      </c>
      <c r="J4" s="117">
        <v>4843.0</v>
      </c>
      <c r="K4" s="117">
        <v>4843.0</v>
      </c>
      <c r="L4" s="117"/>
      <c r="M4" s="117">
        <v>1.4286135693215338</v>
      </c>
      <c r="N4" s="117">
        <v>1.4286135693215338</v>
      </c>
      <c r="O4" s="117"/>
      <c r="P4" s="117">
        <v>6452.4390243902435</v>
      </c>
      <c r="Q4" s="117">
        <v>529100.0</v>
      </c>
      <c r="R4" s="117">
        <v>82.0</v>
      </c>
      <c r="S4" s="117">
        <v>86.0</v>
      </c>
      <c r="T4" s="117">
        <v>-0.2547200907200673</v>
      </c>
      <c r="U4" s="117">
        <v>663872.3999999876</v>
      </c>
      <c r="V4" s="117">
        <v>529100.0</v>
      </c>
      <c r="W4" s="117"/>
      <c r="X4" s="117"/>
      <c r="Y4" s="117"/>
      <c r="Z4" s="117"/>
      <c r="AA4" s="117"/>
      <c r="AB4" s="117">
        <v>0.0</v>
      </c>
      <c r="AC4" s="117">
        <v>0.0</v>
      </c>
      <c r="AD4" s="117">
        <v>474.0</v>
      </c>
      <c r="AE4" s="117">
        <v>245.0</v>
      </c>
      <c r="AF4" s="117">
        <v>155.0</v>
      </c>
      <c r="AG4" s="117">
        <v>59.0</v>
      </c>
      <c r="AH4" s="117">
        <v>5.0</v>
      </c>
      <c r="AI4" s="117"/>
      <c r="AJ4" s="117">
        <v>7706.0</v>
      </c>
      <c r="AK4" s="117">
        <v>5780.0</v>
      </c>
      <c r="AL4" s="117">
        <v>3235.0</v>
      </c>
      <c r="AM4" s="117">
        <v>749.0</v>
      </c>
      <c r="AN4" s="117">
        <v>77.0</v>
      </c>
    </row>
    <row r="5">
      <c r="A5" s="114">
        <v>45987.0</v>
      </c>
      <c r="B5" s="115">
        <v>0.5660377358490566</v>
      </c>
      <c r="C5" s="115">
        <v>30.0</v>
      </c>
      <c r="D5" s="115">
        <v>53.0</v>
      </c>
      <c r="E5" s="115">
        <v>0.016817190906259733</v>
      </c>
      <c r="F5" s="115">
        <v>54.0</v>
      </c>
      <c r="G5" s="115">
        <v>3211.0</v>
      </c>
      <c r="H5" s="115">
        <v>3211.0</v>
      </c>
      <c r="I5" s="115">
        <v>0.0</v>
      </c>
      <c r="J5" s="115">
        <v>4329.0</v>
      </c>
      <c r="K5" s="115">
        <v>4329.0</v>
      </c>
      <c r="L5" s="115"/>
      <c r="M5" s="115">
        <v>1.3481781376518218</v>
      </c>
      <c r="N5" s="115">
        <v>1.3481781376518218</v>
      </c>
      <c r="O5" s="115"/>
      <c r="P5" s="115">
        <v>6172.222222222223</v>
      </c>
      <c r="Q5" s="115">
        <v>333300.0</v>
      </c>
      <c r="R5" s="115">
        <v>54.0</v>
      </c>
      <c r="S5" s="115">
        <v>55.0</v>
      </c>
      <c r="T5" s="115">
        <v>-0.7288295829582645</v>
      </c>
      <c r="U5" s="115">
        <v>576218.8999999895</v>
      </c>
      <c r="V5" s="115">
        <v>333300.0</v>
      </c>
      <c r="W5" s="115"/>
      <c r="X5" s="115"/>
      <c r="Y5" s="115"/>
      <c r="Z5" s="115"/>
      <c r="AA5" s="115"/>
      <c r="AB5" s="115">
        <v>0.0</v>
      </c>
      <c r="AC5" s="115">
        <v>0.0</v>
      </c>
      <c r="AD5" s="115">
        <v>396.0</v>
      </c>
      <c r="AE5" s="115">
        <v>162.0</v>
      </c>
      <c r="AF5" s="115">
        <v>87.0</v>
      </c>
      <c r="AG5" s="115">
        <v>38.0</v>
      </c>
      <c r="AH5" s="115">
        <v>8.0</v>
      </c>
      <c r="AI5" s="115"/>
      <c r="AJ5" s="115">
        <v>7440.0</v>
      </c>
      <c r="AK5" s="115">
        <v>5594.0</v>
      </c>
      <c r="AL5" s="115">
        <v>3124.0</v>
      </c>
      <c r="AM5" s="115">
        <v>594.0</v>
      </c>
      <c r="AN5" s="115">
        <v>46.0</v>
      </c>
    </row>
    <row r="6">
      <c r="A6" s="116">
        <v>45988.0</v>
      </c>
      <c r="B6" s="117">
        <v>0.5384615384615384</v>
      </c>
      <c r="C6" s="117">
        <v>21.0</v>
      </c>
      <c r="D6" s="117">
        <v>39.0</v>
      </c>
      <c r="E6" s="117">
        <v>0.016232668244842745</v>
      </c>
      <c r="F6" s="117">
        <v>48.0</v>
      </c>
      <c r="G6" s="117">
        <v>2957.0</v>
      </c>
      <c r="H6" s="117">
        <v>2957.0</v>
      </c>
      <c r="I6" s="117">
        <v>0.0</v>
      </c>
      <c r="J6" s="117">
        <v>4289.0</v>
      </c>
      <c r="K6" s="117">
        <v>4289.0</v>
      </c>
      <c r="L6" s="117"/>
      <c r="M6" s="117">
        <v>1.4504565437943862</v>
      </c>
      <c r="N6" s="117">
        <v>1.4504565437943862</v>
      </c>
      <c r="O6" s="117"/>
      <c r="P6" s="117">
        <v>5683.333333333333</v>
      </c>
      <c r="Q6" s="117">
        <v>272800.0</v>
      </c>
      <c r="R6" s="117">
        <v>48.0</v>
      </c>
      <c r="S6" s="117">
        <v>50.0</v>
      </c>
      <c r="T6" s="117">
        <v>-0.9137027126099249</v>
      </c>
      <c r="U6" s="117">
        <v>522058.0999999875</v>
      </c>
      <c r="V6" s="117">
        <v>272800.0</v>
      </c>
      <c r="W6" s="117"/>
      <c r="X6" s="117"/>
      <c r="Y6" s="117"/>
      <c r="Z6" s="117"/>
      <c r="AA6" s="117"/>
      <c r="AB6" s="117">
        <v>0.0</v>
      </c>
      <c r="AC6" s="117">
        <v>0.0</v>
      </c>
      <c r="AD6" s="117">
        <v>459.0</v>
      </c>
      <c r="AE6" s="117">
        <v>212.0</v>
      </c>
      <c r="AF6" s="117">
        <v>116.0</v>
      </c>
      <c r="AG6" s="117">
        <v>40.0</v>
      </c>
      <c r="AH6" s="117">
        <v>5.0</v>
      </c>
      <c r="AI6" s="117"/>
      <c r="AJ6" s="117">
        <v>6612.0</v>
      </c>
      <c r="AK6" s="117">
        <v>4514.0</v>
      </c>
      <c r="AL6" s="117">
        <v>2841.0</v>
      </c>
      <c r="AM6" s="117">
        <v>586.0</v>
      </c>
      <c r="AN6" s="117">
        <v>43.0</v>
      </c>
    </row>
    <row r="7">
      <c r="A7" s="114">
        <v>45989.0</v>
      </c>
      <c r="B7" s="115">
        <v>0.4857142857142857</v>
      </c>
      <c r="C7" s="115">
        <v>17.0</v>
      </c>
      <c r="D7" s="115">
        <v>35.0</v>
      </c>
      <c r="E7" s="115">
        <v>0.015785861358956762</v>
      </c>
      <c r="F7" s="115">
        <v>46.0</v>
      </c>
      <c r="G7" s="115">
        <v>2914.0</v>
      </c>
      <c r="H7" s="115">
        <v>2914.0</v>
      </c>
      <c r="I7" s="115">
        <v>0.0</v>
      </c>
      <c r="J7" s="115">
        <v>4324.0</v>
      </c>
      <c r="K7" s="115">
        <v>4324.0</v>
      </c>
      <c r="L7" s="115"/>
      <c r="M7" s="115">
        <v>1.4838709677419355</v>
      </c>
      <c r="N7" s="115">
        <v>1.4838709677419355</v>
      </c>
      <c r="O7" s="115"/>
      <c r="P7" s="115">
        <v>6313.04347826087</v>
      </c>
      <c r="Q7" s="115">
        <v>290400.0</v>
      </c>
      <c r="R7" s="115">
        <v>46.0</v>
      </c>
      <c r="S7" s="115">
        <v>48.0</v>
      </c>
      <c r="T7" s="115">
        <v>-0.8082396694214558</v>
      </c>
      <c r="U7" s="115">
        <v>525112.7999999907</v>
      </c>
      <c r="V7" s="115">
        <v>290400.0</v>
      </c>
      <c r="W7" s="115"/>
      <c r="X7" s="115"/>
      <c r="Y7" s="115"/>
      <c r="Z7" s="115"/>
      <c r="AA7" s="115"/>
      <c r="AB7" s="115">
        <v>0.0</v>
      </c>
      <c r="AC7" s="115">
        <v>0.0</v>
      </c>
      <c r="AD7" s="115">
        <v>393.0</v>
      </c>
      <c r="AE7" s="115">
        <v>175.0</v>
      </c>
      <c r="AF7" s="115">
        <v>106.0</v>
      </c>
      <c r="AG7" s="115">
        <v>47.0</v>
      </c>
      <c r="AH7" s="115">
        <v>7.0</v>
      </c>
      <c r="AI7" s="115"/>
      <c r="AJ7" s="115">
        <v>7268.0</v>
      </c>
      <c r="AK7" s="115">
        <v>5119.0</v>
      </c>
      <c r="AL7" s="115">
        <v>2808.0</v>
      </c>
      <c r="AM7" s="115">
        <v>539.0</v>
      </c>
      <c r="AN7" s="115">
        <v>39.0</v>
      </c>
    </row>
    <row r="8">
      <c r="A8" s="116">
        <v>45990.0</v>
      </c>
      <c r="B8" s="117">
        <v>0.5903614457831325</v>
      </c>
      <c r="C8" s="117">
        <v>49.0</v>
      </c>
      <c r="D8" s="117">
        <v>83.0</v>
      </c>
      <c r="E8" s="117">
        <v>0.04754186925985954</v>
      </c>
      <c r="F8" s="117">
        <v>88.0</v>
      </c>
      <c r="G8" s="117">
        <v>1851.0</v>
      </c>
      <c r="H8" s="117">
        <v>1851.0</v>
      </c>
      <c r="I8" s="117">
        <v>0.0</v>
      </c>
      <c r="J8" s="117">
        <v>3556.0</v>
      </c>
      <c r="K8" s="117">
        <v>3556.0</v>
      </c>
      <c r="L8" s="117"/>
      <c r="M8" s="117">
        <v>1.9211237169097786</v>
      </c>
      <c r="N8" s="117">
        <v>1.9211237169097786</v>
      </c>
      <c r="O8" s="117"/>
      <c r="P8" s="117">
        <v>6037.5</v>
      </c>
      <c r="Q8" s="117">
        <v>531300.0</v>
      </c>
      <c r="R8" s="117">
        <v>88.0</v>
      </c>
      <c r="S8" s="117">
        <v>95.0</v>
      </c>
      <c r="T8" s="117">
        <v>0.0771686429512638</v>
      </c>
      <c r="U8" s="117">
        <v>490300.2999999935</v>
      </c>
      <c r="V8" s="117">
        <v>531300.0</v>
      </c>
      <c r="W8" s="117"/>
      <c r="X8" s="117"/>
      <c r="Y8" s="117"/>
      <c r="Z8" s="117"/>
      <c r="AA8" s="117"/>
      <c r="AB8" s="117">
        <v>0.0</v>
      </c>
      <c r="AC8" s="117">
        <v>0.0</v>
      </c>
      <c r="AD8" s="117">
        <v>382.0</v>
      </c>
      <c r="AE8" s="117">
        <v>132.0</v>
      </c>
      <c r="AF8" s="117">
        <v>50.0</v>
      </c>
      <c r="AG8" s="117">
        <v>43.0</v>
      </c>
      <c r="AH8" s="117">
        <v>8.0</v>
      </c>
      <c r="AI8" s="117"/>
      <c r="AJ8" s="117">
        <v>7292.0</v>
      </c>
      <c r="AK8" s="117">
        <v>5373.0</v>
      </c>
      <c r="AL8" s="117">
        <v>1801.0</v>
      </c>
      <c r="AM8" s="117">
        <v>1140.0</v>
      </c>
      <c r="AN8" s="117">
        <v>80.0</v>
      </c>
    </row>
    <row r="9">
      <c r="A9" s="114">
        <v>45991.0</v>
      </c>
      <c r="B9" s="115">
        <v>0.546875</v>
      </c>
      <c r="C9" s="115">
        <v>35.0</v>
      </c>
      <c r="D9" s="115">
        <v>64.0</v>
      </c>
      <c r="E9" s="115">
        <v>0.03171806167400881</v>
      </c>
      <c r="F9" s="115">
        <v>72.0</v>
      </c>
      <c r="G9" s="115">
        <v>2270.0</v>
      </c>
      <c r="H9" s="115">
        <v>2270.0</v>
      </c>
      <c r="I9" s="115">
        <v>0.0</v>
      </c>
      <c r="J9" s="115">
        <v>4113.0</v>
      </c>
      <c r="K9" s="115">
        <v>4113.0</v>
      </c>
      <c r="L9" s="115"/>
      <c r="M9" s="115">
        <v>1.8118942731277532</v>
      </c>
      <c r="N9" s="115">
        <v>1.8118942731277532</v>
      </c>
      <c r="O9" s="115"/>
      <c r="P9" s="115">
        <v>6279.166666666667</v>
      </c>
      <c r="Q9" s="115">
        <v>452100.0</v>
      </c>
      <c r="R9" s="115">
        <v>72.0</v>
      </c>
      <c r="S9" s="115">
        <v>76.0</v>
      </c>
      <c r="T9" s="115">
        <v>-0.29140499889403304</v>
      </c>
      <c r="U9" s="115">
        <v>583844.1999999924</v>
      </c>
      <c r="V9" s="115">
        <v>452100.0</v>
      </c>
      <c r="W9" s="115"/>
      <c r="X9" s="115"/>
      <c r="Y9" s="115"/>
      <c r="Z9" s="115"/>
      <c r="AA9" s="115"/>
      <c r="AB9" s="115">
        <v>0.0</v>
      </c>
      <c r="AC9" s="115">
        <v>0.0</v>
      </c>
      <c r="AD9" s="115">
        <v>410.0</v>
      </c>
      <c r="AE9" s="115">
        <v>140.0</v>
      </c>
      <c r="AF9" s="115">
        <v>57.0</v>
      </c>
      <c r="AG9" s="115">
        <v>43.0</v>
      </c>
      <c r="AH9" s="115">
        <v>3.0</v>
      </c>
      <c r="AI9" s="115"/>
      <c r="AJ9" s="115">
        <v>7323.0</v>
      </c>
      <c r="AK9" s="115">
        <v>5425.0</v>
      </c>
      <c r="AL9" s="115">
        <v>2213.0</v>
      </c>
      <c r="AM9" s="115">
        <v>1067.0</v>
      </c>
      <c r="AN9" s="115">
        <v>69.0</v>
      </c>
    </row>
    <row r="10">
      <c r="A10" s="116">
        <v>45992.0</v>
      </c>
      <c r="B10" s="117">
        <v>0.5208333333333334</v>
      </c>
      <c r="C10" s="117">
        <v>25.0</v>
      </c>
      <c r="D10" s="117">
        <v>48.0</v>
      </c>
      <c r="E10" s="117">
        <v>0.029396596183599792</v>
      </c>
      <c r="F10" s="117">
        <v>57.0</v>
      </c>
      <c r="G10" s="117">
        <v>1939.0</v>
      </c>
      <c r="H10" s="117">
        <v>1939.0</v>
      </c>
      <c r="I10" s="117">
        <v>0.0</v>
      </c>
      <c r="J10" s="117">
        <v>3398.0</v>
      </c>
      <c r="K10" s="117">
        <v>3398.0</v>
      </c>
      <c r="L10" s="117"/>
      <c r="M10" s="117">
        <v>1.7524497163486332</v>
      </c>
      <c r="N10" s="117">
        <v>1.7524497163486332</v>
      </c>
      <c r="O10" s="117"/>
      <c r="P10" s="117">
        <v>6464.912280701755</v>
      </c>
      <c r="Q10" s="117">
        <v>368500.0</v>
      </c>
      <c r="R10" s="117">
        <v>57.0</v>
      </c>
      <c r="S10" s="117">
        <v>60.0</v>
      </c>
      <c r="T10" s="117">
        <v>-0.2332130257801759</v>
      </c>
      <c r="U10" s="117">
        <v>454438.9999999948</v>
      </c>
      <c r="V10" s="117">
        <v>368500.0</v>
      </c>
      <c r="W10" s="117"/>
      <c r="X10" s="117"/>
      <c r="Y10" s="117"/>
      <c r="Z10" s="117"/>
      <c r="AA10" s="117"/>
      <c r="AB10" s="117">
        <v>0.0</v>
      </c>
      <c r="AC10" s="117">
        <v>0.0</v>
      </c>
      <c r="AD10" s="117">
        <v>372.0</v>
      </c>
      <c r="AE10" s="117">
        <v>141.0</v>
      </c>
      <c r="AF10" s="117">
        <v>54.0</v>
      </c>
      <c r="AG10" s="117">
        <v>35.0</v>
      </c>
      <c r="AH10" s="117">
        <v>3.0</v>
      </c>
      <c r="AI10" s="117"/>
      <c r="AJ10" s="117">
        <v>6822.0</v>
      </c>
      <c r="AK10" s="117">
        <v>4899.0</v>
      </c>
      <c r="AL10" s="117">
        <v>1885.0</v>
      </c>
      <c r="AM10" s="117">
        <v>897.0</v>
      </c>
      <c r="AN10" s="117">
        <v>54.0</v>
      </c>
    </row>
    <row r="11">
      <c r="A11" s="114">
        <v>45993.0</v>
      </c>
      <c r="B11" s="115">
        <v>0.4823529411764706</v>
      </c>
      <c r="C11" s="115">
        <v>41.0</v>
      </c>
      <c r="D11" s="115">
        <v>85.0</v>
      </c>
      <c r="E11" s="115">
        <v>0.08989805375347544</v>
      </c>
      <c r="F11" s="115">
        <v>97.0</v>
      </c>
      <c r="G11" s="115">
        <v>1079.0</v>
      </c>
      <c r="H11" s="115">
        <v>1079.0</v>
      </c>
      <c r="I11" s="115">
        <v>0.0</v>
      </c>
      <c r="J11" s="115">
        <v>3436.0</v>
      </c>
      <c r="K11" s="115">
        <v>3436.0</v>
      </c>
      <c r="L11" s="115"/>
      <c r="M11" s="115">
        <v>3.1844300278035216</v>
      </c>
      <c r="N11" s="115">
        <v>3.1844300278035216</v>
      </c>
      <c r="O11" s="115"/>
      <c r="P11" s="115">
        <v>5964.948453608247</v>
      </c>
      <c r="Q11" s="115">
        <v>578600.0</v>
      </c>
      <c r="R11" s="115">
        <v>97.0</v>
      </c>
      <c r="S11" s="115">
        <v>102.0</v>
      </c>
      <c r="T11" s="115">
        <v>0.16088385758728607</v>
      </c>
      <c r="U11" s="115">
        <v>485512.5999999963</v>
      </c>
      <c r="V11" s="115">
        <v>578600.0</v>
      </c>
      <c r="W11" s="115"/>
      <c r="X11" s="115"/>
      <c r="Y11" s="115"/>
      <c r="Z11" s="115"/>
      <c r="AA11" s="115"/>
      <c r="AB11" s="115">
        <v>0.0</v>
      </c>
      <c r="AC11" s="115">
        <v>0.0</v>
      </c>
      <c r="AD11" s="115">
        <v>502.0</v>
      </c>
      <c r="AE11" s="115">
        <v>244.0</v>
      </c>
      <c r="AF11" s="115">
        <v>91.0</v>
      </c>
      <c r="AG11" s="115">
        <v>95.0</v>
      </c>
      <c r="AH11" s="115">
        <v>15.0</v>
      </c>
      <c r="AI11" s="115"/>
      <c r="AJ11" s="115">
        <v>6838.0</v>
      </c>
      <c r="AK11" s="115">
        <v>4638.0</v>
      </c>
      <c r="AL11" s="115">
        <v>988.0</v>
      </c>
      <c r="AM11" s="115">
        <v>1249.0</v>
      </c>
      <c r="AN11" s="115">
        <v>82.0</v>
      </c>
    </row>
    <row r="12">
      <c r="A12" s="116">
        <v>45994.0</v>
      </c>
      <c r="B12" s="117">
        <v>0.4835164835164835</v>
      </c>
      <c r="C12" s="117">
        <v>44.0</v>
      </c>
      <c r="D12" s="117">
        <v>91.0</v>
      </c>
      <c r="E12" s="117">
        <v>0.10960334029227557</v>
      </c>
      <c r="F12" s="117">
        <v>105.0</v>
      </c>
      <c r="G12" s="117">
        <v>958.0</v>
      </c>
      <c r="H12" s="117">
        <v>958.0</v>
      </c>
      <c r="I12" s="117">
        <v>0.0</v>
      </c>
      <c r="J12" s="117">
        <v>3025.0</v>
      </c>
      <c r="K12" s="117">
        <v>3025.0</v>
      </c>
      <c r="L12" s="117"/>
      <c r="M12" s="117">
        <v>3.1576200417536535</v>
      </c>
      <c r="N12" s="117">
        <v>3.1576200417536535</v>
      </c>
      <c r="O12" s="117"/>
      <c r="P12" s="117">
        <v>6956.190476190476</v>
      </c>
      <c r="Q12" s="117">
        <v>730400.0</v>
      </c>
      <c r="R12" s="117">
        <v>105.0</v>
      </c>
      <c r="S12" s="117">
        <v>108.0</v>
      </c>
      <c r="T12" s="117">
        <v>0.3485921412924464</v>
      </c>
      <c r="U12" s="117">
        <v>475788.29999999714</v>
      </c>
      <c r="V12" s="117">
        <v>730400.0</v>
      </c>
      <c r="W12" s="117"/>
      <c r="X12" s="117"/>
      <c r="Y12" s="117"/>
      <c r="Z12" s="117"/>
      <c r="AA12" s="117"/>
      <c r="AB12" s="117">
        <v>0.0</v>
      </c>
      <c r="AC12" s="117">
        <v>0.0</v>
      </c>
      <c r="AD12" s="117">
        <v>447.0</v>
      </c>
      <c r="AE12" s="117">
        <v>181.0</v>
      </c>
      <c r="AF12" s="117">
        <v>78.0</v>
      </c>
      <c r="AG12" s="117">
        <v>75.0</v>
      </c>
      <c r="AH12" s="117">
        <v>21.0</v>
      </c>
      <c r="AI12" s="117"/>
      <c r="AJ12" s="117">
        <v>6209.0</v>
      </c>
      <c r="AK12" s="117">
        <v>4231.0</v>
      </c>
      <c r="AL12" s="117">
        <v>880.0</v>
      </c>
      <c r="AM12" s="117">
        <v>1125.0</v>
      </c>
      <c r="AN12" s="117">
        <v>84.0</v>
      </c>
    </row>
    <row r="13">
      <c r="A13" s="114">
        <v>45995.0</v>
      </c>
      <c r="B13" s="115">
        <v>0.39705882352941174</v>
      </c>
      <c r="C13" s="115">
        <v>27.0</v>
      </c>
      <c r="D13" s="115">
        <v>68.0</v>
      </c>
      <c r="E13" s="115">
        <v>0.08152173913043478</v>
      </c>
      <c r="F13" s="115">
        <v>75.0</v>
      </c>
      <c r="G13" s="115">
        <v>920.0</v>
      </c>
      <c r="H13" s="115">
        <v>920.0</v>
      </c>
      <c r="I13" s="115">
        <v>0.0</v>
      </c>
      <c r="J13" s="115">
        <v>2642.0</v>
      </c>
      <c r="K13" s="115">
        <v>2642.0</v>
      </c>
      <c r="L13" s="115"/>
      <c r="M13" s="115">
        <v>2.871739130434783</v>
      </c>
      <c r="N13" s="115">
        <v>2.871739130434783</v>
      </c>
      <c r="O13" s="115"/>
      <c r="P13" s="115">
        <v>6365.333333333333</v>
      </c>
      <c r="Q13" s="115">
        <v>477400.0</v>
      </c>
      <c r="R13" s="115">
        <v>75.0</v>
      </c>
      <c r="S13" s="115">
        <v>76.0</v>
      </c>
      <c r="T13" s="115">
        <v>0.16638416422287805</v>
      </c>
      <c r="U13" s="115">
        <v>397968.19999999803</v>
      </c>
      <c r="V13" s="115">
        <v>477400.0</v>
      </c>
      <c r="W13" s="115"/>
      <c r="X13" s="115"/>
      <c r="Y13" s="115"/>
      <c r="Z13" s="115"/>
      <c r="AA13" s="115"/>
      <c r="AB13" s="115">
        <v>0.0</v>
      </c>
      <c r="AC13" s="115">
        <v>0.0</v>
      </c>
      <c r="AD13" s="115">
        <v>568.0</v>
      </c>
      <c r="AE13" s="115">
        <v>260.0</v>
      </c>
      <c r="AF13" s="115">
        <v>87.0</v>
      </c>
      <c r="AG13" s="115">
        <v>86.0</v>
      </c>
      <c r="AH13" s="115">
        <v>11.0</v>
      </c>
      <c r="AI13" s="115"/>
      <c r="AJ13" s="115">
        <v>6174.0</v>
      </c>
      <c r="AK13" s="115">
        <v>4416.0</v>
      </c>
      <c r="AL13" s="115">
        <v>833.0</v>
      </c>
      <c r="AM13" s="115">
        <v>982.0</v>
      </c>
      <c r="AN13" s="115">
        <v>64.0</v>
      </c>
    </row>
    <row r="14">
      <c r="A14" s="116">
        <v>45996.0</v>
      </c>
      <c r="B14" s="117">
        <v>0.5230769230769231</v>
      </c>
      <c r="C14" s="117">
        <v>34.0</v>
      </c>
      <c r="D14" s="117">
        <v>65.0</v>
      </c>
      <c r="E14" s="117">
        <v>0.0936374549819928</v>
      </c>
      <c r="F14" s="117">
        <v>78.0</v>
      </c>
      <c r="G14" s="117">
        <v>833.0</v>
      </c>
      <c r="H14" s="117">
        <v>833.0</v>
      </c>
      <c r="I14" s="117">
        <v>0.0</v>
      </c>
      <c r="J14" s="117">
        <v>2609.0</v>
      </c>
      <c r="K14" s="117">
        <v>2609.0</v>
      </c>
      <c r="L14" s="117"/>
      <c r="M14" s="117">
        <v>3.1320528211284513</v>
      </c>
      <c r="N14" s="117">
        <v>3.1320528211284513</v>
      </c>
      <c r="O14" s="117"/>
      <c r="P14" s="117">
        <v>6233.333333333333</v>
      </c>
      <c r="Q14" s="117">
        <v>486200.0</v>
      </c>
      <c r="R14" s="117">
        <v>78.0</v>
      </c>
      <c r="S14" s="117">
        <v>85.0</v>
      </c>
      <c r="T14" s="117">
        <v>0.3628280542986404</v>
      </c>
      <c r="U14" s="117">
        <v>309793.00000000105</v>
      </c>
      <c r="V14" s="117">
        <v>486200.0</v>
      </c>
      <c r="W14" s="117"/>
      <c r="X14" s="117"/>
      <c r="Y14" s="117"/>
      <c r="Z14" s="117"/>
      <c r="AA14" s="117"/>
      <c r="AB14" s="117">
        <v>0.0</v>
      </c>
      <c r="AC14" s="117">
        <v>0.0</v>
      </c>
      <c r="AD14" s="117">
        <v>469.0</v>
      </c>
      <c r="AE14" s="117">
        <v>242.0</v>
      </c>
      <c r="AF14" s="117">
        <v>62.0</v>
      </c>
      <c r="AG14" s="117">
        <v>87.0</v>
      </c>
      <c r="AH14" s="117">
        <v>18.0</v>
      </c>
      <c r="AI14" s="117"/>
      <c r="AJ14" s="117">
        <v>6936.0</v>
      </c>
      <c r="AK14" s="117">
        <v>4702.0</v>
      </c>
      <c r="AL14" s="117">
        <v>771.0</v>
      </c>
      <c r="AM14" s="117">
        <v>890.0</v>
      </c>
      <c r="AN14" s="117">
        <v>60.0</v>
      </c>
    </row>
    <row r="15">
      <c r="A15" s="114">
        <v>45997.0</v>
      </c>
      <c r="B15" s="115">
        <v>0.4246575342465753</v>
      </c>
      <c r="C15" s="115">
        <v>31.0</v>
      </c>
      <c r="D15" s="115">
        <v>73.0</v>
      </c>
      <c r="E15" s="115">
        <v>0.12609970674486803</v>
      </c>
      <c r="F15" s="115">
        <v>86.0</v>
      </c>
      <c r="G15" s="115">
        <v>682.0</v>
      </c>
      <c r="H15" s="115">
        <v>682.0</v>
      </c>
      <c r="I15" s="115">
        <v>0.0</v>
      </c>
      <c r="J15" s="115">
        <v>2298.0</v>
      </c>
      <c r="K15" s="115">
        <v>2298.0</v>
      </c>
      <c r="L15" s="115"/>
      <c r="M15" s="115">
        <v>3.36950146627566</v>
      </c>
      <c r="N15" s="115">
        <v>3.36950146627566</v>
      </c>
      <c r="O15" s="115"/>
      <c r="P15" s="115">
        <v>6433.720930232558</v>
      </c>
      <c r="Q15" s="115">
        <v>553300.0</v>
      </c>
      <c r="R15" s="115">
        <v>86.0</v>
      </c>
      <c r="S15" s="115">
        <v>91.0</v>
      </c>
      <c r="T15" s="115">
        <v>0.342725465389484</v>
      </c>
      <c r="U15" s="115">
        <v>363669.9999999985</v>
      </c>
      <c r="V15" s="115">
        <v>553300.0</v>
      </c>
      <c r="W15" s="115"/>
      <c r="X15" s="115"/>
      <c r="Y15" s="115"/>
      <c r="Z15" s="115"/>
      <c r="AA15" s="115"/>
      <c r="AB15" s="115">
        <v>0.0</v>
      </c>
      <c r="AC15" s="115">
        <v>0.0</v>
      </c>
      <c r="AD15" s="115">
        <v>423.0</v>
      </c>
      <c r="AE15" s="115">
        <v>171.0</v>
      </c>
      <c r="AF15" s="115">
        <v>41.0</v>
      </c>
      <c r="AG15" s="115">
        <v>60.0</v>
      </c>
      <c r="AH15" s="115">
        <v>15.0</v>
      </c>
      <c r="AI15" s="115"/>
      <c r="AJ15" s="115">
        <v>6362.0</v>
      </c>
      <c r="AK15" s="115">
        <v>4578.0</v>
      </c>
      <c r="AL15" s="115">
        <v>641.0</v>
      </c>
      <c r="AM15" s="115">
        <v>958.0</v>
      </c>
      <c r="AN15" s="115">
        <v>71.0</v>
      </c>
    </row>
    <row r="16">
      <c r="A16" s="116">
        <v>45998.0</v>
      </c>
      <c r="B16" s="117">
        <v>0.323943661971831</v>
      </c>
      <c r="C16" s="117">
        <v>23.0</v>
      </c>
      <c r="D16" s="117">
        <v>71.0</v>
      </c>
      <c r="E16" s="117">
        <v>0.1297709923664122</v>
      </c>
      <c r="F16" s="117">
        <v>85.0</v>
      </c>
      <c r="G16" s="117">
        <v>655.0</v>
      </c>
      <c r="H16" s="117">
        <v>655.0</v>
      </c>
      <c r="I16" s="117">
        <v>0.0</v>
      </c>
      <c r="J16" s="117">
        <v>2552.0</v>
      </c>
      <c r="K16" s="117">
        <v>2552.0</v>
      </c>
      <c r="L16" s="117"/>
      <c r="M16" s="117">
        <v>3.8961832061068704</v>
      </c>
      <c r="N16" s="117">
        <v>3.8961832061068704</v>
      </c>
      <c r="O16" s="117"/>
      <c r="P16" s="117">
        <v>6444.705882352941</v>
      </c>
      <c r="Q16" s="117">
        <v>547800.0</v>
      </c>
      <c r="R16" s="117">
        <v>85.0</v>
      </c>
      <c r="S16" s="117">
        <v>96.0</v>
      </c>
      <c r="T16" s="117">
        <v>0.3027915297553826</v>
      </c>
      <c r="U16" s="117">
        <v>381930.80000000144</v>
      </c>
      <c r="V16" s="117">
        <v>547800.0</v>
      </c>
      <c r="W16" s="117"/>
      <c r="X16" s="117"/>
      <c r="Y16" s="117"/>
      <c r="Z16" s="117"/>
      <c r="AA16" s="117"/>
      <c r="AB16" s="117">
        <v>0.0</v>
      </c>
      <c r="AC16" s="117">
        <v>0.0</v>
      </c>
      <c r="AD16" s="117">
        <v>477.0</v>
      </c>
      <c r="AE16" s="117">
        <v>191.0</v>
      </c>
      <c r="AF16" s="117">
        <v>36.0</v>
      </c>
      <c r="AG16" s="117">
        <v>75.0</v>
      </c>
      <c r="AH16" s="117">
        <v>13.0</v>
      </c>
      <c r="AI16" s="117"/>
      <c r="AJ16" s="117">
        <v>6048.0</v>
      </c>
      <c r="AK16" s="117">
        <v>4254.0</v>
      </c>
      <c r="AL16" s="117">
        <v>619.0</v>
      </c>
      <c r="AM16" s="117">
        <v>906.0</v>
      </c>
      <c r="AN16" s="117">
        <v>72.0</v>
      </c>
    </row>
    <row r="17">
      <c r="A17" s="114">
        <v>45999.0</v>
      </c>
      <c r="B17" s="115">
        <v>0.5087719298245614</v>
      </c>
      <c r="C17" s="115">
        <v>29.0</v>
      </c>
      <c r="D17" s="115">
        <v>57.0</v>
      </c>
      <c r="E17" s="115">
        <v>0.11375212224108659</v>
      </c>
      <c r="F17" s="115">
        <v>67.0</v>
      </c>
      <c r="G17" s="115">
        <v>589.0</v>
      </c>
      <c r="H17" s="115">
        <v>589.0</v>
      </c>
      <c r="I17" s="115">
        <v>0.0</v>
      </c>
      <c r="J17" s="115">
        <v>1921.0</v>
      </c>
      <c r="K17" s="115">
        <v>1921.0</v>
      </c>
      <c r="L17" s="115"/>
      <c r="M17" s="115">
        <v>3.261460101867572</v>
      </c>
      <c r="N17" s="115">
        <v>3.261460101867572</v>
      </c>
      <c r="O17" s="115"/>
      <c r="P17" s="115">
        <v>5811.940298507463</v>
      </c>
      <c r="Q17" s="115">
        <v>389400.0</v>
      </c>
      <c r="R17" s="115">
        <v>67.0</v>
      </c>
      <c r="S17" s="115">
        <v>68.0</v>
      </c>
      <c r="T17" s="115">
        <v>0.251360041088857</v>
      </c>
      <c r="U17" s="115">
        <v>291520.3999999991</v>
      </c>
      <c r="V17" s="115">
        <v>389400.0</v>
      </c>
      <c r="W17" s="115"/>
      <c r="X17" s="115"/>
      <c r="Y17" s="115"/>
      <c r="Z17" s="115"/>
      <c r="AA17" s="115"/>
      <c r="AB17" s="115">
        <v>0.0</v>
      </c>
      <c r="AC17" s="115">
        <v>0.0</v>
      </c>
      <c r="AD17" s="115">
        <v>385.0</v>
      </c>
      <c r="AE17" s="115">
        <v>150.0</v>
      </c>
      <c r="AF17" s="115">
        <v>20.0</v>
      </c>
      <c r="AG17" s="115">
        <v>51.0</v>
      </c>
      <c r="AH17" s="115">
        <v>5.0</v>
      </c>
      <c r="AI17" s="115"/>
      <c r="AJ17" s="115">
        <v>5647.0</v>
      </c>
      <c r="AK17" s="115">
        <v>3985.0</v>
      </c>
      <c r="AL17" s="115">
        <v>569.0</v>
      </c>
      <c r="AM17" s="115">
        <v>732.0</v>
      </c>
      <c r="AN17" s="115">
        <v>62.0</v>
      </c>
    </row>
    <row r="18">
      <c r="A18" s="116">
        <v>46000.0</v>
      </c>
      <c r="B18" s="117">
        <v>0.38</v>
      </c>
      <c r="C18" s="117">
        <v>19.0</v>
      </c>
      <c r="D18" s="117">
        <v>50.0</v>
      </c>
      <c r="E18" s="117">
        <v>0.08804204993429698</v>
      </c>
      <c r="F18" s="117">
        <v>67.0</v>
      </c>
      <c r="G18" s="117">
        <v>761.0</v>
      </c>
      <c r="H18" s="117">
        <v>761.0</v>
      </c>
      <c r="I18" s="117">
        <v>0.0</v>
      </c>
      <c r="J18" s="117">
        <v>2516.0</v>
      </c>
      <c r="K18" s="117">
        <v>2516.0</v>
      </c>
      <c r="L18" s="117"/>
      <c r="M18" s="117">
        <v>3.3061760840998686</v>
      </c>
      <c r="N18" s="117">
        <v>3.3061760840998686</v>
      </c>
      <c r="O18" s="117"/>
      <c r="P18" s="117">
        <v>6156.7164179104475</v>
      </c>
      <c r="Q18" s="117">
        <v>412500.0</v>
      </c>
      <c r="R18" s="117">
        <v>67.0</v>
      </c>
      <c r="S18" s="117">
        <v>70.0</v>
      </c>
      <c r="T18" s="117">
        <v>0.24769987878788124</v>
      </c>
      <c r="U18" s="117">
        <v>310323.799999999</v>
      </c>
      <c r="V18" s="117">
        <v>412500.0</v>
      </c>
      <c r="W18" s="117"/>
      <c r="X18" s="117"/>
      <c r="Y18" s="117"/>
      <c r="Z18" s="117"/>
      <c r="AA18" s="117"/>
      <c r="AB18" s="117">
        <v>0.0</v>
      </c>
      <c r="AC18" s="117">
        <v>0.0</v>
      </c>
      <c r="AD18" s="117">
        <v>420.0</v>
      </c>
      <c r="AE18" s="117">
        <v>158.0</v>
      </c>
      <c r="AF18" s="117">
        <v>49.0</v>
      </c>
      <c r="AG18" s="117">
        <v>53.0</v>
      </c>
      <c r="AH18" s="117">
        <v>12.0</v>
      </c>
      <c r="AI18" s="117"/>
      <c r="AJ18" s="117">
        <v>5292.0</v>
      </c>
      <c r="AK18" s="117">
        <v>3620.0</v>
      </c>
      <c r="AL18" s="117">
        <v>712.0</v>
      </c>
      <c r="AM18" s="117">
        <v>637.0</v>
      </c>
      <c r="AN18" s="117">
        <v>55.0</v>
      </c>
    </row>
    <row r="19">
      <c r="A19" s="114">
        <v>46001.0</v>
      </c>
      <c r="B19" s="115">
        <v>0.4418604651162791</v>
      </c>
      <c r="C19" s="115">
        <v>19.0</v>
      </c>
      <c r="D19" s="115">
        <v>43.0</v>
      </c>
      <c r="E19" s="115">
        <v>0.06375838926174497</v>
      </c>
      <c r="F19" s="115">
        <v>57.0</v>
      </c>
      <c r="G19" s="115">
        <v>894.0</v>
      </c>
      <c r="H19" s="115">
        <v>894.0</v>
      </c>
      <c r="I19" s="115">
        <v>0.0</v>
      </c>
      <c r="J19" s="115">
        <v>2452.0</v>
      </c>
      <c r="K19" s="115">
        <v>2452.0</v>
      </c>
      <c r="L19" s="115"/>
      <c r="M19" s="115">
        <v>2.742729306487696</v>
      </c>
      <c r="N19" s="115">
        <v>2.742729306487696</v>
      </c>
      <c r="O19" s="115"/>
      <c r="P19" s="115">
        <v>5885.964912280701</v>
      </c>
      <c r="Q19" s="115">
        <v>335500.0</v>
      </c>
      <c r="R19" s="115">
        <v>57.0</v>
      </c>
      <c r="S19" s="115">
        <v>64.0</v>
      </c>
      <c r="T19" s="115">
        <v>-0.14100357675111264</v>
      </c>
      <c r="U19" s="115">
        <v>382806.69999999827</v>
      </c>
      <c r="V19" s="115">
        <v>335500.0</v>
      </c>
      <c r="W19" s="115"/>
      <c r="X19" s="115"/>
      <c r="Y19" s="115"/>
      <c r="Z19" s="115"/>
      <c r="AA19" s="115"/>
      <c r="AB19" s="115">
        <v>0.0</v>
      </c>
      <c r="AC19" s="115">
        <v>0.0</v>
      </c>
      <c r="AD19" s="115">
        <v>556.0</v>
      </c>
      <c r="AE19" s="115">
        <v>245.0</v>
      </c>
      <c r="AF19" s="115">
        <v>124.0</v>
      </c>
      <c r="AG19" s="115">
        <v>68.0</v>
      </c>
      <c r="AH19" s="115">
        <v>15.0</v>
      </c>
      <c r="AI19" s="115"/>
      <c r="AJ19" s="115">
        <v>5047.0</v>
      </c>
      <c r="AK19" s="115">
        <v>3514.0</v>
      </c>
      <c r="AL19" s="115">
        <v>770.0</v>
      </c>
      <c r="AM19" s="115">
        <v>612.0</v>
      </c>
      <c r="AN19" s="115">
        <v>42.0</v>
      </c>
    </row>
    <row r="20">
      <c r="A20" s="116">
        <v>46002.0</v>
      </c>
      <c r="B20" s="117">
        <v>0.52</v>
      </c>
      <c r="C20" s="117">
        <v>26.0</v>
      </c>
      <c r="D20" s="117">
        <v>50.0</v>
      </c>
      <c r="E20" s="117">
        <v>0.09681881051175657</v>
      </c>
      <c r="F20" s="117">
        <v>70.0</v>
      </c>
      <c r="G20" s="117">
        <v>723.0</v>
      </c>
      <c r="H20" s="117">
        <v>723.0</v>
      </c>
      <c r="I20" s="117">
        <v>0.0</v>
      </c>
      <c r="J20" s="117">
        <v>2202.0</v>
      </c>
      <c r="K20" s="117">
        <v>2202.0</v>
      </c>
      <c r="L20" s="117"/>
      <c r="M20" s="117">
        <v>3.045643153526971</v>
      </c>
      <c r="N20" s="117">
        <v>3.045643153526971</v>
      </c>
      <c r="O20" s="117"/>
      <c r="P20" s="117">
        <v>5421.428571428572</v>
      </c>
      <c r="Q20" s="117">
        <v>379500.0</v>
      </c>
      <c r="R20" s="117">
        <v>70.0</v>
      </c>
      <c r="S20" s="117">
        <v>74.0</v>
      </c>
      <c r="T20" s="117">
        <v>0.10662872200263962</v>
      </c>
      <c r="U20" s="117">
        <v>339034.3999999983</v>
      </c>
      <c r="V20" s="117">
        <v>379500.0</v>
      </c>
      <c r="W20" s="117"/>
      <c r="X20" s="117"/>
      <c r="Y20" s="117"/>
      <c r="Z20" s="117"/>
      <c r="AA20" s="117"/>
      <c r="AB20" s="117">
        <v>0.0</v>
      </c>
      <c r="AC20" s="117">
        <v>0.0</v>
      </c>
      <c r="AD20" s="117">
        <v>475.0</v>
      </c>
      <c r="AE20" s="117">
        <v>202.0</v>
      </c>
      <c r="AF20" s="117">
        <v>59.0</v>
      </c>
      <c r="AG20" s="117">
        <v>71.0</v>
      </c>
      <c r="AH20" s="117">
        <v>11.0</v>
      </c>
      <c r="AI20" s="117"/>
      <c r="AJ20" s="117">
        <v>5246.0</v>
      </c>
      <c r="AK20" s="117">
        <v>3603.0</v>
      </c>
      <c r="AL20" s="117">
        <v>664.0</v>
      </c>
      <c r="AM20" s="117">
        <v>606.0</v>
      </c>
      <c r="AN20" s="117">
        <v>59.0</v>
      </c>
    </row>
    <row r="21">
      <c r="A21" s="114">
        <v>46003.0</v>
      </c>
      <c r="B21" s="115">
        <v>0.46511627906976744</v>
      </c>
      <c r="C21" s="115">
        <v>20.0</v>
      </c>
      <c r="D21" s="115">
        <v>43.0</v>
      </c>
      <c r="E21" s="115">
        <v>0.07472826086956522</v>
      </c>
      <c r="F21" s="115">
        <v>55.0</v>
      </c>
      <c r="G21" s="115">
        <v>736.0</v>
      </c>
      <c r="H21" s="115">
        <v>736.0</v>
      </c>
      <c r="I21" s="115">
        <v>0.0</v>
      </c>
      <c r="J21" s="115">
        <v>2097.0</v>
      </c>
      <c r="K21" s="115">
        <v>2097.0</v>
      </c>
      <c r="L21" s="115"/>
      <c r="M21" s="115">
        <v>2.849184782608696</v>
      </c>
      <c r="N21" s="115">
        <v>2.849184782608696</v>
      </c>
      <c r="O21" s="115"/>
      <c r="P21" s="115">
        <v>5520.0</v>
      </c>
      <c r="Q21" s="115">
        <v>303600.0</v>
      </c>
      <c r="R21" s="115">
        <v>55.0</v>
      </c>
      <c r="S21" s="115">
        <v>57.0</v>
      </c>
      <c r="T21" s="115">
        <v>-0.035470355731217706</v>
      </c>
      <c r="U21" s="115">
        <v>314368.7999999977</v>
      </c>
      <c r="V21" s="115">
        <v>303600.0</v>
      </c>
      <c r="W21" s="115"/>
      <c r="X21" s="115"/>
      <c r="Y21" s="115"/>
      <c r="Z21" s="115"/>
      <c r="AA21" s="115"/>
      <c r="AB21" s="115">
        <v>0.0</v>
      </c>
      <c r="AC21" s="115">
        <v>0.0</v>
      </c>
      <c r="AD21" s="115">
        <v>424.0</v>
      </c>
      <c r="AE21" s="115">
        <v>165.0</v>
      </c>
      <c r="AF21" s="115">
        <v>47.0</v>
      </c>
      <c r="AG21" s="115">
        <v>60.0</v>
      </c>
      <c r="AH21" s="115">
        <v>9.0</v>
      </c>
      <c r="AI21" s="115"/>
      <c r="AJ21" s="115">
        <v>5011.0</v>
      </c>
      <c r="AK21" s="115">
        <v>3467.0</v>
      </c>
      <c r="AL21" s="115">
        <v>689.0</v>
      </c>
      <c r="AM21" s="115">
        <v>532.0</v>
      </c>
      <c r="AN21" s="115">
        <v>46.0</v>
      </c>
    </row>
    <row r="22">
      <c r="A22" s="116">
        <v>46004.0</v>
      </c>
      <c r="B22" s="117">
        <v>0.35714285714285715</v>
      </c>
      <c r="C22" s="117">
        <v>20.0</v>
      </c>
      <c r="D22" s="117">
        <v>56.0</v>
      </c>
      <c r="E22" s="117">
        <v>0.08247422680412371</v>
      </c>
      <c r="F22" s="117">
        <v>64.0</v>
      </c>
      <c r="G22" s="117">
        <v>776.0</v>
      </c>
      <c r="H22" s="117">
        <v>776.0</v>
      </c>
      <c r="I22" s="117">
        <v>0.0</v>
      </c>
      <c r="J22" s="117">
        <v>1807.0</v>
      </c>
      <c r="K22" s="117">
        <v>1807.0</v>
      </c>
      <c r="L22" s="117"/>
      <c r="M22" s="117">
        <v>2.3286082474226806</v>
      </c>
      <c r="N22" s="117">
        <v>2.3286082474226806</v>
      </c>
      <c r="O22" s="117"/>
      <c r="P22" s="117">
        <v>5379.6875</v>
      </c>
      <c r="Q22" s="117">
        <v>344300.0</v>
      </c>
      <c r="R22" s="117">
        <v>64.0</v>
      </c>
      <c r="S22" s="117">
        <v>65.0</v>
      </c>
      <c r="T22" s="117">
        <v>0.1336302643043834</v>
      </c>
      <c r="U22" s="117">
        <v>298291.1000000008</v>
      </c>
      <c r="V22" s="117">
        <v>344300.0</v>
      </c>
      <c r="W22" s="117"/>
      <c r="X22" s="117"/>
      <c r="Y22" s="117"/>
      <c r="Z22" s="117"/>
      <c r="AA22" s="117"/>
      <c r="AB22" s="117">
        <v>0.0</v>
      </c>
      <c r="AC22" s="117">
        <v>0.0</v>
      </c>
      <c r="AD22" s="117">
        <v>421.0</v>
      </c>
      <c r="AE22" s="117">
        <v>188.0</v>
      </c>
      <c r="AF22" s="117">
        <v>42.0</v>
      </c>
      <c r="AG22" s="117">
        <v>54.0</v>
      </c>
      <c r="AH22" s="117">
        <v>11.0</v>
      </c>
      <c r="AI22" s="117"/>
      <c r="AJ22" s="117">
        <v>5254.0</v>
      </c>
      <c r="AK22" s="117">
        <v>3745.0</v>
      </c>
      <c r="AL22" s="117">
        <v>734.0</v>
      </c>
      <c r="AM22" s="117">
        <v>723.0</v>
      </c>
      <c r="AN22" s="117">
        <v>53.0</v>
      </c>
    </row>
    <row r="23">
      <c r="A23" s="114">
        <v>46005.0</v>
      </c>
      <c r="B23" s="115">
        <v>0.3269230769230769</v>
      </c>
      <c r="C23" s="115">
        <v>17.0</v>
      </c>
      <c r="D23" s="115">
        <v>52.0</v>
      </c>
      <c r="E23" s="115">
        <v>0.07766990291262135</v>
      </c>
      <c r="F23" s="115">
        <v>72.0</v>
      </c>
      <c r="G23" s="115">
        <v>927.0</v>
      </c>
      <c r="H23" s="115">
        <v>927.0</v>
      </c>
      <c r="I23" s="115">
        <v>0.0</v>
      </c>
      <c r="J23" s="115">
        <v>2700.0</v>
      </c>
      <c r="K23" s="115">
        <v>2700.0</v>
      </c>
      <c r="L23" s="115"/>
      <c r="M23" s="115">
        <v>2.912621359223301</v>
      </c>
      <c r="N23" s="115">
        <v>2.912621359223301</v>
      </c>
      <c r="O23" s="115"/>
      <c r="P23" s="115">
        <v>5973.611111111111</v>
      </c>
      <c r="Q23" s="115">
        <v>430100.0</v>
      </c>
      <c r="R23" s="115">
        <v>72.0</v>
      </c>
      <c r="S23" s="115">
        <v>76.0</v>
      </c>
      <c r="T23" s="115">
        <v>0.06576354336201717</v>
      </c>
      <c r="U23" s="115">
        <v>401815.0999999964</v>
      </c>
      <c r="V23" s="115">
        <v>430100.0</v>
      </c>
      <c r="W23" s="115"/>
      <c r="X23" s="115"/>
      <c r="Y23" s="115"/>
      <c r="Z23" s="115"/>
      <c r="AA23" s="115"/>
      <c r="AB23" s="115">
        <v>0.0</v>
      </c>
      <c r="AC23" s="115">
        <v>0.0</v>
      </c>
      <c r="AD23" s="115">
        <v>506.0</v>
      </c>
      <c r="AE23" s="115">
        <v>172.0</v>
      </c>
      <c r="AF23" s="115">
        <v>50.0</v>
      </c>
      <c r="AG23" s="115">
        <v>59.0</v>
      </c>
      <c r="AH23" s="115">
        <v>13.0</v>
      </c>
      <c r="AI23" s="115"/>
      <c r="AJ23" s="115">
        <v>5123.0</v>
      </c>
      <c r="AK23" s="115">
        <v>3549.0</v>
      </c>
      <c r="AL23" s="115">
        <v>877.0</v>
      </c>
      <c r="AM23" s="115">
        <v>631.0</v>
      </c>
      <c r="AN23" s="115">
        <v>59.0</v>
      </c>
    </row>
    <row r="24">
      <c r="A24" s="116">
        <v>46006.0</v>
      </c>
      <c r="B24" s="117">
        <v>0.5897435897435898</v>
      </c>
      <c r="C24" s="117">
        <v>23.0</v>
      </c>
      <c r="D24" s="117">
        <v>39.0</v>
      </c>
      <c r="E24" s="117">
        <v>0.08365019011406843</v>
      </c>
      <c r="F24" s="117">
        <v>66.0</v>
      </c>
      <c r="G24" s="117">
        <v>789.0</v>
      </c>
      <c r="H24" s="117">
        <v>789.0</v>
      </c>
      <c r="I24" s="117">
        <v>0.0</v>
      </c>
      <c r="J24" s="117">
        <v>2143.0</v>
      </c>
      <c r="K24" s="117">
        <v>2143.0</v>
      </c>
      <c r="L24" s="117"/>
      <c r="M24" s="117">
        <v>2.7160963244613434</v>
      </c>
      <c r="N24" s="117">
        <v>2.7160963244613434</v>
      </c>
      <c r="O24" s="117"/>
      <c r="P24" s="117">
        <v>5500.0</v>
      </c>
      <c r="Q24" s="117">
        <v>363000.0</v>
      </c>
      <c r="R24" s="117">
        <v>66.0</v>
      </c>
      <c r="S24" s="117">
        <v>68.0</v>
      </c>
      <c r="T24" s="117">
        <v>0.18037823691459876</v>
      </c>
      <c r="U24" s="117">
        <v>297522.70000000065</v>
      </c>
      <c r="V24" s="117">
        <v>363000.0</v>
      </c>
      <c r="W24" s="117"/>
      <c r="X24" s="117"/>
      <c r="Y24" s="117"/>
      <c r="Z24" s="117"/>
      <c r="AA24" s="117"/>
      <c r="AB24" s="117">
        <v>0.0</v>
      </c>
      <c r="AC24" s="117">
        <v>0.0</v>
      </c>
      <c r="AD24" s="117">
        <v>534.0</v>
      </c>
      <c r="AE24" s="117">
        <v>178.0</v>
      </c>
      <c r="AF24" s="117">
        <v>54.0</v>
      </c>
      <c r="AG24" s="117">
        <v>60.0</v>
      </c>
      <c r="AH24" s="117">
        <v>13.0</v>
      </c>
      <c r="AI24" s="117"/>
      <c r="AJ24" s="117">
        <v>4677.0</v>
      </c>
      <c r="AK24" s="117">
        <v>3170.0</v>
      </c>
      <c r="AL24" s="117">
        <v>735.0</v>
      </c>
      <c r="AM24" s="117">
        <v>496.0</v>
      </c>
      <c r="AN24" s="117">
        <v>53.0</v>
      </c>
    </row>
    <row r="25">
      <c r="A25" s="114">
        <v>46007.0</v>
      </c>
      <c r="B25" s="115">
        <v>0.37209302325581395</v>
      </c>
      <c r="C25" s="115">
        <v>16.0</v>
      </c>
      <c r="D25" s="115">
        <v>43.0</v>
      </c>
      <c r="E25" s="115">
        <v>0.07352941176470588</v>
      </c>
      <c r="F25" s="115">
        <v>55.0</v>
      </c>
      <c r="G25" s="115">
        <v>748.0</v>
      </c>
      <c r="H25" s="115">
        <v>748.0</v>
      </c>
      <c r="I25" s="115">
        <v>0.0</v>
      </c>
      <c r="J25" s="115">
        <v>1648.0</v>
      </c>
      <c r="K25" s="115">
        <v>1648.0</v>
      </c>
      <c r="L25" s="115"/>
      <c r="M25" s="115">
        <v>2.2032085561497325</v>
      </c>
      <c r="N25" s="115">
        <v>2.2032085561497325</v>
      </c>
      <c r="O25" s="115"/>
      <c r="P25" s="115">
        <v>5960.0</v>
      </c>
      <c r="Q25" s="115">
        <v>327800.0</v>
      </c>
      <c r="R25" s="115">
        <v>55.0</v>
      </c>
      <c r="S25" s="115">
        <v>56.0</v>
      </c>
      <c r="T25" s="115">
        <v>0.23606955460646217</v>
      </c>
      <c r="U25" s="115">
        <v>250416.40000000168</v>
      </c>
      <c r="V25" s="115">
        <v>327800.0</v>
      </c>
      <c r="W25" s="115"/>
      <c r="X25" s="115"/>
      <c r="Y25" s="115"/>
      <c r="Z25" s="115"/>
      <c r="AA25" s="115"/>
      <c r="AB25" s="115">
        <v>0.0</v>
      </c>
      <c r="AC25" s="115">
        <v>0.0</v>
      </c>
      <c r="AD25" s="115">
        <v>525.0</v>
      </c>
      <c r="AE25" s="115">
        <v>153.0</v>
      </c>
      <c r="AF25" s="115">
        <v>51.0</v>
      </c>
      <c r="AG25" s="115">
        <v>59.0</v>
      </c>
      <c r="AH25" s="115">
        <v>8.0</v>
      </c>
      <c r="AI25" s="115"/>
      <c r="AJ25" s="115">
        <v>4932.0</v>
      </c>
      <c r="AK25" s="115">
        <v>3135.0</v>
      </c>
      <c r="AL25" s="115">
        <v>697.0</v>
      </c>
      <c r="AM25" s="115">
        <v>464.0</v>
      </c>
      <c r="AN25" s="115">
        <v>47.0</v>
      </c>
    </row>
    <row r="26">
      <c r="A26" s="116">
        <v>46008.0</v>
      </c>
      <c r="B26" s="117">
        <v>0.35714285714285715</v>
      </c>
      <c r="C26" s="117">
        <v>15.0</v>
      </c>
      <c r="D26" s="117">
        <v>42.0</v>
      </c>
      <c r="E26" s="117">
        <v>0.09302325581395349</v>
      </c>
      <c r="F26" s="117">
        <v>68.0</v>
      </c>
      <c r="G26" s="117">
        <v>731.0</v>
      </c>
      <c r="H26" s="117">
        <v>731.0</v>
      </c>
      <c r="I26" s="117">
        <v>0.0</v>
      </c>
      <c r="J26" s="117">
        <v>1630.0</v>
      </c>
      <c r="K26" s="117">
        <v>1630.0</v>
      </c>
      <c r="L26" s="117"/>
      <c r="M26" s="117">
        <v>2.2298221614227085</v>
      </c>
      <c r="N26" s="117">
        <v>2.2298221614227085</v>
      </c>
      <c r="O26" s="117"/>
      <c r="P26" s="117">
        <v>5775.0</v>
      </c>
      <c r="Q26" s="117">
        <v>392700.0</v>
      </c>
      <c r="R26" s="117">
        <v>68.0</v>
      </c>
      <c r="S26" s="117">
        <v>70.0</v>
      </c>
      <c r="T26" s="117">
        <v>0.1668609625668397</v>
      </c>
      <c r="U26" s="117">
        <v>327173.70000000205</v>
      </c>
      <c r="V26" s="117">
        <v>392700.0</v>
      </c>
      <c r="W26" s="117"/>
      <c r="X26" s="117"/>
      <c r="Y26" s="117"/>
      <c r="Z26" s="117"/>
      <c r="AA26" s="117"/>
      <c r="AB26" s="117">
        <v>0.0</v>
      </c>
      <c r="AC26" s="117">
        <v>0.0</v>
      </c>
      <c r="AD26" s="117">
        <v>360.0</v>
      </c>
      <c r="AE26" s="117">
        <v>87.0</v>
      </c>
      <c r="AF26" s="117">
        <v>22.0</v>
      </c>
      <c r="AG26" s="117">
        <v>36.0</v>
      </c>
      <c r="AH26" s="117">
        <v>7.0</v>
      </c>
      <c r="AI26" s="117"/>
      <c r="AJ26" s="117">
        <v>4720.0</v>
      </c>
      <c r="AK26" s="117">
        <v>2937.0</v>
      </c>
      <c r="AL26" s="117">
        <v>709.0</v>
      </c>
      <c r="AM26" s="117">
        <v>459.0</v>
      </c>
      <c r="AN26" s="117">
        <v>61.0</v>
      </c>
    </row>
    <row r="27">
      <c r="A27" s="114">
        <v>46009.0</v>
      </c>
      <c r="B27" s="115">
        <v>0.41379310344827586</v>
      </c>
      <c r="C27" s="115">
        <v>12.0</v>
      </c>
      <c r="D27" s="115">
        <v>29.0</v>
      </c>
      <c r="E27" s="115">
        <v>0.06451612903225806</v>
      </c>
      <c r="F27" s="115">
        <v>44.0</v>
      </c>
      <c r="G27" s="115">
        <v>682.0</v>
      </c>
      <c r="H27" s="115">
        <v>682.0</v>
      </c>
      <c r="I27" s="115">
        <v>0.0</v>
      </c>
      <c r="J27" s="115">
        <v>1506.0</v>
      </c>
      <c r="K27" s="115">
        <v>1506.0</v>
      </c>
      <c r="L27" s="115"/>
      <c r="M27" s="115">
        <v>2.2082111436950145</v>
      </c>
      <c r="N27" s="115">
        <v>2.2082111436950145</v>
      </c>
      <c r="O27" s="115"/>
      <c r="P27" s="115">
        <v>6275.0</v>
      </c>
      <c r="Q27" s="115">
        <v>276100.0</v>
      </c>
      <c r="R27" s="115">
        <v>44.0</v>
      </c>
      <c r="S27" s="115">
        <v>45.0</v>
      </c>
      <c r="T27" s="115">
        <v>0.07326294820716683</v>
      </c>
      <c r="U27" s="115">
        <v>255872.10000000123</v>
      </c>
      <c r="V27" s="115">
        <v>276100.0</v>
      </c>
      <c r="W27" s="115"/>
      <c r="X27" s="115"/>
      <c r="Y27" s="115"/>
      <c r="Z27" s="115"/>
      <c r="AA27" s="115"/>
      <c r="AB27" s="115">
        <v>0.0</v>
      </c>
      <c r="AC27" s="115">
        <v>0.0</v>
      </c>
      <c r="AD27" s="115">
        <v>440.0</v>
      </c>
      <c r="AE27" s="115">
        <v>121.0</v>
      </c>
      <c r="AF27" s="115">
        <v>22.0</v>
      </c>
      <c r="AG27" s="115">
        <v>35.0</v>
      </c>
      <c r="AH27" s="115">
        <v>4.0</v>
      </c>
      <c r="AI27" s="115"/>
      <c r="AJ27" s="115">
        <v>4147.0</v>
      </c>
      <c r="AK27" s="115">
        <v>2646.0</v>
      </c>
      <c r="AL27" s="115">
        <v>660.0</v>
      </c>
      <c r="AM27" s="115">
        <v>392.0</v>
      </c>
      <c r="AN27" s="115">
        <v>40.0</v>
      </c>
    </row>
    <row r="28">
      <c r="A28" s="116">
        <v>46010.0</v>
      </c>
      <c r="B28" s="117">
        <v>0.425</v>
      </c>
      <c r="C28" s="117">
        <v>17.0</v>
      </c>
      <c r="D28" s="117">
        <v>40.0</v>
      </c>
      <c r="E28" s="117">
        <v>0.10313075506445672</v>
      </c>
      <c r="F28" s="117">
        <v>56.0</v>
      </c>
      <c r="G28" s="117">
        <v>543.0</v>
      </c>
      <c r="H28" s="117">
        <v>543.0</v>
      </c>
      <c r="I28" s="117">
        <v>0.0</v>
      </c>
      <c r="J28" s="117">
        <v>1180.0</v>
      </c>
      <c r="K28" s="117">
        <v>1180.0</v>
      </c>
      <c r="L28" s="117"/>
      <c r="M28" s="117">
        <v>2.173112338858195</v>
      </c>
      <c r="N28" s="117">
        <v>2.173112338858195</v>
      </c>
      <c r="O28" s="117"/>
      <c r="P28" s="117">
        <v>5951.785714285715</v>
      </c>
      <c r="Q28" s="117">
        <v>333300.0</v>
      </c>
      <c r="R28" s="117">
        <v>56.0</v>
      </c>
      <c r="S28" s="117">
        <v>57.0</v>
      </c>
      <c r="T28" s="117">
        <v>0.2274863486348594</v>
      </c>
      <c r="U28" s="117">
        <v>257478.80000000136</v>
      </c>
      <c r="V28" s="117">
        <v>333300.0</v>
      </c>
      <c r="W28" s="117"/>
      <c r="X28" s="117"/>
      <c r="Y28" s="117"/>
      <c r="Z28" s="117"/>
      <c r="AA28" s="117"/>
      <c r="AB28" s="117">
        <v>0.0</v>
      </c>
      <c r="AC28" s="117">
        <v>0.0</v>
      </c>
      <c r="AD28" s="117">
        <v>431.0</v>
      </c>
      <c r="AE28" s="117">
        <v>111.0</v>
      </c>
      <c r="AF28" s="117">
        <v>32.0</v>
      </c>
      <c r="AG28" s="117">
        <v>40.0</v>
      </c>
      <c r="AH28" s="117">
        <v>5.0</v>
      </c>
      <c r="AI28" s="117"/>
      <c r="AJ28" s="117">
        <v>4287.0</v>
      </c>
      <c r="AK28" s="117">
        <v>2911.0</v>
      </c>
      <c r="AL28" s="117">
        <v>511.0</v>
      </c>
      <c r="AM28" s="117">
        <v>512.0</v>
      </c>
      <c r="AN28" s="117">
        <v>51.0</v>
      </c>
    </row>
    <row r="29">
      <c r="A29" s="114">
        <v>46011.0</v>
      </c>
      <c r="B29" s="115">
        <v>0.4838709677419355</v>
      </c>
      <c r="C29" s="115">
        <v>15.0</v>
      </c>
      <c r="D29" s="115">
        <v>31.0</v>
      </c>
      <c r="E29" s="115">
        <v>0.07643312101910828</v>
      </c>
      <c r="F29" s="115">
        <v>48.0</v>
      </c>
      <c r="G29" s="115">
        <v>628.0</v>
      </c>
      <c r="H29" s="115">
        <v>628.0</v>
      </c>
      <c r="I29" s="115">
        <v>0.0</v>
      </c>
      <c r="J29" s="115">
        <v>1361.0</v>
      </c>
      <c r="K29" s="115">
        <v>1361.0</v>
      </c>
      <c r="L29" s="115"/>
      <c r="M29" s="115">
        <v>2.167197452229299</v>
      </c>
      <c r="N29" s="115">
        <v>2.167197452229299</v>
      </c>
      <c r="O29" s="115"/>
      <c r="P29" s="115">
        <v>6233.333333333333</v>
      </c>
      <c r="Q29" s="115">
        <v>299200.0</v>
      </c>
      <c r="R29" s="115">
        <v>48.0</v>
      </c>
      <c r="S29" s="115">
        <v>49.0</v>
      </c>
      <c r="T29" s="115">
        <v>0.10159826203208466</v>
      </c>
      <c r="U29" s="115">
        <v>268801.8000000003</v>
      </c>
      <c r="V29" s="115">
        <v>299200.0</v>
      </c>
      <c r="W29" s="115"/>
      <c r="X29" s="115"/>
      <c r="Y29" s="115"/>
      <c r="Z29" s="115"/>
      <c r="AA29" s="115"/>
      <c r="AB29" s="115">
        <v>0.0</v>
      </c>
      <c r="AC29" s="115">
        <v>0.0</v>
      </c>
      <c r="AD29" s="115">
        <v>372.0</v>
      </c>
      <c r="AE29" s="115">
        <v>98.0</v>
      </c>
      <c r="AF29" s="115">
        <v>19.0</v>
      </c>
      <c r="AG29" s="115">
        <v>25.0</v>
      </c>
      <c r="AH29" s="115">
        <v>2.0</v>
      </c>
      <c r="AI29" s="115"/>
      <c r="AJ29" s="115">
        <v>4169.0</v>
      </c>
      <c r="AK29" s="115">
        <v>2810.0</v>
      </c>
      <c r="AL29" s="115">
        <v>609.0</v>
      </c>
      <c r="AM29" s="115">
        <v>514.0</v>
      </c>
      <c r="AN29" s="115">
        <v>46.0</v>
      </c>
    </row>
    <row r="30">
      <c r="A30" s="116">
        <v>46012.0</v>
      </c>
      <c r="B30" s="117">
        <v>0.3939393939393939</v>
      </c>
      <c r="C30" s="117">
        <v>13.0</v>
      </c>
      <c r="D30" s="117">
        <v>33.0</v>
      </c>
      <c r="E30" s="117">
        <v>0.08144796380090498</v>
      </c>
      <c r="F30" s="117">
        <v>54.0</v>
      </c>
      <c r="G30" s="117">
        <v>663.0</v>
      </c>
      <c r="H30" s="117">
        <v>663.0</v>
      </c>
      <c r="I30" s="117">
        <v>0.0</v>
      </c>
      <c r="J30" s="117">
        <v>1476.0</v>
      </c>
      <c r="K30" s="117">
        <v>1476.0</v>
      </c>
      <c r="L30" s="117"/>
      <c r="M30" s="117">
        <v>2.226244343891403</v>
      </c>
      <c r="N30" s="117">
        <v>2.226244343891403</v>
      </c>
      <c r="O30" s="117"/>
      <c r="P30" s="117">
        <v>6722.222222222223</v>
      </c>
      <c r="Q30" s="117">
        <v>363000.0</v>
      </c>
      <c r="R30" s="117">
        <v>54.0</v>
      </c>
      <c r="S30" s="117">
        <v>57.0</v>
      </c>
      <c r="T30" s="117">
        <v>0.16393884297520422</v>
      </c>
      <c r="U30" s="117">
        <v>303490.2000000009</v>
      </c>
      <c r="V30" s="117">
        <v>363000.0</v>
      </c>
      <c r="W30" s="117"/>
      <c r="X30" s="117"/>
      <c r="Y30" s="117"/>
      <c r="Z30" s="117"/>
      <c r="AA30" s="117"/>
      <c r="AB30" s="117">
        <v>0.0</v>
      </c>
      <c r="AC30" s="117">
        <v>0.0</v>
      </c>
      <c r="AD30" s="117">
        <v>391.0</v>
      </c>
      <c r="AE30" s="117">
        <v>107.0</v>
      </c>
      <c r="AF30" s="117">
        <v>21.0</v>
      </c>
      <c r="AG30" s="117">
        <v>29.0</v>
      </c>
      <c r="AH30" s="117">
        <v>4.0</v>
      </c>
      <c r="AI30" s="117"/>
      <c r="AJ30" s="117">
        <v>4255.0</v>
      </c>
      <c r="AK30" s="117">
        <v>2840.0</v>
      </c>
      <c r="AL30" s="117">
        <v>642.0</v>
      </c>
      <c r="AM30" s="117">
        <v>502.0</v>
      </c>
      <c r="AN30" s="117">
        <v>50.0</v>
      </c>
    </row>
    <row r="31">
      <c r="A31" s="114">
        <v>46013.0</v>
      </c>
      <c r="B31" s="115">
        <v>0.5</v>
      </c>
      <c r="C31" s="115">
        <v>24.0</v>
      </c>
      <c r="D31" s="115">
        <v>48.0</v>
      </c>
      <c r="E31" s="115">
        <v>0.091164095371669</v>
      </c>
      <c r="F31" s="115">
        <v>65.0</v>
      </c>
      <c r="G31" s="115">
        <v>713.0</v>
      </c>
      <c r="H31" s="115">
        <v>713.0</v>
      </c>
      <c r="I31" s="115">
        <v>0.0</v>
      </c>
      <c r="J31" s="115">
        <v>1485.0</v>
      </c>
      <c r="K31" s="115">
        <v>1485.0</v>
      </c>
      <c r="L31" s="115"/>
      <c r="M31" s="115">
        <v>2.082748948106592</v>
      </c>
      <c r="N31" s="115">
        <v>2.082748948106592</v>
      </c>
      <c r="O31" s="115"/>
      <c r="P31" s="115">
        <v>6633.846153846154</v>
      </c>
      <c r="Q31" s="115">
        <v>431200.0</v>
      </c>
      <c r="R31" s="115">
        <v>65.0</v>
      </c>
      <c r="S31" s="115">
        <v>69.0</v>
      </c>
      <c r="T31" s="115">
        <v>0.16305357142857135</v>
      </c>
      <c r="U31" s="115">
        <v>360891.30000000005</v>
      </c>
      <c r="V31" s="115">
        <v>431200.0</v>
      </c>
      <c r="W31" s="115"/>
      <c r="X31" s="115"/>
      <c r="Y31" s="115"/>
      <c r="Z31" s="115"/>
      <c r="AA31" s="115"/>
      <c r="AB31" s="115">
        <v>0.0</v>
      </c>
      <c r="AC31" s="115">
        <v>0.0</v>
      </c>
      <c r="AD31" s="115">
        <v>361.0</v>
      </c>
      <c r="AE31" s="115">
        <v>114.0</v>
      </c>
      <c r="AF31" s="115">
        <v>32.0</v>
      </c>
      <c r="AG31" s="115">
        <v>44.0</v>
      </c>
      <c r="AH31" s="115">
        <v>8.0</v>
      </c>
      <c r="AI31" s="115"/>
      <c r="AJ31" s="115">
        <v>4599.0</v>
      </c>
      <c r="AK31" s="115">
        <v>3087.0</v>
      </c>
      <c r="AL31" s="115">
        <v>681.0</v>
      </c>
      <c r="AM31" s="115">
        <v>470.0</v>
      </c>
      <c r="AN31" s="115">
        <v>57.0</v>
      </c>
    </row>
    <row r="32">
      <c r="A32" s="116">
        <v>46014.0</v>
      </c>
      <c r="B32" s="117">
        <v>0.43661971830985913</v>
      </c>
      <c r="C32" s="117">
        <v>31.0</v>
      </c>
      <c r="D32" s="117">
        <v>71.0</v>
      </c>
      <c r="E32" s="117">
        <v>0.14018691588785046</v>
      </c>
      <c r="F32" s="117">
        <v>90.0</v>
      </c>
      <c r="G32" s="117">
        <v>642.0</v>
      </c>
      <c r="H32" s="117">
        <v>642.0</v>
      </c>
      <c r="I32" s="117">
        <v>0.0</v>
      </c>
      <c r="J32" s="117">
        <v>1402.0</v>
      </c>
      <c r="K32" s="117">
        <v>1402.0</v>
      </c>
      <c r="L32" s="117"/>
      <c r="M32" s="117">
        <v>2.1838006230529596</v>
      </c>
      <c r="N32" s="117">
        <v>2.1838006230529596</v>
      </c>
      <c r="O32" s="117"/>
      <c r="P32" s="117">
        <v>7040.0</v>
      </c>
      <c r="Q32" s="117">
        <v>633600.0</v>
      </c>
      <c r="R32" s="117">
        <v>90.0</v>
      </c>
      <c r="S32" s="117">
        <v>92.0</v>
      </c>
      <c r="T32" s="117">
        <v>0.25684232954545505</v>
      </c>
      <c r="U32" s="117">
        <v>470864.69999999966</v>
      </c>
      <c r="V32" s="117">
        <v>633600.0</v>
      </c>
      <c r="W32" s="117"/>
      <c r="X32" s="117"/>
      <c r="Y32" s="117"/>
      <c r="Z32" s="117"/>
      <c r="AA32" s="117"/>
      <c r="AB32" s="117">
        <v>0.0</v>
      </c>
      <c r="AC32" s="117">
        <v>0.0</v>
      </c>
      <c r="AD32" s="117">
        <v>446.0</v>
      </c>
      <c r="AE32" s="117">
        <v>211.0</v>
      </c>
      <c r="AF32" s="117">
        <v>60.0</v>
      </c>
      <c r="AG32" s="117">
        <v>87.0</v>
      </c>
      <c r="AH32" s="117">
        <v>22.0</v>
      </c>
      <c r="AI32" s="117"/>
      <c r="AJ32" s="117">
        <v>4818.0</v>
      </c>
      <c r="AK32" s="117">
        <v>3097.0</v>
      </c>
      <c r="AL32" s="117">
        <v>582.0</v>
      </c>
      <c r="AM32" s="117">
        <v>540.0</v>
      </c>
      <c r="AN32" s="117">
        <v>68.0</v>
      </c>
    </row>
    <row r="33">
      <c r="A33" s="114">
        <v>46015.0</v>
      </c>
      <c r="B33" s="115">
        <v>0.4878048780487805</v>
      </c>
      <c r="C33" s="115">
        <v>140.0</v>
      </c>
      <c r="D33" s="115">
        <v>287.0</v>
      </c>
      <c r="E33" s="115">
        <v>0.22701555869872703</v>
      </c>
      <c r="F33" s="115">
        <v>321.0</v>
      </c>
      <c r="G33" s="115">
        <v>1414.0</v>
      </c>
      <c r="H33" s="115">
        <v>1414.0</v>
      </c>
      <c r="I33" s="115">
        <v>0.0</v>
      </c>
      <c r="J33" s="115">
        <v>3108.0</v>
      </c>
      <c r="K33" s="115">
        <v>3108.0</v>
      </c>
      <c r="L33" s="115"/>
      <c r="M33" s="115">
        <v>2.198019801980198</v>
      </c>
      <c r="N33" s="115">
        <v>2.198019801980198</v>
      </c>
      <c r="O33" s="115"/>
      <c r="P33" s="115">
        <v>6887.85046728972</v>
      </c>
      <c r="Q33" s="115">
        <v>2211000.0</v>
      </c>
      <c r="R33" s="115">
        <v>321.0</v>
      </c>
      <c r="S33" s="115">
        <v>352.0</v>
      </c>
      <c r="T33" s="115">
        <v>0.2497980551786524</v>
      </c>
      <c r="U33" s="115">
        <v>1658696.4999999995</v>
      </c>
      <c r="V33" s="115">
        <v>2211000.0</v>
      </c>
      <c r="W33" s="115"/>
      <c r="X33" s="115"/>
      <c r="Y33" s="115"/>
      <c r="Z33" s="115"/>
      <c r="AA33" s="115"/>
      <c r="AB33" s="115">
        <v>0.0</v>
      </c>
      <c r="AC33" s="115">
        <v>0.0</v>
      </c>
      <c r="AD33" s="115">
        <v>465.0</v>
      </c>
      <c r="AE33" s="115">
        <v>246.0</v>
      </c>
      <c r="AF33" s="115">
        <v>81.0</v>
      </c>
      <c r="AG33" s="115">
        <v>112.0</v>
      </c>
      <c r="AH33" s="115">
        <v>25.0</v>
      </c>
      <c r="AI33" s="115"/>
      <c r="AJ33" s="115">
        <v>13141.0</v>
      </c>
      <c r="AK33" s="115">
        <v>11133.0</v>
      </c>
      <c r="AL33" s="115">
        <v>1333.0</v>
      </c>
      <c r="AM33" s="115">
        <v>2280.0</v>
      </c>
      <c r="AN33" s="115">
        <v>296.0</v>
      </c>
    </row>
    <row r="34">
      <c r="A34" s="116">
        <v>46016.0</v>
      </c>
      <c r="B34" s="117">
        <v>0.3173076923076923</v>
      </c>
      <c r="C34" s="117">
        <v>66.0</v>
      </c>
      <c r="D34" s="117">
        <v>208.0</v>
      </c>
      <c r="E34" s="117">
        <v>0.15517241379310345</v>
      </c>
      <c r="F34" s="117">
        <v>252.0</v>
      </c>
      <c r="G34" s="117">
        <v>1624.0</v>
      </c>
      <c r="H34" s="117">
        <v>1624.0</v>
      </c>
      <c r="I34" s="117">
        <v>0.0</v>
      </c>
      <c r="J34" s="117">
        <v>3606.0</v>
      </c>
      <c r="K34" s="117">
        <v>3606.0</v>
      </c>
      <c r="L34" s="117"/>
      <c r="M34" s="117">
        <v>2.2204433497536944</v>
      </c>
      <c r="N34" s="117">
        <v>2.2204433497536944</v>
      </c>
      <c r="O34" s="117"/>
      <c r="P34" s="117">
        <v>6713.492063492064</v>
      </c>
      <c r="Q34" s="117">
        <v>1691800.0</v>
      </c>
      <c r="R34" s="117">
        <v>252.0</v>
      </c>
      <c r="S34" s="117">
        <v>266.0</v>
      </c>
      <c r="T34" s="117">
        <v>0.19870061472987655</v>
      </c>
      <c r="U34" s="117">
        <v>1355638.299999995</v>
      </c>
      <c r="V34" s="117">
        <v>1691800.0</v>
      </c>
      <c r="W34" s="117"/>
      <c r="X34" s="117"/>
      <c r="Y34" s="117"/>
      <c r="Z34" s="117"/>
      <c r="AA34" s="117"/>
      <c r="AB34" s="117">
        <v>0.0</v>
      </c>
      <c r="AC34" s="117">
        <v>0.0</v>
      </c>
      <c r="AD34" s="117">
        <v>517.0</v>
      </c>
      <c r="AE34" s="117">
        <v>269.0</v>
      </c>
      <c r="AF34" s="117">
        <v>117.0</v>
      </c>
      <c r="AG34" s="117">
        <v>113.0</v>
      </c>
      <c r="AH34" s="117">
        <v>30.0</v>
      </c>
      <c r="AI34" s="117"/>
      <c r="AJ34" s="117">
        <v>11077.0</v>
      </c>
      <c r="AK34" s="117">
        <v>9307.0</v>
      </c>
      <c r="AL34" s="117">
        <v>1507.0</v>
      </c>
      <c r="AM34" s="117">
        <v>1551.0</v>
      </c>
      <c r="AN34" s="117">
        <v>222.0</v>
      </c>
    </row>
    <row r="35">
      <c r="A35" s="114">
        <v>46017.0</v>
      </c>
      <c r="B35" s="115">
        <v>0.4230769230769231</v>
      </c>
      <c r="C35" s="115">
        <v>22.0</v>
      </c>
      <c r="D35" s="115">
        <v>52.0</v>
      </c>
      <c r="E35" s="115">
        <v>0.08743169398907104</v>
      </c>
      <c r="F35" s="115">
        <v>80.0</v>
      </c>
      <c r="G35" s="115">
        <v>915.0</v>
      </c>
      <c r="H35" s="115">
        <v>915.0</v>
      </c>
      <c r="I35" s="115">
        <v>0.0</v>
      </c>
      <c r="J35" s="115">
        <v>1752.0</v>
      </c>
      <c r="K35" s="115">
        <v>1752.0</v>
      </c>
      <c r="L35" s="115"/>
      <c r="M35" s="115">
        <v>1.9147540983606557</v>
      </c>
      <c r="N35" s="115">
        <v>1.9147540983606557</v>
      </c>
      <c r="O35" s="115"/>
      <c r="P35" s="115">
        <v>7535.0</v>
      </c>
      <c r="Q35" s="115">
        <v>602800.0</v>
      </c>
      <c r="R35" s="115">
        <v>80.0</v>
      </c>
      <c r="S35" s="115">
        <v>84.0</v>
      </c>
      <c r="T35" s="115">
        <v>0.1395401459854011</v>
      </c>
      <c r="U35" s="115">
        <v>518685.20000000024</v>
      </c>
      <c r="V35" s="115">
        <v>602800.0</v>
      </c>
      <c r="W35" s="115"/>
      <c r="X35" s="115"/>
      <c r="Y35" s="115"/>
      <c r="Z35" s="115"/>
      <c r="AA35" s="115"/>
      <c r="AB35" s="115">
        <v>0.0</v>
      </c>
      <c r="AC35" s="115">
        <v>0.0</v>
      </c>
      <c r="AD35" s="115">
        <v>419.0</v>
      </c>
      <c r="AE35" s="115">
        <v>184.0</v>
      </c>
      <c r="AF35" s="115">
        <v>63.0</v>
      </c>
      <c r="AG35" s="115">
        <v>87.0</v>
      </c>
      <c r="AH35" s="115">
        <v>18.0</v>
      </c>
      <c r="AI35" s="115"/>
      <c r="AJ35" s="115">
        <v>5668.0</v>
      </c>
      <c r="AK35" s="115">
        <v>4236.0</v>
      </c>
      <c r="AL35" s="115">
        <v>852.0</v>
      </c>
      <c r="AM35" s="115">
        <v>599.0</v>
      </c>
      <c r="AN35" s="115">
        <v>62.0</v>
      </c>
    </row>
    <row r="36">
      <c r="A36" s="116">
        <v>46018.0</v>
      </c>
      <c r="B36" s="117">
        <v>0.5</v>
      </c>
      <c r="C36" s="117">
        <v>37.0</v>
      </c>
      <c r="D36" s="117">
        <v>74.0</v>
      </c>
      <c r="E36" s="117">
        <v>0.11124260355029586</v>
      </c>
      <c r="F36" s="117">
        <v>94.0</v>
      </c>
      <c r="G36" s="117">
        <v>845.0</v>
      </c>
      <c r="H36" s="117">
        <v>845.0</v>
      </c>
      <c r="I36" s="117">
        <v>0.0</v>
      </c>
      <c r="J36" s="117">
        <v>1710.0</v>
      </c>
      <c r="K36" s="117">
        <v>1710.0</v>
      </c>
      <c r="L36" s="117"/>
      <c r="M36" s="117">
        <v>2.0236686390532546</v>
      </c>
      <c r="N36" s="117">
        <v>2.0236686390532546</v>
      </c>
      <c r="O36" s="117"/>
      <c r="P36" s="117">
        <v>7360.63829787234</v>
      </c>
      <c r="Q36" s="117">
        <v>691900.0</v>
      </c>
      <c r="R36" s="117">
        <v>94.0</v>
      </c>
      <c r="S36" s="117">
        <v>99.0</v>
      </c>
      <c r="T36" s="117">
        <v>0.12446422893481757</v>
      </c>
      <c r="U36" s="117">
        <v>605783.1999999997</v>
      </c>
      <c r="V36" s="117">
        <v>691900.0</v>
      </c>
      <c r="W36" s="117"/>
      <c r="X36" s="117"/>
      <c r="Y36" s="117"/>
      <c r="Z36" s="117"/>
      <c r="AA36" s="117"/>
      <c r="AB36" s="117">
        <v>0.0</v>
      </c>
      <c r="AC36" s="117">
        <v>0.0</v>
      </c>
      <c r="AD36" s="117">
        <v>427.0</v>
      </c>
      <c r="AE36" s="117">
        <v>183.0</v>
      </c>
      <c r="AF36" s="117">
        <v>51.0</v>
      </c>
      <c r="AG36" s="117">
        <v>91.0</v>
      </c>
      <c r="AH36" s="117">
        <v>18.0</v>
      </c>
      <c r="AI36" s="117"/>
      <c r="AJ36" s="117">
        <v>5106.0</v>
      </c>
      <c r="AK36" s="117">
        <v>3699.0</v>
      </c>
      <c r="AL36" s="117">
        <v>794.0</v>
      </c>
      <c r="AM36" s="117">
        <v>613.0</v>
      </c>
      <c r="AN36" s="117">
        <v>76.0</v>
      </c>
    </row>
    <row r="37">
      <c r="A37" s="114">
        <v>46019.0</v>
      </c>
      <c r="B37" s="115">
        <v>0.30985915492957744</v>
      </c>
      <c r="C37" s="115">
        <v>22.0</v>
      </c>
      <c r="D37" s="115">
        <v>71.0</v>
      </c>
      <c r="E37" s="115">
        <v>0.09699321047526673</v>
      </c>
      <c r="F37" s="115">
        <v>100.0</v>
      </c>
      <c r="G37" s="115">
        <v>1031.0</v>
      </c>
      <c r="H37" s="115">
        <v>1031.0</v>
      </c>
      <c r="I37" s="115">
        <v>0.0</v>
      </c>
      <c r="J37" s="115">
        <v>1861.0</v>
      </c>
      <c r="K37" s="115">
        <v>1861.0</v>
      </c>
      <c r="L37" s="115"/>
      <c r="M37" s="115">
        <v>1.805043646944714</v>
      </c>
      <c r="N37" s="115">
        <v>1.805043646944714</v>
      </c>
      <c r="O37" s="115"/>
      <c r="P37" s="115">
        <v>7590.0</v>
      </c>
      <c r="Q37" s="115">
        <v>759000.0</v>
      </c>
      <c r="R37" s="115">
        <v>100.0</v>
      </c>
      <c r="S37" s="115">
        <v>109.0</v>
      </c>
      <c r="T37" s="115">
        <v>0.10155810276680033</v>
      </c>
      <c r="U37" s="115">
        <v>681917.3999999985</v>
      </c>
      <c r="V37" s="115">
        <v>759000.0</v>
      </c>
      <c r="W37" s="115"/>
      <c r="X37" s="115"/>
      <c r="Y37" s="115"/>
      <c r="Z37" s="115"/>
      <c r="AA37" s="115"/>
      <c r="AB37" s="115">
        <v>0.0</v>
      </c>
      <c r="AC37" s="115">
        <v>0.0</v>
      </c>
      <c r="AD37" s="115">
        <v>538.0</v>
      </c>
      <c r="AE37" s="115">
        <v>227.0</v>
      </c>
      <c r="AF37" s="115">
        <v>66.0</v>
      </c>
      <c r="AG37" s="115">
        <v>86.0</v>
      </c>
      <c r="AH37" s="115">
        <v>14.0</v>
      </c>
      <c r="AI37" s="115"/>
      <c r="AJ37" s="115">
        <v>6030.0</v>
      </c>
      <c r="AK37" s="115">
        <v>4260.0</v>
      </c>
      <c r="AL37" s="115">
        <v>965.0</v>
      </c>
      <c r="AM37" s="115">
        <v>699.0</v>
      </c>
      <c r="AN37" s="115">
        <v>86.0</v>
      </c>
    </row>
    <row r="38">
      <c r="A38" s="116">
        <v>46020.0</v>
      </c>
      <c r="B38" s="117">
        <v>0.46774193548387094</v>
      </c>
      <c r="C38" s="117">
        <v>29.0</v>
      </c>
      <c r="D38" s="117">
        <v>62.0</v>
      </c>
      <c r="E38" s="117">
        <v>0.09513274336283185</v>
      </c>
      <c r="F38" s="117">
        <v>86.0</v>
      </c>
      <c r="G38" s="117">
        <v>904.0</v>
      </c>
      <c r="H38" s="117">
        <v>904.0</v>
      </c>
      <c r="I38" s="117">
        <v>0.0</v>
      </c>
      <c r="J38" s="117">
        <v>1648.0</v>
      </c>
      <c r="K38" s="117">
        <v>1648.0</v>
      </c>
      <c r="L38" s="117"/>
      <c r="M38" s="117">
        <v>1.823008849557522</v>
      </c>
      <c r="N38" s="117">
        <v>1.823008849557522</v>
      </c>
      <c r="O38" s="117"/>
      <c r="P38" s="117">
        <v>7610.46511627907</v>
      </c>
      <c r="Q38" s="117">
        <v>654500.0</v>
      </c>
      <c r="R38" s="117">
        <v>86.0</v>
      </c>
      <c r="S38" s="117">
        <v>92.0</v>
      </c>
      <c r="T38" s="117">
        <v>0.18233155080213925</v>
      </c>
      <c r="U38" s="117">
        <v>535163.9999999999</v>
      </c>
      <c r="V38" s="117">
        <v>654500.0</v>
      </c>
      <c r="W38" s="117"/>
      <c r="X38" s="117"/>
      <c r="Y38" s="117"/>
      <c r="Z38" s="117"/>
      <c r="AA38" s="117"/>
      <c r="AB38" s="117">
        <v>0.0</v>
      </c>
      <c r="AC38" s="117">
        <v>0.0</v>
      </c>
      <c r="AD38" s="117">
        <v>521.0</v>
      </c>
      <c r="AE38" s="117">
        <v>174.0</v>
      </c>
      <c r="AF38" s="117">
        <v>57.0</v>
      </c>
      <c r="AG38" s="117">
        <v>81.0</v>
      </c>
      <c r="AH38" s="117">
        <v>18.0</v>
      </c>
      <c r="AI38" s="117"/>
      <c r="AJ38" s="117">
        <v>5196.0</v>
      </c>
      <c r="AK38" s="117">
        <v>3697.0</v>
      </c>
      <c r="AL38" s="117">
        <v>847.0</v>
      </c>
      <c r="AM38" s="117">
        <v>513.0</v>
      </c>
      <c r="AN38" s="117">
        <v>68.0</v>
      </c>
    </row>
    <row r="39">
      <c r="A39" s="114">
        <v>46021.0</v>
      </c>
      <c r="B39" s="115">
        <v>0.4782608695652174</v>
      </c>
      <c r="C39" s="115">
        <v>22.0</v>
      </c>
      <c r="D39" s="115">
        <v>46.0</v>
      </c>
      <c r="E39" s="115">
        <v>0.07966457023060797</v>
      </c>
      <c r="F39" s="115">
        <v>76.0</v>
      </c>
      <c r="G39" s="115">
        <v>954.0</v>
      </c>
      <c r="H39" s="115">
        <v>954.0</v>
      </c>
      <c r="I39" s="115">
        <v>0.0</v>
      </c>
      <c r="J39" s="115">
        <v>1748.0</v>
      </c>
      <c r="K39" s="115">
        <v>1748.0</v>
      </c>
      <c r="L39" s="115"/>
      <c r="M39" s="115">
        <v>1.8322851153039832</v>
      </c>
      <c r="N39" s="115">
        <v>1.8322851153039832</v>
      </c>
      <c r="O39" s="115"/>
      <c r="P39" s="115">
        <v>7077.631578947368</v>
      </c>
      <c r="Q39" s="115">
        <v>537900.0</v>
      </c>
      <c r="R39" s="115">
        <v>76.0</v>
      </c>
      <c r="S39" s="115">
        <v>84.0</v>
      </c>
      <c r="T39" s="115">
        <v>-0.09725432236474996</v>
      </c>
      <c r="U39" s="115">
        <v>590213.099999999</v>
      </c>
      <c r="V39" s="115">
        <v>537900.0</v>
      </c>
      <c r="W39" s="115"/>
      <c r="X39" s="115"/>
      <c r="Y39" s="115"/>
      <c r="Z39" s="115"/>
      <c r="AA39" s="115"/>
      <c r="AB39" s="115">
        <v>0.0</v>
      </c>
      <c r="AC39" s="115">
        <v>0.0</v>
      </c>
      <c r="AD39" s="115">
        <v>418.0</v>
      </c>
      <c r="AE39" s="115">
        <v>121.0</v>
      </c>
      <c r="AF39" s="115">
        <v>38.0</v>
      </c>
      <c r="AG39" s="115">
        <v>35.0</v>
      </c>
      <c r="AH39" s="115">
        <v>9.0</v>
      </c>
      <c r="AI39" s="115"/>
      <c r="AJ39" s="115">
        <v>5889.0</v>
      </c>
      <c r="AK39" s="115">
        <v>4257.0</v>
      </c>
      <c r="AL39" s="115">
        <v>916.0</v>
      </c>
      <c r="AM39" s="115">
        <v>513.0</v>
      </c>
      <c r="AN39" s="115">
        <v>67.0</v>
      </c>
    </row>
    <row r="40">
      <c r="A40" s="116">
        <v>46022.0</v>
      </c>
      <c r="B40" s="117">
        <v>0.4642857142857143</v>
      </c>
      <c r="C40" s="117">
        <v>26.0</v>
      </c>
      <c r="D40" s="117">
        <v>56.0</v>
      </c>
      <c r="E40" s="117">
        <v>0.11358811040339703</v>
      </c>
      <c r="F40" s="117">
        <v>107.0</v>
      </c>
      <c r="G40" s="117">
        <v>942.0</v>
      </c>
      <c r="H40" s="117">
        <v>942.0</v>
      </c>
      <c r="I40" s="117">
        <v>0.0</v>
      </c>
      <c r="J40" s="117">
        <v>1774.0</v>
      </c>
      <c r="K40" s="117">
        <v>1774.0</v>
      </c>
      <c r="L40" s="117"/>
      <c r="M40" s="117">
        <v>1.8832271762208068</v>
      </c>
      <c r="N40" s="117">
        <v>1.8832271762208068</v>
      </c>
      <c r="O40" s="117"/>
      <c r="P40" s="117">
        <v>7124.2990654205605</v>
      </c>
      <c r="Q40" s="117">
        <v>762300.0</v>
      </c>
      <c r="R40" s="117">
        <v>107.0</v>
      </c>
      <c r="S40" s="117">
        <v>112.0</v>
      </c>
      <c r="T40" s="117">
        <v>0.0254729109274604</v>
      </c>
      <c r="U40" s="117">
        <v>742881.999999997</v>
      </c>
      <c r="V40" s="117">
        <v>762300.0</v>
      </c>
      <c r="W40" s="117"/>
      <c r="X40" s="117"/>
      <c r="Y40" s="117"/>
      <c r="Z40" s="117"/>
      <c r="AA40" s="117"/>
      <c r="AB40" s="117">
        <v>0.0</v>
      </c>
      <c r="AC40" s="117">
        <v>0.0</v>
      </c>
      <c r="AD40" s="117">
        <v>283.0</v>
      </c>
      <c r="AE40" s="117">
        <v>98.0</v>
      </c>
      <c r="AF40" s="117">
        <v>20.0</v>
      </c>
      <c r="AG40" s="117">
        <v>36.0</v>
      </c>
      <c r="AH40" s="117">
        <v>6.0</v>
      </c>
      <c r="AI40" s="117"/>
      <c r="AJ40" s="117">
        <v>7055.0</v>
      </c>
      <c r="AK40" s="117">
        <v>4945.0</v>
      </c>
      <c r="AL40" s="117">
        <v>922.0</v>
      </c>
      <c r="AM40" s="117">
        <v>657.0</v>
      </c>
      <c r="AN40" s="117">
        <v>101.0</v>
      </c>
    </row>
    <row r="41">
      <c r="A41" s="114">
        <v>46023.0</v>
      </c>
      <c r="B41" s="115">
        <v>0.32407407407407407</v>
      </c>
      <c r="C41" s="115">
        <v>35.0</v>
      </c>
      <c r="D41" s="115">
        <v>108.0</v>
      </c>
      <c r="E41" s="115">
        <v>0.11381531853972798</v>
      </c>
      <c r="F41" s="115">
        <v>159.0</v>
      </c>
      <c r="G41" s="115">
        <v>1397.0</v>
      </c>
      <c r="H41" s="115">
        <v>1397.0</v>
      </c>
      <c r="I41" s="115">
        <v>0.0</v>
      </c>
      <c r="J41" s="115">
        <v>2605.0</v>
      </c>
      <c r="K41" s="115">
        <v>2605.0</v>
      </c>
      <c r="L41" s="115"/>
      <c r="M41" s="115">
        <v>1.8647100930565497</v>
      </c>
      <c r="N41" s="115">
        <v>1.8647100930565497</v>
      </c>
      <c r="O41" s="115"/>
      <c r="P41" s="115">
        <v>7042.767295597484</v>
      </c>
      <c r="Q41" s="115">
        <v>1119800.0</v>
      </c>
      <c r="R41" s="115">
        <v>159.0</v>
      </c>
      <c r="S41" s="115">
        <v>171.0</v>
      </c>
      <c r="T41" s="115">
        <v>0.1533598856938747</v>
      </c>
      <c r="U41" s="115">
        <v>948067.599999999</v>
      </c>
      <c r="V41" s="115">
        <v>1119800.0</v>
      </c>
      <c r="W41" s="115"/>
      <c r="X41" s="115"/>
      <c r="Y41" s="115"/>
      <c r="Z41" s="115"/>
      <c r="AA41" s="115"/>
      <c r="AB41" s="115">
        <v>0.0</v>
      </c>
      <c r="AC41" s="115">
        <v>0.0</v>
      </c>
      <c r="AD41" s="115">
        <v>423.0</v>
      </c>
      <c r="AE41" s="115">
        <v>162.0</v>
      </c>
      <c r="AF41" s="115">
        <v>47.0</v>
      </c>
      <c r="AG41" s="115">
        <v>54.0</v>
      </c>
      <c r="AH41" s="115">
        <v>10.0</v>
      </c>
      <c r="AI41" s="115"/>
      <c r="AJ41" s="115">
        <v>9004.0</v>
      </c>
      <c r="AK41" s="115">
        <v>6745.0</v>
      </c>
      <c r="AL41" s="115">
        <v>1350.0</v>
      </c>
      <c r="AM41" s="115">
        <v>1027.0</v>
      </c>
      <c r="AN41" s="115">
        <v>149.0</v>
      </c>
    </row>
    <row r="42">
      <c r="A42" s="116">
        <v>46024.0</v>
      </c>
      <c r="B42" s="117">
        <v>0.4716981132075472</v>
      </c>
      <c r="C42" s="117">
        <v>25.0</v>
      </c>
      <c r="D42" s="117">
        <v>53.0</v>
      </c>
      <c r="E42" s="117">
        <v>0.10066225165562914</v>
      </c>
      <c r="F42" s="117">
        <v>76.0</v>
      </c>
      <c r="G42" s="117">
        <v>755.0</v>
      </c>
      <c r="H42" s="117">
        <v>755.0</v>
      </c>
      <c r="I42" s="117">
        <v>0.0</v>
      </c>
      <c r="J42" s="117">
        <v>1373.0</v>
      </c>
      <c r="K42" s="117">
        <v>1373.0</v>
      </c>
      <c r="L42" s="117"/>
      <c r="M42" s="117">
        <v>1.818543046357616</v>
      </c>
      <c r="N42" s="117">
        <v>1.818543046357616</v>
      </c>
      <c r="O42" s="117"/>
      <c r="P42" s="117">
        <v>7063.1578947368425</v>
      </c>
      <c r="Q42" s="117">
        <v>536800.0</v>
      </c>
      <c r="R42" s="117">
        <v>76.0</v>
      </c>
      <c r="S42" s="117">
        <v>83.0</v>
      </c>
      <c r="T42" s="117">
        <v>-0.03384463487332323</v>
      </c>
      <c r="U42" s="117">
        <v>554967.7999999999</v>
      </c>
      <c r="V42" s="117">
        <v>536800.0</v>
      </c>
      <c r="W42" s="117"/>
      <c r="X42" s="117"/>
      <c r="Y42" s="117"/>
      <c r="Z42" s="117"/>
      <c r="AA42" s="117"/>
      <c r="AB42" s="117">
        <v>0.0</v>
      </c>
      <c r="AC42" s="117">
        <v>0.0</v>
      </c>
      <c r="AD42" s="117">
        <v>329.0</v>
      </c>
      <c r="AE42" s="117">
        <v>93.0</v>
      </c>
      <c r="AF42" s="117">
        <v>17.0</v>
      </c>
      <c r="AG42" s="117">
        <v>30.0</v>
      </c>
      <c r="AH42" s="117">
        <v>2.0</v>
      </c>
      <c r="AI42" s="117"/>
      <c r="AJ42" s="117">
        <v>6720.0</v>
      </c>
      <c r="AK42" s="117">
        <v>4751.0</v>
      </c>
      <c r="AL42" s="117">
        <v>738.0</v>
      </c>
      <c r="AM42" s="117">
        <v>570.0</v>
      </c>
      <c r="AN42" s="117">
        <v>74.0</v>
      </c>
    </row>
    <row r="43">
      <c r="A43" s="114">
        <v>46025.0</v>
      </c>
      <c r="B43" s="115">
        <v>0.41509433962264153</v>
      </c>
      <c r="C43" s="115">
        <v>22.0</v>
      </c>
      <c r="D43" s="115">
        <v>53.0</v>
      </c>
      <c r="E43" s="115">
        <v>0.07692307692307693</v>
      </c>
      <c r="F43" s="115">
        <v>83.0</v>
      </c>
      <c r="G43" s="115">
        <v>1079.0</v>
      </c>
      <c r="H43" s="115">
        <v>1079.0</v>
      </c>
      <c r="I43" s="115">
        <v>0.0</v>
      </c>
      <c r="J43" s="115">
        <v>1976.0</v>
      </c>
      <c r="K43" s="115">
        <v>1976.0</v>
      </c>
      <c r="L43" s="115"/>
      <c r="M43" s="115">
        <v>1.8313253012048192</v>
      </c>
      <c r="N43" s="115">
        <v>1.8313253012048192</v>
      </c>
      <c r="O43" s="115"/>
      <c r="P43" s="115">
        <v>6891.566265060241</v>
      </c>
      <c r="Q43" s="115">
        <v>572000.0</v>
      </c>
      <c r="R43" s="115">
        <v>83.0</v>
      </c>
      <c r="S43" s="115">
        <v>86.0</v>
      </c>
      <c r="T43" s="115">
        <v>0.04716800699301038</v>
      </c>
      <c r="U43" s="115">
        <v>545019.899999998</v>
      </c>
      <c r="V43" s="115">
        <v>572000.0</v>
      </c>
      <c r="W43" s="115"/>
      <c r="X43" s="115"/>
      <c r="Y43" s="115"/>
      <c r="Z43" s="115"/>
      <c r="AA43" s="115"/>
      <c r="AB43" s="115">
        <v>0.0</v>
      </c>
      <c r="AC43" s="115">
        <v>0.0</v>
      </c>
      <c r="AD43" s="115">
        <v>362.0</v>
      </c>
      <c r="AE43" s="115">
        <v>101.0</v>
      </c>
      <c r="AF43" s="115">
        <v>26.0</v>
      </c>
      <c r="AG43" s="115">
        <v>32.0</v>
      </c>
      <c r="AH43" s="115">
        <v>7.0</v>
      </c>
      <c r="AI43" s="115"/>
      <c r="AJ43" s="115">
        <v>7322.0</v>
      </c>
      <c r="AK43" s="115">
        <v>5562.0</v>
      </c>
      <c r="AL43" s="115">
        <v>1053.0</v>
      </c>
      <c r="AM43" s="115">
        <v>678.0</v>
      </c>
      <c r="AN43" s="115">
        <v>76.0</v>
      </c>
    </row>
    <row r="44">
      <c r="A44" s="116">
        <v>46026.0</v>
      </c>
      <c r="B44" s="117">
        <v>0.4444444444444444</v>
      </c>
      <c r="C44" s="117">
        <v>20.0</v>
      </c>
      <c r="D44" s="117">
        <v>45.0</v>
      </c>
      <c r="E44" s="117">
        <v>0.07420091324200913</v>
      </c>
      <c r="F44" s="117">
        <v>65.0</v>
      </c>
      <c r="G44" s="117">
        <v>876.0</v>
      </c>
      <c r="H44" s="117">
        <v>876.0</v>
      </c>
      <c r="I44" s="117">
        <v>0.0</v>
      </c>
      <c r="J44" s="117">
        <v>1786.0</v>
      </c>
      <c r="K44" s="117">
        <v>1786.0</v>
      </c>
      <c r="L44" s="117"/>
      <c r="M44" s="117">
        <v>2.038812785388128</v>
      </c>
      <c r="N44" s="117">
        <v>2.038812785388128</v>
      </c>
      <c r="O44" s="117"/>
      <c r="P44" s="117">
        <v>6633.846153846154</v>
      </c>
      <c r="Q44" s="117">
        <v>431200.0</v>
      </c>
      <c r="R44" s="117">
        <v>65.0</v>
      </c>
      <c r="S44" s="117">
        <v>68.0</v>
      </c>
      <c r="T44" s="117">
        <v>-0.05895129870129634</v>
      </c>
      <c r="U44" s="117">
        <v>456619.799999999</v>
      </c>
      <c r="V44" s="117">
        <v>431200.0</v>
      </c>
      <c r="W44" s="117"/>
      <c r="X44" s="117"/>
      <c r="Y44" s="117"/>
      <c r="Z44" s="117"/>
      <c r="AA44" s="117"/>
      <c r="AB44" s="117">
        <v>0.0</v>
      </c>
      <c r="AC44" s="117">
        <v>0.0</v>
      </c>
      <c r="AD44" s="117">
        <v>360.0</v>
      </c>
      <c r="AE44" s="117">
        <v>120.0</v>
      </c>
      <c r="AF44" s="117">
        <v>36.0</v>
      </c>
      <c r="AG44" s="117">
        <v>36.0</v>
      </c>
      <c r="AH44" s="117">
        <v>4.0</v>
      </c>
      <c r="AI44" s="117"/>
      <c r="AJ44" s="117">
        <v>7232.0</v>
      </c>
      <c r="AK44" s="117">
        <v>5598.0</v>
      </c>
      <c r="AL44" s="117">
        <v>840.0</v>
      </c>
      <c r="AM44" s="117">
        <v>589.0</v>
      </c>
      <c r="AN44" s="117">
        <v>61.0</v>
      </c>
    </row>
    <row r="45">
      <c r="A45" s="114">
        <v>46027.0</v>
      </c>
      <c r="B45" s="115">
        <v>0.4666666666666667</v>
      </c>
      <c r="C45" s="115">
        <v>14.0</v>
      </c>
      <c r="D45" s="115">
        <v>30.0</v>
      </c>
      <c r="E45" s="115">
        <v>0.05897114178168131</v>
      </c>
      <c r="F45" s="115">
        <v>47.0</v>
      </c>
      <c r="G45" s="115">
        <v>797.0</v>
      </c>
      <c r="H45" s="115">
        <v>797.0</v>
      </c>
      <c r="I45" s="115">
        <v>0.0</v>
      </c>
      <c r="J45" s="115">
        <v>1347.0</v>
      </c>
      <c r="K45" s="115">
        <v>1347.0</v>
      </c>
      <c r="L45" s="115"/>
      <c r="M45" s="115">
        <v>1.6900878293601003</v>
      </c>
      <c r="N45" s="115">
        <v>1.6900878293601003</v>
      </c>
      <c r="O45" s="115"/>
      <c r="P45" s="115">
        <v>7723.404255319149</v>
      </c>
      <c r="Q45" s="115">
        <v>363000.0</v>
      </c>
      <c r="R45" s="115">
        <v>47.0</v>
      </c>
      <c r="S45" s="115">
        <v>53.0</v>
      </c>
      <c r="T45" s="115">
        <v>-0.11952837465564814</v>
      </c>
      <c r="U45" s="115">
        <v>406388.8000000003</v>
      </c>
      <c r="V45" s="115">
        <v>363000.0</v>
      </c>
      <c r="W45" s="115"/>
      <c r="X45" s="115"/>
      <c r="Y45" s="115"/>
      <c r="Z45" s="115"/>
      <c r="AA45" s="115"/>
      <c r="AB45" s="115">
        <v>0.0</v>
      </c>
      <c r="AC45" s="115">
        <v>0.0</v>
      </c>
      <c r="AD45" s="115">
        <v>284.0</v>
      </c>
      <c r="AE45" s="115">
        <v>81.0</v>
      </c>
      <c r="AF45" s="115">
        <v>25.0</v>
      </c>
      <c r="AG45" s="115">
        <v>25.0</v>
      </c>
      <c r="AH45" s="115">
        <v>3.0</v>
      </c>
      <c r="AI45" s="115"/>
      <c r="AJ45" s="115">
        <v>5876.0</v>
      </c>
      <c r="AK45" s="115">
        <v>4348.0</v>
      </c>
      <c r="AL45" s="115">
        <v>772.0</v>
      </c>
      <c r="AM45" s="115">
        <v>422.0</v>
      </c>
      <c r="AN45" s="115">
        <v>44.0</v>
      </c>
    </row>
    <row r="46">
      <c r="A46" s="116">
        <v>46028.0</v>
      </c>
      <c r="B46" s="117">
        <v>0.4523809523809524</v>
      </c>
      <c r="C46" s="117">
        <v>19.0</v>
      </c>
      <c r="D46" s="117">
        <v>42.0</v>
      </c>
      <c r="E46" s="117">
        <v>0.09320905459387484</v>
      </c>
      <c r="F46" s="117">
        <v>70.0</v>
      </c>
      <c r="G46" s="117">
        <v>751.0</v>
      </c>
      <c r="H46" s="117">
        <v>751.0</v>
      </c>
      <c r="I46" s="117">
        <v>0.0</v>
      </c>
      <c r="J46" s="117">
        <v>1323.0</v>
      </c>
      <c r="K46" s="117">
        <v>1323.0</v>
      </c>
      <c r="L46" s="117"/>
      <c r="M46" s="117">
        <v>1.7616511318242343</v>
      </c>
      <c r="N46" s="117">
        <v>1.7616511318242343</v>
      </c>
      <c r="O46" s="117"/>
      <c r="P46" s="117">
        <v>6867.142857142857</v>
      </c>
      <c r="Q46" s="117">
        <v>480700.0</v>
      </c>
      <c r="R46" s="117">
        <v>70.0</v>
      </c>
      <c r="S46" s="117">
        <v>75.0</v>
      </c>
      <c r="T46" s="117">
        <v>0.05634949032660708</v>
      </c>
      <c r="U46" s="117">
        <v>453612.8</v>
      </c>
      <c r="V46" s="117">
        <v>480700.0</v>
      </c>
      <c r="W46" s="117"/>
      <c r="X46" s="117"/>
      <c r="Y46" s="117"/>
      <c r="Z46" s="117"/>
      <c r="AA46" s="117"/>
      <c r="AB46" s="117">
        <v>0.0</v>
      </c>
      <c r="AC46" s="117">
        <v>0.0</v>
      </c>
      <c r="AD46" s="117">
        <v>324.0</v>
      </c>
      <c r="AE46" s="117">
        <v>96.0</v>
      </c>
      <c r="AF46" s="117">
        <v>25.0</v>
      </c>
      <c r="AG46" s="117">
        <v>34.0</v>
      </c>
      <c r="AH46" s="117">
        <v>10.0</v>
      </c>
      <c r="AI46" s="117"/>
      <c r="AJ46" s="117">
        <v>5795.0</v>
      </c>
      <c r="AK46" s="117">
        <v>4294.0</v>
      </c>
      <c r="AL46" s="117">
        <v>726.0</v>
      </c>
      <c r="AM46" s="117">
        <v>458.0</v>
      </c>
      <c r="AN46" s="117">
        <v>60.0</v>
      </c>
    </row>
    <row r="47">
      <c r="A47" s="114">
        <v>46029.0</v>
      </c>
      <c r="B47" s="115">
        <v>0.4074074074074074</v>
      </c>
      <c r="C47" s="115">
        <v>11.0</v>
      </c>
      <c r="D47" s="115">
        <v>27.0</v>
      </c>
      <c r="E47" s="115">
        <v>0.0748792270531401</v>
      </c>
      <c r="F47" s="115">
        <v>62.0</v>
      </c>
      <c r="G47" s="115">
        <v>828.0</v>
      </c>
      <c r="H47" s="115">
        <v>828.0</v>
      </c>
      <c r="I47" s="115">
        <v>0.0</v>
      </c>
      <c r="J47" s="115">
        <v>1387.0</v>
      </c>
      <c r="K47" s="115">
        <v>1387.0</v>
      </c>
      <c r="L47" s="115"/>
      <c r="M47" s="115">
        <v>1.6751207729468598</v>
      </c>
      <c r="N47" s="115">
        <v>1.6751207729468598</v>
      </c>
      <c r="O47" s="115"/>
      <c r="P47" s="115">
        <v>7274.193548387097</v>
      </c>
      <c r="Q47" s="115">
        <v>451000.0</v>
      </c>
      <c r="R47" s="115">
        <v>62.0</v>
      </c>
      <c r="S47" s="115">
        <v>66.0</v>
      </c>
      <c r="T47" s="115">
        <v>-0.031503104212861066</v>
      </c>
      <c r="U47" s="115">
        <v>465207.9000000003</v>
      </c>
      <c r="V47" s="115">
        <v>451000.0</v>
      </c>
      <c r="W47" s="115"/>
      <c r="X47" s="115"/>
      <c r="Y47" s="115"/>
      <c r="Z47" s="115"/>
      <c r="AA47" s="115"/>
      <c r="AB47" s="115">
        <v>0.0</v>
      </c>
      <c r="AC47" s="115">
        <v>0.0</v>
      </c>
      <c r="AD47" s="115">
        <v>366.0</v>
      </c>
      <c r="AE47" s="115">
        <v>86.0</v>
      </c>
      <c r="AF47" s="115">
        <v>17.0</v>
      </c>
      <c r="AG47" s="115">
        <v>27.0</v>
      </c>
      <c r="AH47" s="115">
        <v>2.0</v>
      </c>
      <c r="AI47" s="115"/>
      <c r="AJ47" s="115">
        <v>6059.0</v>
      </c>
      <c r="AK47" s="115">
        <v>4574.0</v>
      </c>
      <c r="AL47" s="115">
        <v>811.0</v>
      </c>
      <c r="AM47" s="115">
        <v>432.0</v>
      </c>
      <c r="AN47" s="115">
        <v>60.0</v>
      </c>
    </row>
    <row r="48">
      <c r="A48" s="116">
        <v>46030.0</v>
      </c>
      <c r="B48" s="117">
        <v>0.4146341463414634</v>
      </c>
      <c r="C48" s="117">
        <v>17.0</v>
      </c>
      <c r="D48" s="117">
        <v>41.0</v>
      </c>
      <c r="E48" s="117">
        <v>0.08021390374331551</v>
      </c>
      <c r="F48" s="117">
        <v>60.0</v>
      </c>
      <c r="G48" s="117">
        <v>748.0</v>
      </c>
      <c r="H48" s="117">
        <v>748.0</v>
      </c>
      <c r="I48" s="117">
        <v>0.0</v>
      </c>
      <c r="J48" s="117">
        <v>1244.0</v>
      </c>
      <c r="K48" s="117">
        <v>1244.0</v>
      </c>
      <c r="L48" s="117"/>
      <c r="M48" s="117">
        <v>1.6631016042780749</v>
      </c>
      <c r="N48" s="117">
        <v>1.6631016042780749</v>
      </c>
      <c r="O48" s="117"/>
      <c r="P48" s="117">
        <v>5848.333333333333</v>
      </c>
      <c r="Q48" s="117">
        <v>350900.0</v>
      </c>
      <c r="R48" s="117">
        <v>60.0</v>
      </c>
      <c r="S48" s="117">
        <v>60.0</v>
      </c>
      <c r="T48" s="117">
        <v>-0.23068082074665375</v>
      </c>
      <c r="U48" s="117">
        <v>431845.9000000008</v>
      </c>
      <c r="V48" s="117">
        <v>350900.0</v>
      </c>
      <c r="W48" s="117"/>
      <c r="X48" s="117"/>
      <c r="Y48" s="117"/>
      <c r="Z48" s="117"/>
      <c r="AA48" s="117"/>
      <c r="AB48" s="117">
        <v>0.0</v>
      </c>
      <c r="AC48" s="117">
        <v>0.0</v>
      </c>
      <c r="AD48" s="117">
        <v>343.0</v>
      </c>
      <c r="AE48" s="117">
        <v>100.0</v>
      </c>
      <c r="AF48" s="117">
        <v>22.0</v>
      </c>
      <c r="AG48" s="117">
        <v>22.0</v>
      </c>
      <c r="AH48" s="117">
        <v>7.0</v>
      </c>
      <c r="AI48" s="117"/>
      <c r="AJ48" s="117">
        <v>5340.0</v>
      </c>
      <c r="AK48" s="117">
        <v>3894.0</v>
      </c>
      <c r="AL48" s="117">
        <v>726.0</v>
      </c>
      <c r="AM48" s="117">
        <v>370.0</v>
      </c>
      <c r="AN48" s="117">
        <v>53.0</v>
      </c>
    </row>
    <row r="49">
      <c r="A49" s="114">
        <v>46031.0</v>
      </c>
      <c r="B49" s="115">
        <v>0.29411764705882354</v>
      </c>
      <c r="C49" s="115">
        <v>10.0</v>
      </c>
      <c r="D49" s="115">
        <v>34.0</v>
      </c>
      <c r="E49" s="115">
        <v>0.08547008547008547</v>
      </c>
      <c r="F49" s="115">
        <v>60.0</v>
      </c>
      <c r="G49" s="115">
        <v>702.0</v>
      </c>
      <c r="H49" s="115">
        <v>702.0</v>
      </c>
      <c r="I49" s="115">
        <v>0.0</v>
      </c>
      <c r="J49" s="115">
        <v>1128.0</v>
      </c>
      <c r="K49" s="115">
        <v>1128.0</v>
      </c>
      <c r="L49" s="115"/>
      <c r="M49" s="115">
        <v>1.606837606837607</v>
      </c>
      <c r="N49" s="115">
        <v>1.606837606837607</v>
      </c>
      <c r="O49" s="115"/>
      <c r="P49" s="115">
        <v>5976.666666666667</v>
      </c>
      <c r="Q49" s="115">
        <v>358600.0</v>
      </c>
      <c r="R49" s="115">
        <v>60.0</v>
      </c>
      <c r="S49" s="115">
        <v>62.0</v>
      </c>
      <c r="T49" s="115">
        <v>-0.18180089235917496</v>
      </c>
      <c r="U49" s="115">
        <v>423793.8000000001</v>
      </c>
      <c r="V49" s="115">
        <v>358600.0</v>
      </c>
      <c r="W49" s="115"/>
      <c r="X49" s="115"/>
      <c r="Y49" s="115"/>
      <c r="Z49" s="115"/>
      <c r="AA49" s="115"/>
      <c r="AB49" s="115">
        <v>0.0</v>
      </c>
      <c r="AC49" s="115">
        <v>0.0</v>
      </c>
      <c r="AD49" s="115">
        <v>274.0</v>
      </c>
      <c r="AE49" s="115">
        <v>67.0</v>
      </c>
      <c r="AF49" s="115">
        <v>16.0</v>
      </c>
      <c r="AG49" s="115">
        <v>17.0</v>
      </c>
      <c r="AH49" s="115">
        <v>4.0</v>
      </c>
      <c r="AI49" s="115"/>
      <c r="AJ49" s="115">
        <v>5491.0</v>
      </c>
      <c r="AK49" s="115">
        <v>4009.0</v>
      </c>
      <c r="AL49" s="115">
        <v>686.0</v>
      </c>
      <c r="AM49" s="115">
        <v>336.0</v>
      </c>
      <c r="AN49" s="115">
        <v>56.0</v>
      </c>
    </row>
    <row r="50">
      <c r="A50" s="116">
        <v>46032.0</v>
      </c>
      <c r="B50" s="117">
        <v>0.43333333333333335</v>
      </c>
      <c r="C50" s="117">
        <v>13.0</v>
      </c>
      <c r="D50" s="117">
        <v>30.0</v>
      </c>
      <c r="E50" s="117">
        <v>0.06840796019900497</v>
      </c>
      <c r="F50" s="117">
        <v>55.0</v>
      </c>
      <c r="G50" s="117">
        <v>804.0</v>
      </c>
      <c r="H50" s="117">
        <v>804.0</v>
      </c>
      <c r="I50" s="117">
        <v>0.0</v>
      </c>
      <c r="J50" s="117">
        <v>1355.0</v>
      </c>
      <c r="K50" s="117">
        <v>1355.0</v>
      </c>
      <c r="L50" s="117"/>
      <c r="M50" s="117">
        <v>1.685323383084577</v>
      </c>
      <c r="N50" s="117">
        <v>1.685323383084577</v>
      </c>
      <c r="O50" s="117"/>
      <c r="P50" s="117">
        <v>8120.0</v>
      </c>
      <c r="Q50" s="117">
        <v>446600.0</v>
      </c>
      <c r="R50" s="117">
        <v>55.0</v>
      </c>
      <c r="S50" s="117">
        <v>59.0</v>
      </c>
      <c r="T50" s="117">
        <v>0.032835423197489555</v>
      </c>
      <c r="U50" s="117">
        <v>431935.7000000012</v>
      </c>
      <c r="V50" s="117">
        <v>446600.0</v>
      </c>
      <c r="W50" s="117"/>
      <c r="X50" s="117"/>
      <c r="Y50" s="117"/>
      <c r="Z50" s="117"/>
      <c r="AA50" s="117"/>
      <c r="AB50" s="117">
        <v>0.0</v>
      </c>
      <c r="AC50" s="117">
        <v>0.0</v>
      </c>
      <c r="AD50" s="117">
        <v>261.0</v>
      </c>
      <c r="AE50" s="117">
        <v>74.0</v>
      </c>
      <c r="AF50" s="117">
        <v>10.0</v>
      </c>
      <c r="AG50" s="117">
        <v>10.0</v>
      </c>
      <c r="AH50" s="117">
        <v>1.0</v>
      </c>
      <c r="AI50" s="117"/>
      <c r="AJ50" s="117">
        <v>5791.0</v>
      </c>
      <c r="AK50" s="117">
        <v>4106.0</v>
      </c>
      <c r="AL50" s="117">
        <v>794.0</v>
      </c>
      <c r="AM50" s="117">
        <v>357.0</v>
      </c>
      <c r="AN50" s="117">
        <v>54.0</v>
      </c>
    </row>
    <row r="51">
      <c r="A51" s="114">
        <v>46033.0</v>
      </c>
      <c r="B51" s="115">
        <v>0.32142857142857145</v>
      </c>
      <c r="C51" s="115">
        <v>9.0</v>
      </c>
      <c r="D51" s="115">
        <v>28.0</v>
      </c>
      <c r="E51" s="115">
        <v>0.05802047781569966</v>
      </c>
      <c r="F51" s="115">
        <v>51.0</v>
      </c>
      <c r="G51" s="115">
        <v>879.0</v>
      </c>
      <c r="H51" s="115">
        <v>879.0</v>
      </c>
      <c r="I51" s="115">
        <v>0.0</v>
      </c>
      <c r="J51" s="115">
        <v>1420.0</v>
      </c>
      <c r="K51" s="115">
        <v>1420.0</v>
      </c>
      <c r="L51" s="115"/>
      <c r="M51" s="115">
        <v>1.6154721274175199</v>
      </c>
      <c r="N51" s="115">
        <v>1.6154721274175199</v>
      </c>
      <c r="O51" s="115"/>
      <c r="P51" s="115">
        <v>7311.764705882353</v>
      </c>
      <c r="Q51" s="115">
        <v>372900.0</v>
      </c>
      <c r="R51" s="115">
        <v>51.0</v>
      </c>
      <c r="S51" s="115">
        <v>56.0</v>
      </c>
      <c r="T51" s="115">
        <v>-0.12302654867256968</v>
      </c>
      <c r="U51" s="115">
        <v>418776.60000000126</v>
      </c>
      <c r="V51" s="115">
        <v>372900.0</v>
      </c>
      <c r="W51" s="115"/>
      <c r="X51" s="115"/>
      <c r="Y51" s="115"/>
      <c r="Z51" s="115"/>
      <c r="AA51" s="115"/>
      <c r="AB51" s="115">
        <v>0.0</v>
      </c>
      <c r="AC51" s="115">
        <v>0.0</v>
      </c>
      <c r="AD51" s="115">
        <v>313.0</v>
      </c>
      <c r="AE51" s="115">
        <v>90.0</v>
      </c>
      <c r="AF51" s="115">
        <v>17.0</v>
      </c>
      <c r="AG51" s="115">
        <v>20.0</v>
      </c>
      <c r="AH51" s="115">
        <v>3.0</v>
      </c>
      <c r="AI51" s="115"/>
      <c r="AJ51" s="115">
        <v>6828.0</v>
      </c>
      <c r="AK51" s="115">
        <v>5237.0</v>
      </c>
      <c r="AL51" s="115">
        <v>862.0</v>
      </c>
      <c r="AM51" s="115">
        <v>461.0</v>
      </c>
      <c r="AN51" s="115">
        <v>48.0</v>
      </c>
    </row>
    <row r="52">
      <c r="A52" s="116">
        <v>46034.0</v>
      </c>
      <c r="B52" s="117">
        <v>0.23333333333333334</v>
      </c>
      <c r="C52" s="117">
        <v>7.0</v>
      </c>
      <c r="D52" s="117">
        <v>30.0</v>
      </c>
      <c r="E52" s="117">
        <v>0.06657963446475196</v>
      </c>
      <c r="F52" s="117">
        <v>51.0</v>
      </c>
      <c r="G52" s="117">
        <v>766.0</v>
      </c>
      <c r="H52" s="117">
        <v>766.0</v>
      </c>
      <c r="I52" s="117">
        <v>0.0</v>
      </c>
      <c r="J52" s="117">
        <v>1294.0</v>
      </c>
      <c r="K52" s="117">
        <v>1294.0</v>
      </c>
      <c r="L52" s="117"/>
      <c r="M52" s="117">
        <v>1.6892950391644908</v>
      </c>
      <c r="N52" s="117">
        <v>1.6892950391644908</v>
      </c>
      <c r="O52" s="117"/>
      <c r="P52" s="117">
        <v>6470.588235294118</v>
      </c>
      <c r="Q52" s="117">
        <v>330000.0</v>
      </c>
      <c r="R52" s="117">
        <v>51.0</v>
      </c>
      <c r="S52" s="117">
        <v>59.0</v>
      </c>
      <c r="T52" s="117">
        <v>-0.2148427272727298</v>
      </c>
      <c r="U52" s="117">
        <v>400898.10000000085</v>
      </c>
      <c r="V52" s="117">
        <v>330000.0</v>
      </c>
      <c r="W52" s="117"/>
      <c r="X52" s="117"/>
      <c r="Y52" s="117"/>
      <c r="Z52" s="117"/>
      <c r="AA52" s="117"/>
      <c r="AB52" s="117">
        <v>0.0</v>
      </c>
      <c r="AC52" s="117">
        <v>0.0</v>
      </c>
      <c r="AD52" s="117">
        <v>426.0</v>
      </c>
      <c r="AE52" s="117">
        <v>101.0</v>
      </c>
      <c r="AF52" s="117">
        <v>29.0</v>
      </c>
      <c r="AG52" s="117">
        <v>34.0</v>
      </c>
      <c r="AH52" s="117">
        <v>10.0</v>
      </c>
      <c r="AI52" s="117"/>
      <c r="AJ52" s="117">
        <v>6202.0</v>
      </c>
      <c r="AK52" s="117">
        <v>4144.0</v>
      </c>
      <c r="AL52" s="117">
        <v>737.0</v>
      </c>
      <c r="AM52" s="117">
        <v>362.0</v>
      </c>
      <c r="AN52" s="117">
        <v>41.0</v>
      </c>
    </row>
    <row r="53">
      <c r="A53" s="114">
        <v>46035.0</v>
      </c>
      <c r="B53" s="115">
        <v>0.43243243243243246</v>
      </c>
      <c r="C53" s="115">
        <v>16.0</v>
      </c>
      <c r="D53" s="115">
        <v>37.0</v>
      </c>
      <c r="E53" s="115">
        <v>0.0819423368740516</v>
      </c>
      <c r="F53" s="115">
        <v>54.0</v>
      </c>
      <c r="G53" s="115">
        <v>659.0</v>
      </c>
      <c r="H53" s="115">
        <v>659.0</v>
      </c>
      <c r="I53" s="115">
        <v>0.0</v>
      </c>
      <c r="J53" s="115">
        <v>1207.0</v>
      </c>
      <c r="K53" s="115">
        <v>1207.0</v>
      </c>
      <c r="L53" s="115"/>
      <c r="M53" s="115">
        <v>1.8315629742033384</v>
      </c>
      <c r="N53" s="115">
        <v>1.8315629742033384</v>
      </c>
      <c r="O53" s="115"/>
      <c r="P53" s="115">
        <v>7414.814814814815</v>
      </c>
      <c r="Q53" s="115">
        <v>400400.0</v>
      </c>
      <c r="R53" s="115">
        <v>54.0</v>
      </c>
      <c r="S53" s="115">
        <v>58.0</v>
      </c>
      <c r="T53" s="115">
        <v>-0.11288461538461703</v>
      </c>
      <c r="U53" s="115">
        <v>445599.00000000064</v>
      </c>
      <c r="V53" s="115">
        <v>400400.0</v>
      </c>
      <c r="W53" s="115"/>
      <c r="X53" s="115"/>
      <c r="Y53" s="115"/>
      <c r="Z53" s="115"/>
      <c r="AA53" s="115"/>
      <c r="AB53" s="115">
        <v>0.0</v>
      </c>
      <c r="AC53" s="115">
        <v>0.0</v>
      </c>
      <c r="AD53" s="115">
        <v>445.0</v>
      </c>
      <c r="AE53" s="115">
        <v>104.0</v>
      </c>
      <c r="AF53" s="115">
        <v>24.0</v>
      </c>
      <c r="AG53" s="115">
        <v>24.0</v>
      </c>
      <c r="AH53" s="115">
        <v>6.0</v>
      </c>
      <c r="AI53" s="115"/>
      <c r="AJ53" s="115">
        <v>5951.0</v>
      </c>
      <c r="AK53" s="115">
        <v>3805.0</v>
      </c>
      <c r="AL53" s="115">
        <v>635.0</v>
      </c>
      <c r="AM53" s="115">
        <v>339.0</v>
      </c>
      <c r="AN53" s="115">
        <v>48.0</v>
      </c>
    </row>
    <row r="54">
      <c r="A54" s="116">
        <v>46036.0</v>
      </c>
      <c r="B54" s="117">
        <v>0.4</v>
      </c>
      <c r="C54" s="117">
        <v>10.0</v>
      </c>
      <c r="D54" s="117">
        <v>25.0</v>
      </c>
      <c r="E54" s="117">
        <v>0.06446776611694154</v>
      </c>
      <c r="F54" s="117">
        <v>43.0</v>
      </c>
      <c r="G54" s="117">
        <v>667.0</v>
      </c>
      <c r="H54" s="117">
        <v>667.0</v>
      </c>
      <c r="I54" s="117">
        <v>0.0</v>
      </c>
      <c r="J54" s="117">
        <v>1122.0</v>
      </c>
      <c r="K54" s="117">
        <v>1122.0</v>
      </c>
      <c r="L54" s="117"/>
      <c r="M54" s="117">
        <v>1.68215892053973</v>
      </c>
      <c r="N54" s="117">
        <v>1.68215892053973</v>
      </c>
      <c r="O54" s="117"/>
      <c r="P54" s="117">
        <v>7469.767441860465</v>
      </c>
      <c r="Q54" s="117">
        <v>321200.0</v>
      </c>
      <c r="R54" s="117">
        <v>43.0</v>
      </c>
      <c r="S54" s="117">
        <v>46.0</v>
      </c>
      <c r="T54" s="117">
        <v>-0.016488792029887733</v>
      </c>
      <c r="U54" s="117">
        <v>326496.19999999995</v>
      </c>
      <c r="V54" s="117">
        <v>321200.0</v>
      </c>
      <c r="W54" s="117"/>
      <c r="X54" s="117"/>
      <c r="Y54" s="117"/>
      <c r="Z54" s="117"/>
      <c r="AA54" s="117"/>
      <c r="AB54" s="117">
        <v>0.0</v>
      </c>
      <c r="AC54" s="117">
        <v>0.0</v>
      </c>
      <c r="AD54" s="117">
        <v>317.0</v>
      </c>
      <c r="AE54" s="117">
        <v>70.0</v>
      </c>
      <c r="AF54" s="117">
        <v>17.0</v>
      </c>
      <c r="AG54" s="117">
        <v>17.0</v>
      </c>
      <c r="AH54" s="117">
        <v>3.0</v>
      </c>
      <c r="AI54" s="117"/>
      <c r="AJ54" s="117">
        <v>5399.0</v>
      </c>
      <c r="AK54" s="117">
        <v>3525.0</v>
      </c>
      <c r="AL54" s="117">
        <v>650.0</v>
      </c>
      <c r="AM54" s="117">
        <v>311.0</v>
      </c>
      <c r="AN54" s="117">
        <v>40.0</v>
      </c>
    </row>
    <row r="55">
      <c r="A55" s="114">
        <v>46037.0</v>
      </c>
      <c r="B55" s="115">
        <v>0.36363636363636365</v>
      </c>
      <c r="C55" s="115">
        <v>12.0</v>
      </c>
      <c r="D55" s="115">
        <v>33.0</v>
      </c>
      <c r="E55" s="115">
        <v>0.1090146750524109</v>
      </c>
      <c r="F55" s="115">
        <v>52.0</v>
      </c>
      <c r="G55" s="115">
        <v>477.0</v>
      </c>
      <c r="H55" s="115">
        <v>477.0</v>
      </c>
      <c r="I55" s="115">
        <v>0.0</v>
      </c>
      <c r="J55" s="115">
        <v>773.0</v>
      </c>
      <c r="K55" s="115">
        <v>773.0</v>
      </c>
      <c r="L55" s="115"/>
      <c r="M55" s="115">
        <v>1.620545073375262</v>
      </c>
      <c r="N55" s="115">
        <v>1.620545073375262</v>
      </c>
      <c r="O55" s="115"/>
      <c r="P55" s="115">
        <v>7869.2307692307695</v>
      </c>
      <c r="Q55" s="115">
        <v>409200.0</v>
      </c>
      <c r="R55" s="115">
        <v>52.0</v>
      </c>
      <c r="S55" s="115">
        <v>55.0</v>
      </c>
      <c r="T55" s="115">
        <v>0.21105034213098717</v>
      </c>
      <c r="U55" s="115">
        <v>322838.20000000007</v>
      </c>
      <c r="V55" s="115">
        <v>409200.0</v>
      </c>
      <c r="W55" s="115"/>
      <c r="X55" s="115"/>
      <c r="Y55" s="115"/>
      <c r="Z55" s="115"/>
      <c r="AA55" s="115"/>
      <c r="AB55" s="115">
        <v>0.0</v>
      </c>
      <c r="AC55" s="115">
        <v>0.0</v>
      </c>
      <c r="AD55" s="115">
        <v>535.0</v>
      </c>
      <c r="AE55" s="115">
        <v>106.0</v>
      </c>
      <c r="AF55" s="115">
        <v>6.0</v>
      </c>
      <c r="AG55" s="115">
        <v>27.0</v>
      </c>
      <c r="AH55" s="115">
        <v>1.0</v>
      </c>
      <c r="AI55" s="115"/>
      <c r="AJ55" s="115">
        <v>7227.0</v>
      </c>
      <c r="AK55" s="115">
        <v>5316.0</v>
      </c>
      <c r="AL55" s="115">
        <v>471.0</v>
      </c>
      <c r="AM55" s="115">
        <v>407.0</v>
      </c>
      <c r="AN55" s="115">
        <v>51.0</v>
      </c>
    </row>
    <row r="56">
      <c r="A56" s="116">
        <v>46038.0</v>
      </c>
      <c r="B56" s="117">
        <v>0.44680851063829785</v>
      </c>
      <c r="C56" s="117">
        <v>21.0</v>
      </c>
      <c r="D56" s="117">
        <v>47.0</v>
      </c>
      <c r="E56" s="117">
        <v>0.13321492007104796</v>
      </c>
      <c r="F56" s="117">
        <v>75.0</v>
      </c>
      <c r="G56" s="117">
        <v>563.0</v>
      </c>
      <c r="H56" s="117">
        <v>563.0</v>
      </c>
      <c r="I56" s="117">
        <v>0.0</v>
      </c>
      <c r="J56" s="117">
        <v>896.0</v>
      </c>
      <c r="K56" s="117">
        <v>896.0</v>
      </c>
      <c r="L56" s="117"/>
      <c r="M56" s="117">
        <v>1.5914742451154529</v>
      </c>
      <c r="N56" s="117">
        <v>1.5914742451154529</v>
      </c>
      <c r="O56" s="117"/>
      <c r="P56" s="117">
        <v>7113.333333333333</v>
      </c>
      <c r="Q56" s="117">
        <v>533500.0</v>
      </c>
      <c r="R56" s="117">
        <v>75.0</v>
      </c>
      <c r="S56" s="117">
        <v>77.0</v>
      </c>
      <c r="T56" s="117">
        <v>0.31383880037488265</v>
      </c>
      <c r="U56" s="117">
        <v>366067.0000000001</v>
      </c>
      <c r="V56" s="117">
        <v>533500.0</v>
      </c>
      <c r="W56" s="117"/>
      <c r="X56" s="117"/>
      <c r="Y56" s="117"/>
      <c r="Z56" s="117"/>
      <c r="AA56" s="117"/>
      <c r="AB56" s="117">
        <v>0.0</v>
      </c>
      <c r="AC56" s="117">
        <v>0.0</v>
      </c>
      <c r="AD56" s="117">
        <v>401.0</v>
      </c>
      <c r="AE56" s="117">
        <v>98.0</v>
      </c>
      <c r="AF56" s="117">
        <v>16.0</v>
      </c>
      <c r="AG56" s="117">
        <v>29.0</v>
      </c>
      <c r="AH56" s="117">
        <v>7.0</v>
      </c>
      <c r="AI56" s="117"/>
      <c r="AJ56" s="117">
        <v>8490.0</v>
      </c>
      <c r="AK56" s="117">
        <v>6688.0</v>
      </c>
      <c r="AL56" s="117">
        <v>547.0</v>
      </c>
      <c r="AM56" s="117">
        <v>553.0</v>
      </c>
      <c r="AN56" s="117">
        <v>68.0</v>
      </c>
    </row>
    <row r="57">
      <c r="A57" s="114">
        <v>46039.0</v>
      </c>
      <c r="B57" s="115">
        <v>0.4266666666666667</v>
      </c>
      <c r="C57" s="115">
        <v>32.0</v>
      </c>
      <c r="D57" s="115">
        <v>75.0</v>
      </c>
      <c r="E57" s="115">
        <v>0.1198547215496368</v>
      </c>
      <c r="F57" s="115">
        <v>99.0</v>
      </c>
      <c r="G57" s="115">
        <v>826.0</v>
      </c>
      <c r="H57" s="115">
        <v>826.0</v>
      </c>
      <c r="I57" s="115">
        <v>0.0</v>
      </c>
      <c r="J57" s="115">
        <v>1269.0</v>
      </c>
      <c r="K57" s="115">
        <v>1269.0</v>
      </c>
      <c r="L57" s="115"/>
      <c r="M57" s="115">
        <v>1.536319612590799</v>
      </c>
      <c r="N57" s="115">
        <v>1.536319612590799</v>
      </c>
      <c r="O57" s="115"/>
      <c r="P57" s="115">
        <v>7011.111111111111</v>
      </c>
      <c r="Q57" s="115">
        <v>694100.0</v>
      </c>
      <c r="R57" s="115">
        <v>99.0</v>
      </c>
      <c r="S57" s="115">
        <v>105.0</v>
      </c>
      <c r="T57" s="115">
        <v>0.3409799740671364</v>
      </c>
      <c r="U57" s="115">
        <v>457425.8000000006</v>
      </c>
      <c r="V57" s="115">
        <v>694100.0</v>
      </c>
      <c r="W57" s="115"/>
      <c r="X57" s="115"/>
      <c r="Y57" s="115"/>
      <c r="Z57" s="115"/>
      <c r="AA57" s="115"/>
      <c r="AB57" s="115">
        <v>0.0</v>
      </c>
      <c r="AC57" s="115">
        <v>0.0</v>
      </c>
      <c r="AD57" s="115">
        <v>566.0</v>
      </c>
      <c r="AE57" s="115">
        <v>118.0</v>
      </c>
      <c r="AF57" s="115">
        <v>21.0</v>
      </c>
      <c r="AG57" s="115">
        <v>44.0</v>
      </c>
      <c r="AH57" s="115">
        <v>7.0</v>
      </c>
      <c r="AI57" s="115"/>
      <c r="AJ57" s="115">
        <v>8437.0</v>
      </c>
      <c r="AK57" s="115">
        <v>6724.0</v>
      </c>
      <c r="AL57" s="115">
        <v>805.0</v>
      </c>
      <c r="AM57" s="115">
        <v>767.0</v>
      </c>
      <c r="AN57" s="115">
        <v>92.0</v>
      </c>
    </row>
    <row r="58">
      <c r="A58" s="116">
        <v>46040.0</v>
      </c>
      <c r="B58" s="117">
        <v>0.3225806451612903</v>
      </c>
      <c r="C58" s="117">
        <v>20.0</v>
      </c>
      <c r="D58" s="117">
        <v>62.0</v>
      </c>
      <c r="E58" s="117">
        <v>0.17159763313609466</v>
      </c>
      <c r="F58" s="117">
        <v>87.0</v>
      </c>
      <c r="G58" s="117">
        <v>507.0</v>
      </c>
      <c r="H58" s="117">
        <v>507.0</v>
      </c>
      <c r="I58" s="117">
        <v>0.0</v>
      </c>
      <c r="J58" s="117">
        <v>887.0</v>
      </c>
      <c r="K58" s="117">
        <v>887.0</v>
      </c>
      <c r="L58" s="117"/>
      <c r="M58" s="117">
        <v>1.7495069033530573</v>
      </c>
      <c r="N58" s="117">
        <v>1.7495069033530573</v>
      </c>
      <c r="O58" s="117"/>
      <c r="P58" s="117">
        <v>6347.126436781609</v>
      </c>
      <c r="Q58" s="117">
        <v>552200.0</v>
      </c>
      <c r="R58" s="117">
        <v>87.0</v>
      </c>
      <c r="S58" s="117">
        <v>93.0</v>
      </c>
      <c r="T58" s="117">
        <v>0.37737124230351304</v>
      </c>
      <c r="U58" s="117">
        <v>343815.6000000001</v>
      </c>
      <c r="V58" s="117">
        <v>552200.0</v>
      </c>
      <c r="W58" s="117"/>
      <c r="X58" s="117"/>
      <c r="Y58" s="117"/>
      <c r="Z58" s="117"/>
      <c r="AA58" s="117"/>
      <c r="AB58" s="117">
        <v>0.0</v>
      </c>
      <c r="AC58" s="117">
        <v>0.0</v>
      </c>
      <c r="AD58" s="117">
        <v>766.0</v>
      </c>
      <c r="AE58" s="117">
        <v>142.0</v>
      </c>
      <c r="AF58" s="117">
        <v>9.0</v>
      </c>
      <c r="AG58" s="117">
        <v>43.0</v>
      </c>
      <c r="AH58" s="117">
        <v>3.0</v>
      </c>
      <c r="AI58" s="117"/>
      <c r="AJ58" s="117">
        <v>6460.0</v>
      </c>
      <c r="AK58" s="117">
        <v>4612.0</v>
      </c>
      <c r="AL58" s="117">
        <v>498.0</v>
      </c>
      <c r="AM58" s="117">
        <v>589.0</v>
      </c>
      <c r="AN58" s="117">
        <v>84.0</v>
      </c>
    </row>
    <row r="59">
      <c r="A59" s="114">
        <v>46041.0</v>
      </c>
      <c r="B59" s="115">
        <v>0.3333333333333333</v>
      </c>
      <c r="C59" s="115">
        <v>13.0</v>
      </c>
      <c r="D59" s="115">
        <v>39.0</v>
      </c>
      <c r="E59" s="115">
        <v>0.0804093567251462</v>
      </c>
      <c r="F59" s="115">
        <v>55.0</v>
      </c>
      <c r="G59" s="115">
        <v>684.0</v>
      </c>
      <c r="H59" s="115">
        <v>684.0</v>
      </c>
      <c r="I59" s="115">
        <v>0.0</v>
      </c>
      <c r="J59" s="115">
        <v>1017.0</v>
      </c>
      <c r="K59" s="115">
        <v>1017.0</v>
      </c>
      <c r="L59" s="115"/>
      <c r="M59" s="115">
        <v>1.486842105263158</v>
      </c>
      <c r="N59" s="115">
        <v>1.486842105263158</v>
      </c>
      <c r="O59" s="115"/>
      <c r="P59" s="115">
        <v>6220.0</v>
      </c>
      <c r="Q59" s="115">
        <v>342100.0</v>
      </c>
      <c r="R59" s="115">
        <v>55.0</v>
      </c>
      <c r="S59" s="115">
        <v>58.0</v>
      </c>
      <c r="T59" s="115">
        <v>0.2648602747734572</v>
      </c>
      <c r="U59" s="115">
        <v>251491.30000000028</v>
      </c>
      <c r="V59" s="115">
        <v>342100.0</v>
      </c>
      <c r="W59" s="115"/>
      <c r="X59" s="115"/>
      <c r="Y59" s="115"/>
      <c r="Z59" s="115"/>
      <c r="AA59" s="115"/>
      <c r="AB59" s="115">
        <v>0.0</v>
      </c>
      <c r="AC59" s="115">
        <v>0.0</v>
      </c>
      <c r="AD59" s="115">
        <v>337.0</v>
      </c>
      <c r="AE59" s="115">
        <v>86.0</v>
      </c>
      <c r="AF59" s="115">
        <v>10.0</v>
      </c>
      <c r="AG59" s="115">
        <v>23.0</v>
      </c>
      <c r="AH59" s="115">
        <v>4.0</v>
      </c>
      <c r="AI59" s="115"/>
      <c r="AJ59" s="115">
        <v>6825.0</v>
      </c>
      <c r="AK59" s="115">
        <v>5146.0</v>
      </c>
      <c r="AL59" s="115">
        <v>674.0</v>
      </c>
      <c r="AM59" s="115">
        <v>478.0</v>
      </c>
      <c r="AN59" s="115">
        <v>51.0</v>
      </c>
    </row>
    <row r="60">
      <c r="A60" s="116">
        <v>46042.0</v>
      </c>
      <c r="B60" s="117">
        <v>0.2727272727272727</v>
      </c>
      <c r="C60" s="117">
        <v>12.0</v>
      </c>
      <c r="D60" s="117">
        <v>44.0</v>
      </c>
      <c r="E60" s="117">
        <v>0.10403726708074534</v>
      </c>
      <c r="F60" s="117">
        <v>67.0</v>
      </c>
      <c r="G60" s="117">
        <v>644.0</v>
      </c>
      <c r="H60" s="117">
        <v>644.0</v>
      </c>
      <c r="I60" s="117">
        <v>0.0</v>
      </c>
      <c r="J60" s="117">
        <v>993.0</v>
      </c>
      <c r="K60" s="117">
        <v>993.0</v>
      </c>
      <c r="L60" s="117"/>
      <c r="M60" s="117">
        <v>1.5419254658385093</v>
      </c>
      <c r="N60" s="117">
        <v>1.5419254658385093</v>
      </c>
      <c r="O60" s="117"/>
      <c r="P60" s="117">
        <v>6320.895522388059</v>
      </c>
      <c r="Q60" s="117">
        <v>423500.0</v>
      </c>
      <c r="R60" s="117">
        <v>67.0</v>
      </c>
      <c r="S60" s="117">
        <v>67.0</v>
      </c>
      <c r="T60" s="117">
        <v>0.312130578512396</v>
      </c>
      <c r="U60" s="117">
        <v>291312.7000000003</v>
      </c>
      <c r="V60" s="117">
        <v>423500.0</v>
      </c>
      <c r="W60" s="117"/>
      <c r="X60" s="117"/>
      <c r="Y60" s="117"/>
      <c r="Z60" s="117"/>
      <c r="AA60" s="117"/>
      <c r="AB60" s="117">
        <v>0.0</v>
      </c>
      <c r="AC60" s="117">
        <v>0.0</v>
      </c>
      <c r="AD60" s="117">
        <v>360.0</v>
      </c>
      <c r="AE60" s="117">
        <v>79.0</v>
      </c>
      <c r="AF60" s="117">
        <v>16.0</v>
      </c>
      <c r="AG60" s="117">
        <v>24.0</v>
      </c>
      <c r="AH60" s="117">
        <v>4.0</v>
      </c>
      <c r="AI60" s="117"/>
      <c r="AJ60" s="117">
        <v>6421.0</v>
      </c>
      <c r="AK60" s="117">
        <v>4735.0</v>
      </c>
      <c r="AL60" s="117">
        <v>628.0</v>
      </c>
      <c r="AM60" s="117">
        <v>487.0</v>
      </c>
      <c r="AN60" s="117">
        <v>63.0</v>
      </c>
    </row>
    <row r="61">
      <c r="A61" s="114">
        <v>46043.0</v>
      </c>
      <c r="B61" s="115">
        <v>0.3333333333333333</v>
      </c>
      <c r="C61" s="115">
        <v>12.0</v>
      </c>
      <c r="D61" s="115">
        <v>36.0</v>
      </c>
      <c r="E61" s="115">
        <v>0.0995405819295559</v>
      </c>
      <c r="F61" s="115">
        <v>65.0</v>
      </c>
      <c r="G61" s="115">
        <v>653.0</v>
      </c>
      <c r="H61" s="115">
        <v>653.0</v>
      </c>
      <c r="I61" s="115">
        <v>0.0</v>
      </c>
      <c r="J61" s="115">
        <v>988.0</v>
      </c>
      <c r="K61" s="115">
        <v>988.0</v>
      </c>
      <c r="L61" s="115"/>
      <c r="M61" s="115">
        <v>1.5130168453292496</v>
      </c>
      <c r="N61" s="115">
        <v>1.5130168453292496</v>
      </c>
      <c r="O61" s="115"/>
      <c r="P61" s="115">
        <v>7784.615384615385</v>
      </c>
      <c r="Q61" s="115">
        <v>506000.0</v>
      </c>
      <c r="R61" s="115">
        <v>65.0</v>
      </c>
      <c r="S61" s="115">
        <v>71.0</v>
      </c>
      <c r="T61" s="115">
        <v>0.39160158102766773</v>
      </c>
      <c r="U61" s="115">
        <v>307849.60000000015</v>
      </c>
      <c r="V61" s="115">
        <v>506000.0</v>
      </c>
      <c r="W61" s="115"/>
      <c r="X61" s="115"/>
      <c r="Y61" s="115"/>
      <c r="Z61" s="115"/>
      <c r="AA61" s="115"/>
      <c r="AB61" s="115">
        <v>0.0</v>
      </c>
      <c r="AC61" s="115">
        <v>0.0</v>
      </c>
      <c r="AD61" s="115">
        <v>395.0</v>
      </c>
      <c r="AE61" s="115">
        <v>98.0</v>
      </c>
      <c r="AF61" s="115">
        <v>20.0</v>
      </c>
      <c r="AG61" s="115">
        <v>24.0</v>
      </c>
      <c r="AH61" s="115">
        <v>4.0</v>
      </c>
      <c r="AI61" s="115"/>
      <c r="AJ61" s="115">
        <v>6227.0</v>
      </c>
      <c r="AK61" s="115">
        <v>4602.0</v>
      </c>
      <c r="AL61" s="115">
        <v>633.0</v>
      </c>
      <c r="AM61" s="115">
        <v>447.0</v>
      </c>
      <c r="AN61" s="115">
        <v>61.0</v>
      </c>
    </row>
    <row r="62">
      <c r="A62" s="116">
        <v>46044.0</v>
      </c>
      <c r="B62" s="117">
        <v>0.4230769230769231</v>
      </c>
      <c r="C62" s="117">
        <v>22.0</v>
      </c>
      <c r="D62" s="117">
        <v>52.0</v>
      </c>
      <c r="E62" s="117">
        <v>0.10463576158940398</v>
      </c>
      <c r="F62" s="117">
        <v>79.0</v>
      </c>
      <c r="G62" s="117">
        <v>755.0</v>
      </c>
      <c r="H62" s="117">
        <v>755.0</v>
      </c>
      <c r="I62" s="117">
        <v>0.0</v>
      </c>
      <c r="J62" s="117">
        <v>1114.0</v>
      </c>
      <c r="K62" s="117">
        <v>1114.0</v>
      </c>
      <c r="L62" s="117"/>
      <c r="M62" s="117">
        <v>1.4754966887417218</v>
      </c>
      <c r="N62" s="117">
        <v>1.4754966887417218</v>
      </c>
      <c r="O62" s="117"/>
      <c r="P62" s="117">
        <v>6488.607594936709</v>
      </c>
      <c r="Q62" s="117">
        <v>512600.0</v>
      </c>
      <c r="R62" s="117">
        <v>79.0</v>
      </c>
      <c r="S62" s="117">
        <v>80.0</v>
      </c>
      <c r="T62" s="117">
        <v>0.3694350370659377</v>
      </c>
      <c r="U62" s="117">
        <v>323227.6000000003</v>
      </c>
      <c r="V62" s="117">
        <v>512600.0</v>
      </c>
      <c r="W62" s="117"/>
      <c r="X62" s="117"/>
      <c r="Y62" s="117"/>
      <c r="Z62" s="117"/>
      <c r="AA62" s="117"/>
      <c r="AB62" s="117">
        <v>0.0</v>
      </c>
      <c r="AC62" s="117">
        <v>0.0</v>
      </c>
      <c r="AD62" s="117">
        <v>506.0</v>
      </c>
      <c r="AE62" s="117">
        <v>151.0</v>
      </c>
      <c r="AF62" s="117">
        <v>24.0</v>
      </c>
      <c r="AG62" s="117">
        <v>36.0</v>
      </c>
      <c r="AH62" s="117">
        <v>3.0</v>
      </c>
      <c r="AI62" s="117"/>
      <c r="AJ62" s="117">
        <v>9491.0</v>
      </c>
      <c r="AK62" s="117">
        <v>8032.0</v>
      </c>
      <c r="AL62" s="117">
        <v>731.0</v>
      </c>
      <c r="AM62" s="117">
        <v>615.0</v>
      </c>
      <c r="AN62" s="117">
        <v>76.0</v>
      </c>
    </row>
    <row r="63">
      <c r="A63" s="114">
        <v>46045.0</v>
      </c>
      <c r="B63" s="115">
        <v>0.43333333333333335</v>
      </c>
      <c r="C63" s="115">
        <v>26.0</v>
      </c>
      <c r="D63" s="115">
        <v>60.0</v>
      </c>
      <c r="E63" s="115">
        <v>0.11580381471389646</v>
      </c>
      <c r="F63" s="115">
        <v>85.0</v>
      </c>
      <c r="G63" s="115">
        <v>734.0</v>
      </c>
      <c r="H63" s="115">
        <v>734.0</v>
      </c>
      <c r="I63" s="115">
        <v>0.0</v>
      </c>
      <c r="J63" s="115">
        <v>1186.0</v>
      </c>
      <c r="K63" s="115">
        <v>1186.0</v>
      </c>
      <c r="L63" s="115"/>
      <c r="M63" s="115">
        <v>1.6158038147138964</v>
      </c>
      <c r="N63" s="115">
        <v>1.6158038147138964</v>
      </c>
      <c r="O63" s="115"/>
      <c r="P63" s="115">
        <v>6845.882352941177</v>
      </c>
      <c r="Q63" s="115">
        <v>581900.0</v>
      </c>
      <c r="R63" s="115">
        <v>85.0</v>
      </c>
      <c r="S63" s="115">
        <v>92.0</v>
      </c>
      <c r="T63" s="115">
        <v>0.3004634816978857</v>
      </c>
      <c r="U63" s="115">
        <v>407060.3000000003</v>
      </c>
      <c r="V63" s="115">
        <v>581900.0</v>
      </c>
      <c r="W63" s="115"/>
      <c r="X63" s="115"/>
      <c r="Y63" s="115"/>
      <c r="Z63" s="115"/>
      <c r="AA63" s="115"/>
      <c r="AB63" s="115">
        <v>0.0</v>
      </c>
      <c r="AC63" s="115">
        <v>0.0</v>
      </c>
      <c r="AD63" s="115">
        <v>449.0</v>
      </c>
      <c r="AE63" s="115">
        <v>132.0</v>
      </c>
      <c r="AF63" s="115">
        <v>21.0</v>
      </c>
      <c r="AG63" s="115">
        <v>35.0</v>
      </c>
      <c r="AH63" s="115">
        <v>7.0</v>
      </c>
      <c r="AI63" s="115"/>
      <c r="AJ63" s="115">
        <v>9615.0</v>
      </c>
      <c r="AK63" s="115">
        <v>8282.0</v>
      </c>
      <c r="AL63" s="115">
        <v>713.0</v>
      </c>
      <c r="AM63" s="115">
        <v>679.0</v>
      </c>
      <c r="AN63" s="115">
        <v>78.0</v>
      </c>
    </row>
    <row r="64">
      <c r="A64" s="116">
        <v>46046.0</v>
      </c>
      <c r="B64" s="117">
        <v>0.4406779661016949</v>
      </c>
      <c r="C64" s="117">
        <v>26.0</v>
      </c>
      <c r="D64" s="117">
        <v>59.0</v>
      </c>
      <c r="E64" s="117">
        <v>0.10678391959798995</v>
      </c>
      <c r="F64" s="117">
        <v>85.0</v>
      </c>
      <c r="G64" s="117">
        <v>796.0</v>
      </c>
      <c r="H64" s="117">
        <v>796.0</v>
      </c>
      <c r="I64" s="117">
        <v>0.0</v>
      </c>
      <c r="J64" s="117">
        <v>1262.0</v>
      </c>
      <c r="K64" s="117">
        <v>1262.0</v>
      </c>
      <c r="L64" s="117"/>
      <c r="M64" s="117">
        <v>1.585427135678392</v>
      </c>
      <c r="N64" s="117">
        <v>1.585427135678392</v>
      </c>
      <c r="O64" s="117"/>
      <c r="P64" s="117">
        <v>7531.764705882353</v>
      </c>
      <c r="Q64" s="117">
        <v>640200.0</v>
      </c>
      <c r="R64" s="117">
        <v>85.0</v>
      </c>
      <c r="S64" s="117">
        <v>89.0</v>
      </c>
      <c r="T64" s="117">
        <v>0.3591507341455784</v>
      </c>
      <c r="U64" s="117">
        <v>410271.7000000007</v>
      </c>
      <c r="V64" s="117">
        <v>640200.0</v>
      </c>
      <c r="W64" s="117"/>
      <c r="X64" s="117"/>
      <c r="Y64" s="117"/>
      <c r="Z64" s="117"/>
      <c r="AA64" s="117"/>
      <c r="AB64" s="117">
        <v>0.0</v>
      </c>
      <c r="AC64" s="117">
        <v>0.0</v>
      </c>
      <c r="AD64" s="117">
        <v>403.0</v>
      </c>
      <c r="AE64" s="117">
        <v>122.0</v>
      </c>
      <c r="AF64" s="117">
        <v>14.0</v>
      </c>
      <c r="AG64" s="117">
        <v>33.0</v>
      </c>
      <c r="AH64" s="117">
        <v>4.0</v>
      </c>
      <c r="AI64" s="117"/>
      <c r="AJ64" s="117">
        <v>9213.0</v>
      </c>
      <c r="AK64" s="117">
        <v>7855.0</v>
      </c>
      <c r="AL64" s="117">
        <v>782.0</v>
      </c>
      <c r="AM64" s="117">
        <v>664.0</v>
      </c>
      <c r="AN64" s="117">
        <v>81.0</v>
      </c>
    </row>
    <row r="65">
      <c r="A65" s="114">
        <v>46047.0</v>
      </c>
      <c r="B65" s="115">
        <v>0.2692307692307692</v>
      </c>
      <c r="C65" s="115">
        <v>14.0</v>
      </c>
      <c r="D65" s="115">
        <v>52.0</v>
      </c>
      <c r="E65" s="115">
        <v>0.11038107752956636</v>
      </c>
      <c r="F65" s="115">
        <v>84.0</v>
      </c>
      <c r="G65" s="115">
        <v>761.0</v>
      </c>
      <c r="H65" s="115">
        <v>761.0</v>
      </c>
      <c r="I65" s="115">
        <v>0.0</v>
      </c>
      <c r="J65" s="115">
        <v>1276.0</v>
      </c>
      <c r="K65" s="115">
        <v>1276.0</v>
      </c>
      <c r="L65" s="115"/>
      <c r="M65" s="115">
        <v>1.6767411300919843</v>
      </c>
      <c r="N65" s="115">
        <v>1.6767411300919843</v>
      </c>
      <c r="O65" s="115"/>
      <c r="P65" s="115">
        <v>6534.523809523809</v>
      </c>
      <c r="Q65" s="115">
        <v>548900.0</v>
      </c>
      <c r="R65" s="115">
        <v>84.0</v>
      </c>
      <c r="S65" s="115">
        <v>91.0</v>
      </c>
      <c r="T65" s="115">
        <v>0.3418152668974306</v>
      </c>
      <c r="U65" s="115">
        <v>361277.6000000003</v>
      </c>
      <c r="V65" s="115">
        <v>548900.0</v>
      </c>
      <c r="W65" s="115"/>
      <c r="X65" s="115"/>
      <c r="Y65" s="115"/>
      <c r="Z65" s="115"/>
      <c r="AA65" s="115"/>
      <c r="AB65" s="115">
        <v>0.0</v>
      </c>
      <c r="AC65" s="115">
        <v>0.0</v>
      </c>
      <c r="AD65" s="115">
        <v>458.0</v>
      </c>
      <c r="AE65" s="115">
        <v>166.0</v>
      </c>
      <c r="AF65" s="115">
        <v>18.0</v>
      </c>
      <c r="AG65" s="115">
        <v>54.0</v>
      </c>
      <c r="AH65" s="115">
        <v>3.0</v>
      </c>
      <c r="AI65" s="115"/>
      <c r="AJ65" s="115">
        <v>9653.0</v>
      </c>
      <c r="AK65" s="115">
        <v>8244.0</v>
      </c>
      <c r="AL65" s="115">
        <v>743.0</v>
      </c>
      <c r="AM65" s="115">
        <v>697.0</v>
      </c>
      <c r="AN65" s="115">
        <v>81.0</v>
      </c>
    </row>
    <row r="66">
      <c r="A66" s="116">
        <v>46048.0</v>
      </c>
      <c r="B66" s="117">
        <v>0.3793103448275862</v>
      </c>
      <c r="C66" s="117">
        <v>11.0</v>
      </c>
      <c r="D66" s="117">
        <v>29.0</v>
      </c>
      <c r="E66" s="117">
        <v>0.12387387387387387</v>
      </c>
      <c r="F66" s="117">
        <v>55.0</v>
      </c>
      <c r="G66" s="117">
        <v>444.0</v>
      </c>
      <c r="H66" s="117">
        <v>444.0</v>
      </c>
      <c r="I66" s="117">
        <v>0.0</v>
      </c>
      <c r="J66" s="117">
        <v>714.0</v>
      </c>
      <c r="K66" s="117">
        <v>714.0</v>
      </c>
      <c r="L66" s="117"/>
      <c r="M66" s="117">
        <v>1.6081081081081081</v>
      </c>
      <c r="N66" s="117">
        <v>1.6081081081081081</v>
      </c>
      <c r="O66" s="117"/>
      <c r="P66" s="117">
        <v>6680.0</v>
      </c>
      <c r="Q66" s="117">
        <v>367400.0</v>
      </c>
      <c r="R66" s="117">
        <v>55.0</v>
      </c>
      <c r="S66" s="117">
        <v>58.0</v>
      </c>
      <c r="T66" s="117">
        <v>0.3106426238432225</v>
      </c>
      <c r="U66" s="117">
        <v>253269.90000000005</v>
      </c>
      <c r="V66" s="117">
        <v>367400.0</v>
      </c>
      <c r="W66" s="117"/>
      <c r="X66" s="117"/>
      <c r="Y66" s="117"/>
      <c r="Z66" s="117"/>
      <c r="AA66" s="117"/>
      <c r="AB66" s="117">
        <v>0.0</v>
      </c>
      <c r="AC66" s="117">
        <v>0.0</v>
      </c>
      <c r="AD66" s="117">
        <v>601.0</v>
      </c>
      <c r="AE66" s="117">
        <v>96.0</v>
      </c>
      <c r="AF66" s="117">
        <v>12.0</v>
      </c>
      <c r="AG66" s="117">
        <v>29.0</v>
      </c>
      <c r="AH66" s="117">
        <v>2.0</v>
      </c>
      <c r="AI66" s="117"/>
      <c r="AJ66" s="117">
        <v>5284.0</v>
      </c>
      <c r="AK66" s="117">
        <v>3417.0</v>
      </c>
      <c r="AL66" s="117">
        <v>432.0</v>
      </c>
      <c r="AM66" s="117">
        <v>329.0</v>
      </c>
      <c r="AN66" s="117">
        <v>53.0</v>
      </c>
    </row>
    <row r="67">
      <c r="A67" s="114">
        <v>46049.0</v>
      </c>
      <c r="B67" s="115">
        <v>0.4444444444444444</v>
      </c>
      <c r="C67" s="115">
        <v>12.0</v>
      </c>
      <c r="D67" s="115">
        <v>27.0</v>
      </c>
      <c r="E67" s="115">
        <v>0.06582633053221289</v>
      </c>
      <c r="F67" s="115">
        <v>47.0</v>
      </c>
      <c r="G67" s="115">
        <v>714.0</v>
      </c>
      <c r="H67" s="115">
        <v>714.0</v>
      </c>
      <c r="I67" s="115">
        <v>0.0</v>
      </c>
      <c r="J67" s="115">
        <v>1354.0</v>
      </c>
      <c r="K67" s="115">
        <v>1354.0</v>
      </c>
      <c r="L67" s="115"/>
      <c r="M67" s="115">
        <v>1.8963585434173669</v>
      </c>
      <c r="N67" s="115">
        <v>1.8963585434173669</v>
      </c>
      <c r="O67" s="115"/>
      <c r="P67" s="115">
        <v>7185.106382978724</v>
      </c>
      <c r="Q67" s="115">
        <v>337700.0</v>
      </c>
      <c r="R67" s="115">
        <v>47.0</v>
      </c>
      <c r="S67" s="115">
        <v>50.0</v>
      </c>
      <c r="T67" s="115">
        <v>0.16629819366301357</v>
      </c>
      <c r="U67" s="115">
        <v>281541.1000000003</v>
      </c>
      <c r="V67" s="115">
        <v>337700.0</v>
      </c>
      <c r="W67" s="115"/>
      <c r="X67" s="115"/>
      <c r="Y67" s="115"/>
      <c r="Z67" s="115"/>
      <c r="AA67" s="115"/>
      <c r="AB67" s="115">
        <v>0.0</v>
      </c>
      <c r="AC67" s="115">
        <v>0.0</v>
      </c>
      <c r="AD67" s="115">
        <v>498.0</v>
      </c>
      <c r="AE67" s="115">
        <v>110.0</v>
      </c>
      <c r="AF67" s="115">
        <v>28.0</v>
      </c>
      <c r="AG67" s="115">
        <v>23.0</v>
      </c>
      <c r="AH67" s="115">
        <v>3.0</v>
      </c>
      <c r="AI67" s="115"/>
      <c r="AJ67" s="115">
        <v>5606.0</v>
      </c>
      <c r="AK67" s="115">
        <v>3552.0</v>
      </c>
      <c r="AL67" s="115">
        <v>686.0</v>
      </c>
      <c r="AM67" s="115">
        <v>330.0</v>
      </c>
      <c r="AN67" s="115">
        <v>44.0</v>
      </c>
    </row>
    <row r="68">
      <c r="A68" s="116">
        <v>46050.0</v>
      </c>
      <c r="B68" s="117">
        <v>0.4074074074074074</v>
      </c>
      <c r="C68" s="117">
        <v>11.0</v>
      </c>
      <c r="D68" s="117">
        <v>27.0</v>
      </c>
      <c r="E68" s="117">
        <v>0.06472919418758256</v>
      </c>
      <c r="F68" s="117">
        <v>49.0</v>
      </c>
      <c r="G68" s="117">
        <v>757.0</v>
      </c>
      <c r="H68" s="117">
        <v>757.0</v>
      </c>
      <c r="I68" s="117">
        <v>0.0</v>
      </c>
      <c r="J68" s="117">
        <v>1457.0</v>
      </c>
      <c r="K68" s="117">
        <v>1457.0</v>
      </c>
      <c r="L68" s="117"/>
      <c r="M68" s="117">
        <v>1.9247027741083222</v>
      </c>
      <c r="N68" s="117">
        <v>1.9247027741083222</v>
      </c>
      <c r="O68" s="117"/>
      <c r="P68" s="117">
        <v>7542.857142857143</v>
      </c>
      <c r="Q68" s="117">
        <v>369600.0</v>
      </c>
      <c r="R68" s="117">
        <v>49.0</v>
      </c>
      <c r="S68" s="117">
        <v>54.0</v>
      </c>
      <c r="T68" s="117">
        <v>0.1959488636363632</v>
      </c>
      <c r="U68" s="117">
        <v>297177.30000000016</v>
      </c>
      <c r="V68" s="117">
        <v>369600.0</v>
      </c>
      <c r="W68" s="117"/>
      <c r="X68" s="117"/>
      <c r="Y68" s="117"/>
      <c r="Z68" s="117"/>
      <c r="AA68" s="117"/>
      <c r="AB68" s="117">
        <v>0.0</v>
      </c>
      <c r="AC68" s="117">
        <v>0.0</v>
      </c>
      <c r="AD68" s="117">
        <v>689.0</v>
      </c>
      <c r="AE68" s="117">
        <v>140.0</v>
      </c>
      <c r="AF68" s="117">
        <v>43.0</v>
      </c>
      <c r="AG68" s="117">
        <v>35.0</v>
      </c>
      <c r="AH68" s="117">
        <v>7.0</v>
      </c>
      <c r="AI68" s="117"/>
      <c r="AJ68" s="117">
        <v>5321.0</v>
      </c>
      <c r="AK68" s="117">
        <v>3381.0</v>
      </c>
      <c r="AL68" s="117">
        <v>714.0</v>
      </c>
      <c r="AM68" s="117">
        <v>331.0</v>
      </c>
      <c r="AN68" s="117">
        <v>42.0</v>
      </c>
    </row>
    <row r="69">
      <c r="A69" s="114">
        <v>46051.0</v>
      </c>
      <c r="B69" s="115">
        <v>0.2727272727272727</v>
      </c>
      <c r="C69" s="115">
        <v>6.0</v>
      </c>
      <c r="D69" s="115">
        <v>22.0</v>
      </c>
      <c r="E69" s="115">
        <v>0.09197324414715718</v>
      </c>
      <c r="F69" s="115">
        <v>55.0</v>
      </c>
      <c r="G69" s="115">
        <v>598.0</v>
      </c>
      <c r="H69" s="115">
        <v>598.0</v>
      </c>
      <c r="I69" s="115">
        <v>0.0</v>
      </c>
      <c r="J69" s="115">
        <v>1077.0</v>
      </c>
      <c r="K69" s="115">
        <v>1077.0</v>
      </c>
      <c r="L69" s="115"/>
      <c r="M69" s="115">
        <v>1.8010033444816054</v>
      </c>
      <c r="N69" s="115">
        <v>1.8010033444816054</v>
      </c>
      <c r="O69" s="115"/>
      <c r="P69" s="115">
        <v>8140.0</v>
      </c>
      <c r="Q69" s="115">
        <v>447700.0</v>
      </c>
      <c r="R69" s="115">
        <v>55.0</v>
      </c>
      <c r="S69" s="115">
        <v>61.0</v>
      </c>
      <c r="T69" s="115">
        <v>0.23325307125307126</v>
      </c>
      <c r="U69" s="115">
        <v>343272.6</v>
      </c>
      <c r="V69" s="115">
        <v>447700.0</v>
      </c>
      <c r="W69" s="115"/>
      <c r="X69" s="115"/>
      <c r="Y69" s="115"/>
      <c r="Z69" s="115"/>
      <c r="AA69" s="115"/>
      <c r="AB69" s="115">
        <v>0.0</v>
      </c>
      <c r="AC69" s="115">
        <v>0.0</v>
      </c>
      <c r="AD69" s="115">
        <v>683.0</v>
      </c>
      <c r="AE69" s="115">
        <v>154.0</v>
      </c>
      <c r="AF69" s="115">
        <v>29.0</v>
      </c>
      <c r="AG69" s="115">
        <v>37.0</v>
      </c>
      <c r="AH69" s="115">
        <v>1.0</v>
      </c>
      <c r="AI69" s="115"/>
      <c r="AJ69" s="115">
        <v>5080.0</v>
      </c>
      <c r="AK69" s="115">
        <v>3284.0</v>
      </c>
      <c r="AL69" s="115">
        <v>569.0</v>
      </c>
      <c r="AM69" s="115">
        <v>342.0</v>
      </c>
      <c r="AN69" s="115">
        <v>54.0</v>
      </c>
    </row>
    <row r="70">
      <c r="A70" s="116">
        <v>46052.0</v>
      </c>
      <c r="B70" s="117">
        <v>0.45</v>
      </c>
      <c r="C70" s="117">
        <v>9.0</v>
      </c>
      <c r="D70" s="117">
        <v>20.0</v>
      </c>
      <c r="E70" s="117">
        <v>0.10962566844919786</v>
      </c>
      <c r="F70" s="117">
        <v>41.0</v>
      </c>
      <c r="G70" s="117">
        <v>374.0</v>
      </c>
      <c r="H70" s="117">
        <v>374.0</v>
      </c>
      <c r="I70" s="117">
        <v>0.0</v>
      </c>
      <c r="J70" s="117">
        <v>729.0</v>
      </c>
      <c r="K70" s="117">
        <v>729.0</v>
      </c>
      <c r="L70" s="117"/>
      <c r="M70" s="117">
        <v>1.9491978609625669</v>
      </c>
      <c r="N70" s="117">
        <v>1.9491978609625669</v>
      </c>
      <c r="O70" s="117"/>
      <c r="P70" s="117">
        <v>9339.024390243903</v>
      </c>
      <c r="Q70" s="117">
        <v>382900.0</v>
      </c>
      <c r="R70" s="117">
        <v>41.0</v>
      </c>
      <c r="S70" s="117">
        <v>42.0</v>
      </c>
      <c r="T70" s="117">
        <v>0.29783912248628874</v>
      </c>
      <c r="U70" s="117">
        <v>268857.4</v>
      </c>
      <c r="V70" s="117">
        <v>382900.0</v>
      </c>
      <c r="W70" s="117"/>
      <c r="X70" s="117"/>
      <c r="Y70" s="117"/>
      <c r="Z70" s="117"/>
      <c r="AA70" s="117"/>
      <c r="AB70" s="117">
        <v>0.0</v>
      </c>
      <c r="AC70" s="117">
        <v>0.0</v>
      </c>
      <c r="AD70" s="117">
        <v>613.0</v>
      </c>
      <c r="AE70" s="117">
        <v>131.0</v>
      </c>
      <c r="AF70" s="117">
        <v>18.0</v>
      </c>
      <c r="AG70" s="117">
        <v>31.0</v>
      </c>
      <c r="AH70" s="117">
        <v>1.0</v>
      </c>
      <c r="AI70" s="117"/>
      <c r="AJ70" s="117">
        <v>4982.0</v>
      </c>
      <c r="AK70" s="117">
        <v>3075.0</v>
      </c>
      <c r="AL70" s="117">
        <v>356.0</v>
      </c>
      <c r="AM70" s="117">
        <v>294.0</v>
      </c>
      <c r="AN70" s="117">
        <v>40.0</v>
      </c>
    </row>
    <row r="71">
      <c r="A71" s="114">
        <v>46053.0</v>
      </c>
      <c r="B71" s="115">
        <v>0.40476190476190477</v>
      </c>
      <c r="C71" s="115">
        <v>17.0</v>
      </c>
      <c r="D71" s="115">
        <v>42.0</v>
      </c>
      <c r="E71" s="115">
        <v>0.09302325581395349</v>
      </c>
      <c r="F71" s="115">
        <v>64.0</v>
      </c>
      <c r="G71" s="115">
        <v>688.0</v>
      </c>
      <c r="H71" s="115">
        <v>688.0</v>
      </c>
      <c r="I71" s="115">
        <v>0.0</v>
      </c>
      <c r="J71" s="115">
        <v>1225.0</v>
      </c>
      <c r="K71" s="115">
        <v>1225.0</v>
      </c>
      <c r="L71" s="115"/>
      <c r="M71" s="115">
        <v>1.7805232558139534</v>
      </c>
      <c r="N71" s="115">
        <v>1.7805232558139534</v>
      </c>
      <c r="O71" s="115"/>
      <c r="P71" s="115">
        <v>9720.3125</v>
      </c>
      <c r="Q71" s="115">
        <v>622100.0</v>
      </c>
      <c r="R71" s="115">
        <v>64.0</v>
      </c>
      <c r="S71" s="115">
        <v>75.0</v>
      </c>
      <c r="T71" s="115">
        <v>0.33451808390933924</v>
      </c>
      <c r="U71" s="115">
        <v>413996.30000000005</v>
      </c>
      <c r="V71" s="115">
        <v>622100.0</v>
      </c>
      <c r="W71" s="115"/>
      <c r="X71" s="115"/>
      <c r="Y71" s="115"/>
      <c r="Z71" s="115"/>
      <c r="AA71" s="115"/>
      <c r="AB71" s="115">
        <v>0.0</v>
      </c>
      <c r="AC71" s="115">
        <v>0.0</v>
      </c>
      <c r="AD71" s="115">
        <v>502.0</v>
      </c>
      <c r="AE71" s="115">
        <v>113.0</v>
      </c>
      <c r="AF71" s="115">
        <v>25.0</v>
      </c>
      <c r="AG71" s="115">
        <v>34.0</v>
      </c>
      <c r="AH71" s="115">
        <v>4.0</v>
      </c>
      <c r="AI71" s="115"/>
      <c r="AJ71" s="115">
        <v>5081.0</v>
      </c>
      <c r="AK71" s="115">
        <v>3472.0</v>
      </c>
      <c r="AL71" s="115">
        <v>663.0</v>
      </c>
      <c r="AM71" s="115">
        <v>343.0</v>
      </c>
      <c r="AN71" s="115">
        <v>60.0</v>
      </c>
    </row>
    <row r="72">
      <c r="A72" s="116">
        <v>46054.0</v>
      </c>
      <c r="B72" s="117">
        <v>0.3181818181818182</v>
      </c>
      <c r="C72" s="117">
        <v>7.0</v>
      </c>
      <c r="D72" s="117">
        <v>22.0</v>
      </c>
      <c r="E72" s="117">
        <v>0.06017925736235595</v>
      </c>
      <c r="F72" s="117">
        <v>47.0</v>
      </c>
      <c r="G72" s="117">
        <v>781.0</v>
      </c>
      <c r="H72" s="117">
        <v>781.0</v>
      </c>
      <c r="I72" s="117">
        <v>0.0</v>
      </c>
      <c r="J72" s="117">
        <v>1284.0</v>
      </c>
      <c r="K72" s="117">
        <v>1284.0</v>
      </c>
      <c r="L72" s="117"/>
      <c r="M72" s="117">
        <v>1.6440460947503202</v>
      </c>
      <c r="N72" s="117">
        <v>1.6440460947503202</v>
      </c>
      <c r="O72" s="117"/>
      <c r="P72" s="117">
        <v>10106.382978723404</v>
      </c>
      <c r="Q72" s="117">
        <v>475000.0</v>
      </c>
      <c r="R72" s="117">
        <v>47.0</v>
      </c>
      <c r="S72" s="117">
        <v>52.0</v>
      </c>
      <c r="T72" s="117">
        <v>0.23424063157894726</v>
      </c>
      <c r="U72" s="117">
        <v>363735.70000000007</v>
      </c>
      <c r="V72" s="117">
        <v>475000.0</v>
      </c>
      <c r="W72" s="117"/>
      <c r="X72" s="117"/>
      <c r="Y72" s="117"/>
      <c r="Z72" s="117"/>
      <c r="AA72" s="117"/>
      <c r="AB72" s="117">
        <v>0.0</v>
      </c>
      <c r="AC72" s="117">
        <v>0.0</v>
      </c>
      <c r="AD72" s="117">
        <v>726.0</v>
      </c>
      <c r="AE72" s="117">
        <v>121.0</v>
      </c>
      <c r="AF72" s="117">
        <v>16.0</v>
      </c>
      <c r="AG72" s="117">
        <v>33.0</v>
      </c>
      <c r="AH72" s="117">
        <v>0.0</v>
      </c>
      <c r="AI72" s="117"/>
      <c r="AJ72" s="117">
        <v>5198.0</v>
      </c>
      <c r="AK72" s="117">
        <v>3504.0</v>
      </c>
      <c r="AL72" s="117">
        <v>765.0</v>
      </c>
      <c r="AM72" s="117">
        <v>339.0</v>
      </c>
      <c r="AN72" s="117">
        <v>47.0</v>
      </c>
    </row>
    <row r="73">
      <c r="A73" s="114">
        <v>46055.0</v>
      </c>
      <c r="B73" s="115">
        <v>0.5454545454545454</v>
      </c>
      <c r="C73" s="115">
        <v>18.0</v>
      </c>
      <c r="D73" s="115">
        <v>33.0</v>
      </c>
      <c r="E73" s="115">
        <v>0.08368794326241134</v>
      </c>
      <c r="F73" s="115">
        <v>59.0</v>
      </c>
      <c r="G73" s="115">
        <v>705.0</v>
      </c>
      <c r="H73" s="115">
        <v>705.0</v>
      </c>
      <c r="I73" s="115">
        <v>0.0</v>
      </c>
      <c r="J73" s="115">
        <v>1169.0</v>
      </c>
      <c r="K73" s="115">
        <v>1169.0</v>
      </c>
      <c r="L73" s="115"/>
      <c r="M73" s="115">
        <v>1.6581560283687944</v>
      </c>
      <c r="N73" s="115">
        <v>1.6581560283687944</v>
      </c>
      <c r="O73" s="115"/>
      <c r="P73" s="115">
        <v>8427.118644067798</v>
      </c>
      <c r="Q73" s="115">
        <v>497200.0</v>
      </c>
      <c r="R73" s="115">
        <v>59.0</v>
      </c>
      <c r="S73" s="115">
        <v>62.0</v>
      </c>
      <c r="T73" s="115">
        <v>0.2591421962992768</v>
      </c>
      <c r="U73" s="115">
        <v>368354.4999999996</v>
      </c>
      <c r="V73" s="115">
        <v>497200.0</v>
      </c>
      <c r="W73" s="115"/>
      <c r="X73" s="115"/>
      <c r="Y73" s="115"/>
      <c r="Z73" s="115"/>
      <c r="AA73" s="115"/>
      <c r="AB73" s="115">
        <v>0.0</v>
      </c>
      <c r="AC73" s="115">
        <v>0.0</v>
      </c>
      <c r="AD73" s="115">
        <v>554.0</v>
      </c>
      <c r="AE73" s="115">
        <v>89.0</v>
      </c>
      <c r="AF73" s="115">
        <v>15.0</v>
      </c>
      <c r="AG73" s="115">
        <v>21.0</v>
      </c>
      <c r="AH73" s="115">
        <v>2.0</v>
      </c>
      <c r="AI73" s="115"/>
      <c r="AJ73" s="115">
        <v>4426.0</v>
      </c>
      <c r="AK73" s="115">
        <v>2827.0</v>
      </c>
      <c r="AL73" s="115">
        <v>690.0</v>
      </c>
      <c r="AM73" s="115">
        <v>279.0</v>
      </c>
      <c r="AN73" s="115">
        <v>57.0</v>
      </c>
    </row>
    <row r="74">
      <c r="A74" s="116">
        <v>46056.0</v>
      </c>
      <c r="B74" s="117">
        <v>0.2727272727272727</v>
      </c>
      <c r="C74" s="117">
        <v>6.0</v>
      </c>
      <c r="D74" s="117">
        <v>22.0</v>
      </c>
      <c r="E74" s="117">
        <v>0.057926829268292686</v>
      </c>
      <c r="F74" s="117">
        <v>38.0</v>
      </c>
      <c r="G74" s="117">
        <v>656.0</v>
      </c>
      <c r="H74" s="117">
        <v>656.0</v>
      </c>
      <c r="I74" s="117">
        <v>0.0</v>
      </c>
      <c r="J74" s="117">
        <v>1114.0</v>
      </c>
      <c r="K74" s="117">
        <v>1114.0</v>
      </c>
      <c r="L74" s="117"/>
      <c r="M74" s="117">
        <v>1.6981707317073171</v>
      </c>
      <c r="N74" s="117">
        <v>1.6981707317073171</v>
      </c>
      <c r="O74" s="117"/>
      <c r="P74" s="117">
        <v>11868.421052631578</v>
      </c>
      <c r="Q74" s="117">
        <v>451000.0</v>
      </c>
      <c r="R74" s="117">
        <v>38.0</v>
      </c>
      <c r="S74" s="117">
        <v>46.0</v>
      </c>
      <c r="T74" s="117">
        <v>0.2647117516629717</v>
      </c>
      <c r="U74" s="117">
        <v>331614.99999999977</v>
      </c>
      <c r="V74" s="117">
        <v>451000.0</v>
      </c>
      <c r="W74" s="117"/>
      <c r="X74" s="117"/>
      <c r="Y74" s="117"/>
      <c r="Z74" s="117"/>
      <c r="AA74" s="117"/>
      <c r="AB74" s="117">
        <v>0.0</v>
      </c>
      <c r="AC74" s="117">
        <v>0.0</v>
      </c>
      <c r="AD74" s="117">
        <v>662.0</v>
      </c>
      <c r="AE74" s="117">
        <v>123.0</v>
      </c>
      <c r="AF74" s="117">
        <v>29.0</v>
      </c>
      <c r="AG74" s="117">
        <v>26.0</v>
      </c>
      <c r="AH74" s="117">
        <v>2.0</v>
      </c>
      <c r="AI74" s="117"/>
      <c r="AJ74" s="117">
        <v>5174.0</v>
      </c>
      <c r="AK74" s="117">
        <v>3564.0</v>
      </c>
      <c r="AL74" s="117">
        <v>627.0</v>
      </c>
      <c r="AM74" s="117">
        <v>246.0</v>
      </c>
      <c r="AN74" s="117">
        <v>36.0</v>
      </c>
    </row>
    <row r="75">
      <c r="A75" s="114">
        <v>46057.0</v>
      </c>
      <c r="B75" s="115">
        <v>0.5</v>
      </c>
      <c r="C75" s="115">
        <v>13.0</v>
      </c>
      <c r="D75" s="115">
        <v>26.0</v>
      </c>
      <c r="E75" s="115">
        <v>0.07255520504731862</v>
      </c>
      <c r="F75" s="115">
        <v>46.0</v>
      </c>
      <c r="G75" s="115">
        <v>634.0</v>
      </c>
      <c r="H75" s="115">
        <v>623.0</v>
      </c>
      <c r="I75" s="115">
        <v>20.0</v>
      </c>
      <c r="J75" s="115">
        <v>1043.0</v>
      </c>
      <c r="K75" s="115">
        <v>971.0</v>
      </c>
      <c r="L75" s="115">
        <v>72.0</v>
      </c>
      <c r="M75" s="115">
        <v>1.6451104100946372</v>
      </c>
      <c r="N75" s="115">
        <v>1.5315457413249212</v>
      </c>
      <c r="O75" s="115">
        <v>0.11356466876971609</v>
      </c>
      <c r="P75" s="115">
        <v>10802.173913043478</v>
      </c>
      <c r="Q75" s="115">
        <v>496900.0</v>
      </c>
      <c r="R75" s="115">
        <v>46.0</v>
      </c>
      <c r="S75" s="115">
        <v>48.0</v>
      </c>
      <c r="T75" s="115">
        <v>0.2896794123566113</v>
      </c>
      <c r="U75" s="115">
        <v>352958.2999999998</v>
      </c>
      <c r="V75" s="115">
        <v>496900.0</v>
      </c>
      <c r="W75" s="115"/>
      <c r="X75" s="115"/>
      <c r="Y75" s="115"/>
      <c r="Z75" s="115"/>
      <c r="AA75" s="115"/>
      <c r="AB75" s="115">
        <v>0.0</v>
      </c>
      <c r="AC75" s="115">
        <v>0.0</v>
      </c>
      <c r="AD75" s="115">
        <v>247.0</v>
      </c>
      <c r="AE75" s="115">
        <v>135.0</v>
      </c>
      <c r="AF75" s="115">
        <v>95.0</v>
      </c>
      <c r="AG75" s="115">
        <v>62.0</v>
      </c>
      <c r="AH75" s="115">
        <v>8.0</v>
      </c>
      <c r="AI75" s="115"/>
      <c r="AJ75" s="115">
        <v>257.0</v>
      </c>
      <c r="AK75" s="115">
        <v>194.0</v>
      </c>
      <c r="AL75" s="115">
        <v>539.0</v>
      </c>
      <c r="AM75" s="115">
        <v>31.0</v>
      </c>
      <c r="AN75" s="115">
        <v>38.0</v>
      </c>
    </row>
    <row r="76">
      <c r="A76" s="116">
        <v>46058.0</v>
      </c>
      <c r="B76" s="117">
        <v>0.4074074074074074</v>
      </c>
      <c r="C76" s="117">
        <v>11.0</v>
      </c>
      <c r="D76" s="117">
        <v>27.0</v>
      </c>
      <c r="E76" s="117">
        <v>0.08488964346349745</v>
      </c>
      <c r="F76" s="117">
        <v>50.0</v>
      </c>
      <c r="G76" s="117">
        <v>589.0</v>
      </c>
      <c r="H76" s="117">
        <v>571.0</v>
      </c>
      <c r="I76" s="117">
        <v>28.0</v>
      </c>
      <c r="J76" s="117">
        <v>996.0</v>
      </c>
      <c r="K76" s="117">
        <v>931.0</v>
      </c>
      <c r="L76" s="117">
        <v>65.0</v>
      </c>
      <c r="M76" s="117">
        <v>1.6910016977928692</v>
      </c>
      <c r="N76" s="117">
        <v>1.5806451612903225</v>
      </c>
      <c r="O76" s="117">
        <v>0.11035653650254669</v>
      </c>
      <c r="P76" s="117">
        <v>14016.0</v>
      </c>
      <c r="Q76" s="117">
        <v>700800.0</v>
      </c>
      <c r="R76" s="117">
        <v>50.0</v>
      </c>
      <c r="S76" s="117">
        <v>57.0</v>
      </c>
      <c r="T76" s="117">
        <v>0.3132400114155254</v>
      </c>
      <c r="U76" s="117">
        <v>481281.3999999998</v>
      </c>
      <c r="V76" s="117">
        <v>700800.0</v>
      </c>
      <c r="W76" s="117"/>
      <c r="X76" s="117"/>
      <c r="Y76" s="117"/>
      <c r="Z76" s="117"/>
      <c r="AA76" s="117"/>
      <c r="AB76" s="117">
        <v>0.0</v>
      </c>
      <c r="AC76" s="117">
        <v>0.0</v>
      </c>
      <c r="AD76" s="117">
        <v>316.0</v>
      </c>
      <c r="AE76" s="117">
        <v>199.0</v>
      </c>
      <c r="AF76" s="117">
        <v>94.0</v>
      </c>
      <c r="AG76" s="117">
        <v>129.0</v>
      </c>
      <c r="AH76" s="117">
        <v>15.0</v>
      </c>
      <c r="AI76" s="117"/>
      <c r="AJ76" s="117">
        <v>216.0</v>
      </c>
      <c r="AK76" s="117">
        <v>165.0</v>
      </c>
      <c r="AL76" s="117">
        <v>495.0</v>
      </c>
      <c r="AM76" s="117">
        <v>19.0</v>
      </c>
      <c r="AN76" s="117">
        <v>35.0</v>
      </c>
    </row>
    <row r="77">
      <c r="A77" s="114">
        <v>46059.0</v>
      </c>
      <c r="B77" s="115">
        <v>0.5757575757575758</v>
      </c>
      <c r="C77" s="115">
        <v>19.0</v>
      </c>
      <c r="D77" s="115">
        <v>33.0</v>
      </c>
      <c r="E77" s="115">
        <v>0.08647798742138364</v>
      </c>
      <c r="F77" s="115">
        <v>55.0</v>
      </c>
      <c r="G77" s="115">
        <v>636.0</v>
      </c>
      <c r="H77" s="115">
        <v>626.0</v>
      </c>
      <c r="I77" s="115">
        <v>17.0</v>
      </c>
      <c r="J77" s="115">
        <v>1162.0</v>
      </c>
      <c r="K77" s="115">
        <v>1130.0</v>
      </c>
      <c r="L77" s="115">
        <v>32.0</v>
      </c>
      <c r="M77" s="115">
        <v>1.8270440251572326</v>
      </c>
      <c r="N77" s="115">
        <v>1.7767295597484276</v>
      </c>
      <c r="O77" s="115">
        <v>0.050314465408805034</v>
      </c>
      <c r="P77" s="115">
        <v>11876.363636363636</v>
      </c>
      <c r="Q77" s="115">
        <v>653200.0</v>
      </c>
      <c r="R77" s="115">
        <v>55.0</v>
      </c>
      <c r="S77" s="115">
        <v>60.0</v>
      </c>
      <c r="T77" s="115">
        <v>0.30104715248009817</v>
      </c>
      <c r="U77" s="115">
        <v>456555.9999999999</v>
      </c>
      <c r="V77" s="115">
        <v>653200.0</v>
      </c>
      <c r="W77" s="115"/>
      <c r="X77" s="115"/>
      <c r="Y77" s="115"/>
      <c r="Z77" s="115"/>
      <c r="AA77" s="115"/>
      <c r="AB77" s="115">
        <v>0.0</v>
      </c>
      <c r="AC77" s="115">
        <v>0.0</v>
      </c>
      <c r="AD77" s="115">
        <v>311.0</v>
      </c>
      <c r="AE77" s="115">
        <v>176.0</v>
      </c>
      <c r="AF77" s="115">
        <v>112.0</v>
      </c>
      <c r="AG77" s="115">
        <v>107.0</v>
      </c>
      <c r="AH77" s="115">
        <v>23.0</v>
      </c>
      <c r="AI77" s="115"/>
      <c r="AJ77" s="115">
        <v>267.0</v>
      </c>
      <c r="AK77" s="115">
        <v>199.0</v>
      </c>
      <c r="AL77" s="115">
        <v>524.0</v>
      </c>
      <c r="AM77" s="115">
        <v>29.0</v>
      </c>
      <c r="AN77" s="115">
        <v>32.0</v>
      </c>
    </row>
    <row r="78">
      <c r="A78" s="116">
        <v>46060.0</v>
      </c>
      <c r="B78" s="117">
        <v>0.45</v>
      </c>
      <c r="C78" s="117">
        <v>9.0</v>
      </c>
      <c r="D78" s="117">
        <v>20.0</v>
      </c>
      <c r="E78" s="117">
        <v>0.04755244755244755</v>
      </c>
      <c r="F78" s="117">
        <v>34.0</v>
      </c>
      <c r="G78" s="117">
        <v>715.0</v>
      </c>
      <c r="H78" s="117">
        <v>704.0</v>
      </c>
      <c r="I78" s="117">
        <v>24.0</v>
      </c>
      <c r="J78" s="117">
        <v>1153.0</v>
      </c>
      <c r="K78" s="117">
        <v>1105.0</v>
      </c>
      <c r="L78" s="117">
        <v>48.0</v>
      </c>
      <c r="M78" s="117">
        <v>1.6125874125874127</v>
      </c>
      <c r="N78" s="117">
        <v>1.5454545454545454</v>
      </c>
      <c r="O78" s="117">
        <v>0.06713286713286713</v>
      </c>
      <c r="P78" s="117">
        <v>11052.941176470587</v>
      </c>
      <c r="Q78" s="117">
        <v>375800.0</v>
      </c>
      <c r="R78" s="117">
        <v>34.0</v>
      </c>
      <c r="S78" s="117">
        <v>35.0</v>
      </c>
      <c r="T78" s="117">
        <v>-0.03104364023416628</v>
      </c>
      <c r="U78" s="117">
        <v>387466.1999999997</v>
      </c>
      <c r="V78" s="117">
        <v>375800.0</v>
      </c>
      <c r="W78" s="117"/>
      <c r="X78" s="117"/>
      <c r="Y78" s="117"/>
      <c r="Z78" s="117"/>
      <c r="AA78" s="117"/>
      <c r="AB78" s="117">
        <v>0.0</v>
      </c>
      <c r="AC78" s="117">
        <v>0.0</v>
      </c>
      <c r="AD78" s="117">
        <v>314.0</v>
      </c>
      <c r="AE78" s="117">
        <v>208.0</v>
      </c>
      <c r="AF78" s="117">
        <v>134.0</v>
      </c>
      <c r="AG78" s="117">
        <v>122.0</v>
      </c>
      <c r="AH78" s="117">
        <v>11.0</v>
      </c>
      <c r="AI78" s="117"/>
      <c r="AJ78" s="117">
        <v>252.0</v>
      </c>
      <c r="AK78" s="117">
        <v>200.0</v>
      </c>
      <c r="AL78" s="117">
        <v>581.0</v>
      </c>
      <c r="AM78" s="117">
        <v>33.0</v>
      </c>
      <c r="AN78" s="117">
        <v>23.0</v>
      </c>
    </row>
    <row r="79">
      <c r="A79" s="114">
        <v>46061.0</v>
      </c>
      <c r="B79" s="115">
        <v>0.25925925925925924</v>
      </c>
      <c r="C79" s="115">
        <v>7.0</v>
      </c>
      <c r="D79" s="115">
        <v>27.0</v>
      </c>
      <c r="E79" s="115">
        <v>0.0620782726045884</v>
      </c>
      <c r="F79" s="115">
        <v>46.0</v>
      </c>
      <c r="G79" s="115">
        <v>741.0</v>
      </c>
      <c r="H79" s="115">
        <v>718.0</v>
      </c>
      <c r="I79" s="115">
        <v>31.0</v>
      </c>
      <c r="J79" s="115">
        <v>1205.0</v>
      </c>
      <c r="K79" s="115">
        <v>1142.0</v>
      </c>
      <c r="L79" s="115">
        <v>63.0</v>
      </c>
      <c r="M79" s="115">
        <v>1.6261808367071524</v>
      </c>
      <c r="N79" s="115">
        <v>1.5411605937921729</v>
      </c>
      <c r="O79" s="115">
        <v>0.08502024291497975</v>
      </c>
      <c r="P79" s="115">
        <v>12600.0</v>
      </c>
      <c r="Q79" s="115">
        <v>579600.0</v>
      </c>
      <c r="R79" s="115">
        <v>46.0</v>
      </c>
      <c r="S79" s="115">
        <v>52.0</v>
      </c>
      <c r="T79" s="115">
        <v>0.3159335748792276</v>
      </c>
      <c r="U79" s="115">
        <v>396484.8999999997</v>
      </c>
      <c r="V79" s="115">
        <v>579600.0</v>
      </c>
      <c r="W79" s="115"/>
      <c r="X79" s="115"/>
      <c r="Y79" s="115"/>
      <c r="Z79" s="115"/>
      <c r="AA79" s="115"/>
      <c r="AB79" s="115">
        <v>0.0</v>
      </c>
      <c r="AC79" s="115">
        <v>0.0</v>
      </c>
      <c r="AD79" s="115">
        <v>588.0</v>
      </c>
      <c r="AE79" s="115">
        <v>253.0</v>
      </c>
      <c r="AF79" s="115">
        <v>137.0</v>
      </c>
      <c r="AG79" s="115">
        <v>155.0</v>
      </c>
      <c r="AH79" s="115">
        <v>12.0</v>
      </c>
      <c r="AI79" s="115"/>
      <c r="AJ79" s="115">
        <v>275.0</v>
      </c>
      <c r="AK79" s="115">
        <v>215.0</v>
      </c>
      <c r="AL79" s="115">
        <v>604.0</v>
      </c>
      <c r="AM79" s="115">
        <v>30.0</v>
      </c>
      <c r="AN79" s="115">
        <v>34.0</v>
      </c>
    </row>
    <row r="80">
      <c r="A80" s="116">
        <v>46062.0</v>
      </c>
      <c r="B80" s="117">
        <v>0.4444444444444444</v>
      </c>
      <c r="C80" s="117">
        <v>8.0</v>
      </c>
      <c r="D80" s="117">
        <v>18.0</v>
      </c>
      <c r="E80" s="117">
        <v>0.059496567505720827</v>
      </c>
      <c r="F80" s="117">
        <v>26.0</v>
      </c>
      <c r="G80" s="117">
        <v>437.0</v>
      </c>
      <c r="H80" s="117">
        <v>407.0</v>
      </c>
      <c r="I80" s="117">
        <v>42.0</v>
      </c>
      <c r="J80" s="117">
        <v>838.0</v>
      </c>
      <c r="K80" s="117">
        <v>763.0</v>
      </c>
      <c r="L80" s="117">
        <v>75.0</v>
      </c>
      <c r="M80" s="117">
        <v>1.9176201372997712</v>
      </c>
      <c r="N80" s="117">
        <v>1.7459954233409611</v>
      </c>
      <c r="O80" s="117">
        <v>0.17162471395881007</v>
      </c>
      <c r="P80" s="117">
        <v>18115.384615384617</v>
      </c>
      <c r="Q80" s="117">
        <v>471000.0</v>
      </c>
      <c r="R80" s="117">
        <v>26.0</v>
      </c>
      <c r="S80" s="117">
        <v>31.0</v>
      </c>
      <c r="T80" s="117">
        <v>0.29305180467091685</v>
      </c>
      <c r="U80" s="117">
        <v>332972.5999999982</v>
      </c>
      <c r="V80" s="117">
        <v>471000.0</v>
      </c>
      <c r="W80" s="117"/>
      <c r="X80" s="117"/>
      <c r="Y80" s="117"/>
      <c r="Z80" s="117"/>
      <c r="AA80" s="117"/>
      <c r="AB80" s="117">
        <v>0.0</v>
      </c>
      <c r="AC80" s="117">
        <v>0.0</v>
      </c>
      <c r="AD80" s="117">
        <v>610.0</v>
      </c>
      <c r="AE80" s="117">
        <v>395.0</v>
      </c>
      <c r="AF80" s="117">
        <v>249.0</v>
      </c>
      <c r="AG80" s="117">
        <v>162.0</v>
      </c>
      <c r="AH80" s="117">
        <v>18.0</v>
      </c>
      <c r="AI80" s="117"/>
      <c r="AJ80" s="117">
        <v>363.0</v>
      </c>
      <c r="AK80" s="117">
        <v>304.0</v>
      </c>
      <c r="AL80" s="117">
        <v>188.0</v>
      </c>
      <c r="AM80" s="117">
        <v>39.0</v>
      </c>
      <c r="AN80" s="117">
        <v>8.0</v>
      </c>
    </row>
    <row r="81">
      <c r="A81" s="114">
        <v>46063.0</v>
      </c>
      <c r="B81" s="115">
        <v>0.5714285714285714</v>
      </c>
      <c r="C81" s="115">
        <v>16.0</v>
      </c>
      <c r="D81" s="115">
        <v>28.0</v>
      </c>
      <c r="E81" s="115">
        <v>0.08893709327548807</v>
      </c>
      <c r="F81" s="115">
        <v>41.0</v>
      </c>
      <c r="G81" s="115">
        <v>461.0</v>
      </c>
      <c r="H81" s="115">
        <v>427.0</v>
      </c>
      <c r="I81" s="115">
        <v>49.0</v>
      </c>
      <c r="J81" s="115">
        <v>1037.0</v>
      </c>
      <c r="K81" s="115">
        <v>936.0</v>
      </c>
      <c r="L81" s="115">
        <v>101.0</v>
      </c>
      <c r="M81" s="115">
        <v>2.2494577006507592</v>
      </c>
      <c r="N81" s="115">
        <v>2.0303687635574836</v>
      </c>
      <c r="O81" s="115">
        <v>0.21908893709327548</v>
      </c>
      <c r="P81" s="115">
        <v>17163.414634146342</v>
      </c>
      <c r="Q81" s="115">
        <v>703700.0</v>
      </c>
      <c r="R81" s="115">
        <v>41.0</v>
      </c>
      <c r="S81" s="115">
        <v>42.0</v>
      </c>
      <c r="T81" s="115">
        <v>0.2756619297996312</v>
      </c>
      <c r="U81" s="115">
        <v>509716.69999999955</v>
      </c>
      <c r="V81" s="115">
        <v>703700.0</v>
      </c>
      <c r="W81" s="115"/>
      <c r="X81" s="115"/>
      <c r="Y81" s="115"/>
      <c r="Z81" s="115"/>
      <c r="AA81" s="115"/>
      <c r="AB81" s="115">
        <v>0.0</v>
      </c>
      <c r="AC81" s="115">
        <v>0.0</v>
      </c>
      <c r="AD81" s="115">
        <v>499.0</v>
      </c>
      <c r="AE81" s="115">
        <v>302.0</v>
      </c>
      <c r="AF81" s="115">
        <v>178.0</v>
      </c>
      <c r="AG81" s="115">
        <v>152.0</v>
      </c>
      <c r="AH81" s="115">
        <v>23.0</v>
      </c>
      <c r="AI81" s="115"/>
      <c r="AJ81" s="115">
        <v>459.0</v>
      </c>
      <c r="AK81" s="115">
        <v>389.0</v>
      </c>
      <c r="AL81" s="115">
        <v>283.0</v>
      </c>
      <c r="AM81" s="115">
        <v>52.0</v>
      </c>
      <c r="AN81" s="115">
        <v>18.0</v>
      </c>
    </row>
    <row r="82">
      <c r="A82" s="116">
        <v>46064.0</v>
      </c>
      <c r="B82" s="117">
        <v>0.5588235294117647</v>
      </c>
      <c r="C82" s="117">
        <v>19.0</v>
      </c>
      <c r="D82" s="117">
        <v>34.0</v>
      </c>
      <c r="E82" s="117">
        <v>0.10882956878850103</v>
      </c>
      <c r="F82" s="117">
        <v>53.0</v>
      </c>
      <c r="G82" s="117">
        <v>487.0</v>
      </c>
      <c r="H82" s="117">
        <v>436.0</v>
      </c>
      <c r="I82" s="117">
        <v>75.0</v>
      </c>
      <c r="J82" s="117">
        <v>1079.0</v>
      </c>
      <c r="K82" s="117">
        <v>929.0</v>
      </c>
      <c r="L82" s="117">
        <v>150.0</v>
      </c>
      <c r="M82" s="117">
        <v>2.215605749486653</v>
      </c>
      <c r="N82" s="117">
        <v>1.9075975359342916</v>
      </c>
      <c r="O82" s="117">
        <v>0.3080082135523614</v>
      </c>
      <c r="P82" s="117">
        <v>17479.245283018867</v>
      </c>
      <c r="Q82" s="117">
        <v>926400.0</v>
      </c>
      <c r="R82" s="117">
        <v>53.0</v>
      </c>
      <c r="S82" s="117">
        <v>63.0</v>
      </c>
      <c r="T82" s="117">
        <v>0.2879324265975828</v>
      </c>
      <c r="U82" s="117">
        <v>659659.3999999993</v>
      </c>
      <c r="V82" s="117">
        <v>926400.0</v>
      </c>
      <c r="W82" s="117"/>
      <c r="X82" s="117"/>
      <c r="Y82" s="117"/>
      <c r="Z82" s="117"/>
      <c r="AA82" s="117"/>
      <c r="AB82" s="117">
        <v>0.0</v>
      </c>
      <c r="AC82" s="117">
        <v>0.0</v>
      </c>
      <c r="AD82" s="117">
        <v>673.0</v>
      </c>
      <c r="AE82" s="117">
        <v>411.0</v>
      </c>
      <c r="AF82" s="117">
        <v>227.0</v>
      </c>
      <c r="AG82" s="117">
        <v>240.0</v>
      </c>
      <c r="AH82" s="117">
        <v>34.0</v>
      </c>
      <c r="AI82" s="117"/>
      <c r="AJ82" s="117">
        <v>538.0</v>
      </c>
      <c r="AK82" s="117">
        <v>443.0</v>
      </c>
      <c r="AL82" s="117">
        <v>260.0</v>
      </c>
      <c r="AM82" s="117">
        <v>71.0</v>
      </c>
      <c r="AN82" s="117">
        <v>19.0</v>
      </c>
    </row>
    <row r="83">
      <c r="A83" s="114">
        <v>46065.0</v>
      </c>
      <c r="B83" s="115">
        <v>0.3157894736842105</v>
      </c>
      <c r="C83" s="115">
        <v>12.0</v>
      </c>
      <c r="D83" s="115">
        <v>38.0</v>
      </c>
      <c r="E83" s="115">
        <v>0.10559006211180125</v>
      </c>
      <c r="F83" s="115">
        <v>51.0</v>
      </c>
      <c r="G83" s="115">
        <v>483.0</v>
      </c>
      <c r="H83" s="115">
        <v>452.0</v>
      </c>
      <c r="I83" s="115">
        <v>49.0</v>
      </c>
      <c r="J83" s="115">
        <v>1224.0</v>
      </c>
      <c r="K83" s="115">
        <v>1001.0</v>
      </c>
      <c r="L83" s="115">
        <v>223.0</v>
      </c>
      <c r="M83" s="115">
        <v>2.5341614906832297</v>
      </c>
      <c r="N83" s="115">
        <v>2.072463768115942</v>
      </c>
      <c r="O83" s="115">
        <v>0.4616977225672878</v>
      </c>
      <c r="P83" s="115">
        <v>14227.450980392157</v>
      </c>
      <c r="Q83" s="115">
        <v>725600.0</v>
      </c>
      <c r="R83" s="115">
        <v>51.0</v>
      </c>
      <c r="S83" s="115">
        <v>55.0</v>
      </c>
      <c r="T83" s="115">
        <v>0.4344312293274518</v>
      </c>
      <c r="U83" s="115">
        <v>410376.700000001</v>
      </c>
      <c r="V83" s="115">
        <v>725600.0</v>
      </c>
      <c r="W83" s="115"/>
      <c r="X83" s="115"/>
      <c r="Y83" s="115"/>
      <c r="Z83" s="115"/>
      <c r="AA83" s="115"/>
      <c r="AB83" s="115">
        <v>0.0</v>
      </c>
      <c r="AC83" s="115">
        <v>0.0</v>
      </c>
      <c r="AD83" s="115">
        <v>589.0</v>
      </c>
      <c r="AE83" s="115">
        <v>363.0</v>
      </c>
      <c r="AF83" s="115">
        <v>193.0</v>
      </c>
      <c r="AG83" s="115">
        <v>198.0</v>
      </c>
      <c r="AH83" s="115">
        <v>35.0</v>
      </c>
      <c r="AI83" s="115"/>
      <c r="AJ83" s="115">
        <v>574.0</v>
      </c>
      <c r="AK83" s="115">
        <v>475.0</v>
      </c>
      <c r="AL83" s="115">
        <v>290.0</v>
      </c>
      <c r="AM83" s="115">
        <v>62.0</v>
      </c>
      <c r="AN83" s="115">
        <v>16.0</v>
      </c>
    </row>
    <row r="84">
      <c r="A84" s="116">
        <v>46066.0</v>
      </c>
      <c r="B84" s="117">
        <v>0.43243243243243246</v>
      </c>
      <c r="C84" s="117">
        <v>16.0</v>
      </c>
      <c r="D84" s="117">
        <v>37.0</v>
      </c>
      <c r="E84" s="117">
        <v>0.10019646365422397</v>
      </c>
      <c r="F84" s="117">
        <v>51.0</v>
      </c>
      <c r="G84" s="117">
        <v>509.0</v>
      </c>
      <c r="H84" s="117">
        <v>475.0</v>
      </c>
      <c r="I84" s="117">
        <v>50.0</v>
      </c>
      <c r="J84" s="117">
        <v>1123.0</v>
      </c>
      <c r="K84" s="117">
        <v>999.0</v>
      </c>
      <c r="L84" s="117">
        <v>124.0</v>
      </c>
      <c r="M84" s="117">
        <v>2.206286836935167</v>
      </c>
      <c r="N84" s="117">
        <v>1.962671905697446</v>
      </c>
      <c r="O84" s="117">
        <v>0.24361493123772102</v>
      </c>
      <c r="P84" s="117">
        <v>15352.941176470587</v>
      </c>
      <c r="Q84" s="117">
        <v>783000.0</v>
      </c>
      <c r="R84" s="117">
        <v>51.0</v>
      </c>
      <c r="S84" s="117">
        <v>60.0</v>
      </c>
      <c r="T84" s="117">
        <v>0.2769478927203106</v>
      </c>
      <c r="U84" s="117">
        <v>566149.7999999968</v>
      </c>
      <c r="V84" s="117">
        <v>783000.0</v>
      </c>
      <c r="W84" s="117"/>
      <c r="X84" s="117"/>
      <c r="Y84" s="117"/>
      <c r="Z84" s="117"/>
      <c r="AA84" s="117"/>
      <c r="AB84" s="117">
        <v>0.0</v>
      </c>
      <c r="AC84" s="117">
        <v>0.0</v>
      </c>
      <c r="AD84" s="117">
        <v>634.0</v>
      </c>
      <c r="AE84" s="117">
        <v>414.0</v>
      </c>
      <c r="AF84" s="117">
        <v>202.0</v>
      </c>
      <c r="AG84" s="117">
        <v>232.0</v>
      </c>
      <c r="AH84" s="117">
        <v>33.0</v>
      </c>
      <c r="AI84" s="117"/>
      <c r="AJ84" s="117">
        <v>564.0</v>
      </c>
      <c r="AK84" s="117">
        <v>472.0</v>
      </c>
      <c r="AL84" s="117">
        <v>307.0</v>
      </c>
      <c r="AM84" s="117">
        <v>60.0</v>
      </c>
      <c r="AN84" s="117">
        <v>18.0</v>
      </c>
    </row>
    <row r="85">
      <c r="A85" s="114">
        <v>46067.0</v>
      </c>
      <c r="B85" s="115">
        <v>0.3469387755102041</v>
      </c>
      <c r="C85" s="115">
        <v>17.0</v>
      </c>
      <c r="D85" s="115">
        <v>49.0</v>
      </c>
      <c r="E85" s="115">
        <v>0.13157894736842105</v>
      </c>
      <c r="F85" s="115">
        <v>70.0</v>
      </c>
      <c r="G85" s="115">
        <v>532.0</v>
      </c>
      <c r="H85" s="115">
        <v>491.0</v>
      </c>
      <c r="I85" s="115">
        <v>65.0</v>
      </c>
      <c r="J85" s="115">
        <v>1232.0</v>
      </c>
      <c r="K85" s="115">
        <v>1060.0</v>
      </c>
      <c r="L85" s="115">
        <v>172.0</v>
      </c>
      <c r="M85" s="115">
        <v>2.3157894736842106</v>
      </c>
      <c r="N85" s="115">
        <v>1.9924812030075187</v>
      </c>
      <c r="O85" s="115">
        <v>0.3233082706766917</v>
      </c>
      <c r="P85" s="115">
        <v>16992.85714285714</v>
      </c>
      <c r="Q85" s="115">
        <v>1189500.0</v>
      </c>
      <c r="R85" s="115">
        <v>70.0</v>
      </c>
      <c r="S85" s="115">
        <v>75.0</v>
      </c>
      <c r="T85" s="115">
        <v>0.29700302648171484</v>
      </c>
      <c r="U85" s="115">
        <v>836214.9000000001</v>
      </c>
      <c r="V85" s="115">
        <v>1189500.0</v>
      </c>
      <c r="W85" s="115"/>
      <c r="X85" s="115"/>
      <c r="Y85" s="115"/>
      <c r="Z85" s="115"/>
      <c r="AA85" s="115"/>
      <c r="AB85" s="115">
        <v>0.0</v>
      </c>
      <c r="AC85" s="115">
        <v>0.0</v>
      </c>
      <c r="AD85" s="115">
        <v>667.0</v>
      </c>
      <c r="AE85" s="115">
        <v>461.0</v>
      </c>
      <c r="AF85" s="115">
        <v>227.0</v>
      </c>
      <c r="AG85" s="115">
        <v>278.0</v>
      </c>
      <c r="AH85" s="115">
        <v>51.0</v>
      </c>
      <c r="AI85" s="115"/>
      <c r="AJ85" s="115">
        <v>592.0</v>
      </c>
      <c r="AK85" s="115">
        <v>492.0</v>
      </c>
      <c r="AL85" s="115">
        <v>305.0</v>
      </c>
      <c r="AM85" s="115">
        <v>70.0</v>
      </c>
      <c r="AN85" s="115">
        <v>19.0</v>
      </c>
    </row>
    <row r="86">
      <c r="A86" s="116">
        <v>46068.0</v>
      </c>
      <c r="B86" s="117">
        <v>0.375</v>
      </c>
      <c r="C86" s="117">
        <v>18.0</v>
      </c>
      <c r="D86" s="117">
        <v>48.0</v>
      </c>
      <c r="E86" s="117">
        <v>0.12321428571428572</v>
      </c>
      <c r="F86" s="117">
        <v>69.0</v>
      </c>
      <c r="G86" s="117">
        <v>560.0</v>
      </c>
      <c r="H86" s="117">
        <v>499.0</v>
      </c>
      <c r="I86" s="117">
        <v>88.0</v>
      </c>
      <c r="J86" s="117">
        <v>1206.0</v>
      </c>
      <c r="K86" s="117">
        <v>938.0</v>
      </c>
      <c r="L86" s="117">
        <v>268.0</v>
      </c>
      <c r="M86" s="117">
        <v>2.1535714285714285</v>
      </c>
      <c r="N86" s="117">
        <v>1.675</v>
      </c>
      <c r="O86" s="117">
        <v>0.4785714285714286</v>
      </c>
      <c r="P86" s="117">
        <v>16295.652173913044</v>
      </c>
      <c r="Q86" s="117">
        <v>1124400.0</v>
      </c>
      <c r="R86" s="117">
        <v>69.0</v>
      </c>
      <c r="S86" s="117">
        <v>75.0</v>
      </c>
      <c r="T86" s="117">
        <v>0.3312548914976907</v>
      </c>
      <c r="U86" s="117">
        <v>751936.9999999965</v>
      </c>
      <c r="V86" s="117">
        <v>1124400.0</v>
      </c>
      <c r="W86" s="117"/>
      <c r="X86" s="117"/>
      <c r="Y86" s="117"/>
      <c r="Z86" s="117"/>
      <c r="AA86" s="117"/>
      <c r="AB86" s="117">
        <v>0.0</v>
      </c>
      <c r="AC86" s="117">
        <v>0.0</v>
      </c>
      <c r="AD86" s="117">
        <v>636.0</v>
      </c>
      <c r="AE86" s="117">
        <v>431.0</v>
      </c>
      <c r="AF86" s="117">
        <v>229.0</v>
      </c>
      <c r="AG86" s="117">
        <v>254.0</v>
      </c>
      <c r="AH86" s="117">
        <v>42.0</v>
      </c>
      <c r="AI86" s="117"/>
      <c r="AJ86" s="117">
        <v>601.0</v>
      </c>
      <c r="AK86" s="117">
        <v>514.0</v>
      </c>
      <c r="AL86" s="117">
        <v>331.0</v>
      </c>
      <c r="AM86" s="117">
        <v>73.0</v>
      </c>
      <c r="AN86" s="117">
        <v>27.0</v>
      </c>
    </row>
    <row r="87">
      <c r="A87" s="114">
        <v>46069.0</v>
      </c>
      <c r="B87" s="115">
        <v>0.46875</v>
      </c>
      <c r="C87" s="115">
        <v>30.0</v>
      </c>
      <c r="D87" s="115">
        <v>64.0</v>
      </c>
      <c r="E87" s="115">
        <v>0.18398268398268397</v>
      </c>
      <c r="F87" s="115">
        <v>85.0</v>
      </c>
      <c r="G87" s="115">
        <v>462.0</v>
      </c>
      <c r="H87" s="115">
        <v>400.0</v>
      </c>
      <c r="I87" s="115">
        <v>82.0</v>
      </c>
      <c r="J87" s="115">
        <v>1111.0</v>
      </c>
      <c r="K87" s="115">
        <v>922.0</v>
      </c>
      <c r="L87" s="115">
        <v>189.0</v>
      </c>
      <c r="M87" s="115">
        <v>2.4047619047619047</v>
      </c>
      <c r="N87" s="115">
        <v>1.9956709956709957</v>
      </c>
      <c r="O87" s="115">
        <v>0.4090909090909091</v>
      </c>
      <c r="P87" s="115">
        <v>16211.764705882353</v>
      </c>
      <c r="Q87" s="115">
        <v>1378000.0</v>
      </c>
      <c r="R87" s="115">
        <v>85.0</v>
      </c>
      <c r="S87" s="115">
        <v>90.0</v>
      </c>
      <c r="T87" s="115">
        <v>0.39659571843251096</v>
      </c>
      <c r="U87" s="115">
        <v>831491.0999999999</v>
      </c>
      <c r="V87" s="115">
        <v>1378000.0</v>
      </c>
      <c r="W87" s="115"/>
      <c r="X87" s="115"/>
      <c r="Y87" s="115"/>
      <c r="Z87" s="115"/>
      <c r="AA87" s="115"/>
      <c r="AB87" s="115">
        <v>0.0</v>
      </c>
      <c r="AC87" s="115">
        <v>0.0</v>
      </c>
      <c r="AD87" s="115">
        <v>680.0</v>
      </c>
      <c r="AE87" s="115">
        <v>507.0</v>
      </c>
      <c r="AF87" s="115">
        <v>222.0</v>
      </c>
      <c r="AG87" s="115">
        <v>287.0</v>
      </c>
      <c r="AH87" s="115">
        <v>56.0</v>
      </c>
      <c r="AI87" s="115"/>
      <c r="AJ87" s="115">
        <v>696.0</v>
      </c>
      <c r="AK87" s="115">
        <v>544.0</v>
      </c>
      <c r="AL87" s="115">
        <v>240.0</v>
      </c>
      <c r="AM87" s="115">
        <v>110.0</v>
      </c>
      <c r="AN87" s="115">
        <v>29.0</v>
      </c>
    </row>
    <row r="88">
      <c r="A88" s="116">
        <v>46070.0</v>
      </c>
      <c r="B88" s="117">
        <v>0.42105263157894735</v>
      </c>
      <c r="C88" s="117">
        <v>24.0</v>
      </c>
      <c r="D88" s="117">
        <v>57.0</v>
      </c>
      <c r="E88" s="117">
        <v>0.1296</v>
      </c>
      <c r="F88" s="117">
        <v>81.0</v>
      </c>
      <c r="G88" s="117">
        <v>625.0</v>
      </c>
      <c r="H88" s="117">
        <v>581.0</v>
      </c>
      <c r="I88" s="117">
        <v>70.0</v>
      </c>
      <c r="J88" s="117">
        <v>1376.0</v>
      </c>
      <c r="K88" s="117">
        <v>1173.0</v>
      </c>
      <c r="L88" s="117">
        <v>203.0</v>
      </c>
      <c r="M88" s="117">
        <v>2.2016</v>
      </c>
      <c r="N88" s="117">
        <v>1.8768</v>
      </c>
      <c r="O88" s="117">
        <v>0.3248</v>
      </c>
      <c r="P88" s="117">
        <v>14622.222222222223</v>
      </c>
      <c r="Q88" s="117">
        <v>1184400.0</v>
      </c>
      <c r="R88" s="117">
        <v>81.0</v>
      </c>
      <c r="S88" s="117">
        <v>93.0</v>
      </c>
      <c r="T88" s="117">
        <v>0.2737204491725663</v>
      </c>
      <c r="U88" s="117">
        <v>860205.5000000125</v>
      </c>
      <c r="V88" s="117">
        <v>1184400.0</v>
      </c>
      <c r="W88" s="117"/>
      <c r="X88" s="117"/>
      <c r="Y88" s="117"/>
      <c r="Z88" s="117"/>
      <c r="AA88" s="117"/>
      <c r="AB88" s="117">
        <v>0.0</v>
      </c>
      <c r="AC88" s="117">
        <v>0.0</v>
      </c>
      <c r="AD88" s="117">
        <v>709.0</v>
      </c>
      <c r="AE88" s="117">
        <v>547.0</v>
      </c>
      <c r="AF88" s="117">
        <v>253.0</v>
      </c>
      <c r="AG88" s="117">
        <v>276.0</v>
      </c>
      <c r="AH88" s="117">
        <v>50.0</v>
      </c>
      <c r="AI88" s="117"/>
      <c r="AJ88" s="117">
        <v>761.0</v>
      </c>
      <c r="AK88" s="117">
        <v>618.0</v>
      </c>
      <c r="AL88" s="117">
        <v>372.0</v>
      </c>
      <c r="AM88" s="117">
        <v>96.0</v>
      </c>
      <c r="AN88" s="117">
        <v>31.0</v>
      </c>
    </row>
    <row r="89">
      <c r="A89" s="114">
        <v>46071.0</v>
      </c>
      <c r="B89" s="115">
        <v>0.4057971014492754</v>
      </c>
      <c r="C89" s="115">
        <v>28.0</v>
      </c>
      <c r="D89" s="115">
        <v>69.0</v>
      </c>
      <c r="E89" s="115">
        <v>0.16695059625212946</v>
      </c>
      <c r="F89" s="115">
        <v>98.0</v>
      </c>
      <c r="G89" s="115">
        <v>587.0</v>
      </c>
      <c r="H89" s="115">
        <v>555.0</v>
      </c>
      <c r="I89" s="115">
        <v>52.0</v>
      </c>
      <c r="J89" s="115">
        <v>1479.0</v>
      </c>
      <c r="K89" s="115">
        <v>1335.0</v>
      </c>
      <c r="L89" s="115">
        <v>144.0</v>
      </c>
      <c r="M89" s="115">
        <v>2.5195911413969334</v>
      </c>
      <c r="N89" s="115">
        <v>2.27427597955707</v>
      </c>
      <c r="O89" s="115">
        <v>0.2453151618398637</v>
      </c>
      <c r="P89" s="115">
        <v>16612.244897959183</v>
      </c>
      <c r="Q89" s="115">
        <v>1628000.0</v>
      </c>
      <c r="R89" s="115">
        <v>98.0</v>
      </c>
      <c r="S89" s="115">
        <v>111.0</v>
      </c>
      <c r="T89" s="115">
        <v>0.3589834766584765</v>
      </c>
      <c r="U89" s="115">
        <v>1043574.9000000003</v>
      </c>
      <c r="V89" s="115">
        <v>1628000.0</v>
      </c>
      <c r="W89" s="115"/>
      <c r="X89" s="115"/>
      <c r="Y89" s="115"/>
      <c r="Z89" s="115"/>
      <c r="AA89" s="115"/>
      <c r="AB89" s="115">
        <v>0.0</v>
      </c>
      <c r="AC89" s="115">
        <v>0.0</v>
      </c>
      <c r="AD89" s="115">
        <v>577.0</v>
      </c>
      <c r="AE89" s="115">
        <v>460.0</v>
      </c>
      <c r="AF89" s="115">
        <v>211.0</v>
      </c>
      <c r="AG89" s="115">
        <v>256.0</v>
      </c>
      <c r="AH89" s="115">
        <v>60.0</v>
      </c>
      <c r="AI89" s="115"/>
      <c r="AJ89" s="115">
        <v>752.0</v>
      </c>
      <c r="AK89" s="115">
        <v>632.0</v>
      </c>
      <c r="AL89" s="115">
        <v>376.0</v>
      </c>
      <c r="AM89" s="115">
        <v>102.0</v>
      </c>
      <c r="AN89" s="115">
        <v>38.0</v>
      </c>
    </row>
    <row r="90">
      <c r="A90" s="116">
        <v>46072.0</v>
      </c>
      <c r="B90" s="117">
        <v>0.5</v>
      </c>
      <c r="C90" s="117">
        <v>21.0</v>
      </c>
      <c r="D90" s="117">
        <v>42.0</v>
      </c>
      <c r="E90" s="117">
        <v>0.11591355599214145</v>
      </c>
      <c r="F90" s="117">
        <v>59.0</v>
      </c>
      <c r="G90" s="117">
        <v>509.0</v>
      </c>
      <c r="H90" s="117">
        <v>477.0</v>
      </c>
      <c r="I90" s="117">
        <v>47.0</v>
      </c>
      <c r="J90" s="117">
        <v>1077.0</v>
      </c>
      <c r="K90" s="117">
        <v>968.0</v>
      </c>
      <c r="L90" s="117">
        <v>109.0</v>
      </c>
      <c r="M90" s="117">
        <v>2.1159135559921416</v>
      </c>
      <c r="N90" s="117">
        <v>1.9017681728880158</v>
      </c>
      <c r="O90" s="117">
        <v>0.21414538310412573</v>
      </c>
      <c r="P90" s="117">
        <v>15298.305084745763</v>
      </c>
      <c r="Q90" s="117">
        <v>902600.0</v>
      </c>
      <c r="R90" s="117">
        <v>59.0</v>
      </c>
      <c r="S90" s="117">
        <v>65.0</v>
      </c>
      <c r="T90" s="117">
        <v>0.2685142920452027</v>
      </c>
      <c r="U90" s="117">
        <v>660239.0</v>
      </c>
      <c r="V90" s="117">
        <v>902600.0</v>
      </c>
      <c r="W90" s="117"/>
      <c r="X90" s="117"/>
      <c r="Y90" s="117"/>
      <c r="Z90" s="117"/>
      <c r="AA90" s="117"/>
      <c r="AB90" s="117">
        <v>0.0</v>
      </c>
      <c r="AC90" s="117">
        <v>0.0</v>
      </c>
      <c r="AD90" s="117">
        <v>550.0</v>
      </c>
      <c r="AE90" s="117">
        <v>429.0</v>
      </c>
      <c r="AF90" s="117">
        <v>174.0</v>
      </c>
      <c r="AG90" s="117">
        <v>238.0</v>
      </c>
      <c r="AH90" s="117">
        <v>39.0</v>
      </c>
      <c r="AI90" s="117"/>
      <c r="AJ90" s="117">
        <v>688.0</v>
      </c>
      <c r="AK90" s="117">
        <v>568.0</v>
      </c>
      <c r="AL90" s="117">
        <v>335.0</v>
      </c>
      <c r="AM90" s="117">
        <v>76.0</v>
      </c>
      <c r="AN90" s="117">
        <v>20.0</v>
      </c>
    </row>
    <row r="91">
      <c r="A91" s="114">
        <v>46073.0</v>
      </c>
      <c r="B91" s="115">
        <v>0.41304347826086957</v>
      </c>
      <c r="C91" s="115">
        <v>19.0</v>
      </c>
      <c r="D91" s="115">
        <v>46.0</v>
      </c>
      <c r="E91" s="115">
        <v>0.12521440823327615</v>
      </c>
      <c r="F91" s="115">
        <v>73.0</v>
      </c>
      <c r="G91" s="115">
        <v>583.0</v>
      </c>
      <c r="H91" s="115">
        <v>562.0</v>
      </c>
      <c r="I91" s="115">
        <v>41.0</v>
      </c>
      <c r="J91" s="115">
        <v>1292.0</v>
      </c>
      <c r="K91" s="115">
        <v>1187.0</v>
      </c>
      <c r="L91" s="115">
        <v>105.0</v>
      </c>
      <c r="M91" s="115">
        <v>2.216123499142367</v>
      </c>
      <c r="N91" s="115">
        <v>2.0360205831903944</v>
      </c>
      <c r="O91" s="115">
        <v>0.18010291595197256</v>
      </c>
      <c r="P91" s="115">
        <v>13465.753424657534</v>
      </c>
      <c r="Q91" s="115">
        <v>983000.0</v>
      </c>
      <c r="R91" s="115">
        <v>73.0</v>
      </c>
      <c r="S91" s="115">
        <v>82.0</v>
      </c>
      <c r="T91" s="115">
        <v>0.2706963377416073</v>
      </c>
      <c r="U91" s="115">
        <v>716905.5</v>
      </c>
      <c r="V91" s="115">
        <v>983000.0</v>
      </c>
      <c r="W91" s="115"/>
      <c r="X91" s="115"/>
      <c r="Y91" s="115"/>
      <c r="Z91" s="115"/>
      <c r="AA91" s="115"/>
      <c r="AB91" s="115">
        <v>0.0</v>
      </c>
      <c r="AC91" s="115">
        <v>0.0</v>
      </c>
      <c r="AD91" s="115">
        <v>594.0</v>
      </c>
      <c r="AE91" s="115">
        <v>450.0</v>
      </c>
      <c r="AF91" s="115">
        <v>199.0</v>
      </c>
      <c r="AG91" s="115">
        <v>256.0</v>
      </c>
      <c r="AH91" s="115">
        <v>40.0</v>
      </c>
      <c r="AI91" s="115"/>
      <c r="AJ91" s="115">
        <v>772.0</v>
      </c>
      <c r="AK91" s="115">
        <v>637.0</v>
      </c>
      <c r="AL91" s="115">
        <v>384.0</v>
      </c>
      <c r="AM91" s="115">
        <v>101.0</v>
      </c>
      <c r="AN91" s="115">
        <v>33.0</v>
      </c>
    </row>
    <row r="92">
      <c r="A92" s="116">
        <v>46074.0</v>
      </c>
      <c r="B92" s="117">
        <v>0.35714285714285715</v>
      </c>
      <c r="C92" s="117">
        <v>15.0</v>
      </c>
      <c r="D92" s="117">
        <v>42.0</v>
      </c>
      <c r="E92" s="117">
        <v>0.1219047619047619</v>
      </c>
      <c r="F92" s="117">
        <v>64.0</v>
      </c>
      <c r="G92" s="117">
        <v>525.0</v>
      </c>
      <c r="H92" s="117">
        <v>494.0</v>
      </c>
      <c r="I92" s="117">
        <v>47.0</v>
      </c>
      <c r="J92" s="117">
        <v>1143.0</v>
      </c>
      <c r="K92" s="117">
        <v>1046.0</v>
      </c>
      <c r="L92" s="117">
        <v>97.0</v>
      </c>
      <c r="M92" s="117">
        <v>2.177142857142857</v>
      </c>
      <c r="N92" s="117">
        <v>1.9923809523809524</v>
      </c>
      <c r="O92" s="117">
        <v>0.18476190476190477</v>
      </c>
      <c r="P92" s="117">
        <v>16634.375</v>
      </c>
      <c r="Q92" s="117">
        <v>1064600.0</v>
      </c>
      <c r="R92" s="117">
        <v>64.0</v>
      </c>
      <c r="S92" s="117">
        <v>72.0</v>
      </c>
      <c r="T92" s="117">
        <v>0.23925850084538824</v>
      </c>
      <c r="U92" s="117">
        <v>809885.3999999997</v>
      </c>
      <c r="V92" s="117">
        <v>1064600.0</v>
      </c>
      <c r="W92" s="117"/>
      <c r="X92" s="117"/>
      <c r="Y92" s="117"/>
      <c r="Z92" s="117"/>
      <c r="AA92" s="117"/>
      <c r="AB92" s="117">
        <v>0.0</v>
      </c>
      <c r="AC92" s="117">
        <v>0.0</v>
      </c>
      <c r="AD92" s="117">
        <v>477.0</v>
      </c>
      <c r="AE92" s="117">
        <v>385.0</v>
      </c>
      <c r="AF92" s="117">
        <v>161.0</v>
      </c>
      <c r="AG92" s="117">
        <v>191.0</v>
      </c>
      <c r="AH92" s="117">
        <v>32.0</v>
      </c>
      <c r="AI92" s="117"/>
      <c r="AJ92" s="117">
        <v>669.0</v>
      </c>
      <c r="AK92" s="117">
        <v>560.0</v>
      </c>
      <c r="AL92" s="117">
        <v>364.0</v>
      </c>
      <c r="AM92" s="117">
        <v>76.0</v>
      </c>
      <c r="AN92" s="117">
        <v>32.0</v>
      </c>
    </row>
    <row r="93">
      <c r="A93" s="114">
        <v>46075.0</v>
      </c>
      <c r="B93" s="115">
        <v>0.0</v>
      </c>
      <c r="C93" s="115">
        <v>0.0</v>
      </c>
      <c r="D93" s="115">
        <v>63.0</v>
      </c>
      <c r="E93" s="115">
        <v>0.1377245508982036</v>
      </c>
      <c r="F93" s="115">
        <v>92.0</v>
      </c>
      <c r="G93" s="115">
        <v>668.0</v>
      </c>
      <c r="H93" s="115">
        <v>638.0</v>
      </c>
      <c r="I93" s="115">
        <v>49.0</v>
      </c>
      <c r="J93" s="115">
        <v>1473.0</v>
      </c>
      <c r="K93" s="115">
        <v>1333.0</v>
      </c>
      <c r="L93" s="115">
        <v>140.0</v>
      </c>
      <c r="M93" s="115">
        <v>2.2050898203592815</v>
      </c>
      <c r="N93" s="115">
        <v>1.9955089820359282</v>
      </c>
      <c r="O93" s="115">
        <v>0.20958083832335328</v>
      </c>
      <c r="P93" s="115">
        <v>16439.130434782608</v>
      </c>
      <c r="Q93" s="115">
        <v>1512400.0</v>
      </c>
      <c r="R93" s="115">
        <v>92.0</v>
      </c>
      <c r="S93" s="115">
        <v>108.0</v>
      </c>
      <c r="T93" s="115">
        <v>0.33411716477122444</v>
      </c>
      <c r="U93" s="115">
        <v>1007081.2000000002</v>
      </c>
      <c r="V93" s="115">
        <v>1512400.0</v>
      </c>
      <c r="W93" s="115"/>
      <c r="X93" s="115"/>
      <c r="Y93" s="115"/>
      <c r="Z93" s="115"/>
      <c r="AA93" s="115"/>
      <c r="AB93" s="115">
        <v>0.0</v>
      </c>
      <c r="AC93" s="115">
        <v>0.0</v>
      </c>
      <c r="AD93" s="115">
        <v>839.0</v>
      </c>
      <c r="AE93" s="115">
        <v>644.0</v>
      </c>
      <c r="AF93" s="115">
        <v>250.0</v>
      </c>
      <c r="AG93" s="115">
        <v>366.0</v>
      </c>
      <c r="AH93" s="115">
        <v>54.0</v>
      </c>
      <c r="AI93" s="115"/>
      <c r="AJ93" s="115">
        <v>737.0</v>
      </c>
      <c r="AK93" s="115">
        <v>642.0</v>
      </c>
      <c r="AL93" s="115">
        <v>418.0</v>
      </c>
      <c r="AM93" s="115">
        <v>103.0</v>
      </c>
      <c r="AN93" s="115">
        <v>38.0</v>
      </c>
    </row>
    <row r="94">
      <c r="A94" s="116">
        <v>46076.0</v>
      </c>
      <c r="B94" s="117">
        <v>0.0</v>
      </c>
      <c r="C94" s="117">
        <v>0.0</v>
      </c>
      <c r="D94" s="117">
        <v>14.0</v>
      </c>
      <c r="E94" s="117">
        <v>0.06684491978609626</v>
      </c>
      <c r="F94" s="117">
        <v>25.0</v>
      </c>
      <c r="G94" s="117">
        <v>374.0</v>
      </c>
      <c r="H94" s="117">
        <v>357.0</v>
      </c>
      <c r="I94" s="117">
        <v>27.0</v>
      </c>
      <c r="J94" s="117">
        <v>691.0</v>
      </c>
      <c r="K94" s="117">
        <v>634.0</v>
      </c>
      <c r="L94" s="117">
        <v>57.0</v>
      </c>
      <c r="M94" s="117">
        <v>1.8475935828877006</v>
      </c>
      <c r="N94" s="117">
        <v>1.695187165775401</v>
      </c>
      <c r="O94" s="117">
        <v>0.15240641711229946</v>
      </c>
      <c r="P94" s="117">
        <v>12488.0</v>
      </c>
      <c r="Q94" s="117">
        <v>312200.0</v>
      </c>
      <c r="R94" s="117">
        <v>25.0</v>
      </c>
      <c r="S94" s="117">
        <v>26.0</v>
      </c>
      <c r="T94" s="117">
        <v>-0.003959641255612212</v>
      </c>
      <c r="U94" s="117">
        <v>313436.2000000021</v>
      </c>
      <c r="V94" s="117">
        <v>312200.0</v>
      </c>
      <c r="W94" s="117"/>
      <c r="X94" s="117"/>
      <c r="Y94" s="117"/>
      <c r="Z94" s="117"/>
      <c r="AA94" s="117"/>
      <c r="AB94" s="117">
        <v>0.0</v>
      </c>
      <c r="AC94" s="117">
        <v>0.0</v>
      </c>
      <c r="AD94" s="117"/>
      <c r="AE94" s="117"/>
      <c r="AF94" s="117">
        <v>0.0</v>
      </c>
      <c r="AG94" s="117"/>
      <c r="AH94" s="117">
        <v>0.0</v>
      </c>
      <c r="AI94" s="117"/>
      <c r="AJ94" s="117"/>
      <c r="AK94" s="117"/>
      <c r="AL94" s="117">
        <v>374.0</v>
      </c>
      <c r="AM94" s="117"/>
      <c r="AN94" s="117">
        <v>25.0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hidden="1" min="1" max="1" width="32.63"/>
    <col customWidth="1" min="2" max="2" width="46.13"/>
    <col customWidth="1" min="3" max="8" width="18.88"/>
    <col customWidth="1" min="9" max="9" width="3.25"/>
  </cols>
  <sheetData>
    <row r="1" ht="22.5" customHeight="1">
      <c r="A1" s="7" t="s">
        <v>3</v>
      </c>
      <c r="B1" s="35" t="s">
        <v>61</v>
      </c>
      <c r="C1" s="7" t="s">
        <v>119</v>
      </c>
      <c r="D1" s="7" t="s">
        <v>132</v>
      </c>
      <c r="E1" s="89">
        <v>45992.0</v>
      </c>
      <c r="F1" s="89">
        <v>46023.0</v>
      </c>
      <c r="G1" s="89">
        <v>46054.0</v>
      </c>
      <c r="H1" s="89">
        <v>46082.0</v>
      </c>
      <c r="I1" s="118"/>
    </row>
    <row r="2" ht="18.75" customHeight="1">
      <c r="A2" s="11" t="s">
        <v>10</v>
      </c>
      <c r="B2" s="12" t="s">
        <v>133</v>
      </c>
      <c r="C2" s="91">
        <v>0.75</v>
      </c>
      <c r="D2" s="91">
        <v>0.7563121652639633</v>
      </c>
      <c r="E2" s="92">
        <f t="array" ref="E2">LET(val, IFERROR(INDEX('Monthly 스피킹 raw'!$A:$AAQ, MATCH(E$1, 'Monthly 스피킹 raw'!$A:$A, 0), MATCH($A2, 'Monthly 스피킹 raw'!$1:$1, 0)), ""), IF(val=0, "", val))</f>
        <v>0.9230769231</v>
      </c>
      <c r="F2" s="92">
        <f t="array" ref="F2">LET(val, IFERROR(INDEX('Monthly 스피킹 raw'!$A:$AAQ, MATCH(F$1, 'Monthly 스피킹 raw'!$A:$A, 0), MATCH($A2, 'Monthly 스피킹 raw'!$1:$1, 0)), ""), IF(val=0, "", val))</f>
        <v>0.8291457286</v>
      </c>
      <c r="G2" s="92" t="str">
        <f t="array" ref="G2">LET(val, IFERROR(INDEX('Monthly 스피킹 raw'!$A:$AAQ, MATCH(G$1, 'Monthly 스피킹 raw'!$A:$A, 0), MATCH($A2, 'Monthly 스피킹 raw'!$1:$1, 0)), ""), IF(val=0, "", val))</f>
        <v/>
      </c>
      <c r="H2" s="119"/>
      <c r="I2" s="119"/>
    </row>
    <row r="3" ht="18.75" customHeight="1">
      <c r="A3" s="16" t="s">
        <v>13</v>
      </c>
      <c r="B3" s="17" t="s">
        <v>134</v>
      </c>
      <c r="C3" s="120"/>
      <c r="D3" s="95">
        <v>7908.0</v>
      </c>
      <c r="E3" s="58">
        <f t="array" ref="E3">LET(val, IFERROR(INDEX('Monthly 스피킹 raw'!$A:$AAQ, MATCH(E$1, 'Monthly 스피킹 raw'!$A:$A, 0), MATCH($A3, 'Monthly 스피킹 raw'!$1:$1, 0)), ""), IF(val=0, "", val))</f>
        <v>36</v>
      </c>
      <c r="F3" s="58">
        <f t="array" ref="F3">LET(val, IFERROR(INDEX('Monthly 스피킹 raw'!$A:$AAQ, MATCH(F$1, 'Monthly 스피킹 raw'!$A:$A, 0), MATCH($A3, 'Monthly 스피킹 raw'!$1:$1, 0)), ""), IF(val=0, "", val))</f>
        <v>165</v>
      </c>
      <c r="G3" s="58" t="str">
        <f t="array" ref="G3">LET(val, IFERROR(INDEX('Monthly 스피킹 raw'!$A:$AAQ, MATCH(G$1, 'Monthly 스피킹 raw'!$A:$A, 0), MATCH($A3, 'Monthly 스피킹 raw'!$1:$1, 0)), ""), IF(val=0, "", val))</f>
        <v/>
      </c>
      <c r="H3" s="95"/>
      <c r="I3" s="95"/>
    </row>
    <row r="4" ht="18.75" customHeight="1">
      <c r="A4" s="16" t="s">
        <v>16</v>
      </c>
      <c r="B4" s="17" t="s">
        <v>135</v>
      </c>
      <c r="C4" s="120"/>
      <c r="D4" s="95">
        <v>10456.0</v>
      </c>
      <c r="E4" s="58">
        <f t="array" ref="E4">LET(val, IFERROR(INDEX('Monthly 스피킹 raw'!$A:$AAQ, MATCH(E$1, 'Monthly 스피킹 raw'!$A:$A, 0), MATCH($A4, 'Monthly 스피킹 raw'!$1:$1, 0)), ""), IF(val=0, "", val))</f>
        <v>39</v>
      </c>
      <c r="F4" s="58">
        <f t="array" ref="F4">LET(val, IFERROR(INDEX('Monthly 스피킹 raw'!$A:$AAQ, MATCH(F$1, 'Monthly 스피킹 raw'!$A:$A, 0), MATCH($A4, 'Monthly 스피킹 raw'!$1:$1, 0)), ""), IF(val=0, "", val))</f>
        <v>199</v>
      </c>
      <c r="G4" s="58">
        <f t="array" ref="G4">LET(val, IFERROR(INDEX('Monthly 스피킹 raw'!$A:$AAQ, MATCH(G$1, 'Monthly 스피킹 raw'!$A:$A, 0), MATCH($A4, 'Monthly 스피킹 raw'!$1:$1, 0)), ""), IF(val=0, "", val))</f>
        <v>81</v>
      </c>
      <c r="H4" s="95"/>
      <c r="I4" s="95"/>
    </row>
    <row r="5" ht="18.75" customHeight="1">
      <c r="A5" s="11" t="s">
        <v>18</v>
      </c>
      <c r="B5" s="1" t="s">
        <v>18</v>
      </c>
      <c r="C5" s="91">
        <v>0.15</v>
      </c>
      <c r="D5" s="96">
        <v>0.2933182572307172</v>
      </c>
      <c r="E5" s="97">
        <f t="array" ref="E5">LET(val, IFERROR(INDEX('Monthly 스피킹 raw'!$A:$AAQ, MATCH(E$1, 'Monthly 스피킹 raw'!$A:$A, 0), MATCH($A5, 'Monthly 스피킹 raw'!$1:$1, 0)), ""), IF(val=0, "", val))</f>
        <v>0.002884338044</v>
      </c>
      <c r="F5" s="97">
        <f t="array" ref="F5">LET(val, IFERROR(INDEX('Monthly 스피킹 raw'!$A:$AAQ, MATCH(F$1, 'Monthly 스피킹 raw'!$A:$A, 0), MATCH($A5, 'Monthly 스피킹 raw'!$1:$1, 0)), ""), IF(val=0, "", val))</f>
        <v>0.005508383491</v>
      </c>
      <c r="G5" s="97">
        <f t="array" ref="G5">LET(val, IFERROR(INDEX('Monthly 스피킹 raw'!$A:$AAQ, MATCH(G$1, 'Monthly 스피킹 raw'!$A:$A, 0), MATCH($A5, 'Monthly 스피킹 raw'!$1:$1, 0)), ""), IF(val=0, "", val))</f>
        <v>0.005104553799</v>
      </c>
      <c r="H5" s="96"/>
      <c r="I5" s="96"/>
    </row>
    <row r="6" ht="18.75" customHeight="1">
      <c r="A6" s="23" t="s">
        <v>19</v>
      </c>
      <c r="B6" s="17" t="s">
        <v>20</v>
      </c>
      <c r="C6" s="121"/>
      <c r="D6" s="95">
        <v>55514.0</v>
      </c>
      <c r="E6" s="58">
        <f t="array" ref="E6">LET(val, IFERROR(INDEX('Monthly 스피킹 raw'!$A:$AAQ, MATCH(E$1, 'Monthly 스피킹 raw'!$A:$A, 0), MATCH($A6, 'Monthly 스피킹 raw'!$1:$1, 0)), ""), IF(val=0, "", val))</f>
        <v>40</v>
      </c>
      <c r="F6" s="58">
        <f t="array" ref="F6">LET(val, IFERROR(INDEX('Monthly 스피킹 raw'!$A:$AAQ, MATCH(F$1, 'Monthly 스피킹 raw'!$A:$A, 0), MATCH($A6, 'Monthly 스피킹 raw'!$1:$1, 0)), ""), IF(val=0, "", val))</f>
        <v>205</v>
      </c>
      <c r="G6" s="58">
        <f t="array" ref="G6">LET(val, IFERROR(INDEX('Monthly 스피킹 raw'!$A:$AAQ, MATCH(G$1, 'Monthly 스피킹 raw'!$A:$A, 0), MATCH($A6, 'Monthly 스피킹 raw'!$1:$1, 0)), ""), IF(val=0, "", val))</f>
        <v>114</v>
      </c>
      <c r="H6" s="95"/>
      <c r="I6" s="95"/>
    </row>
    <row r="7" ht="18.75" customHeight="1">
      <c r="A7" s="23" t="s">
        <v>21</v>
      </c>
      <c r="B7" s="17" t="s">
        <v>22</v>
      </c>
      <c r="C7" s="121"/>
      <c r="D7" s="95">
        <v>189262.0</v>
      </c>
      <c r="E7" s="58">
        <f t="array" ref="E7">LET(val, IFERROR(INDEX('Monthly 스피킹 raw'!$A:$AAQ, MATCH(E$1, 'Monthly 스피킹 raw'!$A:$A, 0), MATCH($A7, 'Monthly 스피킹 raw'!$1:$1, 0)), ""), IF(val=0, "", val))</f>
        <v>13868</v>
      </c>
      <c r="F7" s="58">
        <f t="array" ref="F7">LET(val, IFERROR(INDEX('Monthly 스피킹 raw'!$A:$AAQ, MATCH(F$1, 'Monthly 스피킹 raw'!$A:$A, 0), MATCH($A7, 'Monthly 스피킹 raw'!$1:$1, 0)), ""), IF(val=0, "", val))</f>
        <v>37216</v>
      </c>
      <c r="G7" s="58">
        <f t="array" ref="G7">LET(val, IFERROR(INDEX('Monthly 스피킹 raw'!$A:$AAQ, MATCH(G$1, 'Monthly 스피킹 raw'!$A:$A, 0), MATCH($A7, 'Monthly 스피킹 raw'!$1:$1, 0)), ""), IF(val=0, "", val))</f>
        <v>22333</v>
      </c>
      <c r="H7" s="95"/>
      <c r="I7" s="95"/>
    </row>
    <row r="8" ht="18.75" customHeight="1">
      <c r="A8" s="23" t="s">
        <v>23</v>
      </c>
      <c r="B8" s="17" t="s">
        <v>24</v>
      </c>
      <c r="C8" s="121"/>
      <c r="D8" s="95">
        <v>2.43060604E8</v>
      </c>
      <c r="E8" s="58">
        <f t="array" ref="E8">LET(val, IFERROR(INDEX('Monthly 스피킹 raw'!$A:$AAQ, MATCH(E$1, 'Monthly 스피킹 raw'!$A:$A, 0), MATCH($A8, 'Monthly 스피킹 raw'!$1:$1, 0)), ""), IF(val=0, "", val))</f>
        <v>234177</v>
      </c>
      <c r="F8" s="58">
        <f t="array" ref="F8">LET(val, IFERROR(INDEX('Monthly 스피킹 raw'!$A:$AAQ, MATCH(F$1, 'Monthly 스피킹 raw'!$A:$A, 0), MATCH($A8, 'Monthly 스피킹 raw'!$1:$1, 0)), ""), IF(val=0, "", val))</f>
        <v>803602</v>
      </c>
      <c r="G8" s="58">
        <f t="array" ref="G8">LET(val, IFERROR(INDEX('Monthly 스피킹 raw'!$A:$AAQ, MATCH(G$1, 'Monthly 스피킹 raw'!$A:$A, 0), MATCH($A8, 'Monthly 스피킹 raw'!$1:$1, 0)), ""), IF(val=0, "", val))</f>
        <v>293658</v>
      </c>
      <c r="H8" s="95"/>
      <c r="I8" s="95"/>
    </row>
    <row r="9" ht="18.75" customHeight="1">
      <c r="A9" s="23" t="s">
        <v>25</v>
      </c>
      <c r="B9" s="1" t="s">
        <v>25</v>
      </c>
      <c r="C9" s="103">
        <v>28000.0</v>
      </c>
      <c r="D9" s="103">
        <v>142423.4625499874</v>
      </c>
      <c r="E9" s="104">
        <f t="array" ref="E9">LET(val, IFERROR(INDEX('Monthly 스피킹 raw'!$A:$AAQ, MATCH(E$1, 'Monthly 스피킹 raw'!$A:$A, 0), MATCH($A9, 'Monthly 스피킹 raw'!$1:$1, 0)), ""), IF(val=0, "", val))</f>
        <v>83600</v>
      </c>
      <c r="F9" s="104">
        <f t="array" ref="F9">LET(val, IFERROR(INDEX('Monthly 스피킹 raw'!$A:$AAQ, MATCH(F$1, 'Monthly 스피킹 raw'!$A:$A, 0), MATCH($A9, 'Monthly 스피킹 raw'!$1:$1, 0)), ""), IF(val=0, "", val))</f>
        <v>79907.31707</v>
      </c>
      <c r="G9" s="104">
        <f t="array" ref="G9">LET(val, IFERROR(INDEX('Monthly 스피킹 raw'!$A:$AAQ, MATCH(G$1, 'Monthly 스피킹 raw'!$A:$A, 0), MATCH($A9, 'Monthly 스피킹 raw'!$1:$1, 0)), ""), IF(val=0, "", val))</f>
        <v>72833.33333</v>
      </c>
      <c r="H9" s="103"/>
      <c r="I9" s="103"/>
    </row>
    <row r="10" ht="18.75" customHeight="1">
      <c r="A10" s="23" t="s">
        <v>26</v>
      </c>
      <c r="B10" s="28" t="s">
        <v>27</v>
      </c>
      <c r="C10" s="122"/>
      <c r="D10" s="103">
        <v>7.9064961E9</v>
      </c>
      <c r="E10" s="104">
        <f t="array" ref="E10">LET(val, IFERROR(INDEX('Monthly 스피킹 raw'!$A:$AAQ, MATCH(E$1, 'Monthly 스피킹 raw'!$A:$A, 0), MATCH($A10, 'Monthly 스피킹 raw'!$1:$1, 0)), ""), IF(val=0, "", val))</f>
        <v>3344000</v>
      </c>
      <c r="F10" s="104">
        <f t="array" ref="F10">LET(val, IFERROR(INDEX('Monthly 스피킹 raw'!$A:$AAQ, MATCH(F$1, 'Monthly 스피킹 raw'!$A:$A, 0), MATCH($A10, 'Monthly 스피킹 raw'!$1:$1, 0)), ""), IF(val=0, "", val))</f>
        <v>16381000</v>
      </c>
      <c r="G10" s="104">
        <f t="array" ref="G10">LET(val, IFERROR(INDEX('Monthly 스피킹 raw'!$A:$AAQ, MATCH(G$1, 'Monthly 스피킹 raw'!$A:$A, 0), MATCH($A10, 'Monthly 스피킹 raw'!$1:$1, 0)), ""), IF(val=0, "", val))</f>
        <v>8303000</v>
      </c>
      <c r="H10" s="103"/>
      <c r="I10" s="103"/>
    </row>
    <row r="11" ht="18.75" customHeight="1">
      <c r="A11" s="23" t="s">
        <v>28</v>
      </c>
      <c r="B11" s="17" t="s">
        <v>20</v>
      </c>
      <c r="C11" s="122"/>
      <c r="D11" s="95">
        <v>55514.0</v>
      </c>
      <c r="E11" s="58">
        <f t="array" ref="E11">IFERROR(INDEX('Monthly 스피킹 raw'!$A:$AAQ, MATCH(E$1, 'Monthly 스피킹 raw'!$A:$A, 0), MATCH($A11, 'Monthly 스피킹 raw'!$1:$1, 0)), 0)</f>
        <v>40</v>
      </c>
      <c r="F11" s="58">
        <f t="array" ref="F11">LET(val, IFERROR(INDEX('Monthly 스피킹 raw'!$A:$AAQ, MATCH(F$1, 'Monthly 스피킹 raw'!$A:$A, 0), MATCH($A11, 'Monthly 스피킹 raw'!$1:$1, 0)), ""), IF(val=0, "", val))</f>
        <v>205</v>
      </c>
      <c r="G11" s="58">
        <f t="array" ref="G11">LET(val, IFERROR(INDEX('Monthly 스피킹 raw'!$A:$AAQ, MATCH(G$1, 'Monthly 스피킹 raw'!$A:$A, 0), MATCH($A11, 'Monthly 스피킹 raw'!$1:$1, 0)), ""), IF(val=0, "", val))</f>
        <v>114</v>
      </c>
      <c r="H11" s="95"/>
      <c r="I11" s="95"/>
    </row>
    <row r="12" ht="18.75" customHeight="1">
      <c r="A12" s="23" t="s">
        <v>29</v>
      </c>
      <c r="B12" s="17" t="s">
        <v>30</v>
      </c>
      <c r="C12" s="122"/>
      <c r="D12" s="95">
        <v>473916.0</v>
      </c>
      <c r="E12" s="58">
        <f t="array" ref="E12">IFERROR(INDEX('Monthly 스피킹 raw'!$A:$AAQ, MATCH(E$1, 'Monthly 스피킹 raw'!$A:$A, 0), MATCH($A12, 'Monthly 스피킹 raw'!$1:$1, 0)), 0)</f>
        <v>40</v>
      </c>
      <c r="F12" s="58">
        <f t="array" ref="F12">LET(val, IFERROR(INDEX('Monthly 스피킹 raw'!$A:$AAQ, MATCH(F$1, 'Monthly 스피킹 raw'!$A:$A, 0), MATCH($A12, 'Monthly 스피킹 raw'!$1:$1, 0)), ""), IF(val=0, "", val))</f>
        <v>206</v>
      </c>
      <c r="G12" s="58">
        <f t="array" ref="G12">LET(val, IFERROR(INDEX('Monthly 스피킹 raw'!$A:$AAQ, MATCH(G$1, 'Monthly 스피킹 raw'!$A:$A, 0), MATCH($A12, 'Monthly 스피킹 raw'!$1:$1, 0)), ""), IF(val=0, "", val))</f>
        <v>115</v>
      </c>
      <c r="H12" s="95"/>
      <c r="I12" s="95"/>
    </row>
    <row r="13" ht="18.75" customHeight="1">
      <c r="A13" s="11" t="s">
        <v>31</v>
      </c>
      <c r="B13" s="1" t="s">
        <v>32</v>
      </c>
      <c r="C13" s="91">
        <v>0.3</v>
      </c>
      <c r="D13" s="96">
        <v>0.39254190561279756</v>
      </c>
      <c r="E13" s="97">
        <f t="shared" ref="E13:G13" si="1"> 1 - (E14 / E15)</f>
        <v>-0.396998393</v>
      </c>
      <c r="F13" s="97">
        <f t="shared" si="1"/>
        <v>0.01160790866</v>
      </c>
      <c r="G13" s="97">
        <f t="shared" si="1"/>
        <v>0.5025388414</v>
      </c>
      <c r="H13" s="96"/>
      <c r="I13" s="96"/>
    </row>
    <row r="14" ht="18.75" customHeight="1">
      <c r="A14" s="23" t="s">
        <v>33</v>
      </c>
      <c r="B14" s="17" t="s">
        <v>136</v>
      </c>
      <c r="C14" s="120"/>
      <c r="D14" s="107">
        <v>4.802865054185848E9</v>
      </c>
      <c r="E14" s="104">
        <f>SUM('Daily 스피킹'!D15:K15)</f>
        <v>4671562.626</v>
      </c>
      <c r="F14" s="104">
        <f>IFERROR(SUM('Daily 스피킹'!L15:AP15), "")</f>
        <v>16190850.85</v>
      </c>
      <c r="G14" s="104">
        <f>IFERROR(SUM('Daily 스피킹'!AQ15:BR15), "")</f>
        <v>4130420</v>
      </c>
      <c r="H14" s="107"/>
      <c r="I14" s="107"/>
    </row>
    <row r="15" ht="18.75" customHeight="1">
      <c r="A15" s="23" t="s">
        <v>35</v>
      </c>
      <c r="B15" s="17" t="s">
        <v>27</v>
      </c>
      <c r="C15" s="120"/>
      <c r="D15" s="107">
        <v>7.9064961E9</v>
      </c>
      <c r="E15" s="104">
        <f t="array" ref="E15">IFERROR(INDEX('Monthly 스피킹 raw'!$A:$AAQ, MATCH(E$1, 'Monthly 스피킹 raw'!$A:$A, 0), MATCH($A15, 'Monthly 스피킹 raw'!$1:$1, 0)), 0)</f>
        <v>3344000</v>
      </c>
      <c r="F15" s="104">
        <f t="array" ref="F15">IFERROR(INDEX('Monthly 스피킹 raw'!$A:$AAQ, MATCH(F$1, 'Monthly 스피킹 raw'!$A:$A, 0), MATCH($A15, 'Monthly 스피킹 raw'!$1:$1, 0)), 0)</f>
        <v>16381000</v>
      </c>
      <c r="G15" s="104">
        <f t="array" ref="G15">IFERROR(INDEX('Monthly 스피킹 raw'!$A:$AAQ, MATCH(G$1, 'Monthly 스피킹 raw'!$A:$A, 0), MATCH($A15, 'Monthly 스피킹 raw'!$1:$1, 0)), 0)</f>
        <v>8303000</v>
      </c>
      <c r="H15" s="107"/>
      <c r="I15" s="107"/>
    </row>
    <row r="16" ht="18.75" customHeight="1">
      <c r="A16" s="1"/>
      <c r="B16" s="1" t="s">
        <v>115</v>
      </c>
      <c r="C16" s="91">
        <v>0.4</v>
      </c>
      <c r="D16" s="108"/>
      <c r="E16" s="58" t="str">
        <f t="array" ref="E16">LET(val, IFERROR(INDEX('Monthly 스피킹 raw'!$A:$AAQ, MATCH(E$1, 'Monthly 스피킹 raw'!$A:$A, 0), MATCH($A16, 'Monthly 스피킹 raw'!$1:$1, 0)), ""), IF(val=0, "", val))</f>
        <v/>
      </c>
      <c r="F16" s="58" t="str">
        <f t="array" ref="F16">LET(val, IFERROR(INDEX('Monthly 스피킹 raw'!$A:$AAQ, MATCH(F$1, 'Monthly 스피킹 raw'!$A:$A, 0), MATCH($A16, 'Monthly 스피킹 raw'!$1:$1, 0)), ""), IF(val=0, "", val))</f>
        <v/>
      </c>
      <c r="G16" s="58" t="str">
        <f t="array" ref="G16">LET(val, IFERROR(INDEX('Monthly 스피킹 raw'!$A:$AAQ, MATCH(G$1, 'Monthly 스피킹 raw'!$A:$A, 0), MATCH($A16, 'Monthly 스피킹 raw'!$1:$1, 0)), ""), IF(val=0, "", val))</f>
        <v/>
      </c>
      <c r="H16" s="108"/>
      <c r="I16" s="108"/>
    </row>
    <row r="17" ht="18.75" customHeight="1">
      <c r="A17" s="1"/>
      <c r="B17" s="17" t="s">
        <v>116</v>
      </c>
      <c r="C17" s="91"/>
      <c r="D17" s="108"/>
      <c r="E17" s="58" t="str">
        <f t="array" ref="E17">LET(val, IFERROR(INDEX('Monthly 스피킹 raw'!$A:$AAQ, MATCH(E$1, 'Monthly 스피킹 raw'!$A:$A, 0), MATCH($A17, 'Monthly 스피킹 raw'!$1:$1, 0)), ""), IF(val=0, "", val))</f>
        <v/>
      </c>
      <c r="F17" s="58" t="str">
        <f t="array" ref="F17">LET(val, IFERROR(INDEX('Monthly 스피킹 raw'!$A:$AAQ, MATCH(F$1, 'Monthly 스피킹 raw'!$A:$A, 0), MATCH($A17, 'Monthly 스피킹 raw'!$1:$1, 0)), ""), IF(val=0, "", val))</f>
        <v/>
      </c>
      <c r="G17" s="58" t="str">
        <f t="array" ref="G17">LET(val, IFERROR(INDEX('Monthly 스피킹 raw'!$A:$AAQ, MATCH(G$1, 'Monthly 스피킹 raw'!$A:$A, 0), MATCH($A17, 'Monthly 스피킹 raw'!$1:$1, 0)), ""), IF(val=0, "", val))</f>
        <v/>
      </c>
      <c r="H17" s="108"/>
      <c r="I17" s="108"/>
    </row>
    <row r="18" ht="18.75" customHeight="1">
      <c r="A18" s="1"/>
      <c r="B18" s="17" t="s">
        <v>117</v>
      </c>
      <c r="C18" s="91"/>
      <c r="D18" s="108"/>
      <c r="E18" s="58" t="str">
        <f t="array" ref="E18">LET(val, IFERROR(INDEX('Monthly 스피킹 raw'!$A:$AAQ, MATCH(E$1, 'Monthly 스피킹 raw'!$A:$A, 0), MATCH($A18, 'Monthly 스피킹 raw'!$1:$1, 0)), ""), IF(val=0, "", val))</f>
        <v/>
      </c>
      <c r="F18" s="58" t="str">
        <f t="array" ref="F18">LET(val, IFERROR(INDEX('Monthly 스피킹 raw'!$A:$AAQ, MATCH(F$1, 'Monthly 스피킹 raw'!$A:$A, 0), MATCH($A18, 'Monthly 스피킹 raw'!$1:$1, 0)), ""), IF(val=0, "", val))</f>
        <v/>
      </c>
      <c r="G18" s="58" t="str">
        <f t="array" ref="G18">LET(val, IFERROR(INDEX('Monthly 스피킹 raw'!$A:$AAQ, MATCH(G$1, 'Monthly 스피킹 raw'!$A:$A, 0), MATCH($A18, 'Monthly 스피킹 raw'!$1:$1, 0)), ""), IF(val=0, "", val))</f>
        <v/>
      </c>
      <c r="H18" s="108"/>
      <c r="I18" s="108"/>
    </row>
    <row r="19" ht="18.75" customHeight="1">
      <c r="A19" s="1"/>
      <c r="B19" s="17" t="s">
        <v>118</v>
      </c>
      <c r="C19" s="91"/>
      <c r="D19" s="108"/>
      <c r="E19" s="58" t="str">
        <f t="array" ref="E19">LET(val, IFERROR(INDEX('Monthly 스피킹 raw'!$A:$AAQ, MATCH(E$1, 'Monthly 스피킹 raw'!$A:$A, 0), MATCH($A19, 'Monthly 스피킹 raw'!$1:$1, 0)), ""), IF(val=0, "", val))</f>
        <v/>
      </c>
      <c r="F19" s="58" t="str">
        <f t="array" ref="F19">LET(val, IFERROR(INDEX('Monthly 스피킹 raw'!$A:$AAQ, MATCH(F$1, 'Monthly 스피킹 raw'!$A:$A, 0), MATCH($A19, 'Monthly 스피킹 raw'!$1:$1, 0)), ""), IF(val=0, "", val))</f>
        <v/>
      </c>
      <c r="G19" s="58" t="str">
        <f t="array" ref="G19">LET(val, IFERROR(INDEX('Monthly 스피킹 raw'!$A:$AAQ, MATCH(G$1, 'Monthly 스피킹 raw'!$A:$A, 0), MATCH($A19, 'Monthly 스피킹 raw'!$1:$1, 0)), ""), IF(val=0, "", val))</f>
        <v/>
      </c>
      <c r="H19" s="108"/>
      <c r="I19" s="108"/>
    </row>
    <row r="20" ht="18.75" customHeight="1">
      <c r="A20" s="16"/>
      <c r="B20" s="30" t="s">
        <v>36</v>
      </c>
      <c r="C20" s="111"/>
      <c r="D20" s="111"/>
      <c r="E20" s="58" t="str">
        <f t="array" ref="E20">LET(val, IFERROR(INDEX('Monthly 스피킹 raw'!$A:$AAQ, MATCH(E$1, 'Monthly 스피킹 raw'!$A:$A, 0), MATCH($A20, 'Monthly 스피킹 raw'!$1:$1, 0)), ""), IF(val=0, "", val))</f>
        <v/>
      </c>
      <c r="F20" s="58" t="str">
        <f t="array" ref="F20">LET(val, IFERROR(INDEX('Monthly 스피킹 raw'!$A:$AAQ, MATCH(F$1, 'Monthly 스피킹 raw'!$A:$A, 0), MATCH($A20, 'Monthly 스피킹 raw'!$1:$1, 0)), ""), IF(val=0, "", val))</f>
        <v/>
      </c>
      <c r="G20" s="58" t="str">
        <f t="array" ref="G20">LET(val, IFERROR(INDEX('Monthly 스피킹 raw'!$A:$AAQ, MATCH(G$1, 'Monthly 스피킹 raw'!$A:$A, 0), MATCH($A20, 'Monthly 스피킹 raw'!$1:$1, 0)), ""), IF(val=0, "", val))</f>
        <v/>
      </c>
      <c r="H20" s="111"/>
      <c r="I20" s="111"/>
    </row>
    <row r="21" ht="18.75" customHeight="1">
      <c r="A21" s="16" t="s">
        <v>37</v>
      </c>
      <c r="B21" s="17" t="s">
        <v>38</v>
      </c>
      <c r="C21" s="111"/>
      <c r="D21" s="111"/>
      <c r="E21" s="58" t="str">
        <f t="array" ref="E21">LET(val, IFERROR(INDEX('Monthly 스피킹 raw'!$A:$AAQ, MATCH(E$1, 'Monthly 스피킹 raw'!$A:$A, 0), MATCH($A21, 'Monthly 스피킹 raw'!$1:$1, 0)), ""), IF(val=0, "", val))</f>
        <v/>
      </c>
      <c r="F21" s="58" t="str">
        <f t="array" ref="F21">LET(val, IFERROR(INDEX('Monthly 스피킹 raw'!$A:$AAQ, MATCH(F$1, 'Monthly 스피킹 raw'!$A:$A, 0), MATCH($A21, 'Monthly 스피킹 raw'!$1:$1, 0)), ""), IF(val=0, "", val))</f>
        <v/>
      </c>
      <c r="G21" s="58" t="str">
        <f t="array" ref="G21">LET(val, IFERROR(INDEX('Monthly 스피킹 raw'!$A:$AAQ, MATCH(G$1, 'Monthly 스피킹 raw'!$A:$A, 0), MATCH($A21, 'Monthly 스피킹 raw'!$1:$1, 0)), ""), IF(val=0, "", val))</f>
        <v/>
      </c>
      <c r="H21" s="111"/>
      <c r="I21" s="111"/>
    </row>
    <row r="22" ht="18.75" customHeight="1">
      <c r="A22" s="16" t="s">
        <v>39</v>
      </c>
      <c r="B22" s="17" t="s">
        <v>40</v>
      </c>
      <c r="C22" s="111"/>
      <c r="D22" s="111"/>
      <c r="E22" s="58" t="str">
        <f t="array" ref="E22">LET(val, IFERROR(INDEX('Monthly 스피킹 raw'!$A:$AAQ, MATCH(E$1, 'Monthly 스피킹 raw'!$A:$A, 0), MATCH($A22, 'Monthly 스피킹 raw'!$1:$1, 0)), ""), IF(val=0, "", val))</f>
        <v/>
      </c>
      <c r="F22" s="58" t="str">
        <f t="array" ref="F22">LET(val, IFERROR(INDEX('Monthly 스피킹 raw'!$A:$AAQ, MATCH(F$1, 'Monthly 스피킹 raw'!$A:$A, 0), MATCH($A22, 'Monthly 스피킹 raw'!$1:$1, 0)), ""), IF(val=0, "", val))</f>
        <v/>
      </c>
      <c r="G22" s="58" t="str">
        <f t="array" ref="G22">LET(val, IFERROR(INDEX('Monthly 스피킹 raw'!$A:$AAQ, MATCH(G$1, 'Monthly 스피킹 raw'!$A:$A, 0), MATCH($A22, 'Monthly 스피킹 raw'!$1:$1, 0)), ""), IF(val=0, "", val))</f>
        <v/>
      </c>
      <c r="H22" s="111"/>
      <c r="I22" s="111"/>
    </row>
    <row r="23" ht="18.75" customHeight="1">
      <c r="A23" s="16" t="s">
        <v>41</v>
      </c>
      <c r="B23" s="17" t="s">
        <v>42</v>
      </c>
      <c r="C23" s="111"/>
      <c r="D23" s="111"/>
      <c r="E23" s="58">
        <f t="array" ref="E23">LET(val, IFERROR(INDEX('Monthly 스피킹 raw'!$A:$AAQ, MATCH(E$1, 'Monthly 스피킹 raw'!$A:$A, 0), MATCH($A23, 'Monthly 스피킹 raw'!$1:$1, 0)), ""), IF(val=0, "", val))</f>
        <v>4849</v>
      </c>
      <c r="F23" s="58">
        <f t="array" ref="F23">LET(val, IFERROR(INDEX('Monthly 스피킹 raw'!$A:$AAQ, MATCH(F$1, 'Monthly 스피킹 raw'!$A:$A, 0), MATCH($A23, 'Monthly 스피킹 raw'!$1:$1, 0)), ""), IF(val=0, "", val))</f>
        <v>15413</v>
      </c>
      <c r="G23" s="58">
        <f t="array" ref="G23">LET(val, IFERROR(INDEX('Monthly 스피킹 raw'!$A:$AAQ, MATCH(G$1, 'Monthly 스피킹 raw'!$A:$A, 0), MATCH($A23, 'Monthly 스피킹 raw'!$1:$1, 0)), ""), IF(val=0, "", val))</f>
        <v>10502</v>
      </c>
      <c r="H23" s="111"/>
      <c r="I23" s="111"/>
    </row>
    <row r="24" ht="18.75" customHeight="1">
      <c r="A24" s="16" t="s">
        <v>43</v>
      </c>
      <c r="B24" s="17" t="s">
        <v>44</v>
      </c>
      <c r="C24" s="111"/>
      <c r="D24" s="111"/>
      <c r="E24" s="58">
        <f t="array" ref="E24">LET(val, IFERROR(INDEX('Monthly 스피킹 raw'!$A:$AAQ, MATCH(E$1, 'Monthly 스피킹 raw'!$A:$A, 0), MATCH($A24, 'Monthly 스피킹 raw'!$1:$1, 0)), ""), IF(val=0, "", val))</f>
        <v>2416</v>
      </c>
      <c r="F24" s="58">
        <f t="array" ref="F24">LET(val, IFERROR(INDEX('Monthly 스피킹 raw'!$A:$AAQ, MATCH(F$1, 'Monthly 스피킹 raw'!$A:$A, 0), MATCH($A24, 'Monthly 스피킹 raw'!$1:$1, 0)), ""), IF(val=0, "", val))</f>
        <v>5363</v>
      </c>
      <c r="G24" s="58">
        <f t="array" ref="G24">LET(val, IFERROR(INDEX('Monthly 스피킹 raw'!$A:$AAQ, MATCH(G$1, 'Monthly 스피킹 raw'!$A:$A, 0), MATCH($A24, 'Monthly 스피킹 raw'!$1:$1, 0)), ""), IF(val=0, "", val))</f>
        <v>2975</v>
      </c>
      <c r="H24" s="111"/>
      <c r="I24" s="111"/>
    </row>
    <row r="25" ht="18.75" customHeight="1">
      <c r="A25" s="16" t="s">
        <v>45</v>
      </c>
      <c r="B25" s="17" t="s">
        <v>22</v>
      </c>
      <c r="C25" s="111"/>
      <c r="D25" s="111"/>
      <c r="E25" s="58">
        <f t="array" ref="E25">LET(val, IFERROR(INDEX('Monthly 스피킹 raw'!$A:$AAQ, MATCH(E$1, 'Monthly 스피킹 raw'!$A:$A, 0), MATCH($A25, 'Monthly 스피킹 raw'!$1:$1, 0)), ""), IF(val=0, "", val))</f>
        <v>2235</v>
      </c>
      <c r="F25" s="58">
        <f t="array" ref="F25">LET(val, IFERROR(INDEX('Monthly 스피킹 raw'!$A:$AAQ, MATCH(F$1, 'Monthly 스피킹 raw'!$A:$A, 0), MATCH($A25, 'Monthly 스피킹 raw'!$1:$1, 0)), ""), IF(val=0, "", val))</f>
        <v>5124</v>
      </c>
      <c r="G25" s="58">
        <f t="array" ref="G25">LET(val, IFERROR(INDEX('Monthly 스피킹 raw'!$A:$AAQ, MATCH(G$1, 'Monthly 스피킹 raw'!$A:$A, 0), MATCH($A25, 'Monthly 스피킹 raw'!$1:$1, 0)), ""), IF(val=0, "", val))</f>
        <v>2847</v>
      </c>
      <c r="H25" s="111"/>
      <c r="I25" s="111"/>
    </row>
    <row r="26" ht="18.75" customHeight="1">
      <c r="A26" s="16" t="s">
        <v>46</v>
      </c>
      <c r="B26" s="17" t="s">
        <v>47</v>
      </c>
      <c r="C26" s="111"/>
      <c r="D26" s="111"/>
      <c r="E26" s="58">
        <f t="array" ref="E26">LET(val, IFERROR(INDEX('Monthly 스피킹 raw'!$A:$AAQ, MATCH(E$1, 'Monthly 스피킹 raw'!$A:$A, 0), MATCH($A26, 'Monthly 스피킹 raw'!$1:$1, 0)), ""), IF(val=0, "", val))</f>
        <v>1147</v>
      </c>
      <c r="F26" s="58">
        <f t="array" ref="F26">LET(val, IFERROR(INDEX('Monthly 스피킹 raw'!$A:$AAQ, MATCH(F$1, 'Monthly 스피킹 raw'!$A:$A, 0), MATCH($A26, 'Monthly 스피킹 raw'!$1:$1, 0)), ""), IF(val=0, "", val))</f>
        <v>3491</v>
      </c>
      <c r="G26" s="58">
        <f t="array" ref="G26">LET(val, IFERROR(INDEX('Monthly 스피킹 raw'!$A:$AAQ, MATCH(G$1, 'Monthly 스피킹 raw'!$A:$A, 0), MATCH($A26, 'Monthly 스피킹 raw'!$1:$1, 0)), ""), IF(val=0, "", val))</f>
        <v>1931</v>
      </c>
      <c r="H26" s="111"/>
      <c r="I26" s="111"/>
    </row>
    <row r="27" ht="18.75" customHeight="1">
      <c r="A27" s="16" t="s">
        <v>48</v>
      </c>
      <c r="B27" s="17" t="s">
        <v>20</v>
      </c>
      <c r="C27" s="111"/>
      <c r="D27" s="111"/>
      <c r="E27" s="58">
        <f t="array" ref="E27">LET(val, IFERROR(INDEX('Monthly 스피킹 raw'!$A:$AAQ, MATCH(E$1, 'Monthly 스피킹 raw'!$A:$A, 0), MATCH($A27, 'Monthly 스피킹 raw'!$1:$1, 0)), ""), IF(val=0, "", val))</f>
        <v>12</v>
      </c>
      <c r="F27" s="58">
        <f t="array" ref="F27">LET(val, IFERROR(INDEX('Monthly 스피킹 raw'!$A:$AAQ, MATCH(F$1, 'Monthly 스피킹 raw'!$A:$A, 0), MATCH($A27, 'Monthly 스피킹 raw'!$1:$1, 0)), ""), IF(val=0, "", val))</f>
        <v>46</v>
      </c>
      <c r="G27" s="58">
        <f t="array" ref="G27">LET(val, IFERROR(INDEX('Monthly 스피킹 raw'!$A:$AAQ, MATCH(G$1, 'Monthly 스피킹 raw'!$A:$A, 0), MATCH($A27, 'Monthly 스피킹 raw'!$1:$1, 0)), ""), IF(val=0, "", val))</f>
        <v>20</v>
      </c>
      <c r="H27" s="111"/>
      <c r="I27" s="111"/>
    </row>
    <row r="28">
      <c r="A28" s="16"/>
      <c r="B28" s="30" t="s">
        <v>49</v>
      </c>
      <c r="C28" s="111"/>
      <c r="D28" s="111"/>
      <c r="E28" s="58" t="str">
        <f t="array" ref="E28">LET(val, IFERROR(INDEX('Monthly 스피킹 raw'!$A:$AAQ, MATCH(E$1, 'Monthly 스피킹 raw'!$A:$A, 0), MATCH($A28, 'Monthly 스피킹 raw'!$1:$1, 0)), ""), IF(val=0, "", val))</f>
        <v/>
      </c>
      <c r="F28" s="58" t="str">
        <f t="array" ref="F28">LET(val, IFERROR(INDEX('Monthly 스피킹 raw'!$A:$AAQ, MATCH(F$1, 'Monthly 스피킹 raw'!$A:$A, 0), MATCH($A28, 'Monthly 스피킹 raw'!$1:$1, 0)), ""), IF(val=0, "", val))</f>
        <v/>
      </c>
      <c r="G28" s="58" t="str">
        <f t="array" ref="G28">LET(val, IFERROR(INDEX('Monthly 스피킹 raw'!$A:$AAQ, MATCH(G$1, 'Monthly 스피킹 raw'!$A:$A, 0), MATCH($A28, 'Monthly 스피킹 raw'!$1:$1, 0)), ""), IF(val=0, "", val))</f>
        <v/>
      </c>
      <c r="H28" s="111"/>
      <c r="I28" s="111"/>
    </row>
    <row r="29">
      <c r="A29" s="16" t="s">
        <v>50</v>
      </c>
      <c r="B29" s="48" t="s">
        <v>42</v>
      </c>
      <c r="C29" s="111"/>
      <c r="D29" s="111"/>
      <c r="E29" s="58">
        <f t="array" ref="E29">LET(val, IFERROR(INDEX('Monthly 스피킹 raw'!$A:$AAQ, MATCH(E$1, 'Monthly 스피킹 raw'!$A:$A, 0), MATCH($A29, 'Monthly 스피킹 raw'!$1:$1, 0)), ""), IF(val=0, "", val))</f>
        <v>25017</v>
      </c>
      <c r="F29" s="58">
        <f t="array" ref="F29">LET(val, IFERROR(INDEX('Monthly 스피킹 raw'!$A:$AAQ, MATCH(F$1, 'Monthly 스피킹 raw'!$A:$A, 0), MATCH($A29, 'Monthly 스피킹 raw'!$1:$1, 0)), ""), IF(val=0, "", val))</f>
        <v>68246</v>
      </c>
      <c r="G29" s="58">
        <f t="array" ref="G29">LET(val, IFERROR(INDEX('Monthly 스피킹 raw'!$A:$AAQ, MATCH(G$1, 'Monthly 스피킹 raw'!$A:$A, 0), MATCH($A29, 'Monthly 스피킹 raw'!$1:$1, 0)), ""), IF(val=0, "", val))</f>
        <v>38069</v>
      </c>
      <c r="H29" s="111"/>
      <c r="I29" s="111"/>
    </row>
    <row r="30">
      <c r="A30" s="16" t="s">
        <v>51</v>
      </c>
      <c r="B30" s="48" t="s">
        <v>44</v>
      </c>
      <c r="C30" s="111"/>
      <c r="D30" s="111"/>
      <c r="E30" s="58">
        <f t="array" ref="E30">LET(val, IFERROR(INDEX('Monthly 스피킹 raw'!$A:$AAQ, MATCH(E$1, 'Monthly 스피킹 raw'!$A:$A, 0), MATCH($A30, 'Monthly 스피킹 raw'!$1:$1, 0)), ""), IF(val=0, "", val))</f>
        <v>15198</v>
      </c>
      <c r="F30" s="58">
        <f t="array" ref="F30">LET(val, IFERROR(INDEX('Monthly 스피킹 raw'!$A:$AAQ, MATCH(F$1, 'Monthly 스피킹 raw'!$A:$A, 0), MATCH($A30, 'Monthly 스피킹 raw'!$1:$1, 0)), ""), IF(val=0, "", val))</f>
        <v>36099</v>
      </c>
      <c r="G30" s="58">
        <f t="array" ref="G30">LET(val, IFERROR(INDEX('Monthly 스피킹 raw'!$A:$AAQ, MATCH(G$1, 'Monthly 스피킹 raw'!$A:$A, 0), MATCH($A30, 'Monthly 스피킹 raw'!$1:$1, 0)), ""), IF(val=0, "", val))</f>
        <v>22372</v>
      </c>
      <c r="H30" s="111"/>
      <c r="I30" s="111"/>
    </row>
    <row r="31">
      <c r="A31" s="16" t="s">
        <v>52</v>
      </c>
      <c r="B31" s="48" t="s">
        <v>22</v>
      </c>
      <c r="C31" s="111"/>
      <c r="D31" s="111"/>
      <c r="E31" s="58">
        <f t="array" ref="E31">LET(val, IFERROR(INDEX('Monthly 스피킹 raw'!$A:$AAQ, MATCH(E$1, 'Monthly 스피킹 raw'!$A:$A, 0), MATCH($A31, 'Monthly 스피킹 raw'!$1:$1, 0)), ""), IF(val=0, "", val))</f>
        <v>12874</v>
      </c>
      <c r="F31" s="58">
        <f t="array" ref="F31">LET(val, IFERROR(INDEX('Monthly 스피킹 raw'!$A:$AAQ, MATCH(F$1, 'Monthly 스피킹 raw'!$A:$A, 0), MATCH($A31, 'Monthly 스피킹 raw'!$1:$1, 0)), ""), IF(val=0, "", val))</f>
        <v>33819</v>
      </c>
      <c r="G31" s="58">
        <f t="array" ref="G31">LET(val, IFERROR(INDEX('Monthly 스피킹 raw'!$A:$AAQ, MATCH(G$1, 'Monthly 스피킹 raw'!$A:$A, 0), MATCH($A31, 'Monthly 스피킹 raw'!$1:$1, 0)), ""), IF(val=0, "", val))</f>
        <v>22838</v>
      </c>
      <c r="H31" s="111"/>
      <c r="I31" s="111"/>
    </row>
    <row r="32">
      <c r="A32" s="16" t="s">
        <v>53</v>
      </c>
      <c r="B32" s="48" t="s">
        <v>47</v>
      </c>
      <c r="C32" s="111"/>
      <c r="D32" s="111"/>
      <c r="E32" s="58">
        <f t="array" ref="E32">LET(val, IFERROR(INDEX('Monthly 스피킹 raw'!$A:$AAQ, MATCH(E$1, 'Monthly 스피킹 raw'!$A:$A, 0), MATCH($A32, 'Monthly 스피킹 raw'!$1:$1, 0)), ""), IF(val=0, "", val))</f>
        <v>4282</v>
      </c>
      <c r="F32" s="58">
        <f t="array" ref="F32">LET(val, IFERROR(INDEX('Monthly 스피킹 raw'!$A:$AAQ, MATCH(F$1, 'Monthly 스피킹 raw'!$A:$A, 0), MATCH($A32, 'Monthly 스피킹 raw'!$1:$1, 0)), ""), IF(val=0, "", val))</f>
        <v>16402</v>
      </c>
      <c r="G32" s="58">
        <f t="array" ref="G32">LET(val, IFERROR(INDEX('Monthly 스피킹 raw'!$A:$AAQ, MATCH(G$1, 'Monthly 스피킹 raw'!$A:$A, 0), MATCH($A32, 'Monthly 스피킹 raw'!$1:$1, 0)), ""), IF(val=0, "", val))</f>
        <v>9514</v>
      </c>
      <c r="H32" s="111"/>
      <c r="I32" s="111"/>
    </row>
    <row r="33">
      <c r="A33" s="16" t="s">
        <v>54</v>
      </c>
      <c r="B33" s="48" t="s">
        <v>20</v>
      </c>
      <c r="C33" s="111"/>
      <c r="D33" s="111"/>
      <c r="E33" s="58">
        <f t="array" ref="E33">LET(val, IFERROR(INDEX('Monthly 스피킹 raw'!$A:$AAQ, MATCH(E$1, 'Monthly 스피킹 raw'!$A:$A, 0), MATCH($A33, 'Monthly 스피킹 raw'!$1:$1, 0)), ""), IF(val=0, "", val))</f>
        <v>28</v>
      </c>
      <c r="F33" s="58">
        <f t="array" ref="F33">LET(val, IFERROR(INDEX('Monthly 스피킹 raw'!$A:$AAQ, MATCH(F$1, 'Monthly 스피킹 raw'!$A:$A, 0), MATCH($A33, 'Monthly 스피킹 raw'!$1:$1, 0)), ""), IF(val=0, "", val))</f>
        <v>159</v>
      </c>
      <c r="G33" s="58">
        <f t="array" ref="G33">LET(val, IFERROR(INDEX('Monthly 스피킹 raw'!$A:$AAQ, MATCH(G$1, 'Monthly 스피킹 raw'!$A:$A, 0), MATCH($A33, 'Monthly 스피킹 raw'!$1:$1, 0)), ""), IF(val=0, "", val))</f>
        <v>94</v>
      </c>
      <c r="H33" s="111"/>
      <c r="I33" s="111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25"/>
    <col customWidth="1" hidden="1" min="2" max="2" width="32.0"/>
    <col customWidth="1" min="3" max="3" width="46.13"/>
    <col customWidth="1" min="4" max="101" width="8.88"/>
  </cols>
  <sheetData>
    <row r="1">
      <c r="A1" s="1"/>
      <c r="B1" s="1"/>
      <c r="C1" s="1"/>
      <c r="D1" s="36" t="s">
        <v>137</v>
      </c>
      <c r="E1" s="36" t="s">
        <v>138</v>
      </c>
      <c r="F1" s="36" t="str">
        <f t="shared" ref="F1:CW1" si="1">text(F2, "ddd")</f>
        <v>금</v>
      </c>
      <c r="G1" s="36" t="str">
        <f t="shared" si="1"/>
        <v>토</v>
      </c>
      <c r="H1" s="36" t="str">
        <f t="shared" si="1"/>
        <v>일</v>
      </c>
      <c r="I1" s="36" t="str">
        <f t="shared" si="1"/>
        <v>월</v>
      </c>
      <c r="J1" s="36" t="str">
        <f t="shared" si="1"/>
        <v>화</v>
      </c>
      <c r="K1" s="36" t="str">
        <f t="shared" si="1"/>
        <v>수</v>
      </c>
      <c r="L1" s="36" t="str">
        <f t="shared" si="1"/>
        <v>목</v>
      </c>
      <c r="M1" s="36" t="str">
        <f t="shared" si="1"/>
        <v>금</v>
      </c>
      <c r="N1" s="36" t="str">
        <f t="shared" si="1"/>
        <v>토</v>
      </c>
      <c r="O1" s="36" t="str">
        <f t="shared" si="1"/>
        <v>일</v>
      </c>
      <c r="P1" s="36" t="str">
        <f t="shared" si="1"/>
        <v>월</v>
      </c>
      <c r="Q1" s="36" t="str">
        <f t="shared" si="1"/>
        <v>화</v>
      </c>
      <c r="R1" s="36" t="str">
        <f t="shared" si="1"/>
        <v>수</v>
      </c>
      <c r="S1" s="36" t="str">
        <f t="shared" si="1"/>
        <v>목</v>
      </c>
      <c r="T1" s="36" t="str">
        <f t="shared" si="1"/>
        <v>금</v>
      </c>
      <c r="U1" s="36" t="str">
        <f t="shared" si="1"/>
        <v>토</v>
      </c>
      <c r="V1" s="36" t="str">
        <f t="shared" si="1"/>
        <v>일</v>
      </c>
      <c r="W1" s="36" t="str">
        <f t="shared" si="1"/>
        <v>월</v>
      </c>
      <c r="X1" s="36" t="str">
        <f t="shared" si="1"/>
        <v>화</v>
      </c>
      <c r="Y1" s="36" t="str">
        <f t="shared" si="1"/>
        <v>수</v>
      </c>
      <c r="Z1" s="36" t="str">
        <f t="shared" si="1"/>
        <v>목</v>
      </c>
      <c r="AA1" s="36" t="str">
        <f t="shared" si="1"/>
        <v>금</v>
      </c>
      <c r="AB1" s="36" t="str">
        <f t="shared" si="1"/>
        <v>토</v>
      </c>
      <c r="AC1" s="36" t="str">
        <f t="shared" si="1"/>
        <v>일</v>
      </c>
      <c r="AD1" s="36" t="str">
        <f t="shared" si="1"/>
        <v>월</v>
      </c>
      <c r="AE1" s="36" t="str">
        <f t="shared" si="1"/>
        <v>화</v>
      </c>
      <c r="AF1" s="36" t="str">
        <f t="shared" si="1"/>
        <v>수</v>
      </c>
      <c r="AG1" s="36" t="str">
        <f t="shared" si="1"/>
        <v>목</v>
      </c>
      <c r="AH1" s="36" t="str">
        <f t="shared" si="1"/>
        <v>금</v>
      </c>
      <c r="AI1" s="36" t="str">
        <f t="shared" si="1"/>
        <v>토</v>
      </c>
      <c r="AJ1" s="36" t="str">
        <f t="shared" si="1"/>
        <v>일</v>
      </c>
      <c r="AK1" s="36" t="str">
        <f t="shared" si="1"/>
        <v>월</v>
      </c>
      <c r="AL1" s="36" t="str">
        <f t="shared" si="1"/>
        <v>화</v>
      </c>
      <c r="AM1" s="36" t="str">
        <f t="shared" si="1"/>
        <v>수</v>
      </c>
      <c r="AN1" s="36" t="str">
        <f t="shared" si="1"/>
        <v>목</v>
      </c>
      <c r="AO1" s="36" t="str">
        <f t="shared" si="1"/>
        <v>금</v>
      </c>
      <c r="AP1" s="36" t="str">
        <f t="shared" si="1"/>
        <v>토</v>
      </c>
      <c r="AQ1" s="36" t="str">
        <f t="shared" si="1"/>
        <v>일</v>
      </c>
      <c r="AR1" s="36" t="str">
        <f t="shared" si="1"/>
        <v>월</v>
      </c>
      <c r="AS1" s="36" t="str">
        <f t="shared" si="1"/>
        <v>화</v>
      </c>
      <c r="AT1" s="36" t="str">
        <f t="shared" si="1"/>
        <v>수</v>
      </c>
      <c r="AU1" s="36" t="str">
        <f t="shared" si="1"/>
        <v>목</v>
      </c>
      <c r="AV1" s="36" t="str">
        <f t="shared" si="1"/>
        <v>금</v>
      </c>
      <c r="AW1" s="36" t="str">
        <f t="shared" si="1"/>
        <v>토</v>
      </c>
      <c r="AX1" s="36" t="str">
        <f t="shared" si="1"/>
        <v>일</v>
      </c>
      <c r="AY1" s="36" t="str">
        <f t="shared" si="1"/>
        <v>월</v>
      </c>
      <c r="AZ1" s="36" t="str">
        <f t="shared" si="1"/>
        <v>화</v>
      </c>
      <c r="BA1" s="36" t="str">
        <f t="shared" si="1"/>
        <v>수</v>
      </c>
      <c r="BB1" s="36" t="str">
        <f t="shared" si="1"/>
        <v>목</v>
      </c>
      <c r="BC1" s="36" t="str">
        <f t="shared" si="1"/>
        <v>금</v>
      </c>
      <c r="BD1" s="36" t="str">
        <f t="shared" si="1"/>
        <v>토</v>
      </c>
      <c r="BE1" s="36" t="str">
        <f t="shared" si="1"/>
        <v>일</v>
      </c>
      <c r="BF1" s="36" t="str">
        <f t="shared" si="1"/>
        <v>월</v>
      </c>
      <c r="BG1" s="36" t="str">
        <f t="shared" si="1"/>
        <v>화</v>
      </c>
      <c r="BH1" s="36" t="str">
        <f t="shared" si="1"/>
        <v>수</v>
      </c>
      <c r="BI1" s="36" t="str">
        <f t="shared" si="1"/>
        <v>목</v>
      </c>
      <c r="BJ1" s="36" t="str">
        <f t="shared" si="1"/>
        <v>금</v>
      </c>
      <c r="BK1" s="36" t="str">
        <f t="shared" si="1"/>
        <v>토</v>
      </c>
      <c r="BL1" s="36" t="str">
        <f t="shared" si="1"/>
        <v>일</v>
      </c>
      <c r="BM1" s="36" t="str">
        <f t="shared" si="1"/>
        <v>월</v>
      </c>
      <c r="BN1" s="36" t="str">
        <f t="shared" si="1"/>
        <v>화</v>
      </c>
      <c r="BO1" s="36" t="str">
        <f t="shared" si="1"/>
        <v>수</v>
      </c>
      <c r="BP1" s="36" t="str">
        <f t="shared" si="1"/>
        <v>목</v>
      </c>
      <c r="BQ1" s="36" t="str">
        <f t="shared" si="1"/>
        <v>금</v>
      </c>
      <c r="BR1" s="36" t="str">
        <f t="shared" si="1"/>
        <v>토</v>
      </c>
      <c r="BS1" s="36" t="str">
        <f t="shared" si="1"/>
        <v>일</v>
      </c>
      <c r="BT1" s="36" t="str">
        <f t="shared" si="1"/>
        <v>월</v>
      </c>
      <c r="BU1" s="36" t="str">
        <f t="shared" si="1"/>
        <v>화</v>
      </c>
      <c r="BV1" s="36" t="str">
        <f t="shared" si="1"/>
        <v>수</v>
      </c>
      <c r="BW1" s="36" t="str">
        <f t="shared" si="1"/>
        <v>목</v>
      </c>
      <c r="BX1" s="36" t="str">
        <f t="shared" si="1"/>
        <v>금</v>
      </c>
      <c r="BY1" s="36" t="str">
        <f t="shared" si="1"/>
        <v>토</v>
      </c>
      <c r="BZ1" s="36" t="str">
        <f t="shared" si="1"/>
        <v>일</v>
      </c>
      <c r="CA1" s="36" t="str">
        <f t="shared" si="1"/>
        <v>월</v>
      </c>
      <c r="CB1" s="36" t="str">
        <f t="shared" si="1"/>
        <v>화</v>
      </c>
      <c r="CC1" s="36" t="str">
        <f t="shared" si="1"/>
        <v>수</v>
      </c>
      <c r="CD1" s="36" t="str">
        <f t="shared" si="1"/>
        <v>목</v>
      </c>
      <c r="CE1" s="36" t="str">
        <f t="shared" si="1"/>
        <v>금</v>
      </c>
      <c r="CF1" s="36" t="str">
        <f t="shared" si="1"/>
        <v>토</v>
      </c>
      <c r="CG1" s="36" t="str">
        <f t="shared" si="1"/>
        <v>일</v>
      </c>
      <c r="CH1" s="36" t="str">
        <f t="shared" si="1"/>
        <v>월</v>
      </c>
      <c r="CI1" s="36" t="str">
        <f t="shared" si="1"/>
        <v>화</v>
      </c>
      <c r="CJ1" s="36" t="str">
        <f t="shared" si="1"/>
        <v>수</v>
      </c>
      <c r="CK1" s="36" t="str">
        <f t="shared" si="1"/>
        <v>목</v>
      </c>
      <c r="CL1" s="36" t="str">
        <f t="shared" si="1"/>
        <v>금</v>
      </c>
      <c r="CM1" s="36" t="str">
        <f t="shared" si="1"/>
        <v>토</v>
      </c>
      <c r="CN1" s="36" t="str">
        <f t="shared" si="1"/>
        <v>일</v>
      </c>
      <c r="CO1" s="36" t="str">
        <f t="shared" si="1"/>
        <v>월</v>
      </c>
      <c r="CP1" s="36" t="str">
        <f t="shared" si="1"/>
        <v>화</v>
      </c>
      <c r="CQ1" s="36" t="str">
        <f t="shared" si="1"/>
        <v>수</v>
      </c>
      <c r="CR1" s="36" t="str">
        <f t="shared" si="1"/>
        <v>목</v>
      </c>
      <c r="CS1" s="36" t="str">
        <f t="shared" si="1"/>
        <v>금</v>
      </c>
      <c r="CT1" s="36" t="str">
        <f t="shared" si="1"/>
        <v>토</v>
      </c>
      <c r="CU1" s="36" t="str">
        <f t="shared" si="1"/>
        <v>일</v>
      </c>
      <c r="CV1" s="36" t="str">
        <f t="shared" si="1"/>
        <v>월</v>
      </c>
      <c r="CW1" s="36" t="str">
        <f t="shared" si="1"/>
        <v>화</v>
      </c>
    </row>
    <row r="2" ht="22.5" customHeight="1">
      <c r="A2" s="123"/>
      <c r="B2" s="7" t="s">
        <v>3</v>
      </c>
      <c r="C2" s="35" t="s">
        <v>61</v>
      </c>
      <c r="D2" s="40">
        <v>46015.0</v>
      </c>
      <c r="E2" s="40">
        <v>46016.0</v>
      </c>
      <c r="F2" s="40">
        <v>46017.0</v>
      </c>
      <c r="G2" s="40">
        <v>46018.0</v>
      </c>
      <c r="H2" s="40">
        <v>46019.0</v>
      </c>
      <c r="I2" s="40">
        <v>46020.0</v>
      </c>
      <c r="J2" s="40">
        <v>46021.0</v>
      </c>
      <c r="K2" s="40">
        <v>46022.0</v>
      </c>
      <c r="L2" s="40">
        <v>46023.0</v>
      </c>
      <c r="M2" s="40">
        <f t="shared" ref="M2:CW2" si="2">L2+1</f>
        <v>46024</v>
      </c>
      <c r="N2" s="40">
        <f t="shared" si="2"/>
        <v>46025</v>
      </c>
      <c r="O2" s="40">
        <f t="shared" si="2"/>
        <v>46026</v>
      </c>
      <c r="P2" s="40">
        <f t="shared" si="2"/>
        <v>46027</v>
      </c>
      <c r="Q2" s="40">
        <f t="shared" si="2"/>
        <v>46028</v>
      </c>
      <c r="R2" s="40">
        <f t="shared" si="2"/>
        <v>46029</v>
      </c>
      <c r="S2" s="40">
        <f t="shared" si="2"/>
        <v>46030</v>
      </c>
      <c r="T2" s="40">
        <f t="shared" si="2"/>
        <v>46031</v>
      </c>
      <c r="U2" s="40">
        <f t="shared" si="2"/>
        <v>46032</v>
      </c>
      <c r="V2" s="40">
        <f t="shared" si="2"/>
        <v>46033</v>
      </c>
      <c r="W2" s="40">
        <f t="shared" si="2"/>
        <v>46034</v>
      </c>
      <c r="X2" s="40">
        <f t="shared" si="2"/>
        <v>46035</v>
      </c>
      <c r="Y2" s="40">
        <f t="shared" si="2"/>
        <v>46036</v>
      </c>
      <c r="Z2" s="40">
        <f t="shared" si="2"/>
        <v>46037</v>
      </c>
      <c r="AA2" s="40">
        <f t="shared" si="2"/>
        <v>46038</v>
      </c>
      <c r="AB2" s="40">
        <f t="shared" si="2"/>
        <v>46039</v>
      </c>
      <c r="AC2" s="40">
        <f t="shared" si="2"/>
        <v>46040</v>
      </c>
      <c r="AD2" s="40">
        <f t="shared" si="2"/>
        <v>46041</v>
      </c>
      <c r="AE2" s="40">
        <f t="shared" si="2"/>
        <v>46042</v>
      </c>
      <c r="AF2" s="40">
        <f t="shared" si="2"/>
        <v>46043</v>
      </c>
      <c r="AG2" s="40">
        <f t="shared" si="2"/>
        <v>46044</v>
      </c>
      <c r="AH2" s="40">
        <f t="shared" si="2"/>
        <v>46045</v>
      </c>
      <c r="AI2" s="40">
        <f t="shared" si="2"/>
        <v>46046</v>
      </c>
      <c r="AJ2" s="40">
        <f t="shared" si="2"/>
        <v>46047</v>
      </c>
      <c r="AK2" s="40">
        <f t="shared" si="2"/>
        <v>46048</v>
      </c>
      <c r="AL2" s="40">
        <f t="shared" si="2"/>
        <v>46049</v>
      </c>
      <c r="AM2" s="40">
        <f t="shared" si="2"/>
        <v>46050</v>
      </c>
      <c r="AN2" s="40">
        <f t="shared" si="2"/>
        <v>46051</v>
      </c>
      <c r="AO2" s="40">
        <f t="shared" si="2"/>
        <v>46052</v>
      </c>
      <c r="AP2" s="40">
        <f t="shared" si="2"/>
        <v>46053</v>
      </c>
      <c r="AQ2" s="40">
        <f t="shared" si="2"/>
        <v>46054</v>
      </c>
      <c r="AR2" s="40">
        <f t="shared" si="2"/>
        <v>46055</v>
      </c>
      <c r="AS2" s="40">
        <f t="shared" si="2"/>
        <v>46056</v>
      </c>
      <c r="AT2" s="40">
        <f t="shared" si="2"/>
        <v>46057</v>
      </c>
      <c r="AU2" s="40">
        <f t="shared" si="2"/>
        <v>46058</v>
      </c>
      <c r="AV2" s="40">
        <f t="shared" si="2"/>
        <v>46059</v>
      </c>
      <c r="AW2" s="40">
        <f t="shared" si="2"/>
        <v>46060</v>
      </c>
      <c r="AX2" s="40">
        <f t="shared" si="2"/>
        <v>46061</v>
      </c>
      <c r="AY2" s="40">
        <f t="shared" si="2"/>
        <v>46062</v>
      </c>
      <c r="AZ2" s="40">
        <f t="shared" si="2"/>
        <v>46063</v>
      </c>
      <c r="BA2" s="40">
        <f t="shared" si="2"/>
        <v>46064</v>
      </c>
      <c r="BB2" s="40">
        <f t="shared" si="2"/>
        <v>46065</v>
      </c>
      <c r="BC2" s="40">
        <f t="shared" si="2"/>
        <v>46066</v>
      </c>
      <c r="BD2" s="40">
        <f t="shared" si="2"/>
        <v>46067</v>
      </c>
      <c r="BE2" s="40">
        <f t="shared" si="2"/>
        <v>46068</v>
      </c>
      <c r="BF2" s="40">
        <f t="shared" si="2"/>
        <v>46069</v>
      </c>
      <c r="BG2" s="40">
        <f t="shared" si="2"/>
        <v>46070</v>
      </c>
      <c r="BH2" s="40">
        <f t="shared" si="2"/>
        <v>46071</v>
      </c>
      <c r="BI2" s="40">
        <f t="shared" si="2"/>
        <v>46072</v>
      </c>
      <c r="BJ2" s="40">
        <f t="shared" si="2"/>
        <v>46073</v>
      </c>
      <c r="BK2" s="40">
        <f t="shared" si="2"/>
        <v>46074</v>
      </c>
      <c r="BL2" s="40">
        <f t="shared" si="2"/>
        <v>46075</v>
      </c>
      <c r="BM2" s="40">
        <f t="shared" si="2"/>
        <v>46076</v>
      </c>
      <c r="BN2" s="40">
        <f t="shared" si="2"/>
        <v>46077</v>
      </c>
      <c r="BO2" s="40">
        <f t="shared" si="2"/>
        <v>46078</v>
      </c>
      <c r="BP2" s="40">
        <f t="shared" si="2"/>
        <v>46079</v>
      </c>
      <c r="BQ2" s="40">
        <f t="shared" si="2"/>
        <v>46080</v>
      </c>
      <c r="BR2" s="40">
        <f t="shared" si="2"/>
        <v>46081</v>
      </c>
      <c r="BS2" s="40">
        <f t="shared" si="2"/>
        <v>46082</v>
      </c>
      <c r="BT2" s="40">
        <f t="shared" si="2"/>
        <v>46083</v>
      </c>
      <c r="BU2" s="40">
        <f t="shared" si="2"/>
        <v>46084</v>
      </c>
      <c r="BV2" s="40">
        <f t="shared" si="2"/>
        <v>46085</v>
      </c>
      <c r="BW2" s="40">
        <f t="shared" si="2"/>
        <v>46086</v>
      </c>
      <c r="BX2" s="40">
        <f t="shared" si="2"/>
        <v>46087</v>
      </c>
      <c r="BY2" s="40">
        <f t="shared" si="2"/>
        <v>46088</v>
      </c>
      <c r="BZ2" s="40">
        <f t="shared" si="2"/>
        <v>46089</v>
      </c>
      <c r="CA2" s="40">
        <f t="shared" si="2"/>
        <v>46090</v>
      </c>
      <c r="CB2" s="40">
        <f t="shared" si="2"/>
        <v>46091</v>
      </c>
      <c r="CC2" s="40">
        <f t="shared" si="2"/>
        <v>46092</v>
      </c>
      <c r="CD2" s="40">
        <f t="shared" si="2"/>
        <v>46093</v>
      </c>
      <c r="CE2" s="40">
        <f t="shared" si="2"/>
        <v>46094</v>
      </c>
      <c r="CF2" s="40">
        <f t="shared" si="2"/>
        <v>46095</v>
      </c>
      <c r="CG2" s="40">
        <f t="shared" si="2"/>
        <v>46096</v>
      </c>
      <c r="CH2" s="40">
        <f t="shared" si="2"/>
        <v>46097</v>
      </c>
      <c r="CI2" s="40">
        <f t="shared" si="2"/>
        <v>46098</v>
      </c>
      <c r="CJ2" s="40">
        <f t="shared" si="2"/>
        <v>46099</v>
      </c>
      <c r="CK2" s="40">
        <f t="shared" si="2"/>
        <v>46100</v>
      </c>
      <c r="CL2" s="40">
        <f t="shared" si="2"/>
        <v>46101</v>
      </c>
      <c r="CM2" s="40">
        <f t="shared" si="2"/>
        <v>46102</v>
      </c>
      <c r="CN2" s="40">
        <f t="shared" si="2"/>
        <v>46103</v>
      </c>
      <c r="CO2" s="40">
        <f t="shared" si="2"/>
        <v>46104</v>
      </c>
      <c r="CP2" s="40">
        <f t="shared" si="2"/>
        <v>46105</v>
      </c>
      <c r="CQ2" s="40">
        <f t="shared" si="2"/>
        <v>46106</v>
      </c>
      <c r="CR2" s="40">
        <f t="shared" si="2"/>
        <v>46107</v>
      </c>
      <c r="CS2" s="40">
        <f t="shared" si="2"/>
        <v>46108</v>
      </c>
      <c r="CT2" s="40">
        <f t="shared" si="2"/>
        <v>46109</v>
      </c>
      <c r="CU2" s="40">
        <f t="shared" si="2"/>
        <v>46110</v>
      </c>
      <c r="CV2" s="40">
        <f t="shared" si="2"/>
        <v>46111</v>
      </c>
      <c r="CW2" s="40">
        <f t="shared" si="2"/>
        <v>46112</v>
      </c>
    </row>
    <row r="3" ht="22.5" customHeight="1">
      <c r="A3" s="124"/>
      <c r="B3" s="11" t="s">
        <v>10</v>
      </c>
      <c r="C3" s="12" t="s">
        <v>139</v>
      </c>
      <c r="D3" s="42">
        <f t="array" ref="D3">LET(val, IFERROR(INDEX('Daily 스피킹 raw'!$A:$Z, MATCH(D$2, 'Daily 스피킹 raw'!$A:$A, 0), MATCH($B3, 'Daily 스피킹 raw'!$1:$1, 0)), ""), IF(val=0, "", val))</f>
        <v>1</v>
      </c>
      <c r="E3" s="42">
        <f t="array" ref="E3">LET(val, IFERROR(INDEX('Daily 스피킹 raw'!$A:$Z, MATCH(E$2, 'Daily 스피킹 raw'!$A:$A, 0), MATCH($B3, 'Daily 스피킹 raw'!$1:$1, 0)), ""), IF(val=0, "", val))</f>
        <v>1</v>
      </c>
      <c r="F3" s="42">
        <f t="array" ref="F3">LET(val, IFERROR(INDEX('Daily 스피킹 raw'!$A:$Z, MATCH(F$2, 'Daily 스피킹 raw'!$A:$A, 0), MATCH($B3, 'Daily 스피킹 raw'!$1:$1, 0)), ""), IF(val=0, "", val))</f>
        <v>0.6666666667</v>
      </c>
      <c r="G3" s="42">
        <f t="array" ref="G3">LET(val, IFERROR(INDEX('Daily 스피킹 raw'!$A:$Z, MATCH(G$2, 'Daily 스피킹 raw'!$A:$A, 0), MATCH($B3, 'Daily 스피킹 raw'!$1:$1, 0)), ""), IF(val=0, "", val))</f>
        <v>1</v>
      </c>
      <c r="H3" s="42">
        <f t="array" ref="H3">LET(val, IFERROR(INDEX('Daily 스피킹 raw'!$A:$Z, MATCH(H$2, 'Daily 스피킹 raw'!$A:$A, 0), MATCH($B3, 'Daily 스피킹 raw'!$1:$1, 0)), ""), IF(val=0, "", val))</f>
        <v>1</v>
      </c>
      <c r="I3" s="42">
        <f t="array" ref="I3">LET(val, IFERROR(INDEX('Daily 스피킹 raw'!$A:$Z, MATCH(I$2, 'Daily 스피킹 raw'!$A:$A, 0), MATCH($B3, 'Daily 스피킹 raw'!$1:$1, 0)), ""), IF(val=0, "", val))</f>
        <v>0.5714285714</v>
      </c>
      <c r="J3" s="42">
        <f t="array" ref="J3">LET(val, IFERROR(INDEX('Daily 스피킹 raw'!$A:$Z, MATCH(J$2, 'Daily 스피킹 raw'!$A:$A, 0), MATCH($B3, 'Daily 스피킹 raw'!$1:$1, 0)), ""), IF(val=0, "", val))</f>
        <v>0.6363636364</v>
      </c>
      <c r="K3" s="42">
        <f t="array" ref="K3">LET(val, IFERROR(INDEX('Daily 스피킹 raw'!$A:$Z, MATCH(K$2, 'Daily 스피킹 raw'!$A:$A, 0), MATCH($B3, 'Daily 스피킹 raw'!$1:$1, 0)), ""), IF(val=0, "", val))</f>
        <v>0.8333333333</v>
      </c>
      <c r="L3" s="42">
        <f t="array" ref="L3">LET(val, IFERROR(INDEX('Daily 스피킹 raw'!$A:$Z, MATCH(L$2, 'Daily 스피킹 raw'!$A:$A, 0), MATCH($B3, 'Daily 스피킹 raw'!$1:$1, 0)), ""), IF(val=0, "", val))</f>
        <v>0.5833333333</v>
      </c>
      <c r="M3" s="42">
        <f t="array" ref="M3">LET(val, IFERROR(INDEX('Daily 스피킹 raw'!$A:$Z, MATCH(M$2, 'Daily 스피킹 raw'!$A:$A, 0), MATCH($B3, 'Daily 스피킹 raw'!$1:$1, 0)), ""), IF(val=0, "", val))</f>
        <v>0.6315789474</v>
      </c>
      <c r="N3" s="42">
        <f t="array" ref="N3">LET(val, IFERROR(INDEX('Daily 스피킹 raw'!$A:$Z, MATCH(N$2, 'Daily 스피킹 raw'!$A:$A, 0), MATCH($B3, 'Daily 스피킹 raw'!$1:$1, 0)), ""), IF(val=0, "", val))</f>
        <v>0.6923076923</v>
      </c>
      <c r="O3" s="42">
        <f t="array" ref="O3">LET(val, IFERROR(INDEX('Daily 스피킹 raw'!$A:$Z, MATCH(O$2, 'Daily 스피킹 raw'!$A:$A, 0), MATCH($B3, 'Daily 스피킹 raw'!$1:$1, 0)), ""), IF(val=0, "", val))</f>
        <v>0.6</v>
      </c>
      <c r="P3" s="42">
        <f t="array" ref="P3">LET(val, IFERROR(INDEX('Daily 스피킹 raw'!$A:$Z, MATCH(P$2, 'Daily 스피킹 raw'!$A:$A, 0), MATCH($B3, 'Daily 스피킹 raw'!$1:$1, 0)), ""), IF(val=0, "", val))</f>
        <v>0.875</v>
      </c>
      <c r="Q3" s="42">
        <f t="array" ref="Q3">LET(val, IFERROR(INDEX('Daily 스피킹 raw'!$A:$Z, MATCH(Q$2, 'Daily 스피킹 raw'!$A:$A, 0), MATCH($B3, 'Daily 스피킹 raw'!$1:$1, 0)), ""), IF(val=0, "", val))</f>
        <v>0.75</v>
      </c>
      <c r="R3" s="42">
        <f t="array" ref="R3">LET(val, IFERROR(INDEX('Daily 스피킹 raw'!$A:$Z, MATCH(R$2, 'Daily 스피킹 raw'!$A:$A, 0), MATCH($B3, 'Daily 스피킹 raw'!$1:$1, 0)), ""), IF(val=0, "", val))</f>
        <v>0.8888888889</v>
      </c>
      <c r="S3" s="42">
        <f t="array" ref="S3">LET(val, IFERROR(INDEX('Daily 스피킹 raw'!$A:$Z, MATCH(S$2, 'Daily 스피킹 raw'!$A:$A, 0), MATCH($B3, 'Daily 스피킹 raw'!$1:$1, 0)), ""), IF(val=0, "", val))</f>
        <v>0.8333333333</v>
      </c>
      <c r="T3" s="42">
        <f t="array" ref="T3">LET(val, IFERROR(INDEX('Daily 스피킹 raw'!$A:$Z, MATCH(T$2, 'Daily 스피킹 raw'!$A:$A, 0), MATCH($B3, 'Daily 스피킹 raw'!$1:$1, 0)), ""), IF(val=0, "", val))</f>
        <v>0.6</v>
      </c>
      <c r="U3" s="42">
        <f t="array" ref="U3">LET(val, IFERROR(INDEX('Daily 스피킹 raw'!$A:$Z, MATCH(U$2, 'Daily 스피킹 raw'!$A:$A, 0), MATCH($B3, 'Daily 스피킹 raw'!$1:$1, 0)), ""), IF(val=0, "", val))</f>
        <v>0.3333333333</v>
      </c>
      <c r="V3" s="42">
        <f t="array" ref="V3">LET(val, IFERROR(INDEX('Daily 스피킹 raw'!$A:$Z, MATCH(V$2, 'Daily 스피킹 raw'!$A:$A, 0), MATCH($B3, 'Daily 스피킹 raw'!$1:$1, 0)), ""), IF(val=0, "", val))</f>
        <v>0.5714285714</v>
      </c>
      <c r="W3" s="42">
        <f t="array" ref="W3">LET(val, IFERROR(INDEX('Daily 스피킹 raw'!$A:$Z, MATCH(W$2, 'Daily 스피킹 raw'!$A:$A, 0), MATCH($B3, 'Daily 스피킹 raw'!$1:$1, 0)), ""), IF(val=0, "", val))</f>
        <v>0.5</v>
      </c>
      <c r="X3" s="42">
        <f t="array" ref="X3">LET(val, IFERROR(INDEX('Daily 스피킹 raw'!$A:$Z, MATCH(X$2, 'Daily 스피킹 raw'!$A:$A, 0), MATCH($B3, 'Daily 스피킹 raw'!$1:$1, 0)), ""), IF(val=0, "", val))</f>
        <v>0.8333333333</v>
      </c>
      <c r="Y3" s="42">
        <f t="array" ref="Y3">LET(val, IFERROR(INDEX('Daily 스피킹 raw'!$A:$Z, MATCH(Y$2, 'Daily 스피킹 raw'!$A:$A, 0), MATCH($B3, 'Daily 스피킹 raw'!$1:$1, 0)), ""), IF(val=0, "", val))</f>
        <v>0.75</v>
      </c>
      <c r="Z3" s="42">
        <f t="array" ref="Z3">LET(val, IFERROR(INDEX('Daily 스피킹 raw'!$A:$Z, MATCH(Z$2, 'Daily 스피킹 raw'!$A:$A, 0), MATCH($B3, 'Daily 스피킹 raw'!$1:$1, 0)), ""), IF(val=0, "", val))</f>
        <v>1</v>
      </c>
      <c r="AA3" s="42">
        <f t="array" ref="AA3">LET(val, IFERROR(INDEX('Daily 스피킹 raw'!$A:$Z, MATCH(AA$2, 'Daily 스피킹 raw'!$A:$A, 0), MATCH($B3, 'Daily 스피킹 raw'!$1:$1, 0)), ""), IF(val=0, "", val))</f>
        <v>0.5</v>
      </c>
      <c r="AB3" s="42">
        <f t="array" ref="AB3">LET(val, IFERROR(INDEX('Daily 스피킹 raw'!$A:$Z, MATCH(AB$2, 'Daily 스피킹 raw'!$A:$A, 0), MATCH($B3, 'Daily 스피킹 raw'!$1:$1, 0)), ""), IF(val=0, "", val))</f>
        <v>0.6666666667</v>
      </c>
      <c r="AC3" s="42">
        <f t="array" ref="AC3">LET(val, IFERROR(INDEX('Daily 스피킹 raw'!$A:$Z, MATCH(AC$2, 'Daily 스피킹 raw'!$A:$A, 0), MATCH($B3, 'Daily 스피킹 raw'!$1:$1, 0)), ""), IF(val=0, "", val))</f>
        <v>0.7142857143</v>
      </c>
      <c r="AD3" s="42">
        <f t="array" ref="AD3">LET(val, IFERROR(INDEX('Daily 스피킹 raw'!$A:$Z, MATCH(AD$2, 'Daily 스피킹 raw'!$A:$A, 0), MATCH($B3, 'Daily 스피킹 raw'!$1:$1, 0)), ""), IF(val=0, "", val))</f>
        <v>0.75</v>
      </c>
      <c r="AE3" s="42">
        <f t="array" ref="AE3">LET(val, IFERROR(INDEX('Daily 스피킹 raw'!$A:$Z, MATCH(AE$2, 'Daily 스피킹 raw'!$A:$A, 0), MATCH($B3, 'Daily 스피킹 raw'!$1:$1, 0)), ""), IF(val=0, "", val))</f>
        <v>1</v>
      </c>
      <c r="AF3" s="42">
        <f t="array" ref="AF3">LET(val, IFERROR(INDEX('Daily 스피킹 raw'!$A:$Z, MATCH(AF$2, 'Daily 스피킹 raw'!$A:$A, 0), MATCH($B3, 'Daily 스피킹 raw'!$1:$1, 0)), ""), IF(val=0, "", val))</f>
        <v>0.5</v>
      </c>
      <c r="AG3" s="42">
        <f t="array" ref="AG3">LET(val, IFERROR(INDEX('Daily 스피킹 raw'!$A:$Z, MATCH(AG$2, 'Daily 스피킹 raw'!$A:$A, 0), MATCH($B3, 'Daily 스피킹 raw'!$1:$1, 0)), ""), IF(val=0, "", val))</f>
        <v>1</v>
      </c>
      <c r="AH3" s="42">
        <f t="array" ref="AH3">LET(val, IFERROR(INDEX('Daily 스피킹 raw'!$A:$Z, MATCH(AH$2, 'Daily 스피킹 raw'!$A:$A, 0), MATCH($B3, 'Daily 스피킹 raw'!$1:$1, 0)), ""), IF(val=0, "", val))</f>
        <v>0.6</v>
      </c>
      <c r="AI3" s="42">
        <f t="array" ref="AI3">LET(val, IFERROR(INDEX('Daily 스피킹 raw'!$A:$Z, MATCH(AI$2, 'Daily 스피킹 raw'!$A:$A, 0), MATCH($B3, 'Daily 스피킹 raw'!$1:$1, 0)), ""), IF(val=0, "", val))</f>
        <v>0.6666666667</v>
      </c>
      <c r="AJ3" s="42">
        <f t="array" ref="AJ3">LET(val, IFERROR(INDEX('Daily 스피킹 raw'!$A:$Z, MATCH(AJ$2, 'Daily 스피킹 raw'!$A:$A, 0), MATCH($B3, 'Daily 스피킹 raw'!$1:$1, 0)), ""), IF(val=0, "", val))</f>
        <v>0.8</v>
      </c>
      <c r="AK3" s="42">
        <f t="array" ref="AK3">LET(val, IFERROR(INDEX('Daily 스피킹 raw'!$A:$Z, MATCH(AK$2, 'Daily 스피킹 raw'!$A:$A, 0), MATCH($B3, 'Daily 스피킹 raw'!$1:$1, 0)), ""), IF(val=0, "", val))</f>
        <v>1</v>
      </c>
      <c r="AL3" s="42">
        <f t="array" ref="AL3">LET(val, IFERROR(INDEX('Daily 스피킹 raw'!$A:$Z, MATCH(AL$2, 'Daily 스피킹 raw'!$A:$A, 0), MATCH($B3, 'Daily 스피킹 raw'!$1:$1, 0)), ""), IF(val=0, "", val))</f>
        <v>0.5</v>
      </c>
      <c r="AM3" s="42">
        <f t="array" ref="AM3">LET(val, IFERROR(INDEX('Daily 스피킹 raw'!$A:$Z, MATCH(AM$2, 'Daily 스피킹 raw'!$A:$A, 0), MATCH($B3, 'Daily 스피킹 raw'!$1:$1, 0)), ""), IF(val=0, "", val))</f>
        <v>0.25</v>
      </c>
      <c r="AN3" s="42">
        <f t="array" ref="AN3">LET(val, IFERROR(INDEX('Daily 스피킹 raw'!$A:$Z, MATCH(AN$2, 'Daily 스피킹 raw'!$A:$A, 0), MATCH($B3, 'Daily 스피킹 raw'!$1:$1, 0)), ""), IF(val=0, "", val))</f>
        <v>0.5</v>
      </c>
      <c r="AO3" s="42">
        <f t="array" ref="AO3">LET(val, IFERROR(INDEX('Daily 스피킹 raw'!$A:$Z, MATCH(AO$2, 'Daily 스피킹 raw'!$A:$A, 0), MATCH($B3, 'Daily 스피킹 raw'!$1:$1, 0)), ""), IF(val=0, "", val))</f>
        <v>0.6</v>
      </c>
      <c r="AP3" s="42" t="str">
        <f t="array" ref="AP3">LET(val, IFERROR(INDEX('Daily 스피킹 raw'!$A:$Z, MATCH(AP$2, 'Daily 스피킹 raw'!$A:$A, 0), MATCH($B3, 'Daily 스피킹 raw'!$1:$1, 0)), ""), IF(val=0, "", val))</f>
        <v/>
      </c>
      <c r="AQ3" s="42">
        <f t="array" ref="AQ3">LET(val, IFERROR(INDEX('Daily 스피킹 raw'!$A:$Z, MATCH(AQ$2, 'Daily 스피킹 raw'!$A:$A, 0), MATCH($B3, 'Daily 스피킹 raw'!$1:$1, 0)), ""), IF(val=0, "", val))</f>
        <v>1</v>
      </c>
      <c r="AR3" s="42">
        <f t="array" ref="AR3">LET(val, IFERROR(INDEX('Daily 스피킹 raw'!$A:$Z, MATCH(AR$2, 'Daily 스피킹 raw'!$A:$A, 0), MATCH($B3, 'Daily 스피킹 raw'!$1:$1, 0)), ""), IF(val=0, "", val))</f>
        <v>0.6666666667</v>
      </c>
      <c r="AS3" s="42">
        <f t="array" ref="AS3">LET(val, IFERROR(INDEX('Daily 스피킹 raw'!$A:$Z, MATCH(AS$2, 'Daily 스피킹 raw'!$A:$A, 0), MATCH($B3, 'Daily 스피킹 raw'!$1:$1, 0)), ""), IF(val=0, "", val))</f>
        <v>1</v>
      </c>
      <c r="AT3" s="42">
        <f t="array" ref="AT3">LET(val, IFERROR(INDEX('Daily 스피킹 raw'!$A:$Z, MATCH(AT$2, 'Daily 스피킹 raw'!$A:$A, 0), MATCH($B3, 'Daily 스피킹 raw'!$1:$1, 0)), ""), IF(val=0, "", val))</f>
        <v>0.75</v>
      </c>
      <c r="AU3" s="42">
        <f t="array" ref="AU3">LET(val, IFERROR(INDEX('Daily 스피킹 raw'!$A:$Z, MATCH(AU$2, 'Daily 스피킹 raw'!$A:$A, 0), MATCH($B3, 'Daily 스피킹 raw'!$1:$1, 0)), ""), IF(val=0, "", val))</f>
        <v>0.8</v>
      </c>
      <c r="AV3" s="42">
        <f t="array" ref="AV3">LET(val, IFERROR(INDEX('Daily 스피킹 raw'!$A:$Z, MATCH(AV$2, 'Daily 스피킹 raw'!$A:$A, 0), MATCH($B3, 'Daily 스피킹 raw'!$1:$1, 0)), ""), IF(val=0, "", val))</f>
        <v>0.8333333333</v>
      </c>
      <c r="AW3" s="42">
        <f t="array" ref="AW3">LET(val, IFERROR(INDEX('Daily 스피킹 raw'!$A:$Z, MATCH(AW$2, 'Daily 스피킹 raw'!$A:$A, 0), MATCH($B3, 'Daily 스피킹 raw'!$1:$1, 0)), ""), IF(val=0, "", val))</f>
        <v>0.6</v>
      </c>
      <c r="AX3" s="42">
        <f t="array" ref="AX3">LET(val, IFERROR(INDEX('Daily 스피킹 raw'!$A:$Z, MATCH(AX$2, 'Daily 스피킹 raw'!$A:$A, 0), MATCH($B3, 'Daily 스피킹 raw'!$1:$1, 0)), ""), IF(val=0, "", val))</f>
        <v>0.875</v>
      </c>
      <c r="AY3" s="42">
        <f t="array" ref="AY3">LET(val, IFERROR(INDEX('Daily 스피킹 raw'!$A:$Z, MATCH(AY$2, 'Daily 스피킹 raw'!$A:$A, 0), MATCH($B3, 'Daily 스피킹 raw'!$1:$1, 0)), ""), IF(val=0, "", val))</f>
        <v>0.5</v>
      </c>
      <c r="AZ3" s="42">
        <f t="array" ref="AZ3">LET(val, IFERROR(INDEX('Daily 스피킹 raw'!$A:$Z, MATCH(AZ$2, 'Daily 스피킹 raw'!$A:$A, 0), MATCH($B3, 'Daily 스피킹 raw'!$1:$1, 0)), ""), IF(val=0, "", val))</f>
        <v>1</v>
      </c>
      <c r="BA3" s="42">
        <f t="array" ref="BA3">LET(val, IFERROR(INDEX('Daily 스피킹 raw'!$A:$Z, MATCH(BA$2, 'Daily 스피킹 raw'!$A:$A, 0), MATCH($B3, 'Daily 스피킹 raw'!$1:$1, 0)), ""), IF(val=0, "", val))</f>
        <v>0.75</v>
      </c>
      <c r="BB3" s="42">
        <f t="array" ref="BB3">LET(val, IFERROR(INDEX('Daily 스피킹 raw'!$A:$Z, MATCH(BB$2, 'Daily 스피킹 raw'!$A:$A, 0), MATCH($B3, 'Daily 스피킹 raw'!$1:$1, 0)), ""), IF(val=0, "", val))</f>
        <v>0.5</v>
      </c>
      <c r="BC3" s="42">
        <f t="array" ref="BC3">LET(val, IFERROR(INDEX('Daily 스피킹 raw'!$A:$Z, MATCH(BC$2, 'Daily 스피킹 raw'!$A:$A, 0), MATCH($B3, 'Daily 스피킹 raw'!$1:$1, 0)), ""), IF(val=0, "", val))</f>
        <v>0.75</v>
      </c>
      <c r="BD3" s="42">
        <f t="array" ref="BD3">LET(val, IFERROR(INDEX('Daily 스피킹 raw'!$A:$Z, MATCH(BD$2, 'Daily 스피킹 raw'!$A:$A, 0), MATCH($B3, 'Daily 스피킹 raw'!$1:$1, 0)), ""), IF(val=0, "", val))</f>
        <v>0.6666666667</v>
      </c>
      <c r="BE3" s="42" t="str">
        <f t="array" ref="BE3">LET(val, IFERROR(INDEX('Daily 스피킹 raw'!$A:$Z, MATCH(BE$2, 'Daily 스피킹 raw'!$A:$A, 0), MATCH($B3, 'Daily 스피킹 raw'!$1:$1, 0)), ""), IF(val=0, "", val))</f>
        <v/>
      </c>
      <c r="BF3" s="42">
        <f t="array" ref="BF3">LET(val, IFERROR(INDEX('Daily 스피킹 raw'!$A:$Z, MATCH(BF$2, 'Daily 스피킹 raw'!$A:$A, 0), MATCH($B3, 'Daily 스피킹 raw'!$1:$1, 0)), ""), IF(val=0, "", val))</f>
        <v>0.6666666667</v>
      </c>
      <c r="BG3" s="42">
        <f t="array" ref="BG3">LET(val, IFERROR(INDEX('Daily 스피킹 raw'!$A:$Z, MATCH(BG$2, 'Daily 스피킹 raw'!$A:$A, 0), MATCH($B3, 'Daily 스피킹 raw'!$1:$1, 0)), ""), IF(val=0, "", val))</f>
        <v>0.5</v>
      </c>
      <c r="BH3" s="42">
        <f t="array" ref="BH3">LET(val, IFERROR(INDEX('Daily 스피킹 raw'!$A:$Z, MATCH(BH$2, 'Daily 스피킹 raw'!$A:$A, 0), MATCH($B3, 'Daily 스피킹 raw'!$1:$1, 0)), ""), IF(val=0, "", val))</f>
        <v>0.25</v>
      </c>
      <c r="BI3" s="42">
        <f t="array" ref="BI3">LET(val, IFERROR(INDEX('Daily 스피킹 raw'!$A:$Z, MATCH(BI$2, 'Daily 스피킹 raw'!$A:$A, 0), MATCH($B3, 'Daily 스피킹 raw'!$1:$1, 0)), ""), IF(val=0, "", val))</f>
        <v>0.5</v>
      </c>
      <c r="BJ3" s="42">
        <f t="array" ref="BJ3">LET(val, IFERROR(INDEX('Daily 스피킹 raw'!$A:$Z, MATCH(BJ$2, 'Daily 스피킹 raw'!$A:$A, 0), MATCH($B3, 'Daily 스피킹 raw'!$1:$1, 0)), ""), IF(val=0, "", val))</f>
        <v>0.5</v>
      </c>
      <c r="BK3" s="42">
        <f t="array" ref="BK3">LET(val, IFERROR(INDEX('Daily 스피킹 raw'!$A:$Z, MATCH(BK$2, 'Daily 스피킹 raw'!$A:$A, 0), MATCH($B3, 'Daily 스피킹 raw'!$1:$1, 0)), ""), IF(val=0, "", val))</f>
        <v>0.6666666667</v>
      </c>
      <c r="BL3" s="42" t="str">
        <f t="array" ref="BL3">LET(val, IFERROR(INDEX('Daily 스피킹 raw'!$A:$Z, MATCH(BL$2, 'Daily 스피킹 raw'!$A:$A, 0), MATCH($B3, 'Daily 스피킹 raw'!$1:$1, 0)), ""), IF(val=0, "", val))</f>
        <v/>
      </c>
      <c r="BM3" s="42" t="str">
        <f t="array" ref="BM3">LET(val, IFERROR(INDEX('Daily 스피킹 raw'!$A:$Z, MATCH(BM$2, 'Daily 스피킹 raw'!$A:$A, 0), MATCH($B3, 'Daily 스피킹 raw'!$1:$1, 0)), ""), IF(val=0, "", val))</f>
        <v/>
      </c>
      <c r="BN3" s="42" t="str">
        <f t="array" ref="BN3">LET(val, IFERROR(INDEX('Daily 스피킹 raw'!$A:$Z, MATCH(BN$2, 'Daily 스피킹 raw'!$A:$A, 0), MATCH($B3, 'Daily 스피킹 raw'!$1:$1, 0)), ""), IF(val=0, "", val))</f>
        <v/>
      </c>
      <c r="BO3" s="42" t="str">
        <f t="array" ref="BO3">LET(val, IFERROR(INDEX('Daily 스피킹 raw'!$A:$Z, MATCH(BO$2, 'Daily 스피킹 raw'!$A:$A, 0), MATCH($B3, 'Daily 스피킹 raw'!$1:$1, 0)), ""), IF(val=0, "", val))</f>
        <v/>
      </c>
      <c r="BP3" s="42" t="str">
        <f t="array" ref="BP3">LET(val, IFERROR(INDEX('Daily 스피킹 raw'!$A:$Z, MATCH(BP$2, 'Daily 스피킹 raw'!$A:$A, 0), MATCH($B3, 'Daily 스피킹 raw'!$1:$1, 0)), ""), IF(val=0, "", val))</f>
        <v/>
      </c>
      <c r="BQ3" s="42" t="str">
        <f t="array" ref="BQ3">LET(val, IFERROR(INDEX('Daily 스피킹 raw'!$A:$Z, MATCH(BQ$2, 'Daily 스피킹 raw'!$A:$A, 0), MATCH($B3, 'Daily 스피킹 raw'!$1:$1, 0)), ""), IF(val=0, "", val))</f>
        <v/>
      </c>
      <c r="BR3" s="42" t="str">
        <f t="array" ref="BR3">LET(val, IFERROR(INDEX('Daily 스피킹 raw'!$A:$Z, MATCH(BR$2, 'Daily 스피킹 raw'!$A:$A, 0), MATCH($B3, 'Daily 스피킹 raw'!$1:$1, 0)), ""), IF(val=0, "", val))</f>
        <v/>
      </c>
      <c r="BS3" s="42" t="str">
        <f t="array" ref="BS3">LET(val, IFERROR(INDEX('Daily 스피킹 raw'!$A:$Z, MATCH(BS$2, 'Daily 스피킹 raw'!$A:$A, 0), MATCH($B3, 'Daily 스피킹 raw'!$1:$1, 0)), ""), IF(val=0, "", val))</f>
        <v/>
      </c>
      <c r="BT3" s="42" t="str">
        <f t="array" ref="BT3">LET(val, IFERROR(INDEX('Daily 스피킹 raw'!$A:$Z, MATCH(BT$2, 'Daily 스피킹 raw'!$A:$A, 0), MATCH($B3, 'Daily 스피킹 raw'!$1:$1, 0)), ""), IF(val=0, "", val))</f>
        <v/>
      </c>
      <c r="BU3" s="42" t="str">
        <f t="array" ref="BU3">LET(val, IFERROR(INDEX('Daily 스피킹 raw'!$A:$Z, MATCH(BU$2, 'Daily 스피킹 raw'!$A:$A, 0), MATCH($B3, 'Daily 스피킹 raw'!$1:$1, 0)), ""), IF(val=0, "", val))</f>
        <v/>
      </c>
      <c r="BV3" s="42" t="str">
        <f t="array" ref="BV3">LET(val, IFERROR(INDEX('Daily 스피킹 raw'!$A:$Z, MATCH(BV$2, 'Daily 스피킹 raw'!$A:$A, 0), MATCH($B3, 'Daily 스피킹 raw'!$1:$1, 0)), ""), IF(val=0, "", val))</f>
        <v/>
      </c>
      <c r="BW3" s="42" t="str">
        <f t="array" ref="BW3">LET(val, IFERROR(INDEX('Daily 스피킹 raw'!$A:$Z, MATCH(BW$2, 'Daily 스피킹 raw'!$A:$A, 0), MATCH($B3, 'Daily 스피킹 raw'!$1:$1, 0)), ""), IF(val=0, "", val))</f>
        <v/>
      </c>
      <c r="BX3" s="42" t="str">
        <f t="array" ref="BX3">LET(val, IFERROR(INDEX('Daily 스피킹 raw'!$A:$Z, MATCH(BX$2, 'Daily 스피킹 raw'!$A:$A, 0), MATCH($B3, 'Daily 스피킹 raw'!$1:$1, 0)), ""), IF(val=0, "", val))</f>
        <v/>
      </c>
      <c r="BY3" s="42" t="str">
        <f t="array" ref="BY3">LET(val, IFERROR(INDEX('Daily 스피킹 raw'!$A:$Z, MATCH(BY$2, 'Daily 스피킹 raw'!$A:$A, 0), MATCH($B3, 'Daily 스피킹 raw'!$1:$1, 0)), ""), IF(val=0, "", val))</f>
        <v/>
      </c>
      <c r="BZ3" s="42" t="str">
        <f t="array" ref="BZ3">LET(val, IFERROR(INDEX('Daily 스피킹 raw'!$A:$Z, MATCH(BZ$2, 'Daily 스피킹 raw'!$A:$A, 0), MATCH($B3, 'Daily 스피킹 raw'!$1:$1, 0)), ""), IF(val=0, "", val))</f>
        <v/>
      </c>
      <c r="CA3" s="42" t="str">
        <f t="array" ref="CA3">LET(val, IFERROR(INDEX('Daily 스피킹 raw'!$A:$Z, MATCH(CA$2, 'Daily 스피킹 raw'!$A:$A, 0), MATCH($B3, 'Daily 스피킹 raw'!$1:$1, 0)), ""), IF(val=0, "", val))</f>
        <v/>
      </c>
      <c r="CB3" s="42" t="str">
        <f t="array" ref="CB3">LET(val, IFERROR(INDEX('Daily 스피킹 raw'!$A:$Z, MATCH(CB$2, 'Daily 스피킹 raw'!$A:$A, 0), MATCH($B3, 'Daily 스피킹 raw'!$1:$1, 0)), ""), IF(val=0, "", val))</f>
        <v/>
      </c>
      <c r="CC3" s="42" t="str">
        <f t="array" ref="CC3">LET(val, IFERROR(INDEX('Daily 스피킹 raw'!$A:$Z, MATCH(CC$2, 'Daily 스피킹 raw'!$A:$A, 0), MATCH($B3, 'Daily 스피킹 raw'!$1:$1, 0)), ""), IF(val=0, "", val))</f>
        <v/>
      </c>
      <c r="CD3" s="42" t="str">
        <f t="array" ref="CD3">LET(val, IFERROR(INDEX('Daily 스피킹 raw'!$A:$Z, MATCH(CD$2, 'Daily 스피킹 raw'!$A:$A, 0), MATCH($B3, 'Daily 스피킹 raw'!$1:$1, 0)), ""), IF(val=0, "", val))</f>
        <v/>
      </c>
      <c r="CE3" s="42" t="str">
        <f t="array" ref="CE3">LET(val, IFERROR(INDEX('Daily 스피킹 raw'!$A:$Z, MATCH(CE$2, 'Daily 스피킹 raw'!$A:$A, 0), MATCH($B3, 'Daily 스피킹 raw'!$1:$1, 0)), ""), IF(val=0, "", val))</f>
        <v/>
      </c>
      <c r="CF3" s="42" t="str">
        <f t="array" ref="CF3">LET(val, IFERROR(INDEX('Daily 스피킹 raw'!$A:$Z, MATCH(CF$2, 'Daily 스피킹 raw'!$A:$A, 0), MATCH($B3, 'Daily 스피킹 raw'!$1:$1, 0)), ""), IF(val=0, "", val))</f>
        <v/>
      </c>
      <c r="CG3" s="42" t="str">
        <f t="array" ref="CG3">LET(val, IFERROR(INDEX('Daily 스피킹 raw'!$A:$Z, MATCH(CG$2, 'Daily 스피킹 raw'!$A:$A, 0), MATCH($B3, 'Daily 스피킹 raw'!$1:$1, 0)), ""), IF(val=0, "", val))</f>
        <v/>
      </c>
      <c r="CH3" s="42" t="str">
        <f t="array" ref="CH3">LET(val, IFERROR(INDEX('Daily 스피킹 raw'!$A:$Z, MATCH(CH$2, 'Daily 스피킹 raw'!$A:$A, 0), MATCH($B3, 'Daily 스피킹 raw'!$1:$1, 0)), ""), IF(val=0, "", val))</f>
        <v/>
      </c>
      <c r="CI3" s="42" t="str">
        <f t="array" ref="CI3">LET(val, IFERROR(INDEX('Daily 스피킹 raw'!$A:$Z, MATCH(CI$2, 'Daily 스피킹 raw'!$A:$A, 0), MATCH($B3, 'Daily 스피킹 raw'!$1:$1, 0)), ""), IF(val=0, "", val))</f>
        <v/>
      </c>
      <c r="CJ3" s="42" t="str">
        <f t="array" ref="CJ3">LET(val, IFERROR(INDEX('Daily 스피킹 raw'!$A:$Z, MATCH(CJ$2, 'Daily 스피킹 raw'!$A:$A, 0), MATCH($B3, 'Daily 스피킹 raw'!$1:$1, 0)), ""), IF(val=0, "", val))</f>
        <v/>
      </c>
      <c r="CK3" s="42" t="str">
        <f t="array" ref="CK3">LET(val, IFERROR(INDEX('Daily 스피킹 raw'!$A:$Z, MATCH(CK$2, 'Daily 스피킹 raw'!$A:$A, 0), MATCH($B3, 'Daily 스피킹 raw'!$1:$1, 0)), ""), IF(val=0, "", val))</f>
        <v/>
      </c>
      <c r="CL3" s="42" t="str">
        <f t="array" ref="CL3">LET(val, IFERROR(INDEX('Daily 스피킹 raw'!$A:$Z, MATCH(CL$2, 'Daily 스피킹 raw'!$A:$A, 0), MATCH($B3, 'Daily 스피킹 raw'!$1:$1, 0)), ""), IF(val=0, "", val))</f>
        <v/>
      </c>
      <c r="CM3" s="42" t="str">
        <f t="array" ref="CM3">LET(val, IFERROR(INDEX('Daily 스피킹 raw'!$A:$Z, MATCH(CM$2, 'Daily 스피킹 raw'!$A:$A, 0), MATCH($B3, 'Daily 스피킹 raw'!$1:$1, 0)), ""), IF(val=0, "", val))</f>
        <v/>
      </c>
      <c r="CN3" s="42" t="str">
        <f t="array" ref="CN3">LET(val, IFERROR(INDEX('Daily 스피킹 raw'!$A:$Z, MATCH(CN$2, 'Daily 스피킹 raw'!$A:$A, 0), MATCH($B3, 'Daily 스피킹 raw'!$1:$1, 0)), ""), IF(val=0, "", val))</f>
        <v/>
      </c>
      <c r="CO3" s="42" t="str">
        <f t="array" ref="CO3">LET(val, IFERROR(INDEX('Daily 스피킹 raw'!$A:$Z, MATCH(CO$2, 'Daily 스피킹 raw'!$A:$A, 0), MATCH($B3, 'Daily 스피킹 raw'!$1:$1, 0)), ""), IF(val=0, "", val))</f>
        <v/>
      </c>
      <c r="CP3" s="42" t="str">
        <f t="array" ref="CP3">LET(val, IFERROR(INDEX('Daily 스피킹 raw'!$A:$Z, MATCH(CP$2, 'Daily 스피킹 raw'!$A:$A, 0), MATCH($B3, 'Daily 스피킹 raw'!$1:$1, 0)), ""), IF(val=0, "", val))</f>
        <v/>
      </c>
      <c r="CQ3" s="42" t="str">
        <f t="array" ref="CQ3">LET(val, IFERROR(INDEX('Daily 스피킹 raw'!$A:$Z, MATCH(CQ$2, 'Daily 스피킹 raw'!$A:$A, 0), MATCH($B3, 'Daily 스피킹 raw'!$1:$1, 0)), ""), IF(val=0, "", val))</f>
        <v/>
      </c>
      <c r="CR3" s="42" t="str">
        <f t="array" ref="CR3">LET(val, IFERROR(INDEX('Daily 스피킹 raw'!$A:$Z, MATCH(CR$2, 'Daily 스피킹 raw'!$A:$A, 0), MATCH($B3, 'Daily 스피킹 raw'!$1:$1, 0)), ""), IF(val=0, "", val))</f>
        <v/>
      </c>
      <c r="CS3" s="42" t="str">
        <f t="array" ref="CS3">LET(val, IFERROR(INDEX('Daily 스피킹 raw'!$A:$Z, MATCH(CS$2, 'Daily 스피킹 raw'!$A:$A, 0), MATCH($B3, 'Daily 스피킹 raw'!$1:$1, 0)), ""), IF(val=0, "", val))</f>
        <v/>
      </c>
      <c r="CT3" s="42" t="str">
        <f t="array" ref="CT3">LET(val, IFERROR(INDEX('Daily 스피킹 raw'!$A:$Z, MATCH(CT$2, 'Daily 스피킹 raw'!$A:$A, 0), MATCH($B3, 'Daily 스피킹 raw'!$1:$1, 0)), ""), IF(val=0, "", val))</f>
        <v/>
      </c>
      <c r="CU3" s="42" t="str">
        <f t="array" ref="CU3">LET(val, IFERROR(INDEX('Daily 스피킹 raw'!$A:$Z, MATCH(CU$2, 'Daily 스피킹 raw'!$A:$A, 0), MATCH($B3, 'Daily 스피킹 raw'!$1:$1, 0)), ""), IF(val=0, "", val))</f>
        <v/>
      </c>
      <c r="CV3" s="42" t="str">
        <f t="array" ref="CV3">LET(val, IFERROR(INDEX('Daily 스피킹 raw'!$A:$Z, MATCH(CV$2, 'Daily 스피킹 raw'!$A:$A, 0), MATCH($B3, 'Daily 스피킹 raw'!$1:$1, 0)), ""), IF(val=0, "", val))</f>
        <v/>
      </c>
      <c r="CW3" s="42" t="str">
        <f t="array" ref="CW3">LET(val, IFERROR(INDEX('Daily 스피킹 raw'!$A:$Z, MATCH(CW$2, 'Daily 스피킹 raw'!$A:$A, 0), MATCH($B3, 'Daily 스피킹 raw'!$1:$1, 0)), ""), IF(val=0, "", val))</f>
        <v/>
      </c>
    </row>
    <row r="4" ht="22.5" customHeight="1">
      <c r="A4" s="28"/>
      <c r="B4" s="23" t="s">
        <v>62</v>
      </c>
      <c r="C4" s="17" t="s">
        <v>140</v>
      </c>
      <c r="D4" s="44">
        <f t="array" ref="D4">LET(val, IFERROR(INDEX('Daily 스피킹 raw'!$A:$Z, MATCH(D$2, 'Daily 스피킹 raw'!$A:$A, 0), MATCH($B4, 'Daily 스피킹 raw'!$1:$1, 0)), ""), IF(val=0, "", val))</f>
        <v>3</v>
      </c>
      <c r="E4" s="44">
        <f t="array" ref="E4">LET(val, IFERROR(INDEX('Daily 스피킹 raw'!$A:$Z, MATCH(E$2, 'Daily 스피킹 raw'!$A:$A, 0), MATCH($B4, 'Daily 스피킹 raw'!$1:$1, 0)), ""), IF(val=0, "", val))</f>
        <v>1</v>
      </c>
      <c r="F4" s="44">
        <f t="array" ref="F4">LET(val, IFERROR(INDEX('Daily 스피킹 raw'!$A:$Z, MATCH(F$2, 'Daily 스피킹 raw'!$A:$A, 0), MATCH($B4, 'Daily 스피킹 raw'!$1:$1, 0)), ""), IF(val=0, "", val))</f>
        <v>4</v>
      </c>
      <c r="G4" s="44">
        <f t="array" ref="G4">LET(val, IFERROR(INDEX('Daily 스피킹 raw'!$A:$Z, MATCH(G$2, 'Daily 스피킹 raw'!$A:$A, 0), MATCH($B4, 'Daily 스피킹 raw'!$1:$1, 0)), ""), IF(val=0, "", val))</f>
        <v>2</v>
      </c>
      <c r="H4" s="44">
        <f t="array" ref="H4">LET(val, IFERROR(INDEX('Daily 스피킹 raw'!$A:$Z, MATCH(H$2, 'Daily 스피킹 raw'!$A:$A, 0), MATCH($B4, 'Daily 스피킹 raw'!$1:$1, 0)), ""), IF(val=0, "", val))</f>
        <v>3</v>
      </c>
      <c r="I4" s="44">
        <f t="array" ref="I4">LET(val, IFERROR(INDEX('Daily 스피킹 raw'!$A:$Z, MATCH(I$2, 'Daily 스피킹 raw'!$A:$A, 0), MATCH($B4, 'Daily 스피킹 raw'!$1:$1, 0)), ""), IF(val=0, "", val))</f>
        <v>4</v>
      </c>
      <c r="J4" s="44">
        <f t="array" ref="J4">LET(val, IFERROR(INDEX('Daily 스피킹 raw'!$A:$Z, MATCH(J$2, 'Daily 스피킹 raw'!$A:$A, 0), MATCH($B4, 'Daily 스피킹 raw'!$1:$1, 0)), ""), IF(val=0, "", val))</f>
        <v>7</v>
      </c>
      <c r="K4" s="44">
        <f t="array" ref="K4">LET(val, IFERROR(INDEX('Daily 스피킹 raw'!$A:$Z, MATCH(K$2, 'Daily 스피킹 raw'!$A:$A, 0), MATCH($B4, 'Daily 스피킹 raw'!$1:$1, 0)), ""), IF(val=0, "", val))</f>
        <v>5</v>
      </c>
      <c r="L4" s="44">
        <f t="array" ref="L4">LET(val, IFERROR(INDEX('Daily 스피킹 raw'!$A:$Z, MATCH(L$2, 'Daily 스피킹 raw'!$A:$A, 0), MATCH($B4, 'Daily 스피킹 raw'!$1:$1, 0)), ""), IF(val=0, "", val))</f>
        <v>7</v>
      </c>
      <c r="M4" s="44">
        <f t="array" ref="M4">LET(val, IFERROR(INDEX('Daily 스피킹 raw'!$A:$Z, MATCH(M$2, 'Daily 스피킹 raw'!$A:$A, 0), MATCH($B4, 'Daily 스피킹 raw'!$1:$1, 0)), ""), IF(val=0, "", val))</f>
        <v>12</v>
      </c>
      <c r="N4" s="44">
        <f t="array" ref="N4">LET(val, IFERROR(INDEX('Daily 스피킹 raw'!$A:$Z, MATCH(N$2, 'Daily 스피킹 raw'!$A:$A, 0), MATCH($B4, 'Daily 스피킹 raw'!$1:$1, 0)), ""), IF(val=0, "", val))</f>
        <v>9</v>
      </c>
      <c r="O4" s="44">
        <f t="array" ref="O4">LET(val, IFERROR(INDEX('Daily 스피킹 raw'!$A:$Z, MATCH(O$2, 'Daily 스피킹 raw'!$A:$A, 0), MATCH($B4, 'Daily 스피킹 raw'!$1:$1, 0)), ""), IF(val=0, "", val))</f>
        <v>3</v>
      </c>
      <c r="P4" s="44">
        <f t="array" ref="P4">LET(val, IFERROR(INDEX('Daily 스피킹 raw'!$A:$Z, MATCH(P$2, 'Daily 스피킹 raw'!$A:$A, 0), MATCH($B4, 'Daily 스피킹 raw'!$1:$1, 0)), ""), IF(val=0, "", val))</f>
        <v>7</v>
      </c>
      <c r="Q4" s="44">
        <f t="array" ref="Q4">LET(val, IFERROR(INDEX('Daily 스피킹 raw'!$A:$Z, MATCH(Q$2, 'Daily 스피킹 raw'!$A:$A, 0), MATCH($B4, 'Daily 스피킹 raw'!$1:$1, 0)), ""), IF(val=0, "", val))</f>
        <v>3</v>
      </c>
      <c r="R4" s="44">
        <f t="array" ref="R4">LET(val, IFERROR(INDEX('Daily 스피킹 raw'!$A:$Z, MATCH(R$2, 'Daily 스피킹 raw'!$A:$A, 0), MATCH($B4, 'Daily 스피킹 raw'!$1:$1, 0)), ""), IF(val=0, "", val))</f>
        <v>8</v>
      </c>
      <c r="S4" s="44">
        <f t="array" ref="S4">LET(val, IFERROR(INDEX('Daily 스피킹 raw'!$A:$Z, MATCH(S$2, 'Daily 스피킹 raw'!$A:$A, 0), MATCH($B4, 'Daily 스피킹 raw'!$1:$1, 0)), ""), IF(val=0, "", val))</f>
        <v>5</v>
      </c>
      <c r="T4" s="44">
        <f t="array" ref="T4">LET(val, IFERROR(INDEX('Daily 스피킹 raw'!$A:$Z, MATCH(T$2, 'Daily 스피킹 raw'!$A:$A, 0), MATCH($B4, 'Daily 스피킹 raw'!$1:$1, 0)), ""), IF(val=0, "", val))</f>
        <v>3</v>
      </c>
      <c r="U4" s="44">
        <f t="array" ref="U4">LET(val, IFERROR(INDEX('Daily 스피킹 raw'!$A:$Z, MATCH(U$2, 'Daily 스피킹 raw'!$A:$A, 0), MATCH($B4, 'Daily 스피킹 raw'!$1:$1, 0)), ""), IF(val=0, "", val))</f>
        <v>1</v>
      </c>
      <c r="V4" s="44">
        <f t="array" ref="V4">LET(val, IFERROR(INDEX('Daily 스피킹 raw'!$A:$Z, MATCH(V$2, 'Daily 스피킹 raw'!$A:$A, 0), MATCH($B4, 'Daily 스피킹 raw'!$1:$1, 0)), ""), IF(val=0, "", val))</f>
        <v>4</v>
      </c>
      <c r="W4" s="44">
        <f t="array" ref="W4">LET(val, IFERROR(INDEX('Daily 스피킹 raw'!$A:$Z, MATCH(W$2, 'Daily 스피킹 raw'!$A:$A, 0), MATCH($B4, 'Daily 스피킹 raw'!$1:$1, 0)), ""), IF(val=0, "", val))</f>
        <v>4</v>
      </c>
      <c r="X4" s="44">
        <f t="array" ref="X4">LET(val, IFERROR(INDEX('Daily 스피킹 raw'!$A:$Z, MATCH(X$2, 'Daily 스피킹 raw'!$A:$A, 0), MATCH($B4, 'Daily 스피킹 raw'!$1:$1, 0)), ""), IF(val=0, "", val))</f>
        <v>5</v>
      </c>
      <c r="Y4" s="44">
        <f t="array" ref="Y4">LET(val, IFERROR(INDEX('Daily 스피킹 raw'!$A:$Z, MATCH(Y$2, 'Daily 스피킹 raw'!$A:$A, 0), MATCH($B4, 'Daily 스피킹 raw'!$1:$1, 0)), ""), IF(val=0, "", val))</f>
        <v>3</v>
      </c>
      <c r="Z4" s="44">
        <f t="array" ref="Z4">LET(val, IFERROR(INDEX('Daily 스피킹 raw'!$A:$Z, MATCH(Z$2, 'Daily 스피킹 raw'!$A:$A, 0), MATCH($B4, 'Daily 스피킹 raw'!$1:$1, 0)), ""), IF(val=0, "", val))</f>
        <v>2</v>
      </c>
      <c r="AA4" s="44">
        <f t="array" ref="AA4">LET(val, IFERROR(INDEX('Daily 스피킹 raw'!$A:$Z, MATCH(AA$2, 'Daily 스피킹 raw'!$A:$A, 0), MATCH($B4, 'Daily 스피킹 raw'!$1:$1, 0)), ""), IF(val=0, "", val))</f>
        <v>5</v>
      </c>
      <c r="AB4" s="44">
        <f t="array" ref="AB4">LET(val, IFERROR(INDEX('Daily 스피킹 raw'!$A:$Z, MATCH(AB$2, 'Daily 스피킹 raw'!$A:$A, 0), MATCH($B4, 'Daily 스피킹 raw'!$1:$1, 0)), ""), IF(val=0, "", val))</f>
        <v>4</v>
      </c>
      <c r="AC4" s="44">
        <f t="array" ref="AC4">LET(val, IFERROR(INDEX('Daily 스피킹 raw'!$A:$Z, MATCH(AC$2, 'Daily 스피킹 raw'!$A:$A, 0), MATCH($B4, 'Daily 스피킹 raw'!$1:$1, 0)), ""), IF(val=0, "", val))</f>
        <v>5</v>
      </c>
      <c r="AD4" s="44">
        <f t="array" ref="AD4">LET(val, IFERROR(INDEX('Daily 스피킹 raw'!$A:$Z, MATCH(AD$2, 'Daily 스피킹 raw'!$A:$A, 0), MATCH($B4, 'Daily 스피킹 raw'!$1:$1, 0)), ""), IF(val=0, "", val))</f>
        <v>6</v>
      </c>
      <c r="AE4" s="44">
        <f t="array" ref="AE4">LET(val, IFERROR(INDEX('Daily 스피킹 raw'!$A:$Z, MATCH(AE$2, 'Daily 스피킹 raw'!$A:$A, 0), MATCH($B4, 'Daily 스피킹 raw'!$1:$1, 0)), ""), IF(val=0, "", val))</f>
        <v>9</v>
      </c>
      <c r="AF4" s="44">
        <f t="array" ref="AF4">LET(val, IFERROR(INDEX('Daily 스피킹 raw'!$A:$Z, MATCH(AF$2, 'Daily 스피킹 raw'!$A:$A, 0), MATCH($B4, 'Daily 스피킹 raw'!$1:$1, 0)), ""), IF(val=0, "", val))</f>
        <v>2</v>
      </c>
      <c r="AG4" s="44">
        <f t="array" ref="AG4">LET(val, IFERROR(INDEX('Daily 스피킹 raw'!$A:$Z, MATCH(AG$2, 'Daily 스피킹 raw'!$A:$A, 0), MATCH($B4, 'Daily 스피킹 raw'!$1:$1, 0)), ""), IF(val=0, "", val))</f>
        <v>6</v>
      </c>
      <c r="AH4" s="44">
        <f t="array" ref="AH4">LET(val, IFERROR(INDEX('Daily 스피킹 raw'!$A:$Z, MATCH(AH$2, 'Daily 스피킹 raw'!$A:$A, 0), MATCH($B4, 'Daily 스피킹 raw'!$1:$1, 0)), ""), IF(val=0, "", val))</f>
        <v>3</v>
      </c>
      <c r="AI4" s="44">
        <f t="array" ref="AI4">LET(val, IFERROR(INDEX('Daily 스피킹 raw'!$A:$Z, MATCH(AI$2, 'Daily 스피킹 raw'!$A:$A, 0), MATCH($B4, 'Daily 스피킹 raw'!$1:$1, 0)), ""), IF(val=0, "", val))</f>
        <v>4</v>
      </c>
      <c r="AJ4" s="44">
        <f t="array" ref="AJ4">LET(val, IFERROR(INDEX('Daily 스피킹 raw'!$A:$Z, MATCH(AJ$2, 'Daily 스피킹 raw'!$A:$A, 0), MATCH($B4, 'Daily 스피킹 raw'!$1:$1, 0)), ""), IF(val=0, "", val))</f>
        <v>4</v>
      </c>
      <c r="AK4" s="44">
        <f t="array" ref="AK4">LET(val, IFERROR(INDEX('Daily 스피킹 raw'!$A:$Z, MATCH(AK$2, 'Daily 스피킹 raw'!$A:$A, 0), MATCH($B4, 'Daily 스피킹 raw'!$1:$1, 0)), ""), IF(val=0, "", val))</f>
        <v>3</v>
      </c>
      <c r="AL4" s="44">
        <f t="array" ref="AL4">LET(val, IFERROR(INDEX('Daily 스피킹 raw'!$A:$Z, MATCH(AL$2, 'Daily 스피킹 raw'!$A:$A, 0), MATCH($B4, 'Daily 스피킹 raw'!$1:$1, 0)), ""), IF(val=0, "", val))</f>
        <v>2</v>
      </c>
      <c r="AM4" s="44">
        <f t="array" ref="AM4">LET(val, IFERROR(INDEX('Daily 스피킹 raw'!$A:$Z, MATCH(AM$2, 'Daily 스피킹 raw'!$A:$A, 0), MATCH($B4, 'Daily 스피킹 raw'!$1:$1, 0)), ""), IF(val=0, "", val))</f>
        <v>1</v>
      </c>
      <c r="AN4" s="44">
        <f t="array" ref="AN4">LET(val, IFERROR(INDEX('Daily 스피킹 raw'!$A:$Z, MATCH(AN$2, 'Daily 스피킹 raw'!$A:$A, 0), MATCH($B4, 'Daily 스피킹 raw'!$1:$1, 0)), ""), IF(val=0, "", val))</f>
        <v>3</v>
      </c>
      <c r="AO4" s="44">
        <f t="array" ref="AO4">LET(val, IFERROR(INDEX('Daily 스피킹 raw'!$A:$Z, MATCH(AO$2, 'Daily 스피킹 raw'!$A:$A, 0), MATCH($B4, 'Daily 스피킹 raw'!$1:$1, 0)), ""), IF(val=0, "", val))</f>
        <v>3</v>
      </c>
      <c r="AP4" s="44" t="str">
        <f t="array" ref="AP4">LET(val, IFERROR(INDEX('Daily 스피킹 raw'!$A:$Z, MATCH(AP$2, 'Daily 스피킹 raw'!$A:$A, 0), MATCH($B4, 'Daily 스피킹 raw'!$1:$1, 0)), ""), IF(val=0, "", val))</f>
        <v/>
      </c>
      <c r="AQ4" s="44">
        <f t="array" ref="AQ4">LET(val, IFERROR(INDEX('Daily 스피킹 raw'!$A:$Z, MATCH(AQ$2, 'Daily 스피킹 raw'!$A:$A, 0), MATCH($B4, 'Daily 스피킹 raw'!$1:$1, 0)), ""), IF(val=0, "", val))</f>
        <v>1</v>
      </c>
      <c r="AR4" s="44">
        <f t="array" ref="AR4">LET(val, IFERROR(INDEX('Daily 스피킹 raw'!$A:$Z, MATCH(AR$2, 'Daily 스피킹 raw'!$A:$A, 0), MATCH($B4, 'Daily 스피킹 raw'!$1:$1, 0)), ""), IF(val=0, "", val))</f>
        <v>4</v>
      </c>
      <c r="AS4" s="44">
        <f t="array" ref="AS4">LET(val, IFERROR(INDEX('Daily 스피킹 raw'!$A:$Z, MATCH(AS$2, 'Daily 스피킹 raw'!$A:$A, 0), MATCH($B4, 'Daily 스피킹 raw'!$1:$1, 0)), ""), IF(val=0, "", val))</f>
        <v>3</v>
      </c>
      <c r="AT4" s="44">
        <f t="array" ref="AT4">LET(val, IFERROR(INDEX('Daily 스피킹 raw'!$A:$Z, MATCH(AT$2, 'Daily 스피킹 raw'!$A:$A, 0), MATCH($B4, 'Daily 스피킹 raw'!$1:$1, 0)), ""), IF(val=0, "", val))</f>
        <v>3</v>
      </c>
      <c r="AU4" s="44">
        <f t="array" ref="AU4">LET(val, IFERROR(INDEX('Daily 스피킹 raw'!$A:$Z, MATCH(AU$2, 'Daily 스피킹 raw'!$A:$A, 0), MATCH($B4, 'Daily 스피킹 raw'!$1:$1, 0)), ""), IF(val=0, "", val))</f>
        <v>4</v>
      </c>
      <c r="AV4" s="44">
        <f t="array" ref="AV4">LET(val, IFERROR(INDEX('Daily 스피킹 raw'!$A:$Z, MATCH(AV$2, 'Daily 스피킹 raw'!$A:$A, 0), MATCH($B4, 'Daily 스피킹 raw'!$1:$1, 0)), ""), IF(val=0, "", val))</f>
        <v>5</v>
      </c>
      <c r="AW4" s="44">
        <f t="array" ref="AW4">LET(val, IFERROR(INDEX('Daily 스피킹 raw'!$A:$Z, MATCH(AW$2, 'Daily 스피킹 raw'!$A:$A, 0), MATCH($B4, 'Daily 스피킹 raw'!$1:$1, 0)), ""), IF(val=0, "", val))</f>
        <v>3</v>
      </c>
      <c r="AX4" s="44">
        <f t="array" ref="AX4">LET(val, IFERROR(INDEX('Daily 스피킹 raw'!$A:$Z, MATCH(AX$2, 'Daily 스피킹 raw'!$A:$A, 0), MATCH($B4, 'Daily 스피킹 raw'!$1:$1, 0)), ""), IF(val=0, "", val))</f>
        <v>7</v>
      </c>
      <c r="AY4" s="44">
        <f t="array" ref="AY4">LET(val, IFERROR(INDEX('Daily 스피킹 raw'!$A:$Z, MATCH(AY$2, 'Daily 스피킹 raw'!$A:$A, 0), MATCH($B4, 'Daily 스피킹 raw'!$1:$1, 0)), ""), IF(val=0, "", val))</f>
        <v>2</v>
      </c>
      <c r="AZ4" s="44">
        <f t="array" ref="AZ4">LET(val, IFERROR(INDEX('Daily 스피킹 raw'!$A:$Z, MATCH(AZ$2, 'Daily 스피킹 raw'!$A:$A, 0), MATCH($B4, 'Daily 스피킹 raw'!$1:$1, 0)), ""), IF(val=0, "", val))</f>
        <v>1</v>
      </c>
      <c r="BA4" s="44">
        <f t="array" ref="BA4">LET(val, IFERROR(INDEX('Daily 스피킹 raw'!$A:$Z, MATCH(BA$2, 'Daily 스피킹 raw'!$A:$A, 0), MATCH($B4, 'Daily 스피킹 raw'!$1:$1, 0)), ""), IF(val=0, "", val))</f>
        <v>3</v>
      </c>
      <c r="BB4" s="44">
        <f t="array" ref="BB4">LET(val, IFERROR(INDEX('Daily 스피킹 raw'!$A:$Z, MATCH(BB$2, 'Daily 스피킹 raw'!$A:$A, 0), MATCH($B4, 'Daily 스피킹 raw'!$1:$1, 0)), ""), IF(val=0, "", val))</f>
        <v>1</v>
      </c>
      <c r="BC4" s="44">
        <f t="array" ref="BC4">LET(val, IFERROR(INDEX('Daily 스피킹 raw'!$A:$Z, MATCH(BC$2, 'Daily 스피킹 raw'!$A:$A, 0), MATCH($B4, 'Daily 스피킹 raw'!$1:$1, 0)), ""), IF(val=0, "", val))</f>
        <v>3</v>
      </c>
      <c r="BD4" s="44">
        <f t="array" ref="BD4">LET(val, IFERROR(INDEX('Daily 스피킹 raw'!$A:$Z, MATCH(BD$2, 'Daily 스피킹 raw'!$A:$A, 0), MATCH($B4, 'Daily 스피킹 raw'!$1:$1, 0)), ""), IF(val=0, "", val))</f>
        <v>2</v>
      </c>
      <c r="BE4" s="44" t="str">
        <f t="array" ref="BE4">LET(val, IFERROR(INDEX('Daily 스피킹 raw'!$A:$Z, MATCH(BE$2, 'Daily 스피킹 raw'!$A:$A, 0), MATCH($B4, 'Daily 스피킹 raw'!$1:$1, 0)), ""), IF(val=0, "", val))</f>
        <v/>
      </c>
      <c r="BF4" s="44">
        <f t="array" ref="BF4">LET(val, IFERROR(INDEX('Daily 스피킹 raw'!$A:$Z, MATCH(BF$2, 'Daily 스피킹 raw'!$A:$A, 0), MATCH($B4, 'Daily 스피킹 raw'!$1:$1, 0)), ""), IF(val=0, "", val))</f>
        <v>2</v>
      </c>
      <c r="BG4" s="44">
        <f t="array" ref="BG4">LET(val, IFERROR(INDEX('Daily 스피킹 raw'!$A:$Z, MATCH(BG$2, 'Daily 스피킹 raw'!$A:$A, 0), MATCH($B4, 'Daily 스피킹 raw'!$1:$1, 0)), ""), IF(val=0, "", val))</f>
        <v>1</v>
      </c>
      <c r="BH4" s="44">
        <f t="array" ref="BH4">LET(val, IFERROR(INDEX('Daily 스피킹 raw'!$A:$Z, MATCH(BH$2, 'Daily 스피킹 raw'!$A:$A, 0), MATCH($B4, 'Daily 스피킹 raw'!$1:$1, 0)), ""), IF(val=0, "", val))</f>
        <v>1</v>
      </c>
      <c r="BI4" s="44">
        <f t="array" ref="BI4">LET(val, IFERROR(INDEX('Daily 스피킹 raw'!$A:$Z, MATCH(BI$2, 'Daily 스피킹 raw'!$A:$A, 0), MATCH($B4, 'Daily 스피킹 raw'!$1:$1, 0)), ""), IF(val=0, "", val))</f>
        <v>2</v>
      </c>
      <c r="BJ4" s="44">
        <f t="array" ref="BJ4">LET(val, IFERROR(INDEX('Daily 스피킹 raw'!$A:$Z, MATCH(BJ$2, 'Daily 스피킹 raw'!$A:$A, 0), MATCH($B4, 'Daily 스피킹 raw'!$1:$1, 0)), ""), IF(val=0, "", val))</f>
        <v>1</v>
      </c>
      <c r="BK4" s="44">
        <f t="array" ref="BK4">LET(val, IFERROR(INDEX('Daily 스피킹 raw'!$A:$Z, MATCH(BK$2, 'Daily 스피킹 raw'!$A:$A, 0), MATCH($B4, 'Daily 스피킹 raw'!$1:$1, 0)), ""), IF(val=0, "", val))</f>
        <v>2</v>
      </c>
      <c r="BL4" s="44" t="str">
        <f t="array" ref="BL4">LET(val, IFERROR(INDEX('Daily 스피킹 raw'!$A:$Z, MATCH(BL$2, 'Daily 스피킹 raw'!$A:$A, 0), MATCH($B4, 'Daily 스피킹 raw'!$1:$1, 0)), ""), IF(val=0, "", val))</f>
        <v/>
      </c>
      <c r="BM4" s="44" t="str">
        <f t="array" ref="BM4">LET(val, IFERROR(INDEX('Daily 스피킹 raw'!$A:$Z, MATCH(BM$2, 'Daily 스피킹 raw'!$A:$A, 0), MATCH($B4, 'Daily 스피킹 raw'!$1:$1, 0)), ""), IF(val=0, "", val))</f>
        <v/>
      </c>
      <c r="BN4" s="44" t="str">
        <f t="array" ref="BN4">LET(val, IFERROR(INDEX('Daily 스피킹 raw'!$A:$Z, MATCH(BN$2, 'Daily 스피킹 raw'!$A:$A, 0), MATCH($B4, 'Daily 스피킹 raw'!$1:$1, 0)), ""), IF(val=0, "", val))</f>
        <v/>
      </c>
      <c r="BO4" s="44" t="str">
        <f t="array" ref="BO4">LET(val, IFERROR(INDEX('Daily 스피킹 raw'!$A:$Z, MATCH(BO$2, 'Daily 스피킹 raw'!$A:$A, 0), MATCH($B4, 'Daily 스피킹 raw'!$1:$1, 0)), ""), IF(val=0, "", val))</f>
        <v/>
      </c>
      <c r="BP4" s="44" t="str">
        <f t="array" ref="BP4">LET(val, IFERROR(INDEX('Daily 스피킹 raw'!$A:$Z, MATCH(BP$2, 'Daily 스피킹 raw'!$A:$A, 0), MATCH($B4, 'Daily 스피킹 raw'!$1:$1, 0)), ""), IF(val=0, "", val))</f>
        <v/>
      </c>
      <c r="BQ4" s="44" t="str">
        <f t="array" ref="BQ4">LET(val, IFERROR(INDEX('Daily 스피킹 raw'!$A:$Z, MATCH(BQ$2, 'Daily 스피킹 raw'!$A:$A, 0), MATCH($B4, 'Daily 스피킹 raw'!$1:$1, 0)), ""), IF(val=0, "", val))</f>
        <v/>
      </c>
      <c r="BR4" s="44" t="str">
        <f t="array" ref="BR4">LET(val, IFERROR(INDEX('Daily 스피킹 raw'!$A:$Z, MATCH(BR$2, 'Daily 스피킹 raw'!$A:$A, 0), MATCH($B4, 'Daily 스피킹 raw'!$1:$1, 0)), ""), IF(val=0, "", val))</f>
        <v/>
      </c>
      <c r="BS4" s="44" t="str">
        <f t="array" ref="BS4">LET(val, IFERROR(INDEX('Daily 스피킹 raw'!$A:$Z, MATCH(BS$2, 'Daily 스피킹 raw'!$A:$A, 0), MATCH($B4, 'Daily 스피킹 raw'!$1:$1, 0)), ""), IF(val=0, "", val))</f>
        <v/>
      </c>
      <c r="BT4" s="44" t="str">
        <f t="array" ref="BT4">LET(val, IFERROR(INDEX('Daily 스피킹 raw'!$A:$Z, MATCH(BT$2, 'Daily 스피킹 raw'!$A:$A, 0), MATCH($B4, 'Daily 스피킹 raw'!$1:$1, 0)), ""), IF(val=0, "", val))</f>
        <v/>
      </c>
      <c r="BU4" s="44" t="str">
        <f t="array" ref="BU4">LET(val, IFERROR(INDEX('Daily 스피킹 raw'!$A:$Z, MATCH(BU$2, 'Daily 스피킹 raw'!$A:$A, 0), MATCH($B4, 'Daily 스피킹 raw'!$1:$1, 0)), ""), IF(val=0, "", val))</f>
        <v/>
      </c>
      <c r="BV4" s="44" t="str">
        <f t="array" ref="BV4">LET(val, IFERROR(INDEX('Daily 스피킹 raw'!$A:$Z, MATCH(BV$2, 'Daily 스피킹 raw'!$A:$A, 0), MATCH($B4, 'Daily 스피킹 raw'!$1:$1, 0)), ""), IF(val=0, "", val))</f>
        <v/>
      </c>
      <c r="BW4" s="44" t="str">
        <f t="array" ref="BW4">LET(val, IFERROR(INDEX('Daily 스피킹 raw'!$A:$Z, MATCH(BW$2, 'Daily 스피킹 raw'!$A:$A, 0), MATCH($B4, 'Daily 스피킹 raw'!$1:$1, 0)), ""), IF(val=0, "", val))</f>
        <v/>
      </c>
      <c r="BX4" s="44" t="str">
        <f t="array" ref="BX4">LET(val, IFERROR(INDEX('Daily 스피킹 raw'!$A:$Z, MATCH(BX$2, 'Daily 스피킹 raw'!$A:$A, 0), MATCH($B4, 'Daily 스피킹 raw'!$1:$1, 0)), ""), IF(val=0, "", val))</f>
        <v/>
      </c>
      <c r="BY4" s="44" t="str">
        <f t="array" ref="BY4">LET(val, IFERROR(INDEX('Daily 스피킹 raw'!$A:$Z, MATCH(BY$2, 'Daily 스피킹 raw'!$A:$A, 0), MATCH($B4, 'Daily 스피킹 raw'!$1:$1, 0)), ""), IF(val=0, "", val))</f>
        <v/>
      </c>
      <c r="BZ4" s="44" t="str">
        <f t="array" ref="BZ4">LET(val, IFERROR(INDEX('Daily 스피킹 raw'!$A:$Z, MATCH(BZ$2, 'Daily 스피킹 raw'!$A:$A, 0), MATCH($B4, 'Daily 스피킹 raw'!$1:$1, 0)), ""), IF(val=0, "", val))</f>
        <v/>
      </c>
      <c r="CA4" s="44" t="str">
        <f t="array" ref="CA4">LET(val, IFERROR(INDEX('Daily 스피킹 raw'!$A:$Z, MATCH(CA$2, 'Daily 스피킹 raw'!$A:$A, 0), MATCH($B4, 'Daily 스피킹 raw'!$1:$1, 0)), ""), IF(val=0, "", val))</f>
        <v/>
      </c>
      <c r="CB4" s="44" t="str">
        <f t="array" ref="CB4">LET(val, IFERROR(INDEX('Daily 스피킹 raw'!$A:$Z, MATCH(CB$2, 'Daily 스피킹 raw'!$A:$A, 0), MATCH($B4, 'Daily 스피킹 raw'!$1:$1, 0)), ""), IF(val=0, "", val))</f>
        <v/>
      </c>
      <c r="CC4" s="44" t="str">
        <f t="array" ref="CC4">LET(val, IFERROR(INDEX('Daily 스피킹 raw'!$A:$Z, MATCH(CC$2, 'Daily 스피킹 raw'!$A:$A, 0), MATCH($B4, 'Daily 스피킹 raw'!$1:$1, 0)), ""), IF(val=0, "", val))</f>
        <v/>
      </c>
      <c r="CD4" s="44" t="str">
        <f t="array" ref="CD4">LET(val, IFERROR(INDEX('Daily 스피킹 raw'!$A:$Z, MATCH(CD$2, 'Daily 스피킹 raw'!$A:$A, 0), MATCH($B4, 'Daily 스피킹 raw'!$1:$1, 0)), ""), IF(val=0, "", val))</f>
        <v/>
      </c>
      <c r="CE4" s="44" t="str">
        <f t="array" ref="CE4">LET(val, IFERROR(INDEX('Daily 스피킹 raw'!$A:$Z, MATCH(CE$2, 'Daily 스피킹 raw'!$A:$A, 0), MATCH($B4, 'Daily 스피킹 raw'!$1:$1, 0)), ""), IF(val=0, "", val))</f>
        <v/>
      </c>
      <c r="CF4" s="44" t="str">
        <f t="array" ref="CF4">LET(val, IFERROR(INDEX('Daily 스피킹 raw'!$A:$Z, MATCH(CF$2, 'Daily 스피킹 raw'!$A:$A, 0), MATCH($B4, 'Daily 스피킹 raw'!$1:$1, 0)), ""), IF(val=0, "", val))</f>
        <v/>
      </c>
      <c r="CG4" s="44" t="str">
        <f t="array" ref="CG4">LET(val, IFERROR(INDEX('Daily 스피킹 raw'!$A:$Z, MATCH(CG$2, 'Daily 스피킹 raw'!$A:$A, 0), MATCH($B4, 'Daily 스피킹 raw'!$1:$1, 0)), ""), IF(val=0, "", val))</f>
        <v/>
      </c>
      <c r="CH4" s="44" t="str">
        <f t="array" ref="CH4">LET(val, IFERROR(INDEX('Daily 스피킹 raw'!$A:$Z, MATCH(CH$2, 'Daily 스피킹 raw'!$A:$A, 0), MATCH($B4, 'Daily 스피킹 raw'!$1:$1, 0)), ""), IF(val=0, "", val))</f>
        <v/>
      </c>
      <c r="CI4" s="44" t="str">
        <f t="array" ref="CI4">LET(val, IFERROR(INDEX('Daily 스피킹 raw'!$A:$Z, MATCH(CI$2, 'Daily 스피킹 raw'!$A:$A, 0), MATCH($B4, 'Daily 스피킹 raw'!$1:$1, 0)), ""), IF(val=0, "", val))</f>
        <v/>
      </c>
      <c r="CJ4" s="44" t="str">
        <f t="array" ref="CJ4">LET(val, IFERROR(INDEX('Daily 스피킹 raw'!$A:$Z, MATCH(CJ$2, 'Daily 스피킹 raw'!$A:$A, 0), MATCH($B4, 'Daily 스피킹 raw'!$1:$1, 0)), ""), IF(val=0, "", val))</f>
        <v/>
      </c>
      <c r="CK4" s="44" t="str">
        <f t="array" ref="CK4">LET(val, IFERROR(INDEX('Daily 스피킹 raw'!$A:$Z, MATCH(CK$2, 'Daily 스피킹 raw'!$A:$A, 0), MATCH($B4, 'Daily 스피킹 raw'!$1:$1, 0)), ""), IF(val=0, "", val))</f>
        <v/>
      </c>
      <c r="CL4" s="44" t="str">
        <f t="array" ref="CL4">LET(val, IFERROR(INDEX('Daily 스피킹 raw'!$A:$Z, MATCH(CL$2, 'Daily 스피킹 raw'!$A:$A, 0), MATCH($B4, 'Daily 스피킹 raw'!$1:$1, 0)), ""), IF(val=0, "", val))</f>
        <v/>
      </c>
      <c r="CM4" s="44" t="str">
        <f t="array" ref="CM4">LET(val, IFERROR(INDEX('Daily 스피킹 raw'!$A:$Z, MATCH(CM$2, 'Daily 스피킹 raw'!$A:$A, 0), MATCH($B4, 'Daily 스피킹 raw'!$1:$1, 0)), ""), IF(val=0, "", val))</f>
        <v/>
      </c>
      <c r="CN4" s="44" t="str">
        <f t="array" ref="CN4">LET(val, IFERROR(INDEX('Daily 스피킹 raw'!$A:$Z, MATCH(CN$2, 'Daily 스피킹 raw'!$A:$A, 0), MATCH($B4, 'Daily 스피킹 raw'!$1:$1, 0)), ""), IF(val=0, "", val))</f>
        <v/>
      </c>
      <c r="CO4" s="44" t="str">
        <f t="array" ref="CO4">LET(val, IFERROR(INDEX('Daily 스피킹 raw'!$A:$Z, MATCH(CO$2, 'Daily 스피킹 raw'!$A:$A, 0), MATCH($B4, 'Daily 스피킹 raw'!$1:$1, 0)), ""), IF(val=0, "", val))</f>
        <v/>
      </c>
      <c r="CP4" s="44" t="str">
        <f t="array" ref="CP4">LET(val, IFERROR(INDEX('Daily 스피킹 raw'!$A:$Z, MATCH(CP$2, 'Daily 스피킹 raw'!$A:$A, 0), MATCH($B4, 'Daily 스피킹 raw'!$1:$1, 0)), ""), IF(val=0, "", val))</f>
        <v/>
      </c>
      <c r="CQ4" s="44" t="str">
        <f t="array" ref="CQ4">LET(val, IFERROR(INDEX('Daily 스피킹 raw'!$A:$Z, MATCH(CQ$2, 'Daily 스피킹 raw'!$A:$A, 0), MATCH($B4, 'Daily 스피킹 raw'!$1:$1, 0)), ""), IF(val=0, "", val))</f>
        <v/>
      </c>
      <c r="CR4" s="44" t="str">
        <f t="array" ref="CR4">LET(val, IFERROR(INDEX('Daily 스피킹 raw'!$A:$Z, MATCH(CR$2, 'Daily 스피킹 raw'!$A:$A, 0), MATCH($B4, 'Daily 스피킹 raw'!$1:$1, 0)), ""), IF(val=0, "", val))</f>
        <v/>
      </c>
      <c r="CS4" s="44" t="str">
        <f t="array" ref="CS4">LET(val, IFERROR(INDEX('Daily 스피킹 raw'!$A:$Z, MATCH(CS$2, 'Daily 스피킹 raw'!$A:$A, 0), MATCH($B4, 'Daily 스피킹 raw'!$1:$1, 0)), ""), IF(val=0, "", val))</f>
        <v/>
      </c>
      <c r="CT4" s="44" t="str">
        <f t="array" ref="CT4">LET(val, IFERROR(INDEX('Daily 스피킹 raw'!$A:$Z, MATCH(CT$2, 'Daily 스피킹 raw'!$A:$A, 0), MATCH($B4, 'Daily 스피킹 raw'!$1:$1, 0)), ""), IF(val=0, "", val))</f>
        <v/>
      </c>
      <c r="CU4" s="44" t="str">
        <f t="array" ref="CU4">LET(val, IFERROR(INDEX('Daily 스피킹 raw'!$A:$Z, MATCH(CU$2, 'Daily 스피킹 raw'!$A:$A, 0), MATCH($B4, 'Daily 스피킹 raw'!$1:$1, 0)), ""), IF(val=0, "", val))</f>
        <v/>
      </c>
      <c r="CV4" s="44" t="str">
        <f t="array" ref="CV4">LET(val, IFERROR(INDEX('Daily 스피킹 raw'!$A:$Z, MATCH(CV$2, 'Daily 스피킹 raw'!$A:$A, 0), MATCH($B4, 'Daily 스피킹 raw'!$1:$1, 0)), ""), IF(val=0, "", val))</f>
        <v/>
      </c>
      <c r="CW4" s="44" t="str">
        <f t="array" ref="CW4">LET(val, IFERROR(INDEX('Daily 스피킹 raw'!$A:$Z, MATCH(CW$2, 'Daily 스피킹 raw'!$A:$A, 0), MATCH($B4, 'Daily 스피킹 raw'!$1:$1, 0)), ""), IF(val=0, "", val))</f>
        <v/>
      </c>
    </row>
    <row r="5" ht="22.5" customHeight="1">
      <c r="A5" s="28"/>
      <c r="B5" s="23" t="s">
        <v>64</v>
      </c>
      <c r="C5" s="17" t="s">
        <v>141</v>
      </c>
      <c r="D5" s="44">
        <f t="array" ref="D5">LET(val, IFERROR(INDEX('Daily 스피킹 raw'!$A:$Z, MATCH(D$2, 'Daily 스피킹 raw'!$A:$A, 0), MATCH($B5, 'Daily 스피킹 raw'!$1:$1, 0)), ""), IF(val=0, "", val))</f>
        <v>3</v>
      </c>
      <c r="E5" s="44">
        <f t="array" ref="E5">LET(val, IFERROR(INDEX('Daily 스피킹 raw'!$A:$Z, MATCH(E$2, 'Daily 스피킹 raw'!$A:$A, 0), MATCH($B5, 'Daily 스피킹 raw'!$1:$1, 0)), ""), IF(val=0, "", val))</f>
        <v>1</v>
      </c>
      <c r="F5" s="44">
        <f t="array" ref="F5">LET(val, IFERROR(INDEX('Daily 스피킹 raw'!$A:$Z, MATCH(F$2, 'Daily 스피킹 raw'!$A:$A, 0), MATCH($B5, 'Daily 스피킹 raw'!$1:$1, 0)), ""), IF(val=0, "", val))</f>
        <v>6</v>
      </c>
      <c r="G5" s="44">
        <f t="array" ref="G5">LET(val, IFERROR(INDEX('Daily 스피킹 raw'!$A:$Z, MATCH(G$2, 'Daily 스피킹 raw'!$A:$A, 0), MATCH($B5, 'Daily 스피킹 raw'!$1:$1, 0)), ""), IF(val=0, "", val))</f>
        <v>2</v>
      </c>
      <c r="H5" s="44">
        <f t="array" ref="H5">LET(val, IFERROR(INDEX('Daily 스피킹 raw'!$A:$Z, MATCH(H$2, 'Daily 스피킹 raw'!$A:$A, 0), MATCH($B5, 'Daily 스피킹 raw'!$1:$1, 0)), ""), IF(val=0, "", val))</f>
        <v>3</v>
      </c>
      <c r="I5" s="44">
        <f t="array" ref="I5">LET(val, IFERROR(INDEX('Daily 스피킹 raw'!$A:$Z, MATCH(I$2, 'Daily 스피킹 raw'!$A:$A, 0), MATCH($B5, 'Daily 스피킹 raw'!$1:$1, 0)), ""), IF(val=0, "", val))</f>
        <v>7</v>
      </c>
      <c r="J5" s="44">
        <f t="array" ref="J5">LET(val, IFERROR(INDEX('Daily 스피킹 raw'!$A:$Z, MATCH(J$2, 'Daily 스피킹 raw'!$A:$A, 0), MATCH($B5, 'Daily 스피킹 raw'!$1:$1, 0)), ""), IF(val=0, "", val))</f>
        <v>11</v>
      </c>
      <c r="K5" s="44">
        <f t="array" ref="K5">LET(val, IFERROR(INDEX('Daily 스피킹 raw'!$A:$Z, MATCH(K$2, 'Daily 스피킹 raw'!$A:$A, 0), MATCH($B5, 'Daily 스피킹 raw'!$1:$1, 0)), ""), IF(val=0, "", val))</f>
        <v>6</v>
      </c>
      <c r="L5" s="44">
        <f t="array" ref="L5">LET(val, IFERROR(INDEX('Daily 스피킹 raw'!$A:$Z, MATCH(L$2, 'Daily 스피킹 raw'!$A:$A, 0), MATCH($B5, 'Daily 스피킹 raw'!$1:$1, 0)), ""), IF(val=0, "", val))</f>
        <v>12</v>
      </c>
      <c r="M5" s="44">
        <f t="array" ref="M5">LET(val, IFERROR(INDEX('Daily 스피킹 raw'!$A:$Z, MATCH(M$2, 'Daily 스피킹 raw'!$A:$A, 0), MATCH($B5, 'Daily 스피킹 raw'!$1:$1, 0)), ""), IF(val=0, "", val))</f>
        <v>19</v>
      </c>
      <c r="N5" s="44">
        <f t="array" ref="N5">LET(val, IFERROR(INDEX('Daily 스피킹 raw'!$A:$Z, MATCH(N$2, 'Daily 스피킹 raw'!$A:$A, 0), MATCH($B5, 'Daily 스피킹 raw'!$1:$1, 0)), ""), IF(val=0, "", val))</f>
        <v>13</v>
      </c>
      <c r="O5" s="44">
        <f t="array" ref="O5">LET(val, IFERROR(INDEX('Daily 스피킹 raw'!$A:$Z, MATCH(O$2, 'Daily 스피킹 raw'!$A:$A, 0), MATCH($B5, 'Daily 스피킹 raw'!$1:$1, 0)), ""), IF(val=0, "", val))</f>
        <v>5</v>
      </c>
      <c r="P5" s="44">
        <f t="array" ref="P5">LET(val, IFERROR(INDEX('Daily 스피킹 raw'!$A:$Z, MATCH(P$2, 'Daily 스피킹 raw'!$A:$A, 0), MATCH($B5, 'Daily 스피킹 raw'!$1:$1, 0)), ""), IF(val=0, "", val))</f>
        <v>8</v>
      </c>
      <c r="Q5" s="44">
        <f t="array" ref="Q5">LET(val, IFERROR(INDEX('Daily 스피킹 raw'!$A:$Z, MATCH(Q$2, 'Daily 스피킹 raw'!$A:$A, 0), MATCH($B5, 'Daily 스피킹 raw'!$1:$1, 0)), ""), IF(val=0, "", val))</f>
        <v>4</v>
      </c>
      <c r="R5" s="44">
        <f t="array" ref="R5">LET(val, IFERROR(INDEX('Daily 스피킹 raw'!$A:$Z, MATCH(R$2, 'Daily 스피킹 raw'!$A:$A, 0), MATCH($B5, 'Daily 스피킹 raw'!$1:$1, 0)), ""), IF(val=0, "", val))</f>
        <v>9</v>
      </c>
      <c r="S5" s="44">
        <f t="array" ref="S5">LET(val, IFERROR(INDEX('Daily 스피킹 raw'!$A:$Z, MATCH(S$2, 'Daily 스피킹 raw'!$A:$A, 0), MATCH($B5, 'Daily 스피킹 raw'!$1:$1, 0)), ""), IF(val=0, "", val))</f>
        <v>6</v>
      </c>
      <c r="T5" s="44">
        <f t="array" ref="T5">LET(val, IFERROR(INDEX('Daily 스피킹 raw'!$A:$Z, MATCH(T$2, 'Daily 스피킹 raw'!$A:$A, 0), MATCH($B5, 'Daily 스피킹 raw'!$1:$1, 0)), ""), IF(val=0, "", val))</f>
        <v>5</v>
      </c>
      <c r="U5" s="44">
        <f t="array" ref="U5">LET(val, IFERROR(INDEX('Daily 스피킹 raw'!$A:$Z, MATCH(U$2, 'Daily 스피킹 raw'!$A:$A, 0), MATCH($B5, 'Daily 스피킹 raw'!$1:$1, 0)), ""), IF(val=0, "", val))</f>
        <v>3</v>
      </c>
      <c r="V5" s="44">
        <f t="array" ref="V5">LET(val, IFERROR(INDEX('Daily 스피킹 raw'!$A:$Z, MATCH(V$2, 'Daily 스피킹 raw'!$A:$A, 0), MATCH($B5, 'Daily 스피킹 raw'!$1:$1, 0)), ""), IF(val=0, "", val))</f>
        <v>7</v>
      </c>
      <c r="W5" s="44">
        <f t="array" ref="W5">LET(val, IFERROR(INDEX('Daily 스피킹 raw'!$A:$Z, MATCH(W$2, 'Daily 스피킹 raw'!$A:$A, 0), MATCH($B5, 'Daily 스피킹 raw'!$1:$1, 0)), ""), IF(val=0, "", val))</f>
        <v>8</v>
      </c>
      <c r="X5" s="44">
        <f t="array" ref="X5">LET(val, IFERROR(INDEX('Daily 스피킹 raw'!$A:$Z, MATCH(X$2, 'Daily 스피킹 raw'!$A:$A, 0), MATCH($B5, 'Daily 스피킹 raw'!$1:$1, 0)), ""), IF(val=0, "", val))</f>
        <v>6</v>
      </c>
      <c r="Y5" s="44">
        <f t="array" ref="Y5">LET(val, IFERROR(INDEX('Daily 스피킹 raw'!$A:$Z, MATCH(Y$2, 'Daily 스피킹 raw'!$A:$A, 0), MATCH($B5, 'Daily 스피킹 raw'!$1:$1, 0)), ""), IF(val=0, "", val))</f>
        <v>4</v>
      </c>
      <c r="Z5" s="44">
        <f t="array" ref="Z5">LET(val, IFERROR(INDEX('Daily 스피킹 raw'!$A:$Z, MATCH(Z$2, 'Daily 스피킹 raw'!$A:$A, 0), MATCH($B5, 'Daily 스피킹 raw'!$1:$1, 0)), ""), IF(val=0, "", val))</f>
        <v>2</v>
      </c>
      <c r="AA5" s="44">
        <f t="array" ref="AA5">LET(val, IFERROR(INDEX('Daily 스피킹 raw'!$A:$Z, MATCH(AA$2, 'Daily 스피킹 raw'!$A:$A, 0), MATCH($B5, 'Daily 스피킹 raw'!$1:$1, 0)), ""), IF(val=0, "", val))</f>
        <v>10</v>
      </c>
      <c r="AB5" s="44">
        <f t="array" ref="AB5">LET(val, IFERROR(INDEX('Daily 스피킹 raw'!$A:$Z, MATCH(AB$2, 'Daily 스피킹 raw'!$A:$A, 0), MATCH($B5, 'Daily 스피킹 raw'!$1:$1, 0)), ""), IF(val=0, "", val))</f>
        <v>6</v>
      </c>
      <c r="AC5" s="44">
        <f t="array" ref="AC5">LET(val, IFERROR(INDEX('Daily 스피킹 raw'!$A:$Z, MATCH(AC$2, 'Daily 스피킹 raw'!$A:$A, 0), MATCH($B5, 'Daily 스피킹 raw'!$1:$1, 0)), ""), IF(val=0, "", val))</f>
        <v>7</v>
      </c>
      <c r="AD5" s="44">
        <f t="array" ref="AD5">LET(val, IFERROR(INDEX('Daily 스피킹 raw'!$A:$Z, MATCH(AD$2, 'Daily 스피킹 raw'!$A:$A, 0), MATCH($B5, 'Daily 스피킹 raw'!$1:$1, 0)), ""), IF(val=0, "", val))</f>
        <v>8</v>
      </c>
      <c r="AE5" s="44">
        <f t="array" ref="AE5">LET(val, IFERROR(INDEX('Daily 스피킹 raw'!$A:$Z, MATCH(AE$2, 'Daily 스피킹 raw'!$A:$A, 0), MATCH($B5, 'Daily 스피킹 raw'!$1:$1, 0)), ""), IF(val=0, "", val))</f>
        <v>9</v>
      </c>
      <c r="AF5" s="44">
        <f t="array" ref="AF5">LET(val, IFERROR(INDEX('Daily 스피킹 raw'!$A:$Z, MATCH(AF$2, 'Daily 스피킹 raw'!$A:$A, 0), MATCH($B5, 'Daily 스피킹 raw'!$1:$1, 0)), ""), IF(val=0, "", val))</f>
        <v>4</v>
      </c>
      <c r="AG5" s="44">
        <f t="array" ref="AG5">LET(val, IFERROR(INDEX('Daily 스피킹 raw'!$A:$Z, MATCH(AG$2, 'Daily 스피킹 raw'!$A:$A, 0), MATCH($B5, 'Daily 스피킹 raw'!$1:$1, 0)), ""), IF(val=0, "", val))</f>
        <v>6</v>
      </c>
      <c r="AH5" s="44">
        <f t="array" ref="AH5">LET(val, IFERROR(INDEX('Daily 스피킹 raw'!$A:$Z, MATCH(AH$2, 'Daily 스피킹 raw'!$A:$A, 0), MATCH($B5, 'Daily 스피킹 raw'!$1:$1, 0)), ""), IF(val=0, "", val))</f>
        <v>5</v>
      </c>
      <c r="AI5" s="44">
        <f t="array" ref="AI5">LET(val, IFERROR(INDEX('Daily 스피킹 raw'!$A:$Z, MATCH(AI$2, 'Daily 스피킹 raw'!$A:$A, 0), MATCH($B5, 'Daily 스피킹 raw'!$1:$1, 0)), ""), IF(val=0, "", val))</f>
        <v>6</v>
      </c>
      <c r="AJ5" s="44">
        <f t="array" ref="AJ5">LET(val, IFERROR(INDEX('Daily 스피킹 raw'!$A:$Z, MATCH(AJ$2, 'Daily 스피킹 raw'!$A:$A, 0), MATCH($B5, 'Daily 스피킹 raw'!$1:$1, 0)), ""), IF(val=0, "", val))</f>
        <v>5</v>
      </c>
      <c r="AK5" s="44">
        <f t="array" ref="AK5">LET(val, IFERROR(INDEX('Daily 스피킹 raw'!$A:$Z, MATCH(AK$2, 'Daily 스피킹 raw'!$A:$A, 0), MATCH($B5, 'Daily 스피킹 raw'!$1:$1, 0)), ""), IF(val=0, "", val))</f>
        <v>3</v>
      </c>
      <c r="AL5" s="44">
        <f t="array" ref="AL5">LET(val, IFERROR(INDEX('Daily 스피킹 raw'!$A:$Z, MATCH(AL$2, 'Daily 스피킹 raw'!$A:$A, 0), MATCH($B5, 'Daily 스피킹 raw'!$1:$1, 0)), ""), IF(val=0, "", val))</f>
        <v>4</v>
      </c>
      <c r="AM5" s="44">
        <f t="array" ref="AM5">LET(val, IFERROR(INDEX('Daily 스피킹 raw'!$A:$Z, MATCH(AM$2, 'Daily 스피킹 raw'!$A:$A, 0), MATCH($B5, 'Daily 스피킹 raw'!$1:$1, 0)), ""), IF(val=0, "", val))</f>
        <v>4</v>
      </c>
      <c r="AN5" s="44">
        <f t="array" ref="AN5">LET(val, IFERROR(INDEX('Daily 스피킹 raw'!$A:$Z, MATCH(AN$2, 'Daily 스피킹 raw'!$A:$A, 0), MATCH($B5, 'Daily 스피킹 raw'!$1:$1, 0)), ""), IF(val=0, "", val))</f>
        <v>6</v>
      </c>
      <c r="AO5" s="44">
        <f t="array" ref="AO5">LET(val, IFERROR(INDEX('Daily 스피킹 raw'!$A:$Z, MATCH(AO$2, 'Daily 스피킹 raw'!$A:$A, 0), MATCH($B5, 'Daily 스피킹 raw'!$1:$1, 0)), ""), IF(val=0, "", val))</f>
        <v>5</v>
      </c>
      <c r="AP5" s="44" t="str">
        <f t="array" ref="AP5">LET(val, IFERROR(INDEX('Daily 스피킹 raw'!$A:$Z, MATCH(AP$2, 'Daily 스피킹 raw'!$A:$A, 0), MATCH($B5, 'Daily 스피킹 raw'!$1:$1, 0)), ""), IF(val=0, "", val))</f>
        <v/>
      </c>
      <c r="AQ5" s="44">
        <f t="array" ref="AQ5">LET(val, IFERROR(INDEX('Daily 스피킹 raw'!$A:$Z, MATCH(AQ$2, 'Daily 스피킹 raw'!$A:$A, 0), MATCH($B5, 'Daily 스피킹 raw'!$1:$1, 0)), ""), IF(val=0, "", val))</f>
        <v>1</v>
      </c>
      <c r="AR5" s="44">
        <f t="array" ref="AR5">LET(val, IFERROR(INDEX('Daily 스피킹 raw'!$A:$Z, MATCH(AR$2, 'Daily 스피킹 raw'!$A:$A, 0), MATCH($B5, 'Daily 스피킹 raw'!$1:$1, 0)), ""), IF(val=0, "", val))</f>
        <v>6</v>
      </c>
      <c r="AS5" s="44">
        <f t="array" ref="AS5">LET(val, IFERROR(INDEX('Daily 스피킹 raw'!$A:$Z, MATCH(AS$2, 'Daily 스피킹 raw'!$A:$A, 0), MATCH($B5, 'Daily 스피킹 raw'!$1:$1, 0)), ""), IF(val=0, "", val))</f>
        <v>3</v>
      </c>
      <c r="AT5" s="44">
        <f t="array" ref="AT5">LET(val, IFERROR(INDEX('Daily 스피킹 raw'!$A:$Z, MATCH(AT$2, 'Daily 스피킹 raw'!$A:$A, 0), MATCH($B5, 'Daily 스피킹 raw'!$1:$1, 0)), ""), IF(val=0, "", val))</f>
        <v>4</v>
      </c>
      <c r="AU5" s="44">
        <f t="array" ref="AU5">LET(val, IFERROR(INDEX('Daily 스피킹 raw'!$A:$Z, MATCH(AU$2, 'Daily 스피킹 raw'!$A:$A, 0), MATCH($B5, 'Daily 스피킹 raw'!$1:$1, 0)), ""), IF(val=0, "", val))</f>
        <v>5</v>
      </c>
      <c r="AV5" s="44">
        <f t="array" ref="AV5">LET(val, IFERROR(INDEX('Daily 스피킹 raw'!$A:$Z, MATCH(AV$2, 'Daily 스피킹 raw'!$A:$A, 0), MATCH($B5, 'Daily 스피킹 raw'!$1:$1, 0)), ""), IF(val=0, "", val))</f>
        <v>6</v>
      </c>
      <c r="AW5" s="44">
        <f t="array" ref="AW5">LET(val, IFERROR(INDEX('Daily 스피킹 raw'!$A:$Z, MATCH(AW$2, 'Daily 스피킹 raw'!$A:$A, 0), MATCH($B5, 'Daily 스피킹 raw'!$1:$1, 0)), ""), IF(val=0, "", val))</f>
        <v>5</v>
      </c>
      <c r="AX5" s="44">
        <f t="array" ref="AX5">LET(val, IFERROR(INDEX('Daily 스피킹 raw'!$A:$Z, MATCH(AX$2, 'Daily 스피킹 raw'!$A:$A, 0), MATCH($B5, 'Daily 스피킹 raw'!$1:$1, 0)), ""), IF(val=0, "", val))</f>
        <v>8</v>
      </c>
      <c r="AY5" s="44">
        <f t="array" ref="AY5">LET(val, IFERROR(INDEX('Daily 스피킹 raw'!$A:$Z, MATCH(AY$2, 'Daily 스피킹 raw'!$A:$A, 0), MATCH($B5, 'Daily 스피킹 raw'!$1:$1, 0)), ""), IF(val=0, "", val))</f>
        <v>4</v>
      </c>
      <c r="AZ5" s="44">
        <f t="array" ref="AZ5">LET(val, IFERROR(INDEX('Daily 스피킹 raw'!$A:$Z, MATCH(AZ$2, 'Daily 스피킹 raw'!$A:$A, 0), MATCH($B5, 'Daily 스피킹 raw'!$1:$1, 0)), ""), IF(val=0, "", val))</f>
        <v>1</v>
      </c>
      <c r="BA5" s="44">
        <f t="array" ref="BA5">LET(val, IFERROR(INDEX('Daily 스피킹 raw'!$A:$Z, MATCH(BA$2, 'Daily 스피킹 raw'!$A:$A, 0), MATCH($B5, 'Daily 스피킹 raw'!$1:$1, 0)), ""), IF(val=0, "", val))</f>
        <v>4</v>
      </c>
      <c r="BB5" s="44">
        <f t="array" ref="BB5">LET(val, IFERROR(INDEX('Daily 스피킹 raw'!$A:$Z, MATCH(BB$2, 'Daily 스피킹 raw'!$A:$A, 0), MATCH($B5, 'Daily 스피킹 raw'!$1:$1, 0)), ""), IF(val=0, "", val))</f>
        <v>2</v>
      </c>
      <c r="BC5" s="44">
        <f t="array" ref="BC5">LET(val, IFERROR(INDEX('Daily 스피킹 raw'!$A:$Z, MATCH(BC$2, 'Daily 스피킹 raw'!$A:$A, 0), MATCH($B5, 'Daily 스피킹 raw'!$1:$1, 0)), ""), IF(val=0, "", val))</f>
        <v>4</v>
      </c>
      <c r="BD5" s="44">
        <f t="array" ref="BD5">LET(val, IFERROR(INDEX('Daily 스피킹 raw'!$A:$Z, MATCH(BD$2, 'Daily 스피킹 raw'!$A:$A, 0), MATCH($B5, 'Daily 스피킹 raw'!$1:$1, 0)), ""), IF(val=0, "", val))</f>
        <v>3</v>
      </c>
      <c r="BE5" s="44">
        <f t="array" ref="BE5">LET(val, IFERROR(INDEX('Daily 스피킹 raw'!$A:$Z, MATCH(BE$2, 'Daily 스피킹 raw'!$A:$A, 0), MATCH($B5, 'Daily 스피킹 raw'!$1:$1, 0)), ""), IF(val=0, "", val))</f>
        <v>2</v>
      </c>
      <c r="BF5" s="44">
        <f t="array" ref="BF5">LET(val, IFERROR(INDEX('Daily 스피킹 raw'!$A:$Z, MATCH(BF$2, 'Daily 스피킹 raw'!$A:$A, 0), MATCH($B5, 'Daily 스피킹 raw'!$1:$1, 0)), ""), IF(val=0, "", val))</f>
        <v>3</v>
      </c>
      <c r="BG5" s="44">
        <f t="array" ref="BG5">LET(val, IFERROR(INDEX('Daily 스피킹 raw'!$A:$Z, MATCH(BG$2, 'Daily 스피킹 raw'!$A:$A, 0), MATCH($B5, 'Daily 스피킹 raw'!$1:$1, 0)), ""), IF(val=0, "", val))</f>
        <v>2</v>
      </c>
      <c r="BH5" s="44">
        <f t="array" ref="BH5">LET(val, IFERROR(INDEX('Daily 스피킹 raw'!$A:$Z, MATCH(BH$2, 'Daily 스피킹 raw'!$A:$A, 0), MATCH($B5, 'Daily 스피킹 raw'!$1:$1, 0)), ""), IF(val=0, "", val))</f>
        <v>4</v>
      </c>
      <c r="BI5" s="44">
        <f t="array" ref="BI5">LET(val, IFERROR(INDEX('Daily 스피킹 raw'!$A:$Z, MATCH(BI$2, 'Daily 스피킹 raw'!$A:$A, 0), MATCH($B5, 'Daily 스피킹 raw'!$1:$1, 0)), ""), IF(val=0, "", val))</f>
        <v>4</v>
      </c>
      <c r="BJ5" s="44">
        <f t="array" ref="BJ5">LET(val, IFERROR(INDEX('Daily 스피킹 raw'!$A:$Z, MATCH(BJ$2, 'Daily 스피킹 raw'!$A:$A, 0), MATCH($B5, 'Daily 스피킹 raw'!$1:$1, 0)), ""), IF(val=0, "", val))</f>
        <v>2</v>
      </c>
      <c r="BK5" s="44">
        <f t="array" ref="BK5">LET(val, IFERROR(INDEX('Daily 스피킹 raw'!$A:$Z, MATCH(BK$2, 'Daily 스피킹 raw'!$A:$A, 0), MATCH($B5, 'Daily 스피킹 raw'!$1:$1, 0)), ""), IF(val=0, "", val))</f>
        <v>3</v>
      </c>
      <c r="BL5" s="44">
        <f t="array" ref="BL5">LET(val, IFERROR(INDEX('Daily 스피킹 raw'!$A:$Z, MATCH(BL$2, 'Daily 스피킹 raw'!$A:$A, 0), MATCH($B5, 'Daily 스피킹 raw'!$1:$1, 0)), ""), IF(val=0, "", val))</f>
        <v>5</v>
      </c>
      <c r="BM5" s="44" t="str">
        <f t="array" ref="BM5">LET(val, IFERROR(INDEX('Daily 스피킹 raw'!$A:$Z, MATCH(BM$2, 'Daily 스피킹 raw'!$A:$A, 0), MATCH($B5, 'Daily 스피킹 raw'!$1:$1, 0)), ""), IF(val=0, "", val))</f>
        <v/>
      </c>
      <c r="BN5" s="44" t="str">
        <f t="array" ref="BN5">LET(val, IFERROR(INDEX('Daily 스피킹 raw'!$A:$Z, MATCH(BN$2, 'Daily 스피킹 raw'!$A:$A, 0), MATCH($B5, 'Daily 스피킹 raw'!$1:$1, 0)), ""), IF(val=0, "", val))</f>
        <v/>
      </c>
      <c r="BO5" s="44" t="str">
        <f t="array" ref="BO5">LET(val, IFERROR(INDEX('Daily 스피킹 raw'!$A:$Z, MATCH(BO$2, 'Daily 스피킹 raw'!$A:$A, 0), MATCH($B5, 'Daily 스피킹 raw'!$1:$1, 0)), ""), IF(val=0, "", val))</f>
        <v/>
      </c>
      <c r="BP5" s="44" t="str">
        <f t="array" ref="BP5">LET(val, IFERROR(INDEX('Daily 스피킹 raw'!$A:$Z, MATCH(BP$2, 'Daily 스피킹 raw'!$A:$A, 0), MATCH($B5, 'Daily 스피킹 raw'!$1:$1, 0)), ""), IF(val=0, "", val))</f>
        <v/>
      </c>
      <c r="BQ5" s="44" t="str">
        <f t="array" ref="BQ5">LET(val, IFERROR(INDEX('Daily 스피킹 raw'!$A:$Z, MATCH(BQ$2, 'Daily 스피킹 raw'!$A:$A, 0), MATCH($B5, 'Daily 스피킹 raw'!$1:$1, 0)), ""), IF(val=0, "", val))</f>
        <v/>
      </c>
      <c r="BR5" s="44" t="str">
        <f t="array" ref="BR5">LET(val, IFERROR(INDEX('Daily 스피킹 raw'!$A:$Z, MATCH(BR$2, 'Daily 스피킹 raw'!$A:$A, 0), MATCH($B5, 'Daily 스피킹 raw'!$1:$1, 0)), ""), IF(val=0, "", val))</f>
        <v/>
      </c>
      <c r="BS5" s="44" t="str">
        <f t="array" ref="BS5">LET(val, IFERROR(INDEX('Daily 스피킹 raw'!$A:$Z, MATCH(BS$2, 'Daily 스피킹 raw'!$A:$A, 0), MATCH($B5, 'Daily 스피킹 raw'!$1:$1, 0)), ""), IF(val=0, "", val))</f>
        <v/>
      </c>
      <c r="BT5" s="44" t="str">
        <f t="array" ref="BT5">LET(val, IFERROR(INDEX('Daily 스피킹 raw'!$A:$Z, MATCH(BT$2, 'Daily 스피킹 raw'!$A:$A, 0), MATCH($B5, 'Daily 스피킹 raw'!$1:$1, 0)), ""), IF(val=0, "", val))</f>
        <v/>
      </c>
      <c r="BU5" s="44" t="str">
        <f t="array" ref="BU5">LET(val, IFERROR(INDEX('Daily 스피킹 raw'!$A:$Z, MATCH(BU$2, 'Daily 스피킹 raw'!$A:$A, 0), MATCH($B5, 'Daily 스피킹 raw'!$1:$1, 0)), ""), IF(val=0, "", val))</f>
        <v/>
      </c>
      <c r="BV5" s="44" t="str">
        <f t="array" ref="BV5">LET(val, IFERROR(INDEX('Daily 스피킹 raw'!$A:$Z, MATCH(BV$2, 'Daily 스피킹 raw'!$A:$A, 0), MATCH($B5, 'Daily 스피킹 raw'!$1:$1, 0)), ""), IF(val=0, "", val))</f>
        <v/>
      </c>
      <c r="BW5" s="44" t="str">
        <f t="array" ref="BW5">LET(val, IFERROR(INDEX('Daily 스피킹 raw'!$A:$Z, MATCH(BW$2, 'Daily 스피킹 raw'!$A:$A, 0), MATCH($B5, 'Daily 스피킹 raw'!$1:$1, 0)), ""), IF(val=0, "", val))</f>
        <v/>
      </c>
      <c r="BX5" s="44" t="str">
        <f t="array" ref="BX5">LET(val, IFERROR(INDEX('Daily 스피킹 raw'!$A:$Z, MATCH(BX$2, 'Daily 스피킹 raw'!$A:$A, 0), MATCH($B5, 'Daily 스피킹 raw'!$1:$1, 0)), ""), IF(val=0, "", val))</f>
        <v/>
      </c>
      <c r="BY5" s="44" t="str">
        <f t="array" ref="BY5">LET(val, IFERROR(INDEX('Daily 스피킹 raw'!$A:$Z, MATCH(BY$2, 'Daily 스피킹 raw'!$A:$A, 0), MATCH($B5, 'Daily 스피킹 raw'!$1:$1, 0)), ""), IF(val=0, "", val))</f>
        <v/>
      </c>
      <c r="BZ5" s="44" t="str">
        <f t="array" ref="BZ5">LET(val, IFERROR(INDEX('Daily 스피킹 raw'!$A:$Z, MATCH(BZ$2, 'Daily 스피킹 raw'!$A:$A, 0), MATCH($B5, 'Daily 스피킹 raw'!$1:$1, 0)), ""), IF(val=0, "", val))</f>
        <v/>
      </c>
      <c r="CA5" s="44" t="str">
        <f t="array" ref="CA5">LET(val, IFERROR(INDEX('Daily 스피킹 raw'!$A:$Z, MATCH(CA$2, 'Daily 스피킹 raw'!$A:$A, 0), MATCH($B5, 'Daily 스피킹 raw'!$1:$1, 0)), ""), IF(val=0, "", val))</f>
        <v/>
      </c>
      <c r="CB5" s="44" t="str">
        <f t="array" ref="CB5">LET(val, IFERROR(INDEX('Daily 스피킹 raw'!$A:$Z, MATCH(CB$2, 'Daily 스피킹 raw'!$A:$A, 0), MATCH($B5, 'Daily 스피킹 raw'!$1:$1, 0)), ""), IF(val=0, "", val))</f>
        <v/>
      </c>
      <c r="CC5" s="44" t="str">
        <f t="array" ref="CC5">LET(val, IFERROR(INDEX('Daily 스피킹 raw'!$A:$Z, MATCH(CC$2, 'Daily 스피킹 raw'!$A:$A, 0), MATCH($B5, 'Daily 스피킹 raw'!$1:$1, 0)), ""), IF(val=0, "", val))</f>
        <v/>
      </c>
      <c r="CD5" s="44" t="str">
        <f t="array" ref="CD5">LET(val, IFERROR(INDEX('Daily 스피킹 raw'!$A:$Z, MATCH(CD$2, 'Daily 스피킹 raw'!$A:$A, 0), MATCH($B5, 'Daily 스피킹 raw'!$1:$1, 0)), ""), IF(val=0, "", val))</f>
        <v/>
      </c>
      <c r="CE5" s="44" t="str">
        <f t="array" ref="CE5">LET(val, IFERROR(INDEX('Daily 스피킹 raw'!$A:$Z, MATCH(CE$2, 'Daily 스피킹 raw'!$A:$A, 0), MATCH($B5, 'Daily 스피킹 raw'!$1:$1, 0)), ""), IF(val=0, "", val))</f>
        <v/>
      </c>
      <c r="CF5" s="44" t="str">
        <f t="array" ref="CF5">LET(val, IFERROR(INDEX('Daily 스피킹 raw'!$A:$Z, MATCH(CF$2, 'Daily 스피킹 raw'!$A:$A, 0), MATCH($B5, 'Daily 스피킹 raw'!$1:$1, 0)), ""), IF(val=0, "", val))</f>
        <v/>
      </c>
      <c r="CG5" s="44" t="str">
        <f t="array" ref="CG5">LET(val, IFERROR(INDEX('Daily 스피킹 raw'!$A:$Z, MATCH(CG$2, 'Daily 스피킹 raw'!$A:$A, 0), MATCH($B5, 'Daily 스피킹 raw'!$1:$1, 0)), ""), IF(val=0, "", val))</f>
        <v/>
      </c>
      <c r="CH5" s="44" t="str">
        <f t="array" ref="CH5">LET(val, IFERROR(INDEX('Daily 스피킹 raw'!$A:$Z, MATCH(CH$2, 'Daily 스피킹 raw'!$A:$A, 0), MATCH($B5, 'Daily 스피킹 raw'!$1:$1, 0)), ""), IF(val=0, "", val))</f>
        <v/>
      </c>
      <c r="CI5" s="44" t="str">
        <f t="array" ref="CI5">LET(val, IFERROR(INDEX('Daily 스피킹 raw'!$A:$Z, MATCH(CI$2, 'Daily 스피킹 raw'!$A:$A, 0), MATCH($B5, 'Daily 스피킹 raw'!$1:$1, 0)), ""), IF(val=0, "", val))</f>
        <v/>
      </c>
      <c r="CJ5" s="44" t="str">
        <f t="array" ref="CJ5">LET(val, IFERROR(INDEX('Daily 스피킹 raw'!$A:$Z, MATCH(CJ$2, 'Daily 스피킹 raw'!$A:$A, 0), MATCH($B5, 'Daily 스피킹 raw'!$1:$1, 0)), ""), IF(val=0, "", val))</f>
        <v/>
      </c>
      <c r="CK5" s="44" t="str">
        <f t="array" ref="CK5">LET(val, IFERROR(INDEX('Daily 스피킹 raw'!$A:$Z, MATCH(CK$2, 'Daily 스피킹 raw'!$A:$A, 0), MATCH($B5, 'Daily 스피킹 raw'!$1:$1, 0)), ""), IF(val=0, "", val))</f>
        <v/>
      </c>
      <c r="CL5" s="44" t="str">
        <f t="array" ref="CL5">LET(val, IFERROR(INDEX('Daily 스피킹 raw'!$A:$Z, MATCH(CL$2, 'Daily 스피킹 raw'!$A:$A, 0), MATCH($B5, 'Daily 스피킹 raw'!$1:$1, 0)), ""), IF(val=0, "", val))</f>
        <v/>
      </c>
      <c r="CM5" s="44" t="str">
        <f t="array" ref="CM5">LET(val, IFERROR(INDEX('Daily 스피킹 raw'!$A:$Z, MATCH(CM$2, 'Daily 스피킹 raw'!$A:$A, 0), MATCH($B5, 'Daily 스피킹 raw'!$1:$1, 0)), ""), IF(val=0, "", val))</f>
        <v/>
      </c>
      <c r="CN5" s="44" t="str">
        <f t="array" ref="CN5">LET(val, IFERROR(INDEX('Daily 스피킹 raw'!$A:$Z, MATCH(CN$2, 'Daily 스피킹 raw'!$A:$A, 0), MATCH($B5, 'Daily 스피킹 raw'!$1:$1, 0)), ""), IF(val=0, "", val))</f>
        <v/>
      </c>
      <c r="CO5" s="44" t="str">
        <f t="array" ref="CO5">LET(val, IFERROR(INDEX('Daily 스피킹 raw'!$A:$Z, MATCH(CO$2, 'Daily 스피킹 raw'!$A:$A, 0), MATCH($B5, 'Daily 스피킹 raw'!$1:$1, 0)), ""), IF(val=0, "", val))</f>
        <v/>
      </c>
      <c r="CP5" s="44" t="str">
        <f t="array" ref="CP5">LET(val, IFERROR(INDEX('Daily 스피킹 raw'!$A:$Z, MATCH(CP$2, 'Daily 스피킹 raw'!$A:$A, 0), MATCH($B5, 'Daily 스피킹 raw'!$1:$1, 0)), ""), IF(val=0, "", val))</f>
        <v/>
      </c>
      <c r="CQ5" s="44" t="str">
        <f t="array" ref="CQ5">LET(val, IFERROR(INDEX('Daily 스피킹 raw'!$A:$Z, MATCH(CQ$2, 'Daily 스피킹 raw'!$A:$A, 0), MATCH($B5, 'Daily 스피킹 raw'!$1:$1, 0)), ""), IF(val=0, "", val))</f>
        <v/>
      </c>
      <c r="CR5" s="44" t="str">
        <f t="array" ref="CR5">LET(val, IFERROR(INDEX('Daily 스피킹 raw'!$A:$Z, MATCH(CR$2, 'Daily 스피킹 raw'!$A:$A, 0), MATCH($B5, 'Daily 스피킹 raw'!$1:$1, 0)), ""), IF(val=0, "", val))</f>
        <v/>
      </c>
      <c r="CS5" s="44" t="str">
        <f t="array" ref="CS5">LET(val, IFERROR(INDEX('Daily 스피킹 raw'!$A:$Z, MATCH(CS$2, 'Daily 스피킹 raw'!$A:$A, 0), MATCH($B5, 'Daily 스피킹 raw'!$1:$1, 0)), ""), IF(val=0, "", val))</f>
        <v/>
      </c>
      <c r="CT5" s="44" t="str">
        <f t="array" ref="CT5">LET(val, IFERROR(INDEX('Daily 스피킹 raw'!$A:$Z, MATCH(CT$2, 'Daily 스피킹 raw'!$A:$A, 0), MATCH($B5, 'Daily 스피킹 raw'!$1:$1, 0)), ""), IF(val=0, "", val))</f>
        <v/>
      </c>
      <c r="CU5" s="44" t="str">
        <f t="array" ref="CU5">LET(val, IFERROR(INDEX('Daily 스피킹 raw'!$A:$Z, MATCH(CU$2, 'Daily 스피킹 raw'!$A:$A, 0), MATCH($B5, 'Daily 스피킹 raw'!$1:$1, 0)), ""), IF(val=0, "", val))</f>
        <v/>
      </c>
      <c r="CV5" s="44" t="str">
        <f t="array" ref="CV5">LET(val, IFERROR(INDEX('Daily 스피킹 raw'!$A:$Z, MATCH(CV$2, 'Daily 스피킹 raw'!$A:$A, 0), MATCH($B5, 'Daily 스피킹 raw'!$1:$1, 0)), ""), IF(val=0, "", val))</f>
        <v/>
      </c>
      <c r="CW5" s="44" t="str">
        <f t="array" ref="CW5">LET(val, IFERROR(INDEX('Daily 스피킹 raw'!$A:$Z, MATCH(CW$2, 'Daily 스피킹 raw'!$A:$A, 0), MATCH($B5, 'Daily 스피킹 raw'!$1:$1, 0)), ""), IF(val=0, "", val))</f>
        <v/>
      </c>
    </row>
    <row r="6" ht="22.5" customHeight="1">
      <c r="A6" s="1"/>
      <c r="B6" s="11" t="s">
        <v>18</v>
      </c>
      <c r="C6" s="1" t="s">
        <v>18</v>
      </c>
      <c r="D6" s="49">
        <f t="array" ref="D6">LET(val, IFERROR(INDEX('Daily 스피킹 raw'!$A:$Z, MATCH(D$2, 'Daily 스피킹 raw'!$A:$A, 0), MATCH($B6, 'Daily 스피킹 raw'!$1:$1, 0)), ""), IF(val=0, "", val))</f>
        <v>0.0009868421053</v>
      </c>
      <c r="E6" s="49">
        <f t="array" ref="E6">LET(val, IFERROR(INDEX('Daily 스피킹 raw'!$A:$Z, MATCH(E$2, 'Daily 스피킹 raw'!$A:$A, 0), MATCH($B6, 'Daily 스피킹 raw'!$1:$1, 0)), ""), IF(val=0, "", val))</f>
        <v>0.0004766444233</v>
      </c>
      <c r="F6" s="49">
        <f t="array" ref="F6">LET(val, IFERROR(INDEX('Daily 스피킹 raw'!$A:$Z, MATCH(F$2, 'Daily 스피킹 raw'!$A:$A, 0), MATCH($B6, 'Daily 스피킹 raw'!$1:$1, 0)), ""), IF(val=0, "", val))</f>
        <v>0.001949317739</v>
      </c>
      <c r="G6" s="49">
        <f t="array" ref="G6">LET(val, IFERROR(INDEX('Daily 스피킹 raw'!$A:$Z, MATCH(G$2, 'Daily 스피킹 raw'!$A:$A, 0), MATCH($B6, 'Daily 스피킹 raw'!$1:$1, 0)), ""), IF(val=0, "", val))</f>
        <v>0.0009186954525</v>
      </c>
      <c r="H6" s="49">
        <f t="array" ref="H6">LET(val, IFERROR(INDEX('Daily 스피킹 raw'!$A:$Z, MATCH(H$2, 'Daily 스피킹 raw'!$A:$A, 0), MATCH($B6, 'Daily 스피킹 raw'!$1:$1, 0)), ""), IF(val=0, "", val))</f>
        <v>0.001356852103</v>
      </c>
      <c r="I6" s="49">
        <f t="array" ref="I6">LET(val, IFERROR(INDEX('Daily 스피킹 raw'!$A:$Z, MATCH(I$2, 'Daily 스피킹 raw'!$A:$A, 0), MATCH($B6, 'Daily 스피킹 raw'!$1:$1, 0)), ""), IF(val=0, "", val))</f>
        <v>0.001966292135</v>
      </c>
      <c r="J6" s="49">
        <f t="array" ref="J6">LET(val, IFERROR(INDEX('Daily 스피킹 raw'!$A:$Z, MATCH(J$2, 'Daily 스피킹 raw'!$A:$A, 0), MATCH($B6, 'Daily 스피킹 raw'!$1:$1, 0)), ""), IF(val=0, "", val))</f>
        <v>0.004968944099</v>
      </c>
      <c r="K6" s="49">
        <f t="array" ref="K6">LET(val, IFERROR(INDEX('Daily 스피킹 raw'!$A:$Z, MATCH(K$2, 'Daily 스피킹 raw'!$A:$A, 0), MATCH($B6, 'Daily 스피킹 raw'!$1:$1, 0)), ""), IF(val=0, "", val))</f>
        <v>0.001841620626</v>
      </c>
      <c r="L6" s="49">
        <f t="array" ref="L6">LET(val, IFERROR(INDEX('Daily 스피킹 raw'!$A:$Z, MATCH(L$2, 'Daily 스피킹 raw'!$A:$A, 0), MATCH($B6, 'Daily 스피킹 raw'!$1:$1, 0)), ""), IF(val=0, "", val))</f>
        <v>0.002652519894</v>
      </c>
      <c r="M6" s="49">
        <f t="array" ref="M6">LET(val, IFERROR(INDEX('Daily 스피킹 raw'!$A:$Z, MATCH(M$2, 'Daily 스피킹 raw'!$A:$A, 0), MATCH($B6, 'Daily 스피킹 raw'!$1:$1, 0)), ""), IF(val=0, "", val))</f>
        <v>0.004300588502</v>
      </c>
      <c r="N6" s="49">
        <f t="array" ref="N6">LET(val, IFERROR(INDEX('Daily 스피킹 raw'!$A:$Z, MATCH(N$2, 'Daily 스피킹 raw'!$A:$A, 0), MATCH($B6, 'Daily 스피킹 raw'!$1:$1, 0)), ""), IF(val=0, "", val))</f>
        <v>0.004876219055</v>
      </c>
      <c r="O6" s="49">
        <f t="array" ref="O6">LET(val, IFERROR(INDEX('Daily 스피킹 raw'!$A:$Z, MATCH(O$2, 'Daily 스피킹 raw'!$A:$A, 0), MATCH($B6, 'Daily 스피킹 raw'!$1:$1, 0)), ""), IF(val=0, "", val))</f>
        <v>0.00206185567</v>
      </c>
      <c r="P6" s="49">
        <f t="array" ref="P6">LET(val, IFERROR(INDEX('Daily 스피킹 raw'!$A:$Z, MATCH(P$2, 'Daily 스피킹 raw'!$A:$A, 0), MATCH($B6, 'Daily 스피킹 raw'!$1:$1, 0)), ""), IF(val=0, "", val))</f>
        <v>0.001853568119</v>
      </c>
      <c r="Q6" s="49">
        <f t="array" ref="Q6">LET(val, IFERROR(INDEX('Daily 스피킹 raw'!$A:$Z, MATCH(Q$2, 'Daily 스피킹 raw'!$A:$A, 0), MATCH($B6, 'Daily 스피킹 raw'!$1:$1, 0)), ""), IF(val=0, "", val))</f>
        <v>0.001654533422</v>
      </c>
      <c r="R6" s="49">
        <f t="array" ref="R6">LET(val, IFERROR(INDEX('Daily 스피킹 raw'!$A:$Z, MATCH(R$2, 'Daily 스피킹 raw'!$A:$A, 0), MATCH($B6, 'Daily 스피킹 raw'!$1:$1, 0)), ""), IF(val=0, "", val))</f>
        <v>0.002142857143</v>
      </c>
      <c r="S6" s="49">
        <f t="array" ref="S6">LET(val, IFERROR(INDEX('Daily 스피킹 raw'!$A:$Z, MATCH(S$2, 'Daily 스피킹 raw'!$A:$A, 0), MATCH($B6, 'Daily 스피킹 raw'!$1:$1, 0)), ""), IF(val=0, "", val))</f>
        <v>0.002431118314</v>
      </c>
      <c r="T6" s="49">
        <f t="array" ref="T6">LET(val, IFERROR(INDEX('Daily 스피킹 raw'!$A:$Z, MATCH(T$2, 'Daily 스피킹 raw'!$A:$A, 0), MATCH($B6, 'Daily 스피킹 raw'!$1:$1, 0)), ""), IF(val=0, "", val))</f>
        <v>0.001603592046</v>
      </c>
      <c r="U6" s="49">
        <f t="array" ref="U6">LET(val, IFERROR(INDEX('Daily 스피킹 raw'!$A:$Z, MATCH(U$2, 'Daily 스피킹 raw'!$A:$A, 0), MATCH($B6, 'Daily 스피킹 raw'!$1:$1, 0)), ""), IF(val=0, "", val))</f>
        <v>0.001392111369</v>
      </c>
      <c r="V6" s="49">
        <f t="array" ref="V6">LET(val, IFERROR(INDEX('Daily 스피킹 raw'!$A:$Z, MATCH(V$2, 'Daily 스피킹 raw'!$A:$A, 0), MATCH($B6, 'Daily 스피킹 raw'!$1:$1, 0)), ""), IF(val=0, "", val))</f>
        <v>0.003269500234</v>
      </c>
      <c r="W6" s="49">
        <f t="array" ref="W6">LET(val, IFERROR(INDEX('Daily 스피킹 raw'!$A:$Z, MATCH(W$2, 'Daily 스피킹 raw'!$A:$A, 0), MATCH($B6, 'Daily 스피킹 raw'!$1:$1, 0)), ""), IF(val=0, "", val))</f>
        <v>0.002030972328</v>
      </c>
      <c r="X6" s="49">
        <f t="array" ref="X6">LET(val, IFERROR(INDEX('Daily 스피킹 raw'!$A:$Z, MATCH(X$2, 'Daily 스피킹 raw'!$A:$A, 0), MATCH($B6, 'Daily 스피킹 raw'!$1:$1, 0)), ""), IF(val=0, "", val))</f>
        <v>0.002305918524</v>
      </c>
      <c r="Y6" s="49">
        <f t="array" ref="Y6">LET(val, IFERROR(INDEX('Daily 스피킹 raw'!$A:$Z, MATCH(Y$2, 'Daily 스피킹 raw'!$A:$A, 0), MATCH($B6, 'Daily 스피킹 raw'!$1:$1, 0)), ""), IF(val=0, "", val))</f>
        <v>0.001101018442</v>
      </c>
      <c r="Z6" s="49">
        <f t="array" ref="Z6">LET(val, IFERROR(INDEX('Daily 스피킹 raw'!$A:$Z, MATCH(Z$2, 'Daily 스피킹 raw'!$A:$A, 0), MATCH($B6, 'Daily 스피킹 raw'!$1:$1, 0)), ""), IF(val=0, "", val))</f>
        <v>0.0007763975155</v>
      </c>
      <c r="AA6" s="49">
        <f t="array" ref="AA6">LET(val, IFERROR(INDEX('Daily 스피킹 raw'!$A:$Z, MATCH(AA$2, 'Daily 스피킹 raw'!$A:$A, 0), MATCH($B6, 'Daily 스피킹 raw'!$1:$1, 0)), ""), IF(val=0, "", val))</f>
        <v>0.002680246583</v>
      </c>
      <c r="AB6" s="49">
        <f t="array" ref="AB6">LET(val, IFERROR(INDEX('Daily 스피킹 raw'!$A:$Z, MATCH(AB$2, 'Daily 스피킹 raw'!$A:$A, 0), MATCH($B6, 'Daily 스피킹 raw'!$1:$1, 0)), ""), IF(val=0, "", val))</f>
        <v>0.002408671216</v>
      </c>
      <c r="AC6" s="49">
        <f t="array" ref="AC6">LET(val, IFERROR(INDEX('Daily 스피킹 raw'!$A:$Z, MATCH(AC$2, 'Daily 스피킹 raw'!$A:$A, 0), MATCH($B6, 'Daily 스피킹 raw'!$1:$1, 0)), ""), IF(val=0, "", val))</f>
        <v>0.003267973856</v>
      </c>
      <c r="AD6" s="49">
        <f t="array" ref="AD6">LET(val, IFERROR(INDEX('Daily 스피킹 raw'!$A:$Z, MATCH(AD$2, 'Daily 스피킹 raw'!$A:$A, 0), MATCH($B6, 'Daily 스피킹 raw'!$1:$1, 0)), ""), IF(val=0, "", val))</f>
        <v>0.002076843198</v>
      </c>
      <c r="AE6" s="49">
        <f t="array" ref="AE6">LET(val, IFERROR(INDEX('Daily 스피킹 raw'!$A:$Z, MATCH(AE$2, 'Daily 스피킹 raw'!$A:$A, 0), MATCH($B6, 'Daily 스피킹 raw'!$1:$1, 0)), ""), IF(val=0, "", val))</f>
        <v>0.003645200486</v>
      </c>
      <c r="AF6" s="49">
        <f t="array" ref="AF6">LET(val, IFERROR(INDEX('Daily 스피킹 raw'!$A:$Z, MATCH(AF$2, 'Daily 스피킹 raw'!$A:$A, 0), MATCH($B6, 'Daily 스피킹 raw'!$1:$1, 0)), ""), IF(val=0, "", val))</f>
        <v>0.00110223202</v>
      </c>
      <c r="AG6" s="49">
        <f t="array" ref="AG6">LET(val, IFERROR(INDEX('Daily 스피킹 raw'!$A:$Z, MATCH(AG$2, 'Daily 스피킹 raw'!$A:$A, 0), MATCH($B6, 'Daily 스피킹 raw'!$1:$1, 0)), ""), IF(val=0, "", val))</f>
        <v>0.002539145154</v>
      </c>
      <c r="AH6" s="49">
        <f t="array" ref="AH6">LET(val, IFERROR(INDEX('Daily 스피킹 raw'!$A:$Z, MATCH(AH$2, 'Daily 스피킹 raw'!$A:$A, 0), MATCH($B6, 'Daily 스피킹 raw'!$1:$1, 0)), ""), IF(val=0, "", val))</f>
        <v>0.00149298298</v>
      </c>
      <c r="AI6" s="49">
        <f t="array" ref="AI6">LET(val, IFERROR(INDEX('Daily 스피킹 raw'!$A:$Z, MATCH(AI$2, 'Daily 스피킹 raw'!$A:$A, 0), MATCH($B6, 'Daily 스피킹 raw'!$1:$1, 0)), ""), IF(val=0, "", val))</f>
        <v>0.002922552362</v>
      </c>
      <c r="AJ6" s="49">
        <f t="array" ref="AJ6">LET(val, IFERROR(INDEX('Daily 스피킹 raw'!$A:$Z, MATCH(AJ$2, 'Daily 스피킹 raw'!$A:$A, 0), MATCH($B6, 'Daily 스피킹 raw'!$1:$1, 0)), ""), IF(val=0, "", val))</f>
        <v>0.002620545073</v>
      </c>
      <c r="AK6" s="49">
        <f t="array" ref="AK6">LET(val, IFERROR(INDEX('Daily 스피킹 raw'!$A:$Z, MATCH(AK$2, 'Daily 스피킹 raw'!$A:$A, 0), MATCH($B6, 'Daily 스피킹 raw'!$1:$1, 0)), ""), IF(val=0, "", val))</f>
        <v>0.001315789474</v>
      </c>
      <c r="AL6" s="49">
        <f t="array" ref="AL6">LET(val, IFERROR(INDEX('Daily 스피킹 raw'!$A:$Z, MATCH(AL$2, 'Daily 스피킹 raw'!$A:$A, 0), MATCH($B6, 'Daily 스피킹 raw'!$1:$1, 0)), ""), IF(val=0, "", val))</f>
        <v>0.001851851852</v>
      </c>
      <c r="AM6" s="49">
        <f t="array" ref="AM6">LET(val, IFERROR(INDEX('Daily 스피킹 raw'!$A:$Z, MATCH(AM$2, 'Daily 스피킹 raw'!$A:$A, 0), MATCH($B6, 'Daily 스피킹 raw'!$1:$1, 0)), ""), IF(val=0, "", val))</f>
        <v>0.001105888858</v>
      </c>
      <c r="AN6" s="49">
        <f t="array" ref="AN6">LET(val, IFERROR(INDEX('Daily 스피킹 raw'!$A:$Z, MATCH(AN$2, 'Daily 스피킹 raw'!$A:$A, 0), MATCH($B6, 'Daily 스피킹 raw'!$1:$1, 0)), ""), IF(val=0, "", val))</f>
        <v>0.00258955546</v>
      </c>
      <c r="AO6" s="49">
        <f t="array" ref="AO6">LET(val, IFERROR(INDEX('Daily 스피킹 raw'!$A:$Z, MATCH(AO$2, 'Daily 스피킹 raw'!$A:$A, 0), MATCH($B6, 'Daily 스피킹 raw'!$1:$1, 0)), ""), IF(val=0, "", val))</f>
        <v>0.002730582524</v>
      </c>
      <c r="AP6" s="49">
        <f t="array" ref="AP6">LET(val, IFERROR(INDEX('Daily 스피킹 raw'!$A:$Z, MATCH(AP$2, 'Daily 스피킹 raw'!$A:$A, 0), MATCH($B6, 'Daily 스피킹 raw'!$1:$1, 0)), ""), IF(val=0, "", val))</f>
        <v>0.0004768717215</v>
      </c>
      <c r="AQ6" s="49">
        <f t="array" ref="AQ6">LET(val, IFERROR(INDEX('Daily 스피킹 raw'!$A:$Z, MATCH(AQ$2, 'Daily 스피킹 raw'!$A:$A, 0), MATCH($B6, 'Daily 스피킹 raw'!$1:$1, 0)), ""), IF(val=0, "", val))</f>
        <v>0.002101944298</v>
      </c>
      <c r="AR6" s="49">
        <f t="array" ref="AR6">LET(val, IFERROR(INDEX('Daily 스피킹 raw'!$A:$Z, MATCH(AR$2, 'Daily 스피킹 raw'!$A:$A, 0), MATCH($B6, 'Daily 스피킹 raw'!$1:$1, 0)), ""), IF(val=0, "", val))</f>
        <v>0.002361972247</v>
      </c>
      <c r="AS6" s="49">
        <f t="array" ref="AS6">LET(val, IFERROR(INDEX('Daily 스피킹 raw'!$A:$Z, MATCH(AS$2, 'Daily 스피킹 raw'!$A:$A, 0), MATCH($B6, 'Daily 스피킹 raw'!$1:$1, 0)), ""), IF(val=0, "", val))</f>
        <v>0.00406504065</v>
      </c>
      <c r="AT6" s="49">
        <f t="array" ref="AT6">LET(val, IFERROR(INDEX('Daily 스피킹 raw'!$A:$Z, MATCH(AT$2, 'Daily 스피킹 raw'!$A:$A, 0), MATCH($B6, 'Daily 스피킹 raw'!$1:$1, 0)), ""), IF(val=0, "", val))</f>
        <v>0.001816860465</v>
      </c>
      <c r="AU6" s="49">
        <f t="array" ref="AU6">LET(val, IFERROR(INDEX('Daily 스피킹 raw'!$A:$Z, MATCH(AU$2, 'Daily 스피킹 raw'!$A:$A, 0), MATCH($B6, 'Daily 스피킹 raw'!$1:$1, 0)), ""), IF(val=0, "", val))</f>
        <v>0.004613018965</v>
      </c>
      <c r="AV6" s="49">
        <f t="array" ref="AV6">LET(val, IFERROR(INDEX('Daily 스피킹 raw'!$A:$Z, MATCH(AV$2, 'Daily 스피킹 raw'!$A:$A, 0), MATCH($B6, 'Daily 스피킹 raw'!$1:$1, 0)), ""), IF(val=0, "", val))</f>
        <v>0.002259036145</v>
      </c>
      <c r="AW6" s="49">
        <f t="array" ref="AW6">LET(val, IFERROR(INDEX('Daily 스피킹 raw'!$A:$Z, MATCH(AW$2, 'Daily 스피킹 raw'!$A:$A, 0), MATCH($B6, 'Daily 스피킹 raw'!$1:$1, 0)), ""), IF(val=0, "", val))</f>
        <v>0.003500583431</v>
      </c>
      <c r="AX6" s="49">
        <f t="array" ref="AX6">LET(val, IFERROR(INDEX('Daily 스피킹 raw'!$A:$Z, MATCH(AX$2, 'Daily 스피킹 raw'!$A:$A, 0), MATCH($B6, 'Daily 스피킹 raw'!$1:$1, 0)), ""), IF(val=0, "", val))</f>
        <v>0.006658595642</v>
      </c>
      <c r="AY6" s="49">
        <f t="array" ref="AY6">LET(val, IFERROR(INDEX('Daily 스피킹 raw'!$A:$Z, MATCH(AY$2, 'Daily 스피킹 raw'!$A:$A, 0), MATCH($B6, 'Daily 스피킹 raw'!$1:$1, 0)), ""), IF(val=0, "", val))</f>
        <v>0.001718213058</v>
      </c>
      <c r="AZ6" s="49">
        <f t="array" ref="AZ6">LET(val, IFERROR(INDEX('Daily 스피킹 raw'!$A:$Z, MATCH(AZ$2, 'Daily 스피킹 raw'!$A:$A, 0), MATCH($B6, 'Daily 스피킹 raw'!$1:$1, 0)), ""), IF(val=0, "", val))</f>
        <v>0.0005205622072</v>
      </c>
      <c r="BA6" s="49">
        <f t="array" ref="BA6">LET(val, IFERROR(INDEX('Daily 스피킹 raw'!$A:$Z, MATCH(BA$2, 'Daily 스피킹 raw'!$A:$A, 0), MATCH($B6, 'Daily 스피킹 raw'!$1:$1, 0)), ""), IF(val=0, "", val))</f>
        <v>0.001832172957</v>
      </c>
      <c r="BB6" s="49">
        <f t="array" ref="BB6">LET(val, IFERROR(INDEX('Daily 스피킹 raw'!$A:$Z, MATCH(BB$2, 'Daily 스피킹 raw'!$A:$A, 0), MATCH($B6, 'Daily 스피킹 raw'!$1:$1, 0)), ""), IF(val=0, "", val))</f>
        <v>0.003460207612</v>
      </c>
      <c r="BC6" s="49">
        <f t="array" ref="BC6">LET(val, IFERROR(INDEX('Daily 스피킹 raw'!$A:$Z, MATCH(BC$2, 'Daily 스피킹 raw'!$A:$A, 0), MATCH($B6, 'Daily 스피킹 raw'!$1:$1, 0)), ""), IF(val=0, "", val))</f>
        <v>0.002775208141</v>
      </c>
      <c r="BD6" s="49">
        <f t="array" ref="BD6">LET(val, IFERROR(INDEX('Daily 스피킹 raw'!$A:$Z, MATCH(BD$2, 'Daily 스피킹 raw'!$A:$A, 0), MATCH($B6, 'Daily 스피킹 raw'!$1:$1, 0)), ""), IF(val=0, "", val))</f>
        <v>0.003034901366</v>
      </c>
      <c r="BE6" s="49">
        <f t="array" ref="BE6">LET(val, IFERROR(INDEX('Daily 스피킹 raw'!$A:$Z, MATCH(BE$2, 'Daily 스피킹 raw'!$A:$A, 0), MATCH($B6, 'Daily 스피킹 raw'!$1:$1, 0)), ""), IF(val=0, "", val))</f>
        <v>0.0017809439</v>
      </c>
      <c r="BF6" s="49">
        <f t="array" ref="BF6">LET(val, IFERROR(INDEX('Daily 스피킹 raw'!$A:$Z, MATCH(BF$2, 'Daily 스피킹 raw'!$A:$A, 0), MATCH($B6, 'Daily 스피킹 raw'!$1:$1, 0)), ""), IF(val=0, "", val))</f>
        <v>0.001482213439</v>
      </c>
      <c r="BG6" s="49">
        <f t="array" ref="BG6">LET(val, IFERROR(INDEX('Daily 스피킹 raw'!$A:$Z, MATCH(BG$2, 'Daily 스피킹 raw'!$A:$A, 0), MATCH($B6, 'Daily 스피킹 raw'!$1:$1, 0)), ""), IF(val=0, "", val))</f>
        <v>0.001538461538</v>
      </c>
      <c r="BH6" s="49">
        <f t="array" ref="BH6">LET(val, IFERROR(INDEX('Daily 스피킹 raw'!$A:$Z, MATCH(BH$2, 'Daily 스피킹 raw'!$A:$A, 0), MATCH($B6, 'Daily 스피킹 raw'!$1:$1, 0)), ""), IF(val=0, "", val))</f>
        <v>0.002824858757</v>
      </c>
      <c r="BI6" s="49">
        <f t="array" ref="BI6">LET(val, IFERROR(INDEX('Daily 스피킹 raw'!$A:$Z, MATCH(BI$2, 'Daily 스피킹 raw'!$A:$A, 0), MATCH($B6, 'Daily 스피킹 raw'!$1:$1, 0)), ""), IF(val=0, "", val))</f>
        <v>0.003412969283</v>
      </c>
      <c r="BJ6" s="49">
        <f t="array" ref="BJ6">LET(val, IFERROR(INDEX('Daily 스피킹 raw'!$A:$Z, MATCH(BJ$2, 'Daily 스피킹 raw'!$A:$A, 0), MATCH($B6, 'Daily 스피킹 raw'!$1:$1, 0)), ""), IF(val=0, "", val))</f>
        <v>0.001869158879</v>
      </c>
      <c r="BK6" s="49">
        <f t="array" ref="BK6">LET(val, IFERROR(INDEX('Daily 스피킹 raw'!$A:$Z, MATCH(BK$2, 'Daily 스피킹 raw'!$A:$A, 0), MATCH($B6, 'Daily 스피킹 raw'!$1:$1, 0)), ""), IF(val=0, "", val))</f>
        <v>0.003028009084</v>
      </c>
      <c r="BL6" s="49">
        <f t="array" ref="BL6">LET(val, IFERROR(INDEX('Daily 스피킹 raw'!$A:$Z, MATCH(BL$2, 'Daily 스피킹 raw'!$A:$A, 0), MATCH($B6, 'Daily 스피킹 raw'!$1:$1, 0)), ""), IF(val=0, "", val))</f>
        <v>0.004215851602</v>
      </c>
      <c r="BM6" s="49" t="str">
        <f t="array" ref="BM6">LET(val, IFERROR(INDEX('Daily 스피킹 raw'!$A:$Z, MATCH(BM$2, 'Daily 스피킹 raw'!$A:$A, 0), MATCH($B6, 'Daily 스피킹 raw'!$1:$1, 0)), ""), IF(val=0, "", val))</f>
        <v/>
      </c>
      <c r="BN6" s="49" t="str">
        <f t="array" ref="BN6">LET(val, IFERROR(INDEX('Daily 스피킹 raw'!$A:$Z, MATCH(BN$2, 'Daily 스피킹 raw'!$A:$A, 0), MATCH($B6, 'Daily 스피킹 raw'!$1:$1, 0)), ""), IF(val=0, "", val))</f>
        <v/>
      </c>
      <c r="BO6" s="49" t="str">
        <f t="array" ref="BO6">LET(val, IFERROR(INDEX('Daily 스피킹 raw'!$A:$Z, MATCH(BO$2, 'Daily 스피킹 raw'!$A:$A, 0), MATCH($B6, 'Daily 스피킹 raw'!$1:$1, 0)), ""), IF(val=0, "", val))</f>
        <v/>
      </c>
      <c r="BP6" s="49" t="str">
        <f t="array" ref="BP6">LET(val, IFERROR(INDEX('Daily 스피킹 raw'!$A:$Z, MATCH(BP$2, 'Daily 스피킹 raw'!$A:$A, 0), MATCH($B6, 'Daily 스피킹 raw'!$1:$1, 0)), ""), IF(val=0, "", val))</f>
        <v/>
      </c>
      <c r="BQ6" s="49" t="str">
        <f t="array" ref="BQ6">LET(val, IFERROR(INDEX('Daily 스피킹 raw'!$A:$Z, MATCH(BQ$2, 'Daily 스피킹 raw'!$A:$A, 0), MATCH($B6, 'Daily 스피킹 raw'!$1:$1, 0)), ""), IF(val=0, "", val))</f>
        <v/>
      </c>
      <c r="BR6" s="49" t="str">
        <f t="array" ref="BR6">LET(val, IFERROR(INDEX('Daily 스피킹 raw'!$A:$Z, MATCH(BR$2, 'Daily 스피킹 raw'!$A:$A, 0), MATCH($B6, 'Daily 스피킹 raw'!$1:$1, 0)), ""), IF(val=0, "", val))</f>
        <v/>
      </c>
      <c r="BS6" s="49" t="str">
        <f t="array" ref="BS6">LET(val, IFERROR(INDEX('Daily 스피킹 raw'!$A:$Z, MATCH(BS$2, 'Daily 스피킹 raw'!$A:$A, 0), MATCH($B6, 'Daily 스피킹 raw'!$1:$1, 0)), ""), IF(val=0, "", val))</f>
        <v/>
      </c>
      <c r="BT6" s="49" t="str">
        <f t="array" ref="BT6">LET(val, IFERROR(INDEX('Daily 스피킹 raw'!$A:$Z, MATCH(BT$2, 'Daily 스피킹 raw'!$A:$A, 0), MATCH($B6, 'Daily 스피킹 raw'!$1:$1, 0)), ""), IF(val=0, "", val))</f>
        <v/>
      </c>
      <c r="BU6" s="49" t="str">
        <f t="array" ref="BU6">LET(val, IFERROR(INDEX('Daily 스피킹 raw'!$A:$Z, MATCH(BU$2, 'Daily 스피킹 raw'!$A:$A, 0), MATCH($B6, 'Daily 스피킹 raw'!$1:$1, 0)), ""), IF(val=0, "", val))</f>
        <v/>
      </c>
      <c r="BV6" s="49" t="str">
        <f t="array" ref="BV6">LET(val, IFERROR(INDEX('Daily 스피킹 raw'!$A:$Z, MATCH(BV$2, 'Daily 스피킹 raw'!$A:$A, 0), MATCH($B6, 'Daily 스피킹 raw'!$1:$1, 0)), ""), IF(val=0, "", val))</f>
        <v/>
      </c>
      <c r="BW6" s="49" t="str">
        <f t="array" ref="BW6">LET(val, IFERROR(INDEX('Daily 스피킹 raw'!$A:$Z, MATCH(BW$2, 'Daily 스피킹 raw'!$A:$A, 0), MATCH($B6, 'Daily 스피킹 raw'!$1:$1, 0)), ""), IF(val=0, "", val))</f>
        <v/>
      </c>
      <c r="BX6" s="49" t="str">
        <f t="array" ref="BX6">LET(val, IFERROR(INDEX('Daily 스피킹 raw'!$A:$Z, MATCH(BX$2, 'Daily 스피킹 raw'!$A:$A, 0), MATCH($B6, 'Daily 스피킹 raw'!$1:$1, 0)), ""), IF(val=0, "", val))</f>
        <v/>
      </c>
      <c r="BY6" s="49" t="str">
        <f t="array" ref="BY6">LET(val, IFERROR(INDEX('Daily 스피킹 raw'!$A:$Z, MATCH(BY$2, 'Daily 스피킹 raw'!$A:$A, 0), MATCH($B6, 'Daily 스피킹 raw'!$1:$1, 0)), ""), IF(val=0, "", val))</f>
        <v/>
      </c>
      <c r="BZ6" s="49" t="str">
        <f t="array" ref="BZ6">LET(val, IFERROR(INDEX('Daily 스피킹 raw'!$A:$Z, MATCH(BZ$2, 'Daily 스피킹 raw'!$A:$A, 0), MATCH($B6, 'Daily 스피킹 raw'!$1:$1, 0)), ""), IF(val=0, "", val))</f>
        <v/>
      </c>
      <c r="CA6" s="49" t="str">
        <f t="array" ref="CA6">LET(val, IFERROR(INDEX('Daily 스피킹 raw'!$A:$Z, MATCH(CA$2, 'Daily 스피킹 raw'!$A:$A, 0), MATCH($B6, 'Daily 스피킹 raw'!$1:$1, 0)), ""), IF(val=0, "", val))</f>
        <v/>
      </c>
      <c r="CB6" s="49" t="str">
        <f t="array" ref="CB6">LET(val, IFERROR(INDEX('Daily 스피킹 raw'!$A:$Z, MATCH(CB$2, 'Daily 스피킹 raw'!$A:$A, 0), MATCH($B6, 'Daily 스피킹 raw'!$1:$1, 0)), ""), IF(val=0, "", val))</f>
        <v/>
      </c>
      <c r="CC6" s="49" t="str">
        <f t="array" ref="CC6">LET(val, IFERROR(INDEX('Daily 스피킹 raw'!$A:$Z, MATCH(CC$2, 'Daily 스피킹 raw'!$A:$A, 0), MATCH($B6, 'Daily 스피킹 raw'!$1:$1, 0)), ""), IF(val=0, "", val))</f>
        <v/>
      </c>
      <c r="CD6" s="49" t="str">
        <f t="array" ref="CD6">LET(val, IFERROR(INDEX('Daily 스피킹 raw'!$A:$Z, MATCH(CD$2, 'Daily 스피킹 raw'!$A:$A, 0), MATCH($B6, 'Daily 스피킹 raw'!$1:$1, 0)), ""), IF(val=0, "", val))</f>
        <v/>
      </c>
      <c r="CE6" s="49" t="str">
        <f t="array" ref="CE6">LET(val, IFERROR(INDEX('Daily 스피킹 raw'!$A:$Z, MATCH(CE$2, 'Daily 스피킹 raw'!$A:$A, 0), MATCH($B6, 'Daily 스피킹 raw'!$1:$1, 0)), ""), IF(val=0, "", val))</f>
        <v/>
      </c>
      <c r="CF6" s="49" t="str">
        <f t="array" ref="CF6">LET(val, IFERROR(INDEX('Daily 스피킹 raw'!$A:$Z, MATCH(CF$2, 'Daily 스피킹 raw'!$A:$A, 0), MATCH($B6, 'Daily 스피킹 raw'!$1:$1, 0)), ""), IF(val=0, "", val))</f>
        <v/>
      </c>
      <c r="CG6" s="49" t="str">
        <f t="array" ref="CG6">LET(val, IFERROR(INDEX('Daily 스피킹 raw'!$A:$Z, MATCH(CG$2, 'Daily 스피킹 raw'!$A:$A, 0), MATCH($B6, 'Daily 스피킹 raw'!$1:$1, 0)), ""), IF(val=0, "", val))</f>
        <v/>
      </c>
      <c r="CH6" s="49" t="str">
        <f t="array" ref="CH6">LET(val, IFERROR(INDEX('Daily 스피킹 raw'!$A:$Z, MATCH(CH$2, 'Daily 스피킹 raw'!$A:$A, 0), MATCH($B6, 'Daily 스피킹 raw'!$1:$1, 0)), ""), IF(val=0, "", val))</f>
        <v/>
      </c>
      <c r="CI6" s="49" t="str">
        <f t="array" ref="CI6">LET(val, IFERROR(INDEX('Daily 스피킹 raw'!$A:$Z, MATCH(CI$2, 'Daily 스피킹 raw'!$A:$A, 0), MATCH($B6, 'Daily 스피킹 raw'!$1:$1, 0)), ""), IF(val=0, "", val))</f>
        <v/>
      </c>
      <c r="CJ6" s="49" t="str">
        <f t="array" ref="CJ6">LET(val, IFERROR(INDEX('Daily 스피킹 raw'!$A:$Z, MATCH(CJ$2, 'Daily 스피킹 raw'!$A:$A, 0), MATCH($B6, 'Daily 스피킹 raw'!$1:$1, 0)), ""), IF(val=0, "", val))</f>
        <v/>
      </c>
      <c r="CK6" s="49" t="str">
        <f t="array" ref="CK6">LET(val, IFERROR(INDEX('Daily 스피킹 raw'!$A:$Z, MATCH(CK$2, 'Daily 스피킹 raw'!$A:$A, 0), MATCH($B6, 'Daily 스피킹 raw'!$1:$1, 0)), ""), IF(val=0, "", val))</f>
        <v/>
      </c>
      <c r="CL6" s="49" t="str">
        <f t="array" ref="CL6">LET(val, IFERROR(INDEX('Daily 스피킹 raw'!$A:$Z, MATCH(CL$2, 'Daily 스피킹 raw'!$A:$A, 0), MATCH($B6, 'Daily 스피킹 raw'!$1:$1, 0)), ""), IF(val=0, "", val))</f>
        <v/>
      </c>
      <c r="CM6" s="49" t="str">
        <f t="array" ref="CM6">LET(val, IFERROR(INDEX('Daily 스피킹 raw'!$A:$Z, MATCH(CM$2, 'Daily 스피킹 raw'!$A:$A, 0), MATCH($B6, 'Daily 스피킹 raw'!$1:$1, 0)), ""), IF(val=0, "", val))</f>
        <v/>
      </c>
      <c r="CN6" s="49" t="str">
        <f t="array" ref="CN6">LET(val, IFERROR(INDEX('Daily 스피킹 raw'!$A:$Z, MATCH(CN$2, 'Daily 스피킹 raw'!$A:$A, 0), MATCH($B6, 'Daily 스피킹 raw'!$1:$1, 0)), ""), IF(val=0, "", val))</f>
        <v/>
      </c>
      <c r="CO6" s="49" t="str">
        <f t="array" ref="CO6">LET(val, IFERROR(INDEX('Daily 스피킹 raw'!$A:$Z, MATCH(CO$2, 'Daily 스피킹 raw'!$A:$A, 0), MATCH($B6, 'Daily 스피킹 raw'!$1:$1, 0)), ""), IF(val=0, "", val))</f>
        <v/>
      </c>
      <c r="CP6" s="49" t="str">
        <f t="array" ref="CP6">LET(val, IFERROR(INDEX('Daily 스피킹 raw'!$A:$Z, MATCH(CP$2, 'Daily 스피킹 raw'!$A:$A, 0), MATCH($B6, 'Daily 스피킹 raw'!$1:$1, 0)), ""), IF(val=0, "", val))</f>
        <v/>
      </c>
      <c r="CQ6" s="49" t="str">
        <f t="array" ref="CQ6">LET(val, IFERROR(INDEX('Daily 스피킹 raw'!$A:$Z, MATCH(CQ$2, 'Daily 스피킹 raw'!$A:$A, 0), MATCH($B6, 'Daily 스피킹 raw'!$1:$1, 0)), ""), IF(val=0, "", val))</f>
        <v/>
      </c>
      <c r="CR6" s="49" t="str">
        <f t="array" ref="CR6">LET(val, IFERROR(INDEX('Daily 스피킹 raw'!$A:$Z, MATCH(CR$2, 'Daily 스피킹 raw'!$A:$A, 0), MATCH($B6, 'Daily 스피킹 raw'!$1:$1, 0)), ""), IF(val=0, "", val))</f>
        <v/>
      </c>
      <c r="CS6" s="49" t="str">
        <f t="array" ref="CS6">LET(val, IFERROR(INDEX('Daily 스피킹 raw'!$A:$Z, MATCH(CS$2, 'Daily 스피킹 raw'!$A:$A, 0), MATCH($B6, 'Daily 스피킹 raw'!$1:$1, 0)), ""), IF(val=0, "", val))</f>
        <v/>
      </c>
      <c r="CT6" s="49" t="str">
        <f t="array" ref="CT6">LET(val, IFERROR(INDEX('Daily 스피킹 raw'!$A:$Z, MATCH(CT$2, 'Daily 스피킹 raw'!$A:$A, 0), MATCH($B6, 'Daily 스피킹 raw'!$1:$1, 0)), ""), IF(val=0, "", val))</f>
        <v/>
      </c>
      <c r="CU6" s="49" t="str">
        <f t="array" ref="CU6">LET(val, IFERROR(INDEX('Daily 스피킹 raw'!$A:$Z, MATCH(CU$2, 'Daily 스피킹 raw'!$A:$A, 0), MATCH($B6, 'Daily 스피킹 raw'!$1:$1, 0)), ""), IF(val=0, "", val))</f>
        <v/>
      </c>
      <c r="CV6" s="49" t="str">
        <f t="array" ref="CV6">LET(val, IFERROR(INDEX('Daily 스피킹 raw'!$A:$Z, MATCH(CV$2, 'Daily 스피킹 raw'!$A:$A, 0), MATCH($B6, 'Daily 스피킹 raw'!$1:$1, 0)), ""), IF(val=0, "", val))</f>
        <v/>
      </c>
      <c r="CW6" s="49" t="str">
        <f t="array" ref="CW6">LET(val, IFERROR(INDEX('Daily 스피킹 raw'!$A:$Z, MATCH(CW$2, 'Daily 스피킹 raw'!$A:$A, 0), MATCH($B6, 'Daily 스피킹 raw'!$1:$1, 0)), ""), IF(val=0, "", val))</f>
        <v/>
      </c>
    </row>
    <row r="7" ht="22.5" customHeight="1">
      <c r="A7" s="28"/>
      <c r="B7" s="23" t="s">
        <v>19</v>
      </c>
      <c r="C7" s="17" t="s">
        <v>20</v>
      </c>
      <c r="D7" s="44">
        <f t="array" ref="D7">LET(val, IFERROR(INDEX('Daily 스피킹 raw'!$A:$Z, MATCH(D$2, 'Daily 스피킹 raw'!$A:$A, 0), MATCH($B7, 'Daily 스피킹 raw'!$1:$1, 0)), ""), IF(val=0, "", val))</f>
        <v>3</v>
      </c>
      <c r="E7" s="44">
        <f t="array" ref="E7">LET(val, IFERROR(INDEX('Daily 스피킹 raw'!$A:$Z, MATCH(E$2, 'Daily 스피킹 raw'!$A:$A, 0), MATCH($B7, 'Daily 스피킹 raw'!$1:$1, 0)), ""), IF(val=0, "", val))</f>
        <v>1</v>
      </c>
      <c r="F7" s="44">
        <f t="array" ref="F7">LET(val, IFERROR(INDEX('Daily 스피킹 raw'!$A:$Z, MATCH(F$2, 'Daily 스피킹 raw'!$A:$A, 0), MATCH($B7, 'Daily 스피킹 raw'!$1:$1, 0)), ""), IF(val=0, "", val))</f>
        <v>6</v>
      </c>
      <c r="G7" s="44">
        <f t="array" ref="G7">LET(val, IFERROR(INDEX('Daily 스피킹 raw'!$A:$Z, MATCH(G$2, 'Daily 스피킹 raw'!$A:$A, 0), MATCH($B7, 'Daily 스피킹 raw'!$1:$1, 0)), ""), IF(val=0, "", val))</f>
        <v>2</v>
      </c>
      <c r="H7" s="44">
        <f t="array" ref="H7">LET(val, IFERROR(INDEX('Daily 스피킹 raw'!$A:$Z, MATCH(H$2, 'Daily 스피킹 raw'!$A:$A, 0), MATCH($B7, 'Daily 스피킹 raw'!$1:$1, 0)), ""), IF(val=0, "", val))</f>
        <v>3</v>
      </c>
      <c r="I7" s="44">
        <f t="array" ref="I7">LET(val, IFERROR(INDEX('Daily 스피킹 raw'!$A:$Z, MATCH(I$2, 'Daily 스피킹 raw'!$A:$A, 0), MATCH($B7, 'Daily 스피킹 raw'!$1:$1, 0)), ""), IF(val=0, "", val))</f>
        <v>7</v>
      </c>
      <c r="J7" s="44">
        <f t="array" ref="J7">LET(val, IFERROR(INDEX('Daily 스피킹 raw'!$A:$Z, MATCH(J$2, 'Daily 스피킹 raw'!$A:$A, 0), MATCH($B7, 'Daily 스피킹 raw'!$1:$1, 0)), ""), IF(val=0, "", val))</f>
        <v>12</v>
      </c>
      <c r="K7" s="44">
        <f t="array" ref="K7">LET(val, IFERROR(INDEX('Daily 스피킹 raw'!$A:$Z, MATCH(K$2, 'Daily 스피킹 raw'!$A:$A, 0), MATCH($B7, 'Daily 스피킹 raw'!$1:$1, 0)), ""), IF(val=0, "", val))</f>
        <v>6</v>
      </c>
      <c r="L7" s="44">
        <f t="array" ref="L7">LET(val, IFERROR(INDEX('Daily 스피킹 raw'!$A:$Z, MATCH(L$2, 'Daily 스피킹 raw'!$A:$A, 0), MATCH($B7, 'Daily 스피킹 raw'!$1:$1, 0)), ""), IF(val=0, "", val))</f>
        <v>12</v>
      </c>
      <c r="M7" s="44">
        <f t="array" ref="M7">LET(val, IFERROR(INDEX('Daily 스피킹 raw'!$A:$Z, MATCH(M$2, 'Daily 스피킹 raw'!$A:$A, 0), MATCH($B7, 'Daily 스피킹 raw'!$1:$1, 0)), ""), IF(val=0, "", val))</f>
        <v>19</v>
      </c>
      <c r="N7" s="44">
        <f t="array" ref="N7">LET(val, IFERROR(INDEX('Daily 스피킹 raw'!$A:$Z, MATCH(N$2, 'Daily 스피킹 raw'!$A:$A, 0), MATCH($B7, 'Daily 스피킹 raw'!$1:$1, 0)), ""), IF(val=0, "", val))</f>
        <v>13</v>
      </c>
      <c r="O7" s="44">
        <f t="array" ref="O7">LET(val, IFERROR(INDEX('Daily 스피킹 raw'!$A:$Z, MATCH(O$2, 'Daily 스피킹 raw'!$A:$A, 0), MATCH($B7, 'Daily 스피킹 raw'!$1:$1, 0)), ""), IF(val=0, "", val))</f>
        <v>5</v>
      </c>
      <c r="P7" s="44">
        <f t="array" ref="P7">LET(val, IFERROR(INDEX('Daily 스피킹 raw'!$A:$Z, MATCH(P$2, 'Daily 스피킹 raw'!$A:$A, 0), MATCH($B7, 'Daily 스피킹 raw'!$1:$1, 0)), ""), IF(val=0, "", val))</f>
        <v>8</v>
      </c>
      <c r="Q7" s="44">
        <f t="array" ref="Q7">LET(val, IFERROR(INDEX('Daily 스피킹 raw'!$A:$Z, MATCH(Q$2, 'Daily 스피킹 raw'!$A:$A, 0), MATCH($B7, 'Daily 스피킹 raw'!$1:$1, 0)), ""), IF(val=0, "", val))</f>
        <v>5</v>
      </c>
      <c r="R7" s="44">
        <f t="array" ref="R7">LET(val, IFERROR(INDEX('Daily 스피킹 raw'!$A:$Z, MATCH(R$2, 'Daily 스피킹 raw'!$A:$A, 0), MATCH($B7, 'Daily 스피킹 raw'!$1:$1, 0)), ""), IF(val=0, "", val))</f>
        <v>9</v>
      </c>
      <c r="S7" s="44">
        <f t="array" ref="S7">LET(val, IFERROR(INDEX('Daily 스피킹 raw'!$A:$Z, MATCH(S$2, 'Daily 스피킹 raw'!$A:$A, 0), MATCH($B7, 'Daily 스피킹 raw'!$1:$1, 0)), ""), IF(val=0, "", val))</f>
        <v>6</v>
      </c>
      <c r="T7" s="44">
        <f t="array" ref="T7">LET(val, IFERROR(INDEX('Daily 스피킹 raw'!$A:$Z, MATCH(T$2, 'Daily 스피킹 raw'!$A:$A, 0), MATCH($B7, 'Daily 스피킹 raw'!$1:$1, 0)), ""), IF(val=0, "", val))</f>
        <v>5</v>
      </c>
      <c r="U7" s="44">
        <f t="array" ref="U7">LET(val, IFERROR(INDEX('Daily 스피킹 raw'!$A:$Z, MATCH(U$2, 'Daily 스피킹 raw'!$A:$A, 0), MATCH($B7, 'Daily 스피킹 raw'!$1:$1, 0)), ""), IF(val=0, "", val))</f>
        <v>3</v>
      </c>
      <c r="V7" s="44">
        <f t="array" ref="V7">LET(val, IFERROR(INDEX('Daily 스피킹 raw'!$A:$Z, MATCH(V$2, 'Daily 스피킹 raw'!$A:$A, 0), MATCH($B7, 'Daily 스피킹 raw'!$1:$1, 0)), ""), IF(val=0, "", val))</f>
        <v>7</v>
      </c>
      <c r="W7" s="44">
        <f t="array" ref="W7">LET(val, IFERROR(INDEX('Daily 스피킹 raw'!$A:$Z, MATCH(W$2, 'Daily 스피킹 raw'!$A:$A, 0), MATCH($B7, 'Daily 스피킹 raw'!$1:$1, 0)), ""), IF(val=0, "", val))</f>
        <v>8</v>
      </c>
      <c r="X7" s="44">
        <f t="array" ref="X7">LET(val, IFERROR(INDEX('Daily 스피킹 raw'!$A:$Z, MATCH(X$2, 'Daily 스피킹 raw'!$A:$A, 0), MATCH($B7, 'Daily 스피킹 raw'!$1:$1, 0)), ""), IF(val=0, "", val))</f>
        <v>6</v>
      </c>
      <c r="Y7" s="44">
        <f t="array" ref="Y7">LET(val, IFERROR(INDEX('Daily 스피킹 raw'!$A:$Z, MATCH(Y$2, 'Daily 스피킹 raw'!$A:$A, 0), MATCH($B7, 'Daily 스피킹 raw'!$1:$1, 0)), ""), IF(val=0, "", val))</f>
        <v>4</v>
      </c>
      <c r="Z7" s="44">
        <f t="array" ref="Z7">LET(val, IFERROR(INDEX('Daily 스피킹 raw'!$A:$Z, MATCH(Z$2, 'Daily 스피킹 raw'!$A:$A, 0), MATCH($B7, 'Daily 스피킹 raw'!$1:$1, 0)), ""), IF(val=0, "", val))</f>
        <v>2</v>
      </c>
      <c r="AA7" s="44">
        <f t="array" ref="AA7">LET(val, IFERROR(INDEX('Daily 스피킹 raw'!$A:$Z, MATCH(AA$2, 'Daily 스피킹 raw'!$A:$A, 0), MATCH($B7, 'Daily 스피킹 raw'!$1:$1, 0)), ""), IF(val=0, "", val))</f>
        <v>10</v>
      </c>
      <c r="AB7" s="44">
        <f t="array" ref="AB7">LET(val, IFERROR(INDEX('Daily 스피킹 raw'!$A:$Z, MATCH(AB$2, 'Daily 스피킹 raw'!$A:$A, 0), MATCH($B7, 'Daily 스피킹 raw'!$1:$1, 0)), ""), IF(val=0, "", val))</f>
        <v>6</v>
      </c>
      <c r="AC7" s="44">
        <f t="array" ref="AC7">LET(val, IFERROR(INDEX('Daily 스피킹 raw'!$A:$Z, MATCH(AC$2, 'Daily 스피킹 raw'!$A:$A, 0), MATCH($B7, 'Daily 스피킹 raw'!$1:$1, 0)), ""), IF(val=0, "", val))</f>
        <v>7</v>
      </c>
      <c r="AD7" s="44">
        <f t="array" ref="AD7">LET(val, IFERROR(INDEX('Daily 스피킹 raw'!$A:$Z, MATCH(AD$2, 'Daily 스피킹 raw'!$A:$A, 0), MATCH($B7, 'Daily 스피킹 raw'!$1:$1, 0)), ""), IF(val=0, "", val))</f>
        <v>8</v>
      </c>
      <c r="AE7" s="44">
        <f t="array" ref="AE7">LET(val, IFERROR(INDEX('Daily 스피킹 raw'!$A:$Z, MATCH(AE$2, 'Daily 스피킹 raw'!$A:$A, 0), MATCH($B7, 'Daily 스피킹 raw'!$1:$1, 0)), ""), IF(val=0, "", val))</f>
        <v>9</v>
      </c>
      <c r="AF7" s="44">
        <f t="array" ref="AF7">LET(val, IFERROR(INDEX('Daily 스피킹 raw'!$A:$Z, MATCH(AF$2, 'Daily 스피킹 raw'!$A:$A, 0), MATCH($B7, 'Daily 스피킹 raw'!$1:$1, 0)), ""), IF(val=0, "", val))</f>
        <v>4</v>
      </c>
      <c r="AG7" s="44">
        <f t="array" ref="AG7">LET(val, IFERROR(INDEX('Daily 스피킹 raw'!$A:$Z, MATCH(AG$2, 'Daily 스피킹 raw'!$A:$A, 0), MATCH($B7, 'Daily 스피킹 raw'!$1:$1, 0)), ""), IF(val=0, "", val))</f>
        <v>6</v>
      </c>
      <c r="AH7" s="44">
        <f t="array" ref="AH7">LET(val, IFERROR(INDEX('Daily 스피킹 raw'!$A:$Z, MATCH(AH$2, 'Daily 스피킹 raw'!$A:$A, 0), MATCH($B7, 'Daily 스피킹 raw'!$1:$1, 0)), ""), IF(val=0, "", val))</f>
        <v>5</v>
      </c>
      <c r="AI7" s="44">
        <f t="array" ref="AI7">LET(val, IFERROR(INDEX('Daily 스피킹 raw'!$A:$Z, MATCH(AI$2, 'Daily 스피킹 raw'!$A:$A, 0), MATCH($B7, 'Daily 스피킹 raw'!$1:$1, 0)), ""), IF(val=0, "", val))</f>
        <v>6</v>
      </c>
      <c r="AJ7" s="44">
        <f t="array" ref="AJ7">LET(val, IFERROR(INDEX('Daily 스피킹 raw'!$A:$Z, MATCH(AJ$2, 'Daily 스피킹 raw'!$A:$A, 0), MATCH($B7, 'Daily 스피킹 raw'!$1:$1, 0)), ""), IF(val=0, "", val))</f>
        <v>5</v>
      </c>
      <c r="AK7" s="44">
        <f t="array" ref="AK7">LET(val, IFERROR(INDEX('Daily 스피킹 raw'!$A:$Z, MATCH(AK$2, 'Daily 스피킹 raw'!$A:$A, 0), MATCH($B7, 'Daily 스피킹 raw'!$1:$1, 0)), ""), IF(val=0, "", val))</f>
        <v>4</v>
      </c>
      <c r="AL7" s="44">
        <f t="array" ref="AL7">LET(val, IFERROR(INDEX('Daily 스피킹 raw'!$A:$Z, MATCH(AL$2, 'Daily 스피킹 raw'!$A:$A, 0), MATCH($B7, 'Daily 스피킹 raw'!$1:$1, 0)), ""), IF(val=0, "", val))</f>
        <v>4</v>
      </c>
      <c r="AM7" s="44">
        <f t="array" ref="AM7">LET(val, IFERROR(INDEX('Daily 스피킹 raw'!$A:$Z, MATCH(AM$2, 'Daily 스피킹 raw'!$A:$A, 0), MATCH($B7, 'Daily 스피킹 raw'!$1:$1, 0)), ""), IF(val=0, "", val))</f>
        <v>4</v>
      </c>
      <c r="AN7" s="44">
        <f t="array" ref="AN7">LET(val, IFERROR(INDEX('Daily 스피킹 raw'!$A:$Z, MATCH(AN$2, 'Daily 스피킹 raw'!$A:$A, 0), MATCH($B7, 'Daily 스피킹 raw'!$1:$1, 0)), ""), IF(val=0, "", val))</f>
        <v>6</v>
      </c>
      <c r="AO7" s="44">
        <f t="array" ref="AO7">LET(val, IFERROR(INDEX('Daily 스피킹 raw'!$A:$Z, MATCH(AO$2, 'Daily 스피킹 raw'!$A:$A, 0), MATCH($B7, 'Daily 스피킹 raw'!$1:$1, 0)), ""), IF(val=0, "", val))</f>
        <v>9</v>
      </c>
      <c r="AP7" s="44">
        <f t="array" ref="AP7">LET(val, IFERROR(INDEX('Daily 스피킹 raw'!$A:$Z, MATCH(AP$2, 'Daily 스피킹 raw'!$A:$A, 0), MATCH($B7, 'Daily 스피킹 raw'!$1:$1, 0)), ""), IF(val=0, "", val))</f>
        <v>1</v>
      </c>
      <c r="AQ7" s="44">
        <f t="array" ref="AQ7">LET(val, IFERROR(INDEX('Daily 스피킹 raw'!$A:$Z, MATCH(AQ$2, 'Daily 스피킹 raw'!$A:$A, 0), MATCH($B7, 'Daily 스피킹 raw'!$1:$1, 0)), ""), IF(val=0, "", val))</f>
        <v>4</v>
      </c>
      <c r="AR7" s="44">
        <f t="array" ref="AR7">LET(val, IFERROR(INDEX('Daily 스피킹 raw'!$A:$Z, MATCH(AR$2, 'Daily 스피킹 raw'!$A:$A, 0), MATCH($B7, 'Daily 스피킹 raw'!$1:$1, 0)), ""), IF(val=0, "", val))</f>
        <v>8</v>
      </c>
      <c r="AS7" s="44">
        <f t="array" ref="AS7">LET(val, IFERROR(INDEX('Daily 쨈 raw'!$A:$Z, MATCH(AS$2, 'Daily 스피킹 raw'!$A:$A, 0), MATCH($B7, 'Daily 스피킹 raw'!$1:$1, 0)), ""), IF(val=0, "", val))</f>
        <v>65</v>
      </c>
      <c r="AT7" s="44">
        <f t="array" ref="AT7">LET(val, IFERROR(INDEX('Daily 쨈 raw'!$A:$Z, MATCH(AT$2, 'Daily 스피킹 raw'!$A:$A, 0), MATCH($B7, 'Daily 스피킹 raw'!$1:$1, 0)), ""), IF(val=0, "", val))</f>
        <v>47</v>
      </c>
      <c r="AU7" s="44">
        <f t="array" ref="AU7">LET(val, IFERROR(INDEX('Daily 쨈 raw'!$A:$Z, MATCH(AU$2, 'Daily 스피킹 raw'!$A:$A, 0), MATCH($B7, 'Daily 스피킹 raw'!$1:$1, 0)), ""), IF(val=0, "", val))</f>
        <v>70</v>
      </c>
      <c r="AV7" s="44">
        <f t="array" ref="AV7">LET(val, IFERROR(INDEX('Daily 쨈 raw'!$A:$Z, MATCH(AV$2, 'Daily 스피킹 raw'!$A:$A, 0), MATCH($B7, 'Daily 스피킹 raw'!$1:$1, 0)), ""), IF(val=0, "", val))</f>
        <v>62</v>
      </c>
      <c r="AW7" s="44">
        <f t="array" ref="AW7">LET(val, IFERROR(INDEX('Daily 쨈 raw'!$A:$Z, MATCH(AW$2, 'Daily 스피킹 raw'!$A:$A, 0), MATCH($B7, 'Daily 스피킹 raw'!$1:$1, 0)), ""), IF(val=0, "", val))</f>
        <v>60</v>
      </c>
      <c r="AX7" s="44">
        <f t="array" ref="AX7">LET(val, IFERROR(INDEX('Daily 쨈 raw'!$A:$Z, MATCH(AX$2, 'Daily 스피킹 raw'!$A:$A, 0), MATCH($B7, 'Daily 스피킹 raw'!$1:$1, 0)), ""), IF(val=0, "", val))</f>
        <v>60</v>
      </c>
      <c r="AY7" s="44">
        <f t="array" ref="AY7">LET(val, IFERROR(INDEX('Daily 쨈 raw'!$A:$Z, MATCH(AY$2, 'Daily 스피킹 raw'!$A:$A, 0), MATCH($B7, 'Daily 스피킹 raw'!$1:$1, 0)), ""), IF(val=0, "", val))</f>
        <v>55</v>
      </c>
      <c r="AZ7" s="44">
        <f t="array" ref="AZ7">LET(val, IFERROR(INDEX('Daily 쨈 raw'!$A:$Z, MATCH(AZ$2, 'Daily 스피킹 raw'!$A:$A, 0), MATCH($B7, 'Daily 스피킹 raw'!$1:$1, 0)), ""), IF(val=0, "", val))</f>
        <v>51</v>
      </c>
      <c r="BA7" s="44">
        <f t="array" ref="BA7">LET(val, IFERROR(INDEX('Daily 쨈 raw'!$A:$Z, MATCH(BA$2, 'Daily 스피킹 raw'!$A:$A, 0), MATCH($B7, 'Daily 스피킹 raw'!$1:$1, 0)), ""), IF(val=0, "", val))</f>
        <v>51</v>
      </c>
      <c r="BB7" s="44">
        <f t="array" ref="BB7">LET(val, IFERROR(INDEX('Daily 쨈 raw'!$A:$Z, MATCH(BB$2, 'Daily 스피킹 raw'!$A:$A, 0), MATCH($B7, 'Daily 스피킹 raw'!$1:$1, 0)), ""), IF(val=0, "", val))</f>
        <v>54</v>
      </c>
      <c r="BC7" s="44">
        <f t="array" ref="BC7">LET(val, IFERROR(INDEX('Daily 쨈 raw'!$A:$Z, MATCH(BC$2, 'Daily 스피킹 raw'!$A:$A, 0), MATCH($B7, 'Daily 스피킹 raw'!$1:$1, 0)), ""), IF(val=0, "", val))</f>
        <v>43</v>
      </c>
      <c r="BD7" s="44">
        <f t="array" ref="BD7">LET(val, IFERROR(INDEX('Daily 쨈 raw'!$A:$Z, MATCH(BD$2, 'Daily 스피킹 raw'!$A:$A, 0), MATCH($B7, 'Daily 스피킹 raw'!$1:$1, 0)), ""), IF(val=0, "", val))</f>
        <v>52</v>
      </c>
      <c r="BE7" s="44">
        <f t="array" ref="BE7">LET(val, IFERROR(INDEX('Daily 쨈 raw'!$A:$Z, MATCH(BE$2, 'Daily 스피킹 raw'!$A:$A, 0), MATCH($B7, 'Daily 스피킹 raw'!$1:$1, 0)), ""), IF(val=0, "", val))</f>
        <v>75</v>
      </c>
      <c r="BF7" s="44">
        <f t="array" ref="BF7">LET(val, IFERROR(INDEX('Daily 쨈 raw'!$A:$Z, MATCH(BF$2, 'Daily 스피킹 raw'!$A:$A, 0), MATCH($B7, 'Daily 스피킹 raw'!$1:$1, 0)), ""), IF(val=0, "", val))</f>
        <v>99</v>
      </c>
      <c r="BG7" s="44">
        <f t="array" ref="BG7">LET(val, IFERROR(INDEX('Daily 쨈 raw'!$A:$Z, MATCH(BG$2, 'Daily 스피킹 raw'!$A:$A, 0), MATCH($B7, 'Daily 스피킹 raw'!$1:$1, 0)), ""), IF(val=0, "", val))</f>
        <v>87</v>
      </c>
      <c r="BH7" s="44">
        <f t="array" ref="BH7">LET(val, IFERROR(INDEX('Daily 쨈 raw'!$A:$Z, MATCH(BH$2, 'Daily 스피킹 raw'!$A:$A, 0), MATCH($B7, 'Daily 스피킹 raw'!$1:$1, 0)), ""), IF(val=0, "", val))</f>
        <v>55</v>
      </c>
      <c r="BI7" s="44">
        <f t="array" ref="BI7">LET(val, IFERROR(INDEX('Daily 쨈 raw'!$A:$Z, MATCH(BI$2, 'Daily 스피킹 raw'!$A:$A, 0), MATCH($B7, 'Daily 스피킹 raw'!$1:$1, 0)), ""), IF(val=0, "", val))</f>
        <v>67</v>
      </c>
      <c r="BJ7" s="44">
        <f t="array" ref="BJ7">LET(val, IFERROR(INDEX('Daily 쨈 raw'!$A:$Z, MATCH(BJ$2, 'Daily 스피킹 raw'!$A:$A, 0), MATCH($B7, 'Daily 스피킹 raw'!$1:$1, 0)), ""), IF(val=0, "", val))</f>
        <v>65</v>
      </c>
      <c r="BK7" s="44">
        <f t="array" ref="BK7">LET(val, IFERROR(INDEX('Daily 쨈 raw'!$A:$Z, MATCH(BK$2, 'Daily 스피킹 raw'!$A:$A, 0), MATCH($B7, 'Daily 스피킹 raw'!$1:$1, 0)), ""), IF(val=0, "", val))</f>
        <v>79</v>
      </c>
      <c r="BL7" s="44">
        <f t="array" ref="BL7">LET(val, IFERROR(INDEX('Daily 쨈 raw'!$A:$Z, MATCH(BL$2, 'Daily 스피킹 raw'!$A:$A, 0), MATCH($B7, 'Daily 스피킹 raw'!$1:$1, 0)), ""), IF(val=0, "", val))</f>
        <v>85</v>
      </c>
      <c r="BM7" s="44" t="str">
        <f t="array" ref="BM7">LET(val, IFERROR(INDEX('Daily 쨈 raw'!$A:$Z, MATCH(BM$2, 'Daily 스피킹 raw'!$A:$A, 0), MATCH($B7, 'Daily 스피킹 raw'!$1:$1, 0)), ""), IF(val=0, "", val))</f>
        <v/>
      </c>
      <c r="BN7" s="44" t="str">
        <f t="array" ref="BN7">LET(val, IFERROR(INDEX('Daily 쨈 raw'!$A:$Z, MATCH(BN$2, 'Daily 스피킹 raw'!$A:$A, 0), MATCH($B7, 'Daily 스피킹 raw'!$1:$1, 0)), ""), IF(val=0, "", val))</f>
        <v/>
      </c>
      <c r="BO7" s="44" t="str">
        <f t="array" ref="BO7">LET(val, IFERROR(INDEX('Daily 쨈 raw'!$A:$Z, MATCH(BO$2, 'Daily 스피킹 raw'!$A:$A, 0), MATCH($B7, 'Daily 스피킹 raw'!$1:$1, 0)), ""), IF(val=0, "", val))</f>
        <v/>
      </c>
      <c r="BP7" s="44" t="str">
        <f t="array" ref="BP7">LET(val, IFERROR(INDEX('Daily 쨈 raw'!$A:$Z, MATCH(BP$2, 'Daily 스피킹 raw'!$A:$A, 0), MATCH($B7, 'Daily 스피킹 raw'!$1:$1, 0)), ""), IF(val=0, "", val))</f>
        <v/>
      </c>
      <c r="BQ7" s="44" t="str">
        <f t="array" ref="BQ7">LET(val, IFERROR(INDEX('Daily 쨈 raw'!$A:$Z, MATCH(BQ$2, 'Daily 스피킹 raw'!$A:$A, 0), MATCH($B7, 'Daily 스피킹 raw'!$1:$1, 0)), ""), IF(val=0, "", val))</f>
        <v/>
      </c>
      <c r="BR7" s="44" t="str">
        <f t="array" ref="BR7">LET(val, IFERROR(INDEX('Daily 쨈 raw'!$A:$Z, MATCH(BR$2, 'Daily 스피킹 raw'!$A:$A, 0), MATCH($B7, 'Daily 스피킹 raw'!$1:$1, 0)), ""), IF(val=0, "", val))</f>
        <v/>
      </c>
      <c r="BS7" s="44" t="str">
        <f t="array" ref="BS7">LET(val, IFERROR(INDEX('Daily 쨈 raw'!$A:$Z, MATCH(BS$2, 'Daily 스피킹 raw'!$A:$A, 0), MATCH($B7, 'Daily 스피킹 raw'!$1:$1, 0)), ""), IF(val=0, "", val))</f>
        <v/>
      </c>
      <c r="BT7" s="44" t="str">
        <f t="array" ref="BT7">LET(val, IFERROR(INDEX('Daily 쨈 raw'!$A:$Z, MATCH(BT$2, 'Daily 스피킹 raw'!$A:$A, 0), MATCH($B7, 'Daily 스피킹 raw'!$1:$1, 0)), ""), IF(val=0, "", val))</f>
        <v/>
      </c>
      <c r="BU7" s="44" t="str">
        <f t="array" ref="BU7">LET(val, IFERROR(INDEX('Daily 쨈 raw'!$A:$Z, MATCH(BU$2, 'Daily 스피킹 raw'!$A:$A, 0), MATCH($B7, 'Daily 스피킹 raw'!$1:$1, 0)), ""), IF(val=0, "", val))</f>
        <v/>
      </c>
      <c r="BV7" s="44" t="str">
        <f t="array" ref="BV7">LET(val, IFERROR(INDEX('Daily 쨈 raw'!$A:$Z, MATCH(BV$2, 'Daily 스피킹 raw'!$A:$A, 0), MATCH($B7, 'Daily 스피킹 raw'!$1:$1, 0)), ""), IF(val=0, "", val))</f>
        <v/>
      </c>
      <c r="BW7" s="44" t="str">
        <f t="array" ref="BW7">LET(val, IFERROR(INDEX('Daily 쨈 raw'!$A:$Z, MATCH(BW$2, 'Daily 스피킹 raw'!$A:$A, 0), MATCH($B7, 'Daily 스피킹 raw'!$1:$1, 0)), ""), IF(val=0, "", val))</f>
        <v/>
      </c>
      <c r="BX7" s="44" t="str">
        <f t="array" ref="BX7">LET(val, IFERROR(INDEX('Daily 쨈 raw'!$A:$Z, MATCH(BX$2, 'Daily 스피킹 raw'!$A:$A, 0), MATCH($B7, 'Daily 스피킹 raw'!$1:$1, 0)), ""), IF(val=0, "", val))</f>
        <v/>
      </c>
      <c r="BY7" s="44" t="str">
        <f t="array" ref="BY7">LET(val, IFERROR(INDEX('Daily 쨈 raw'!$A:$Z, MATCH(BY$2, 'Daily 스피킹 raw'!$A:$A, 0), MATCH($B7, 'Daily 스피킹 raw'!$1:$1, 0)), ""), IF(val=0, "", val))</f>
        <v/>
      </c>
      <c r="BZ7" s="44" t="str">
        <f t="array" ref="BZ7">LET(val, IFERROR(INDEX('Daily 쨈 raw'!$A:$Z, MATCH(BZ$2, 'Daily 스피킹 raw'!$A:$A, 0), MATCH($B7, 'Daily 스피킹 raw'!$1:$1, 0)), ""), IF(val=0, "", val))</f>
        <v/>
      </c>
      <c r="CA7" s="44" t="str">
        <f t="array" ref="CA7">LET(val, IFERROR(INDEX('Daily 쨈 raw'!$A:$Z, MATCH(CA$2, 'Daily 스피킹 raw'!$A:$A, 0), MATCH($B7, 'Daily 스피킹 raw'!$1:$1, 0)), ""), IF(val=0, "", val))</f>
        <v/>
      </c>
      <c r="CB7" s="44" t="str">
        <f t="array" ref="CB7">LET(val, IFERROR(INDEX('Daily 쨈 raw'!$A:$Z, MATCH(CB$2, 'Daily 스피킹 raw'!$A:$A, 0), MATCH($B7, 'Daily 스피킹 raw'!$1:$1, 0)), ""), IF(val=0, "", val))</f>
        <v/>
      </c>
      <c r="CC7" s="44" t="str">
        <f t="array" ref="CC7">LET(val, IFERROR(INDEX('Daily 쨈 raw'!$A:$Z, MATCH(CC$2, 'Daily 스피킹 raw'!$A:$A, 0), MATCH($B7, 'Daily 스피킹 raw'!$1:$1, 0)), ""), IF(val=0, "", val))</f>
        <v/>
      </c>
      <c r="CD7" s="44" t="str">
        <f t="array" ref="CD7">LET(val, IFERROR(INDEX('Daily 쨈 raw'!$A:$Z, MATCH(CD$2, 'Daily 스피킹 raw'!$A:$A, 0), MATCH($B7, 'Daily 스피킹 raw'!$1:$1, 0)), ""), IF(val=0, "", val))</f>
        <v/>
      </c>
      <c r="CE7" s="44" t="str">
        <f t="array" ref="CE7">LET(val, IFERROR(INDEX('Daily 쨈 raw'!$A:$Z, MATCH(CE$2, 'Daily 스피킹 raw'!$A:$A, 0), MATCH($B7, 'Daily 스피킹 raw'!$1:$1, 0)), ""), IF(val=0, "", val))</f>
        <v/>
      </c>
      <c r="CF7" s="44" t="str">
        <f t="array" ref="CF7">LET(val, IFERROR(INDEX('Daily 쨈 raw'!$A:$Z, MATCH(CF$2, 'Daily 스피킹 raw'!$A:$A, 0), MATCH($B7, 'Daily 스피킹 raw'!$1:$1, 0)), ""), IF(val=0, "", val))</f>
        <v/>
      </c>
      <c r="CG7" s="44" t="str">
        <f t="array" ref="CG7">LET(val, IFERROR(INDEX('Daily 쨈 raw'!$A:$Z, MATCH(CG$2, 'Daily 스피킹 raw'!$A:$A, 0), MATCH($B7, 'Daily 스피킹 raw'!$1:$1, 0)), ""), IF(val=0, "", val))</f>
        <v/>
      </c>
      <c r="CH7" s="44" t="str">
        <f t="array" ref="CH7">LET(val, IFERROR(INDEX('Daily 쨈 raw'!$A:$Z, MATCH(CH$2, 'Daily 스피킹 raw'!$A:$A, 0), MATCH($B7, 'Daily 스피킹 raw'!$1:$1, 0)), ""), IF(val=0, "", val))</f>
        <v/>
      </c>
      <c r="CI7" s="44" t="str">
        <f t="array" ref="CI7">LET(val, IFERROR(INDEX('Daily 쨈 raw'!$A:$Z, MATCH(CI$2, 'Daily 스피킹 raw'!$A:$A, 0), MATCH($B7, 'Daily 스피킹 raw'!$1:$1, 0)), ""), IF(val=0, "", val))</f>
        <v/>
      </c>
      <c r="CJ7" s="44" t="str">
        <f t="array" ref="CJ7">LET(val, IFERROR(INDEX('Daily 쨈 raw'!$A:$Z, MATCH(CJ$2, 'Daily 스피킹 raw'!$A:$A, 0), MATCH($B7, 'Daily 스피킹 raw'!$1:$1, 0)), ""), IF(val=0, "", val))</f>
        <v/>
      </c>
      <c r="CK7" s="44" t="str">
        <f t="array" ref="CK7">LET(val, IFERROR(INDEX('Daily 쨈 raw'!$A:$Z, MATCH(CK$2, 'Daily 스피킹 raw'!$A:$A, 0), MATCH($B7, 'Daily 스피킹 raw'!$1:$1, 0)), ""), IF(val=0, "", val))</f>
        <v/>
      </c>
      <c r="CL7" s="44" t="str">
        <f t="array" ref="CL7">LET(val, IFERROR(INDEX('Daily 쨈 raw'!$A:$Z, MATCH(CL$2, 'Daily 스피킹 raw'!$A:$A, 0), MATCH($B7, 'Daily 스피킹 raw'!$1:$1, 0)), ""), IF(val=0, "", val))</f>
        <v/>
      </c>
      <c r="CM7" s="44" t="str">
        <f t="array" ref="CM7">LET(val, IFERROR(INDEX('Daily 쨈 raw'!$A:$Z, MATCH(CM$2, 'Daily 스피킹 raw'!$A:$A, 0), MATCH($B7, 'Daily 스피킹 raw'!$1:$1, 0)), ""), IF(val=0, "", val))</f>
        <v/>
      </c>
      <c r="CN7" s="44" t="str">
        <f t="array" ref="CN7">LET(val, IFERROR(INDEX('Daily 쨈 raw'!$A:$Z, MATCH(CN$2, 'Daily 스피킹 raw'!$A:$A, 0), MATCH($B7, 'Daily 스피킹 raw'!$1:$1, 0)), ""), IF(val=0, "", val))</f>
        <v/>
      </c>
      <c r="CO7" s="44" t="str">
        <f t="array" ref="CO7">LET(val, IFERROR(INDEX('Daily 쨈 raw'!$A:$Z, MATCH(CO$2, 'Daily 스피킹 raw'!$A:$A, 0), MATCH($B7, 'Daily 스피킹 raw'!$1:$1, 0)), ""), IF(val=0, "", val))</f>
        <v/>
      </c>
      <c r="CP7" s="44" t="str">
        <f t="array" ref="CP7">LET(val, IFERROR(INDEX('Daily 쨈 raw'!$A:$Z, MATCH(CP$2, 'Daily 스피킹 raw'!$A:$A, 0), MATCH($B7, 'Daily 스피킹 raw'!$1:$1, 0)), ""), IF(val=0, "", val))</f>
        <v/>
      </c>
      <c r="CQ7" s="44" t="str">
        <f t="array" ref="CQ7">LET(val, IFERROR(INDEX('Daily 쨈 raw'!$A:$Z, MATCH(CQ$2, 'Daily 스피킹 raw'!$A:$A, 0), MATCH($B7, 'Daily 스피킹 raw'!$1:$1, 0)), ""), IF(val=0, "", val))</f>
        <v/>
      </c>
      <c r="CR7" s="44" t="str">
        <f t="array" ref="CR7">LET(val, IFERROR(INDEX('Daily 쨈 raw'!$A:$Z, MATCH(CR$2, 'Daily 스피킹 raw'!$A:$A, 0), MATCH($B7, 'Daily 스피킹 raw'!$1:$1, 0)), ""), IF(val=0, "", val))</f>
        <v/>
      </c>
      <c r="CS7" s="44" t="str">
        <f t="array" ref="CS7">LET(val, IFERROR(INDEX('Daily 쨈 raw'!$A:$Z, MATCH(CS$2, 'Daily 스피킹 raw'!$A:$A, 0), MATCH($B7, 'Daily 스피킹 raw'!$1:$1, 0)), ""), IF(val=0, "", val))</f>
        <v/>
      </c>
      <c r="CT7" s="44" t="str">
        <f t="array" ref="CT7">LET(val, IFERROR(INDEX('Daily 쨈 raw'!$A:$Z, MATCH(CT$2, 'Daily 스피킹 raw'!$A:$A, 0), MATCH($B7, 'Daily 스피킹 raw'!$1:$1, 0)), ""), IF(val=0, "", val))</f>
        <v/>
      </c>
      <c r="CU7" s="44" t="str">
        <f t="array" ref="CU7">LET(val, IFERROR(INDEX('Daily 쨈 raw'!$A:$Z, MATCH(CU$2, 'Daily 스피킹 raw'!$A:$A, 0), MATCH($B7, 'Daily 스피킹 raw'!$1:$1, 0)), ""), IF(val=0, "", val))</f>
        <v/>
      </c>
      <c r="CV7" s="44" t="str">
        <f t="array" ref="CV7">LET(val, IFERROR(INDEX('Daily 쨈 raw'!$A:$Z, MATCH(CV$2, 'Daily 스피킹 raw'!$A:$A, 0), MATCH($B7, 'Daily 스피킹 raw'!$1:$1, 0)), ""), IF(val=0, "", val))</f>
        <v/>
      </c>
      <c r="CW7" s="44" t="str">
        <f t="array" ref="CW7">LET(val, IFERROR(INDEX('Daily 쨈 raw'!$A:$Z, MATCH(CW$2, 'Daily 스피킹 raw'!$A:$A, 0), MATCH($B7, 'Daily 스피킹 raw'!$1:$1, 0)), ""), IF(val=0, "", val))</f>
        <v/>
      </c>
    </row>
    <row r="8" ht="22.5" customHeight="1">
      <c r="A8" s="17"/>
      <c r="B8" s="23" t="s">
        <v>21</v>
      </c>
      <c r="C8" s="17" t="s">
        <v>22</v>
      </c>
      <c r="D8" s="44">
        <f t="array" ref="D8">LET(val, IFERROR(INDEX('Daily 스피킹 raw'!$A:$Z, MATCH(D$2, 'Daily 스피킹 raw'!$A:$A, 0), MATCH($B8, 'Daily 스피킹 raw'!$1:$1, 0)), ""), IF(val=0, "", val))</f>
        <v>3040</v>
      </c>
      <c r="E8" s="44">
        <f t="array" ref="E8">LET(val, IFERROR(INDEX('Daily 스피킹 raw'!$A:$Z, MATCH(E$2, 'Daily 스피킹 raw'!$A:$A, 0), MATCH($B8, 'Daily 스피킹 raw'!$1:$1, 0)), ""), IF(val=0, "", val))</f>
        <v>2098</v>
      </c>
      <c r="F8" s="44">
        <f t="array" ref="F8">LET(val, IFERROR(INDEX('Daily 스피킹 raw'!$A:$Z, MATCH(F$2, 'Daily 스피킹 raw'!$A:$A, 0), MATCH($B8, 'Daily 스피킹 raw'!$1:$1, 0)), ""), IF(val=0, "", val))</f>
        <v>3078</v>
      </c>
      <c r="G8" s="44">
        <f t="array" ref="G8">LET(val, IFERROR(INDEX('Daily 스피킹 raw'!$A:$Z, MATCH(G$2, 'Daily 스피킹 raw'!$A:$A, 0), MATCH($B8, 'Daily 스피킹 raw'!$1:$1, 0)), ""), IF(val=0, "", val))</f>
        <v>2177</v>
      </c>
      <c r="H8" s="44">
        <f t="array" ref="H8">LET(val, IFERROR(INDEX('Daily 스피킹 raw'!$A:$Z, MATCH(H$2, 'Daily 스피킹 raw'!$A:$A, 0), MATCH($B8, 'Daily 스피킹 raw'!$1:$1, 0)), ""), IF(val=0, "", val))</f>
        <v>2211</v>
      </c>
      <c r="I8" s="44">
        <f t="array" ref="I8">LET(val, IFERROR(INDEX('Daily 스피킹 raw'!$A:$Z, MATCH(I$2, 'Daily 스피킹 raw'!$A:$A, 0), MATCH($B8, 'Daily 스피킹 raw'!$1:$1, 0)), ""), IF(val=0, "", val))</f>
        <v>3560</v>
      </c>
      <c r="J8" s="44">
        <f t="array" ref="J8">LET(val, IFERROR(INDEX('Daily 스피킹 raw'!$A:$Z, MATCH(J$2, 'Daily 스피킹 raw'!$A:$A, 0), MATCH($B8, 'Daily 스피킹 raw'!$1:$1, 0)), ""), IF(val=0, "", val))</f>
        <v>2415</v>
      </c>
      <c r="K8" s="44">
        <f t="array" ref="K8">LET(val, IFERROR(INDEX('Daily 스피킹 raw'!$A:$Z, MATCH(K$2, 'Daily 스피킹 raw'!$A:$A, 0), MATCH($B8, 'Daily 스피킹 raw'!$1:$1, 0)), ""), IF(val=0, "", val))</f>
        <v>3258</v>
      </c>
      <c r="L8" s="44">
        <f t="array" ref="L8">LET(val, IFERROR(INDEX('Daily 스피킹 raw'!$A:$Z, MATCH(L$2, 'Daily 스피킹 raw'!$A:$A, 0), MATCH($B8, 'Daily 스피킹 raw'!$1:$1, 0)), ""), IF(val=0, "", val))</f>
        <v>4524</v>
      </c>
      <c r="M8" s="44">
        <f t="array" ref="M8">LET(val, IFERROR(INDEX('Daily 스피킹 raw'!$A:$Z, MATCH(M$2, 'Daily 스피킹 raw'!$A:$A, 0), MATCH($B8, 'Daily 스피킹 raw'!$1:$1, 0)), ""), IF(val=0, "", val))</f>
        <v>4418</v>
      </c>
      <c r="N8" s="44">
        <f t="array" ref="N8">LET(val, IFERROR(INDEX('Daily 스피킹 raw'!$A:$Z, MATCH(N$2, 'Daily 스피킹 raw'!$A:$A, 0), MATCH($B8, 'Daily 스피킹 raw'!$1:$1, 0)), ""), IF(val=0, "", val))</f>
        <v>2666</v>
      </c>
      <c r="O8" s="44">
        <f t="array" ref="O8">LET(val, IFERROR(INDEX('Daily 스피킹 raw'!$A:$Z, MATCH(O$2, 'Daily 스피킹 raw'!$A:$A, 0), MATCH($B8, 'Daily 스피킹 raw'!$1:$1, 0)), ""), IF(val=0, "", val))</f>
        <v>2425</v>
      </c>
      <c r="P8" s="44">
        <f t="array" ref="P8">LET(val, IFERROR(INDEX('Daily 스피킹 raw'!$A:$Z, MATCH(P$2, 'Daily 스피킹 raw'!$A:$A, 0), MATCH($B8, 'Daily 스피킹 raw'!$1:$1, 0)), ""), IF(val=0, "", val))</f>
        <v>4316</v>
      </c>
      <c r="Q8" s="44">
        <f t="array" ref="Q8">LET(val, IFERROR(INDEX('Daily 스피킹 raw'!$A:$Z, MATCH(Q$2, 'Daily 스피킹 raw'!$A:$A, 0), MATCH($B8, 'Daily 스피킹 raw'!$1:$1, 0)), ""), IF(val=0, "", val))</f>
        <v>3022</v>
      </c>
      <c r="R8" s="44">
        <f t="array" ref="R8">LET(val, IFERROR(INDEX('Daily 스피킹 raw'!$A:$Z, MATCH(R$2, 'Daily 스피킹 raw'!$A:$A, 0), MATCH($B8, 'Daily 스피킹 raw'!$1:$1, 0)), ""), IF(val=0, "", val))</f>
        <v>4200</v>
      </c>
      <c r="S8" s="44">
        <f t="array" ref="S8">LET(val, IFERROR(INDEX('Daily 스피킹 raw'!$A:$Z, MATCH(S$2, 'Daily 스피킹 raw'!$A:$A, 0), MATCH($B8, 'Daily 스피킹 raw'!$1:$1, 0)), ""), IF(val=0, "", val))</f>
        <v>2468</v>
      </c>
      <c r="T8" s="44">
        <f t="array" ref="T8">LET(val, IFERROR(INDEX('Daily 스피킹 raw'!$A:$Z, MATCH(T$2, 'Daily 스피킹 raw'!$A:$A, 0), MATCH($B8, 'Daily 스피킹 raw'!$1:$1, 0)), ""), IF(val=0, "", val))</f>
        <v>3118</v>
      </c>
      <c r="U8" s="44">
        <f t="array" ref="U8">LET(val, IFERROR(INDEX('Daily 스피킹 raw'!$A:$Z, MATCH(U$2, 'Daily 스피킹 raw'!$A:$A, 0), MATCH($B8, 'Daily 스피킹 raw'!$1:$1, 0)), ""), IF(val=0, "", val))</f>
        <v>2155</v>
      </c>
      <c r="V8" s="44">
        <f t="array" ref="V8">LET(val, IFERROR(INDEX('Daily 스피킹 raw'!$A:$Z, MATCH(V$2, 'Daily 스피킹 raw'!$A:$A, 0), MATCH($B8, 'Daily 스피킹 raw'!$1:$1, 0)), ""), IF(val=0, "", val))</f>
        <v>2141</v>
      </c>
      <c r="W8" s="44">
        <f t="array" ref="W8">LET(val, IFERROR(INDEX('Daily 스피킹 raw'!$A:$Z, MATCH(W$2, 'Daily 스피킹 raw'!$A:$A, 0), MATCH($B8, 'Daily 스피킹 raw'!$1:$1, 0)), ""), IF(val=0, "", val))</f>
        <v>3939</v>
      </c>
      <c r="X8" s="44">
        <f t="array" ref="X8">LET(val, IFERROR(INDEX('Daily 스피킹 raw'!$A:$Z, MATCH(X$2, 'Daily 스피킹 raw'!$A:$A, 0), MATCH($B8, 'Daily 스피킹 raw'!$1:$1, 0)), ""), IF(val=0, "", val))</f>
        <v>2602</v>
      </c>
      <c r="Y8" s="44">
        <f t="array" ref="Y8">LET(val, IFERROR(INDEX('Daily 스피킹 raw'!$A:$Z, MATCH(Y$2, 'Daily 스피킹 raw'!$A:$A, 0), MATCH($B8, 'Daily 스피킹 raw'!$1:$1, 0)), ""), IF(val=0, "", val))</f>
        <v>3633</v>
      </c>
      <c r="Z8" s="44">
        <f t="array" ref="Z8">LET(val, IFERROR(INDEX('Daily 스피킹 raw'!$A:$Z, MATCH(Z$2, 'Daily 스피킹 raw'!$A:$A, 0), MATCH($B8, 'Daily 스피킹 raw'!$1:$1, 0)), ""), IF(val=0, "", val))</f>
        <v>2576</v>
      </c>
      <c r="AA8" s="44">
        <f t="array" ref="AA8">LET(val, IFERROR(INDEX('Daily 스피킹 raw'!$A:$Z, MATCH(AA$2, 'Daily 스피킹 raw'!$A:$A, 0), MATCH($B8, 'Daily 스피킹 raw'!$1:$1, 0)), ""), IF(val=0, "", val))</f>
        <v>3731</v>
      </c>
      <c r="AB8" s="44">
        <f t="array" ref="AB8">LET(val, IFERROR(INDEX('Daily 스피킹 raw'!$A:$Z, MATCH(AB$2, 'Daily 스피킹 raw'!$A:$A, 0), MATCH($B8, 'Daily 스피킹 raw'!$1:$1, 0)), ""), IF(val=0, "", val))</f>
        <v>2491</v>
      </c>
      <c r="AC8" s="44">
        <f t="array" ref="AC8">LET(val, IFERROR(INDEX('Daily 스피킹 raw'!$A:$Z, MATCH(AC$2, 'Daily 스피킹 raw'!$A:$A, 0), MATCH($B8, 'Daily 스피킹 raw'!$1:$1, 0)), ""), IF(val=0, "", val))</f>
        <v>2142</v>
      </c>
      <c r="AD8" s="44">
        <f t="array" ref="AD8">LET(val, IFERROR(INDEX('Daily 스피킹 raw'!$A:$Z, MATCH(AD$2, 'Daily 스피킹 raw'!$A:$A, 0), MATCH($B8, 'Daily 스피킹 raw'!$1:$1, 0)), ""), IF(val=0, "", val))</f>
        <v>3852</v>
      </c>
      <c r="AE8" s="44">
        <f t="array" ref="AE8">LET(val, IFERROR(INDEX('Daily 스피킹 raw'!$A:$Z, MATCH(AE$2, 'Daily 스피킹 raw'!$A:$A, 0), MATCH($B8, 'Daily 스피킹 raw'!$1:$1, 0)), ""), IF(val=0, "", val))</f>
        <v>2469</v>
      </c>
      <c r="AF8" s="44">
        <f t="array" ref="AF8">LET(val, IFERROR(INDEX('Daily 스피킹 raw'!$A:$Z, MATCH(AF$2, 'Daily 스피킹 raw'!$A:$A, 0), MATCH($B8, 'Daily 스피킹 raw'!$1:$1, 0)), ""), IF(val=0, "", val))</f>
        <v>3629</v>
      </c>
      <c r="AG8" s="44">
        <f t="array" ref="AG8">LET(val, IFERROR(INDEX('Daily 스피킹 raw'!$A:$Z, MATCH(AG$2, 'Daily 스피킹 raw'!$A:$A, 0), MATCH($B8, 'Daily 스피킹 raw'!$1:$1, 0)), ""), IF(val=0, "", val))</f>
        <v>2363</v>
      </c>
      <c r="AH8" s="44">
        <f t="array" ref="AH8">LET(val, IFERROR(INDEX('Daily 스피킹 raw'!$A:$Z, MATCH(AH$2, 'Daily 스피킹 raw'!$A:$A, 0), MATCH($B8, 'Daily 스피킹 raw'!$1:$1, 0)), ""), IF(val=0, "", val))</f>
        <v>3349</v>
      </c>
      <c r="AI8" s="44">
        <f t="array" ref="AI8">LET(val, IFERROR(INDEX('Daily 스피킹 raw'!$A:$Z, MATCH(AI$2, 'Daily 스피킹 raw'!$A:$A, 0), MATCH($B8, 'Daily 스피킹 raw'!$1:$1, 0)), ""), IF(val=0, "", val))</f>
        <v>2053</v>
      </c>
      <c r="AJ8" s="44">
        <f t="array" ref="AJ8">LET(val, IFERROR(INDEX('Daily 스피킹 raw'!$A:$Z, MATCH(AJ$2, 'Daily 스피킹 raw'!$A:$A, 0), MATCH($B8, 'Daily 스피킹 raw'!$1:$1, 0)), ""), IF(val=0, "", val))</f>
        <v>1908</v>
      </c>
      <c r="AK8" s="44">
        <f t="array" ref="AK8">LET(val, IFERROR(INDEX('Daily 스피킹 raw'!$A:$Z, MATCH(AK$2, 'Daily 스피킹 raw'!$A:$A, 0), MATCH($B8, 'Daily 스피킹 raw'!$1:$1, 0)), ""), IF(val=0, "", val))</f>
        <v>3040</v>
      </c>
      <c r="AL8" s="44">
        <f t="array" ref="AL8">LET(val, IFERROR(INDEX('Daily 스피킹 raw'!$A:$Z, MATCH(AL$2, 'Daily 스피킹 raw'!$A:$A, 0), MATCH($B8, 'Daily 스피킹 raw'!$1:$1, 0)), ""), IF(val=0, "", val))</f>
        <v>2160</v>
      </c>
      <c r="AM8" s="44">
        <f t="array" ref="AM8">LET(val, IFERROR(INDEX('Daily 스피킹 raw'!$A:$Z, MATCH(AM$2, 'Daily 스피킹 raw'!$A:$A, 0), MATCH($B8, 'Daily 스피킹 raw'!$1:$1, 0)), ""), IF(val=0, "", val))</f>
        <v>3617</v>
      </c>
      <c r="AN8" s="44">
        <f t="array" ref="AN8">LET(val, IFERROR(INDEX('Daily 스피킹 raw'!$A:$Z, MATCH(AN$2, 'Daily 스피킹 raw'!$A:$A, 0), MATCH($B8, 'Daily 스피킹 raw'!$1:$1, 0)), ""), IF(val=0, "", val))</f>
        <v>2317</v>
      </c>
      <c r="AO8" s="44">
        <f t="array" ref="AO8">LET(val, IFERROR(INDEX('Daily 스피킹 raw'!$A:$Z, MATCH(AO$2, 'Daily 스피킹 raw'!$A:$A, 0), MATCH($B8, 'Daily 스피킹 raw'!$1:$1, 0)), ""), IF(val=0, "", val))</f>
        <v>3296</v>
      </c>
      <c r="AP8" s="44">
        <f t="array" ref="AP8">LET(val, IFERROR(INDEX('Daily 스피킹 raw'!$A:$Z, MATCH(AP$2, 'Daily 스피킹 raw'!$A:$A, 0), MATCH($B8, 'Daily 스피킹 raw'!$1:$1, 0)), ""), IF(val=0, "", val))</f>
        <v>2097</v>
      </c>
      <c r="AQ8" s="44">
        <f t="array" ref="AQ8">LET(val, IFERROR(INDEX('Daily 스피킹 raw'!$A:$Z, MATCH(AQ$2, 'Daily 스피킹 raw'!$A:$A, 0), MATCH($B8, 'Daily 스피킹 raw'!$1:$1, 0)), ""), IF(val=0, "", val))</f>
        <v>1903</v>
      </c>
      <c r="AR8" s="44">
        <f t="array" ref="AR8">LET(val, IFERROR(INDEX('Daily 스피킹 raw'!$A:$Z, MATCH(AR$2, 'Daily 스피킹 raw'!$A:$A, 0), MATCH($B8, 'Daily 스피킹 raw'!$1:$1, 0)), ""), IF(val=0, "", val))</f>
        <v>3387</v>
      </c>
      <c r="AS8" s="44">
        <f t="array" ref="AS8">LET(val, IFERROR(INDEX('Daily 스피킹 raw'!$A:$Z, MATCH(AS$2, 'Daily 스피킹 raw'!$A:$A, 0), MATCH($B8, 'Daily 스피킹 raw'!$1:$1, 0)), ""), IF(val=0, "", val))</f>
        <v>1968</v>
      </c>
      <c r="AT8" s="44">
        <f t="array" ref="AT8">LET(val, IFERROR(INDEX('Daily 스피킹 raw'!$A:$Z, MATCH(AT$2, 'Daily 스피킹 raw'!$A:$A, 0), MATCH($B8, 'Daily 스피킹 raw'!$1:$1, 0)), ""), IF(val=0, "", val))</f>
        <v>2752</v>
      </c>
      <c r="AU8" s="44">
        <f t="array" ref="AU8">LET(val, IFERROR(INDEX('Daily 스피킹 raw'!$A:$Z, MATCH(AU$2, 'Daily 스피킹 raw'!$A:$A, 0), MATCH($B8, 'Daily 스피킹 raw'!$1:$1, 0)), ""), IF(val=0, "", val))</f>
        <v>1951</v>
      </c>
      <c r="AV8" s="44">
        <f t="array" ref="AV8">LET(val, IFERROR(INDEX('Daily 스피킹 raw'!$A:$Z, MATCH(AV$2, 'Daily 스피킹 raw'!$A:$A, 0), MATCH($B8, 'Daily 스피킹 raw'!$1:$1, 0)), ""), IF(val=0, "", val))</f>
        <v>2656</v>
      </c>
      <c r="AW8" s="44">
        <f t="array" ref="AW8">LET(val, IFERROR(INDEX('Daily 스피킹 raw'!$A:$Z, MATCH(AW$2, 'Daily 스피킹 raw'!$A:$A, 0), MATCH($B8, 'Daily 스피킹 raw'!$1:$1, 0)), ""), IF(val=0, "", val))</f>
        <v>1714</v>
      </c>
      <c r="AX8" s="44">
        <f t="array" ref="AX8">LET(val, IFERROR(INDEX('Daily 스피킹 raw'!$A:$Z, MATCH(AX$2, 'Daily 스피킹 raw'!$A:$A, 0), MATCH($B8, 'Daily 스피킹 raw'!$1:$1, 0)), ""), IF(val=0, "", val))</f>
        <v>1652</v>
      </c>
      <c r="AY8" s="44">
        <f t="array" ref="AY8">LET(val, IFERROR(INDEX('Daily 스피킹 raw'!$A:$Z, MATCH(AY$2, 'Daily 스피킹 raw'!$A:$A, 0), MATCH($B8, 'Daily 스피킹 raw'!$1:$1, 0)), ""), IF(val=0, "", val))</f>
        <v>2910</v>
      </c>
      <c r="AZ8" s="44">
        <f t="array" ref="AZ8">LET(val, IFERROR(INDEX('Daily 스피킹 raw'!$A:$Z, MATCH(AZ$2, 'Daily 스피킹 raw'!$A:$A, 0), MATCH($B8, 'Daily 스피킹 raw'!$1:$1, 0)), ""), IF(val=0, "", val))</f>
        <v>1921</v>
      </c>
      <c r="BA8" s="44">
        <f t="array" ref="BA8">LET(val, IFERROR(INDEX('Daily 스피킹 raw'!$A:$Z, MATCH(BA$2, 'Daily 스피킹 raw'!$A:$A, 0), MATCH($B8, 'Daily 스피킹 raw'!$1:$1, 0)), ""), IF(val=0, "", val))</f>
        <v>2729</v>
      </c>
      <c r="BB8" s="44">
        <f t="array" ref="BB8">LET(val, IFERROR(INDEX('Daily 스피킹 raw'!$A:$Z, MATCH(BB$2, 'Daily 스피킹 raw'!$A:$A, 0), MATCH($B8, 'Daily 스피킹 raw'!$1:$1, 0)), ""), IF(val=0, "", val))</f>
        <v>1734</v>
      </c>
      <c r="BC8" s="44">
        <f t="array" ref="BC8">LET(val, IFERROR(INDEX('Daily 스피킹 raw'!$A:$Z, MATCH(BC$2, 'Daily 스피킹 raw'!$A:$A, 0), MATCH($B8, 'Daily 스피킹 raw'!$1:$1, 0)), ""), IF(val=0, "", val))</f>
        <v>2162</v>
      </c>
      <c r="BD8" s="44">
        <f t="array" ref="BD8">LET(val, IFERROR(INDEX('Daily 스피킹 raw'!$A:$Z, MATCH(BD$2, 'Daily 스피킹 raw'!$A:$A, 0), MATCH($B8, 'Daily 스피킹 raw'!$1:$1, 0)), ""), IF(val=0, "", val))</f>
        <v>1318</v>
      </c>
      <c r="BE8" s="44">
        <f t="array" ref="BE8">LET(val, IFERROR(INDEX('Daily 스피킹 raw'!$A:$Z, MATCH(BE$2, 'Daily 스피킹 raw'!$A:$A, 0), MATCH($B8, 'Daily 스피킹 raw'!$1:$1, 0)), ""), IF(val=0, "", val))</f>
        <v>1123</v>
      </c>
      <c r="BF8" s="44">
        <f t="array" ref="BF8">LET(val, IFERROR(INDEX('Daily 스피킹 raw'!$A:$Z, MATCH(BF$2, 'Daily 스피킹 raw'!$A:$A, 0), MATCH($B8, 'Daily 스피킹 raw'!$1:$1, 0)), ""), IF(val=0, "", val))</f>
        <v>2024</v>
      </c>
      <c r="BG8" s="44">
        <f t="array" ref="BG8">LET(val, IFERROR(INDEX('Daily 스피킹 raw'!$A:$Z, MATCH(BG$2, 'Daily 스피킹 raw'!$A:$A, 0), MATCH($B8, 'Daily 스피킹 raw'!$1:$1, 0)), ""), IF(val=0, "", val))</f>
        <v>1300</v>
      </c>
      <c r="BH8" s="44">
        <f t="array" ref="BH8">LET(val, IFERROR(INDEX('Daily 스피킹 raw'!$A:$Z, MATCH(BH$2, 'Daily 스피킹 raw'!$A:$A, 0), MATCH($B8, 'Daily 스피킹 raw'!$1:$1, 0)), ""), IF(val=0, "", val))</f>
        <v>2124</v>
      </c>
      <c r="BI8" s="44">
        <f t="array" ref="BI8">LET(val, IFERROR(INDEX('Daily 스피킹 raw'!$A:$Z, MATCH(BI$2, 'Daily 스피킹 raw'!$A:$A, 0), MATCH($B8, 'Daily 스피킹 raw'!$1:$1, 0)), ""), IF(val=0, "", val))</f>
        <v>1465</v>
      </c>
      <c r="BJ8" s="44">
        <f t="array" ref="BJ8">LET(val, IFERROR(INDEX('Daily 스피킹 raw'!$A:$Z, MATCH(BJ$2, 'Daily 스피킹 raw'!$A:$A, 0), MATCH($B8, 'Daily 스피킹 raw'!$1:$1, 0)), ""), IF(val=0, "", val))</f>
        <v>2140</v>
      </c>
      <c r="BK8" s="44">
        <f t="array" ref="BK8">LET(val, IFERROR(INDEX('Daily 스피킹 raw'!$A:$Z, MATCH(BK$2, 'Daily 스피킹 raw'!$A:$A, 0), MATCH($B8, 'Daily 스피킹 raw'!$1:$1, 0)), ""), IF(val=0, "", val))</f>
        <v>1321</v>
      </c>
      <c r="BL8" s="44">
        <f t="array" ref="BL8">LET(val, IFERROR(INDEX('Daily 스피킹 raw'!$A:$Z, MATCH(BL$2, 'Daily 스피킹 raw'!$A:$A, 0), MATCH($B8, 'Daily 스피킹 raw'!$1:$1, 0)), ""), IF(val=0, "", val))</f>
        <v>1186</v>
      </c>
      <c r="BM8" s="44" t="str">
        <f t="array" ref="BM8">LET(val, IFERROR(INDEX('Daily 스피킹 raw'!$A:$Z, MATCH(BM$2, 'Daily 스피킹 raw'!$A:$A, 0), MATCH($B8, 'Daily 스피킹 raw'!$1:$1, 0)), ""), IF(val=0, "", val))</f>
        <v/>
      </c>
      <c r="BN8" s="44" t="str">
        <f t="array" ref="BN8">LET(val, IFERROR(INDEX('Daily 스피킹 raw'!$A:$Z, MATCH(BN$2, 'Daily 스피킹 raw'!$A:$A, 0), MATCH($B8, 'Daily 스피킹 raw'!$1:$1, 0)), ""), IF(val=0, "", val))</f>
        <v/>
      </c>
      <c r="BO8" s="44" t="str">
        <f t="array" ref="BO8">LET(val, IFERROR(INDEX('Daily 스피킹 raw'!$A:$Z, MATCH(BO$2, 'Daily 스피킹 raw'!$A:$A, 0), MATCH($B8, 'Daily 스피킹 raw'!$1:$1, 0)), ""), IF(val=0, "", val))</f>
        <v/>
      </c>
      <c r="BP8" s="44" t="str">
        <f t="array" ref="BP8">LET(val, IFERROR(INDEX('Daily 스피킹 raw'!$A:$Z, MATCH(BP$2, 'Daily 스피킹 raw'!$A:$A, 0), MATCH($B8, 'Daily 스피킹 raw'!$1:$1, 0)), ""), IF(val=0, "", val))</f>
        <v/>
      </c>
      <c r="BQ8" s="44" t="str">
        <f t="array" ref="BQ8">LET(val, IFERROR(INDEX('Daily 스피킹 raw'!$A:$Z, MATCH(BQ$2, 'Daily 스피킹 raw'!$A:$A, 0), MATCH($B8, 'Daily 스피킹 raw'!$1:$1, 0)), ""), IF(val=0, "", val))</f>
        <v/>
      </c>
      <c r="BR8" s="44" t="str">
        <f t="array" ref="BR8">LET(val, IFERROR(INDEX('Daily 스피킹 raw'!$A:$Z, MATCH(BR$2, 'Daily 스피킹 raw'!$A:$A, 0), MATCH($B8, 'Daily 스피킹 raw'!$1:$1, 0)), ""), IF(val=0, "", val))</f>
        <v/>
      </c>
      <c r="BS8" s="44" t="str">
        <f t="array" ref="BS8">LET(val, IFERROR(INDEX('Daily 스피킹 raw'!$A:$Z, MATCH(BS$2, 'Daily 스피킹 raw'!$A:$A, 0), MATCH($B8, 'Daily 스피킹 raw'!$1:$1, 0)), ""), IF(val=0, "", val))</f>
        <v/>
      </c>
      <c r="BT8" s="44" t="str">
        <f t="array" ref="BT8">LET(val, IFERROR(INDEX('Daily 스피킹 raw'!$A:$Z, MATCH(BT$2, 'Daily 스피킹 raw'!$A:$A, 0), MATCH($B8, 'Daily 스피킹 raw'!$1:$1, 0)), ""), IF(val=0, "", val))</f>
        <v/>
      </c>
      <c r="BU8" s="44" t="str">
        <f t="array" ref="BU8">LET(val, IFERROR(INDEX('Daily 스피킹 raw'!$A:$Z, MATCH(BU$2, 'Daily 스피킹 raw'!$A:$A, 0), MATCH($B8, 'Daily 스피킹 raw'!$1:$1, 0)), ""), IF(val=0, "", val))</f>
        <v/>
      </c>
      <c r="BV8" s="44" t="str">
        <f t="array" ref="BV8">LET(val, IFERROR(INDEX('Daily 스피킹 raw'!$A:$Z, MATCH(BV$2, 'Daily 스피킹 raw'!$A:$A, 0), MATCH($B8, 'Daily 스피킹 raw'!$1:$1, 0)), ""), IF(val=0, "", val))</f>
        <v/>
      </c>
      <c r="BW8" s="44" t="str">
        <f t="array" ref="BW8">LET(val, IFERROR(INDEX('Daily 스피킹 raw'!$A:$Z, MATCH(BW$2, 'Daily 스피킹 raw'!$A:$A, 0), MATCH($B8, 'Daily 스피킹 raw'!$1:$1, 0)), ""), IF(val=0, "", val))</f>
        <v/>
      </c>
      <c r="BX8" s="44" t="str">
        <f t="array" ref="BX8">LET(val, IFERROR(INDEX('Daily 스피킹 raw'!$A:$Z, MATCH(BX$2, 'Daily 스피킹 raw'!$A:$A, 0), MATCH($B8, 'Daily 스피킹 raw'!$1:$1, 0)), ""), IF(val=0, "", val))</f>
        <v/>
      </c>
      <c r="BY8" s="44" t="str">
        <f t="array" ref="BY8">LET(val, IFERROR(INDEX('Daily 스피킹 raw'!$A:$Z, MATCH(BY$2, 'Daily 스피킹 raw'!$A:$A, 0), MATCH($B8, 'Daily 스피킹 raw'!$1:$1, 0)), ""), IF(val=0, "", val))</f>
        <v/>
      </c>
      <c r="BZ8" s="44" t="str">
        <f t="array" ref="BZ8">LET(val, IFERROR(INDEX('Daily 스피킹 raw'!$A:$Z, MATCH(BZ$2, 'Daily 스피킹 raw'!$A:$A, 0), MATCH($B8, 'Daily 스피킹 raw'!$1:$1, 0)), ""), IF(val=0, "", val))</f>
        <v/>
      </c>
      <c r="CA8" s="44" t="str">
        <f t="array" ref="CA8">LET(val, IFERROR(INDEX('Daily 스피킹 raw'!$A:$Z, MATCH(CA$2, 'Daily 스피킹 raw'!$A:$A, 0), MATCH($B8, 'Daily 스피킹 raw'!$1:$1, 0)), ""), IF(val=0, "", val))</f>
        <v/>
      </c>
      <c r="CB8" s="44" t="str">
        <f t="array" ref="CB8">LET(val, IFERROR(INDEX('Daily 스피킹 raw'!$A:$Z, MATCH(CB$2, 'Daily 스피킹 raw'!$A:$A, 0), MATCH($B8, 'Daily 스피킹 raw'!$1:$1, 0)), ""), IF(val=0, "", val))</f>
        <v/>
      </c>
      <c r="CC8" s="44" t="str">
        <f t="array" ref="CC8">LET(val, IFERROR(INDEX('Daily 스피킹 raw'!$A:$Z, MATCH(CC$2, 'Daily 스피킹 raw'!$A:$A, 0), MATCH($B8, 'Daily 스피킹 raw'!$1:$1, 0)), ""), IF(val=0, "", val))</f>
        <v/>
      </c>
      <c r="CD8" s="44" t="str">
        <f t="array" ref="CD8">LET(val, IFERROR(INDEX('Daily 스피킹 raw'!$A:$Z, MATCH(CD$2, 'Daily 스피킹 raw'!$A:$A, 0), MATCH($B8, 'Daily 스피킹 raw'!$1:$1, 0)), ""), IF(val=0, "", val))</f>
        <v/>
      </c>
      <c r="CE8" s="44" t="str">
        <f t="array" ref="CE8">LET(val, IFERROR(INDEX('Daily 스피킹 raw'!$A:$Z, MATCH(CE$2, 'Daily 스피킹 raw'!$A:$A, 0), MATCH($B8, 'Daily 스피킹 raw'!$1:$1, 0)), ""), IF(val=0, "", val))</f>
        <v/>
      </c>
      <c r="CF8" s="44" t="str">
        <f t="array" ref="CF8">LET(val, IFERROR(INDEX('Daily 스피킹 raw'!$A:$Z, MATCH(CF$2, 'Daily 스피킹 raw'!$A:$A, 0), MATCH($B8, 'Daily 스피킹 raw'!$1:$1, 0)), ""), IF(val=0, "", val))</f>
        <v/>
      </c>
      <c r="CG8" s="44" t="str">
        <f t="array" ref="CG8">LET(val, IFERROR(INDEX('Daily 스피킹 raw'!$A:$Z, MATCH(CG$2, 'Daily 스피킹 raw'!$A:$A, 0), MATCH($B8, 'Daily 스피킹 raw'!$1:$1, 0)), ""), IF(val=0, "", val))</f>
        <v/>
      </c>
      <c r="CH8" s="44" t="str">
        <f t="array" ref="CH8">LET(val, IFERROR(INDEX('Daily 스피킹 raw'!$A:$Z, MATCH(CH$2, 'Daily 스피킹 raw'!$A:$A, 0), MATCH($B8, 'Daily 스피킹 raw'!$1:$1, 0)), ""), IF(val=0, "", val))</f>
        <v/>
      </c>
      <c r="CI8" s="44" t="str">
        <f t="array" ref="CI8">LET(val, IFERROR(INDEX('Daily 스피킹 raw'!$A:$Z, MATCH(CI$2, 'Daily 스피킹 raw'!$A:$A, 0), MATCH($B8, 'Daily 스피킹 raw'!$1:$1, 0)), ""), IF(val=0, "", val))</f>
        <v/>
      </c>
      <c r="CJ8" s="44" t="str">
        <f t="array" ref="CJ8">LET(val, IFERROR(INDEX('Daily 스피킹 raw'!$A:$Z, MATCH(CJ$2, 'Daily 스피킹 raw'!$A:$A, 0), MATCH($B8, 'Daily 스피킹 raw'!$1:$1, 0)), ""), IF(val=0, "", val))</f>
        <v/>
      </c>
      <c r="CK8" s="44" t="str">
        <f t="array" ref="CK8">LET(val, IFERROR(INDEX('Daily 스피킹 raw'!$A:$Z, MATCH(CK$2, 'Daily 스피킹 raw'!$A:$A, 0), MATCH($B8, 'Daily 스피킹 raw'!$1:$1, 0)), ""), IF(val=0, "", val))</f>
        <v/>
      </c>
      <c r="CL8" s="44" t="str">
        <f t="array" ref="CL8">LET(val, IFERROR(INDEX('Daily 스피킹 raw'!$A:$Z, MATCH(CL$2, 'Daily 스피킹 raw'!$A:$A, 0), MATCH($B8, 'Daily 스피킹 raw'!$1:$1, 0)), ""), IF(val=0, "", val))</f>
        <v/>
      </c>
      <c r="CM8" s="44" t="str">
        <f t="array" ref="CM8">LET(val, IFERROR(INDEX('Daily 스피킹 raw'!$A:$Z, MATCH(CM$2, 'Daily 스피킹 raw'!$A:$A, 0), MATCH($B8, 'Daily 스피킹 raw'!$1:$1, 0)), ""), IF(val=0, "", val))</f>
        <v/>
      </c>
      <c r="CN8" s="44" t="str">
        <f t="array" ref="CN8">LET(val, IFERROR(INDEX('Daily 스피킹 raw'!$A:$Z, MATCH(CN$2, 'Daily 스피킹 raw'!$A:$A, 0), MATCH($B8, 'Daily 스피킹 raw'!$1:$1, 0)), ""), IF(val=0, "", val))</f>
        <v/>
      </c>
      <c r="CO8" s="44" t="str">
        <f t="array" ref="CO8">LET(val, IFERROR(INDEX('Daily 스피킹 raw'!$A:$Z, MATCH(CO$2, 'Daily 스피킹 raw'!$A:$A, 0), MATCH($B8, 'Daily 스피킹 raw'!$1:$1, 0)), ""), IF(val=0, "", val))</f>
        <v/>
      </c>
      <c r="CP8" s="44" t="str">
        <f t="array" ref="CP8">LET(val, IFERROR(INDEX('Daily 스피킹 raw'!$A:$Z, MATCH(CP$2, 'Daily 스피킹 raw'!$A:$A, 0), MATCH($B8, 'Daily 스피킹 raw'!$1:$1, 0)), ""), IF(val=0, "", val))</f>
        <v/>
      </c>
      <c r="CQ8" s="44" t="str">
        <f t="array" ref="CQ8">LET(val, IFERROR(INDEX('Daily 스피킹 raw'!$A:$Z, MATCH(CQ$2, 'Daily 스피킹 raw'!$A:$A, 0), MATCH($B8, 'Daily 스피킹 raw'!$1:$1, 0)), ""), IF(val=0, "", val))</f>
        <v/>
      </c>
      <c r="CR8" s="44" t="str">
        <f t="array" ref="CR8">LET(val, IFERROR(INDEX('Daily 스피킹 raw'!$A:$Z, MATCH(CR$2, 'Daily 스피킹 raw'!$A:$A, 0), MATCH($B8, 'Daily 스피킹 raw'!$1:$1, 0)), ""), IF(val=0, "", val))</f>
        <v/>
      </c>
      <c r="CS8" s="44" t="str">
        <f t="array" ref="CS8">LET(val, IFERROR(INDEX('Daily 스피킹 raw'!$A:$Z, MATCH(CS$2, 'Daily 스피킹 raw'!$A:$A, 0), MATCH($B8, 'Daily 스피킹 raw'!$1:$1, 0)), ""), IF(val=0, "", val))</f>
        <v/>
      </c>
      <c r="CT8" s="44" t="str">
        <f t="array" ref="CT8">LET(val, IFERROR(INDEX('Daily 스피킹 raw'!$A:$Z, MATCH(CT$2, 'Daily 스피킹 raw'!$A:$A, 0), MATCH($B8, 'Daily 스피킹 raw'!$1:$1, 0)), ""), IF(val=0, "", val))</f>
        <v/>
      </c>
      <c r="CU8" s="44" t="str">
        <f t="array" ref="CU8">LET(val, IFERROR(INDEX('Daily 스피킹 raw'!$A:$Z, MATCH(CU$2, 'Daily 스피킹 raw'!$A:$A, 0), MATCH($B8, 'Daily 스피킹 raw'!$1:$1, 0)), ""), IF(val=0, "", val))</f>
        <v/>
      </c>
      <c r="CV8" s="44" t="str">
        <f t="array" ref="CV8">LET(val, IFERROR(INDEX('Daily 스피킹 raw'!$A:$Z, MATCH(CV$2, 'Daily 스피킹 raw'!$A:$A, 0), MATCH($B8, 'Daily 스피킹 raw'!$1:$1, 0)), ""), IF(val=0, "", val))</f>
        <v/>
      </c>
      <c r="CW8" s="44" t="str">
        <f t="array" ref="CW8">LET(val, IFERROR(INDEX('Daily 스피킹 raw'!$A:$Z, MATCH(CW$2, 'Daily 스피킹 raw'!$A:$A, 0), MATCH($B8, 'Daily 스피킹 raw'!$1:$1, 0)), ""), IF(val=0, "", val))</f>
        <v/>
      </c>
    </row>
    <row r="9" ht="22.5" customHeight="1">
      <c r="A9" s="17"/>
      <c r="B9" s="23" t="s">
        <v>23</v>
      </c>
      <c r="C9" s="17" t="s">
        <v>24</v>
      </c>
      <c r="D9" s="44">
        <f t="array" ref="D9">LET(val, IFERROR(INDEX('Daily 스피킹 raw'!$A:$Z, MATCH(D$2, 'Daily 스피킹 raw'!$A:$A, 0), MATCH($B9, 'Daily 스피킹 raw'!$1:$1, 0)), ""), IF(val=0, "", val))</f>
        <v>33060</v>
      </c>
      <c r="E9" s="44">
        <f t="array" ref="E9">LET(val, IFERROR(INDEX('Daily 스피킹 raw'!$A:$Z, MATCH(E$2, 'Daily 스피킹 raw'!$A:$A, 0), MATCH($B9, 'Daily 스피킹 raw'!$1:$1, 0)), ""), IF(val=0, "", val))</f>
        <v>26050</v>
      </c>
      <c r="F9" s="44">
        <f t="array" ref="F9">LET(val, IFERROR(INDEX('Daily 스피킹 raw'!$A:$Z, MATCH(F$2, 'Daily 스피킹 raw'!$A:$A, 0), MATCH($B9, 'Daily 스피킹 raw'!$1:$1, 0)), ""), IF(val=0, "", val))</f>
        <v>34832</v>
      </c>
      <c r="G9" s="44">
        <f t="array" ref="G9">LET(val, IFERROR(INDEX('Daily 스피킹 raw'!$A:$Z, MATCH(G$2, 'Daily 스피킹 raw'!$A:$A, 0), MATCH($B9, 'Daily 스피킹 raw'!$1:$1, 0)), ""), IF(val=0, "", val))</f>
        <v>27496</v>
      </c>
      <c r="H9" s="44">
        <f t="array" ref="H9">LET(val, IFERROR(INDEX('Daily 스피킹 raw'!$A:$Z, MATCH(H$2, 'Daily 스피킹 raw'!$A:$A, 0), MATCH($B9, 'Daily 스피킹 raw'!$1:$1, 0)), ""), IF(val=0, "", val))</f>
        <v>30653</v>
      </c>
      <c r="I9" s="44">
        <f t="array" ref="I9">LET(val, IFERROR(INDEX('Daily 스피킹 raw'!$A:$Z, MATCH(I$2, 'Daily 스피킹 raw'!$A:$A, 0), MATCH($B9, 'Daily 스피킹 raw'!$1:$1, 0)), ""), IF(val=0, "", val))</f>
        <v>34540</v>
      </c>
      <c r="J9" s="44">
        <f t="array" ref="J9">LET(val, IFERROR(INDEX('Daily 스피킹 raw'!$A:$Z, MATCH(J$2, 'Daily 스피킹 raw'!$A:$A, 0), MATCH($B9, 'Daily 스피킹 raw'!$1:$1, 0)), ""), IF(val=0, "", val))</f>
        <v>22122</v>
      </c>
      <c r="K9" s="44">
        <f t="array" ref="K9">LET(val, IFERROR(INDEX('Daily 스피킹 raw'!$A:$Z, MATCH(K$2, 'Daily 스피킹 raw'!$A:$A, 0), MATCH($B9, 'Daily 스피킹 raw'!$1:$1, 0)), ""), IF(val=0, "", val))</f>
        <v>24355</v>
      </c>
      <c r="L9" s="44">
        <f t="array" ref="L9">LET(val, IFERROR(INDEX('Daily 스피킹 raw'!$A:$Z, MATCH(L$2, 'Daily 스피킹 raw'!$A:$A, 0), MATCH($B9, 'Daily 스피킹 raw'!$1:$1, 0)), ""), IF(val=0, "", val))</f>
        <v>39532</v>
      </c>
      <c r="M9" s="44">
        <f t="array" ref="M9">LET(val, IFERROR(INDEX('Daily 스피킹 raw'!$A:$Z, MATCH(M$2, 'Daily 스피킹 raw'!$A:$A, 0), MATCH($B9, 'Daily 스피킹 raw'!$1:$1, 0)), ""), IF(val=0, "", val))</f>
        <v>37450</v>
      </c>
      <c r="N9" s="44">
        <f t="array" ref="N9">LET(val, IFERROR(INDEX('Daily 스피킹 raw'!$A:$Z, MATCH(N$2, 'Daily 스피킹 raw'!$A:$A, 0), MATCH($B9, 'Daily 스피킹 raw'!$1:$1, 0)), ""), IF(val=0, "", val))</f>
        <v>25738</v>
      </c>
      <c r="O9" s="44">
        <f t="array" ref="O9">LET(val, IFERROR(INDEX('Daily 스피킹 raw'!$A:$Z, MATCH(O$2, 'Daily 스피킹 raw'!$A:$A, 0), MATCH($B9, 'Daily 스피킹 raw'!$1:$1, 0)), ""), IF(val=0, "", val))</f>
        <v>24604</v>
      </c>
      <c r="P9" s="44">
        <f t="array" ref="P9">LET(val, IFERROR(INDEX('Daily 스피킹 raw'!$A:$Z, MATCH(P$2, 'Daily 스피킹 raw'!$A:$A, 0), MATCH($B9, 'Daily 스피킹 raw'!$1:$1, 0)), ""), IF(val=0, "", val))</f>
        <v>38312</v>
      </c>
      <c r="Q9" s="44">
        <f t="array" ref="Q9">LET(val, IFERROR(INDEX('Daily 스피킹 raw'!$A:$Z, MATCH(Q$2, 'Daily 스피킹 raw'!$A:$A, 0), MATCH($B9, 'Daily 스피킹 raw'!$1:$1, 0)), ""), IF(val=0, "", val))</f>
        <v>31104</v>
      </c>
      <c r="R9" s="44">
        <f t="array" ref="R9">LET(val, IFERROR(INDEX('Daily 스피킹 raw'!$A:$Z, MATCH(R$2, 'Daily 스피킹 raw'!$A:$A, 0), MATCH($B9, 'Daily 스피킹 raw'!$1:$1, 0)), ""), IF(val=0, "", val))</f>
        <v>38379</v>
      </c>
      <c r="S9" s="44">
        <f t="array" ref="S9">LET(val, IFERROR(INDEX('Daily 스피킹 raw'!$A:$Z, MATCH(S$2, 'Daily 스피킹 raw'!$A:$A, 0), MATCH($B9, 'Daily 스피킹 raw'!$1:$1, 0)), ""), IF(val=0, "", val))</f>
        <v>25989</v>
      </c>
      <c r="T9" s="44">
        <f t="array" ref="T9">LET(val, IFERROR(INDEX('Daily 스피킹 raw'!$A:$Z, MATCH(T$2, 'Daily 스피킹 raw'!$A:$A, 0), MATCH($B9, 'Daily 스피킹 raw'!$1:$1, 0)), ""), IF(val=0, "", val))</f>
        <v>28036</v>
      </c>
      <c r="U9" s="44">
        <f t="array" ref="U9">LET(val, IFERROR(INDEX('Daily 스피킹 raw'!$A:$Z, MATCH(U$2, 'Daily 스피킹 raw'!$A:$A, 0), MATCH($B9, 'Daily 스피킹 raw'!$1:$1, 0)), ""), IF(val=0, "", val))</f>
        <v>20526</v>
      </c>
      <c r="V9" s="44">
        <f t="array" ref="V9">LET(val, IFERROR(INDEX('Daily 스피킹 raw'!$A:$Z, MATCH(V$2, 'Daily 스피킹 raw'!$A:$A, 0), MATCH($B9, 'Daily 스피킹 raw'!$1:$1, 0)), ""), IF(val=0, "", val))</f>
        <v>21386</v>
      </c>
      <c r="W9" s="44">
        <f t="array" ref="W9">LET(val, IFERROR(INDEX('Daily 스피킹 raw'!$A:$Z, MATCH(W$2, 'Daily 스피킹 raw'!$A:$A, 0), MATCH($B9, 'Daily 스피킹 raw'!$1:$1, 0)), ""), IF(val=0, "", val))</f>
        <v>33991</v>
      </c>
      <c r="X9" s="44">
        <f t="array" ref="X9">LET(val, IFERROR(INDEX('Daily 스피킹 raw'!$A:$Z, MATCH(X$2, 'Daily 스피킹 raw'!$A:$A, 0), MATCH($B9, 'Daily 스피킹 raw'!$1:$1, 0)), ""), IF(val=0, "", val))</f>
        <v>25926</v>
      </c>
      <c r="Y9" s="44">
        <f t="array" ref="Y9">LET(val, IFERROR(INDEX('Daily 스피킹 raw'!$A:$Z, MATCH(Y$2, 'Daily 스피킹 raw'!$A:$A, 0), MATCH($B9, 'Daily 스피킹 raw'!$1:$1, 0)), ""), IF(val=0, "", val))</f>
        <v>31421</v>
      </c>
      <c r="Z9" s="44">
        <f t="array" ref="Z9">LET(val, IFERROR(INDEX('Daily 스피킹 raw'!$A:$Z, MATCH(Z$2, 'Daily 스피킹 raw'!$A:$A, 0), MATCH($B9, 'Daily 스피킹 raw'!$1:$1, 0)), ""), IF(val=0, "", val))</f>
        <v>27115</v>
      </c>
      <c r="AA9" s="44">
        <f t="array" ref="AA9">LET(val, IFERROR(INDEX('Daily 스피킹 raw'!$A:$Z, MATCH(AA$2, 'Daily 스피킹 raw'!$A:$A, 0), MATCH($B9, 'Daily 스피킹 raw'!$1:$1, 0)), ""), IF(val=0, "", val))</f>
        <v>25317</v>
      </c>
      <c r="AB9" s="44">
        <f t="array" ref="AB9">LET(val, IFERROR(INDEX('Daily 스피킹 raw'!$A:$Z, MATCH(AB$2, 'Daily 스피킹 raw'!$A:$A, 0), MATCH($B9, 'Daily 스피킹 raw'!$1:$1, 0)), ""), IF(val=0, "", val))</f>
        <v>18386</v>
      </c>
      <c r="AC9" s="44">
        <f t="array" ref="AC9">LET(val, IFERROR(INDEX('Daily 스피킹 raw'!$A:$Z, MATCH(AC$2, 'Daily 스피킹 raw'!$A:$A, 0), MATCH($B9, 'Daily 스피킹 raw'!$1:$1, 0)), ""), IF(val=0, "", val))</f>
        <v>17560</v>
      </c>
      <c r="AD9" s="44">
        <f t="array" ref="AD9">LET(val, IFERROR(INDEX('Daily 스피킹 raw'!$A:$Z, MATCH(AD$2, 'Daily 스피킹 raw'!$A:$A, 0), MATCH($B9, 'Daily 스피킹 raw'!$1:$1, 0)), ""), IF(val=0, "", val))</f>
        <v>23554</v>
      </c>
      <c r="AE9" s="44">
        <f t="array" ref="AE9">LET(val, IFERROR(INDEX('Daily 스피킹 raw'!$A:$Z, MATCH(AE$2, 'Daily 스피킹 raw'!$A:$A, 0), MATCH($B9, 'Daily 스피킹 raw'!$1:$1, 0)), ""), IF(val=0, "", val))</f>
        <v>19690</v>
      </c>
      <c r="AF9" s="44">
        <f t="array" ref="AF9">LET(val, IFERROR(INDEX('Daily 스피킹 raw'!$A:$Z, MATCH(AF$2, 'Daily 스피킹 raw'!$A:$A, 0), MATCH($B9, 'Daily 스피킹 raw'!$1:$1, 0)), ""), IF(val=0, "", val))</f>
        <v>22634</v>
      </c>
      <c r="AG9" s="44">
        <f t="array" ref="AG9">LET(val, IFERROR(INDEX('Daily 스피킹 raw'!$A:$Z, MATCH(AG$2, 'Daily 스피킹 raw'!$A:$A, 0), MATCH($B9, 'Daily 스피킹 raw'!$1:$1, 0)), ""), IF(val=0, "", val))</f>
        <v>20784</v>
      </c>
      <c r="AH9" s="44">
        <f t="array" ref="AH9">LET(val, IFERROR(INDEX('Daily 스피킹 raw'!$A:$Z, MATCH(AH$2, 'Daily 스피킹 raw'!$A:$A, 0), MATCH($B9, 'Daily 스피킹 raw'!$1:$1, 0)), ""), IF(val=0, "", val))</f>
        <v>22703</v>
      </c>
      <c r="AI9" s="44">
        <f t="array" ref="AI9">LET(val, IFERROR(INDEX('Daily 스피킹 raw'!$A:$Z, MATCH(AI$2, 'Daily 스피킹 raw'!$A:$A, 0), MATCH($B9, 'Daily 스피킹 raw'!$1:$1, 0)), ""), IF(val=0, "", val))</f>
        <v>16346</v>
      </c>
      <c r="AJ9" s="44">
        <f t="array" ref="AJ9">LET(val, IFERROR(INDEX('Daily 스피킹 raw'!$A:$Z, MATCH(AJ$2, 'Daily 스피킹 raw'!$A:$A, 0), MATCH($B9, 'Daily 스피킹 raw'!$1:$1, 0)), ""), IF(val=0, "", val))</f>
        <v>15934</v>
      </c>
      <c r="AK9" s="44">
        <f t="array" ref="AK9">LET(val, IFERROR(INDEX('Daily 스피킹 raw'!$A:$Z, MATCH(AK$2, 'Daily 스피킹 raw'!$A:$A, 0), MATCH($B9, 'Daily 스피킹 raw'!$1:$1, 0)), ""), IF(val=0, "", val))</f>
        <v>26656</v>
      </c>
      <c r="AL9" s="44">
        <f t="array" ref="AL9">LET(val, IFERROR(INDEX('Daily 스피킹 raw'!$A:$Z, MATCH(AL$2, 'Daily 스피킹 raw'!$A:$A, 0), MATCH($B9, 'Daily 스피킹 raw'!$1:$1, 0)), ""), IF(val=0, "", val))</f>
        <v>23523</v>
      </c>
      <c r="AM9" s="44">
        <f t="array" ref="AM9">LET(val, IFERROR(INDEX('Daily 스피킹 raw'!$A:$Z, MATCH(AM$2, 'Daily 스피킹 raw'!$A:$A, 0), MATCH($B9, 'Daily 스피킹 raw'!$1:$1, 0)), ""), IF(val=0, "", val))</f>
        <v>29111</v>
      </c>
      <c r="AN9" s="44">
        <f t="array" ref="AN9">LET(val, IFERROR(INDEX('Daily 스피킹 raw'!$A:$Z, MATCH(AN$2, 'Daily 스피킹 raw'!$A:$A, 0), MATCH($B9, 'Daily 스피킹 raw'!$1:$1, 0)), ""), IF(val=0, "", val))</f>
        <v>22153</v>
      </c>
      <c r="AO9" s="44">
        <f t="array" ref="AO9">LET(val, IFERROR(INDEX('Daily 스피킹 raw'!$A:$Z, MATCH(AO$2, 'Daily 스피킹 raw'!$A:$A, 0), MATCH($B9, 'Daily 스피킹 raw'!$1:$1, 0)), ""), IF(val=0, "", val))</f>
        <v>21859</v>
      </c>
      <c r="AP9" s="44">
        <f t="array" ref="AP9">LET(val, IFERROR(INDEX('Daily 스피킹 raw'!$A:$Z, MATCH(AP$2, 'Daily 스피킹 raw'!$A:$A, 0), MATCH($B9, 'Daily 스피킹 raw'!$1:$1, 0)), ""), IF(val=0, "", val))</f>
        <v>15882</v>
      </c>
      <c r="AQ9" s="44">
        <f t="array" ref="AQ9">LET(val, IFERROR(INDEX('Daily 스피킹 raw'!$A:$Z, MATCH(AQ$2, 'Daily 스피킹 raw'!$A:$A, 0), MATCH($B9, 'Daily 스피킹 raw'!$1:$1, 0)), ""), IF(val=0, "", val))</f>
        <v>14503</v>
      </c>
      <c r="AR9" s="44">
        <f t="array" ref="AR9">LET(val, IFERROR(INDEX('Daily 스피킹 raw'!$A:$Z, MATCH(AR$2, 'Daily 스피킹 raw'!$A:$A, 0), MATCH($B9, 'Daily 스피킹 raw'!$1:$1, 0)), ""), IF(val=0, "", val))</f>
        <v>22506</v>
      </c>
      <c r="AS9" s="44">
        <f t="array" ref="AS9">LET(val, IFERROR(INDEX('Daily 스피킹 raw'!$A:$Z, MATCH(AS$2, 'Daily 스피킹 raw'!$A:$A, 0), MATCH($B9, 'Daily 스피킹 raw'!$1:$1, 0)), ""), IF(val=0, "", val))</f>
        <v>23996</v>
      </c>
      <c r="AT9" s="44">
        <f t="array" ref="AT9">LET(val, IFERROR(INDEX('Daily 스피킹 raw'!$A:$Z, MATCH(AT$2, 'Daily 스피킹 raw'!$A:$A, 0), MATCH($B9, 'Daily 스피킹 raw'!$1:$1, 0)), ""), IF(val=0, "", val))</f>
        <v>16768</v>
      </c>
      <c r="AU9" s="44">
        <f t="array" ref="AU9">LET(val, IFERROR(INDEX('Daily 스피킹 raw'!$A:$Z, MATCH(AU$2, 'Daily 스피킹 raw'!$A:$A, 0), MATCH($B9, 'Daily 스피킹 raw'!$1:$1, 0)), ""), IF(val=0, "", val))</f>
        <v>13258</v>
      </c>
      <c r="AV9" s="44">
        <f t="array" ref="AV9">LET(val, IFERROR(INDEX('Daily 스피킹 raw'!$A:$Z, MATCH(AV$2, 'Daily 스피킹 raw'!$A:$A, 0), MATCH($B9, 'Daily 스피킹 raw'!$1:$1, 0)), ""), IF(val=0, "", val))</f>
        <v>15394</v>
      </c>
      <c r="AW9" s="44">
        <f t="array" ref="AW9">LET(val, IFERROR(INDEX('Daily 스피킹 raw'!$A:$Z, MATCH(AW$2, 'Daily 스피킹 raw'!$A:$A, 0), MATCH($B9, 'Daily 스피킹 raw'!$1:$1, 0)), ""), IF(val=0, "", val))</f>
        <v>11289</v>
      </c>
      <c r="AX9" s="44">
        <f t="array" ref="AX9">LET(val, IFERROR(INDEX('Daily 스피킹 raw'!$A:$Z, MATCH(AX$2, 'Daily 스피킹 raw'!$A:$A, 0), MATCH($B9, 'Daily 스피킹 raw'!$1:$1, 0)), ""), IF(val=0, "", val))</f>
        <v>11816</v>
      </c>
      <c r="AY9" s="44">
        <f t="array" ref="AY9">LET(val, IFERROR(INDEX('Daily 스피킹 raw'!$A:$Z, MATCH(AY$2, 'Daily 스피킹 raw'!$A:$A, 0), MATCH($B9, 'Daily 스피킹 raw'!$1:$1, 0)), ""), IF(val=0, "", val))</f>
        <v>17432</v>
      </c>
      <c r="AZ9" s="44">
        <f t="array" ref="AZ9">LET(val, IFERROR(INDEX('Daily 스피킹 raw'!$A:$Z, MATCH(AZ$2, 'Daily 스피킹 raw'!$A:$A, 0), MATCH($B9, 'Daily 스피킹 raw'!$1:$1, 0)), ""), IF(val=0, "", val))</f>
        <v>13037</v>
      </c>
      <c r="BA9" s="44">
        <f t="array" ref="BA9">LET(val, IFERROR(INDEX('Daily 스피킹 raw'!$A:$Z, MATCH(BA$2, 'Daily 스피킹 raw'!$A:$A, 0), MATCH($B9, 'Daily 스피킹 raw'!$1:$1, 0)), ""), IF(val=0, "", val))</f>
        <v>16350</v>
      </c>
      <c r="BB9" s="44">
        <f t="array" ref="BB9">LET(val, IFERROR(INDEX('Daily 스피킹 raw'!$A:$Z, MATCH(BB$2, 'Daily 스피킹 raw'!$A:$A, 0), MATCH($B9, 'Daily 스피킹 raw'!$1:$1, 0)), ""), IF(val=0, "", val))</f>
        <v>11237</v>
      </c>
      <c r="BC9" s="44">
        <f t="array" ref="BC9">LET(val, IFERROR(INDEX('Daily 스피킹 raw'!$A:$Z, MATCH(BC$2, 'Daily 스피킹 raw'!$A:$A, 0), MATCH($B9, 'Daily 스피킹 raw'!$1:$1, 0)), ""), IF(val=0, "", val))</f>
        <v>12935</v>
      </c>
      <c r="BD9" s="44">
        <f t="array" ref="BD9">LET(val, IFERROR(INDEX('Daily 스피킹 raw'!$A:$Z, MATCH(BD$2, 'Daily 스피킹 raw'!$A:$A, 0), MATCH($B9, 'Daily 스피킹 raw'!$1:$1, 0)), ""), IF(val=0, "", val))</f>
        <v>8955</v>
      </c>
      <c r="BE9" s="44">
        <f t="array" ref="BE9">LET(val, IFERROR(INDEX('Daily 스피킹 raw'!$A:$Z, MATCH(BE$2, 'Daily 스피킹 raw'!$A:$A, 0), MATCH($B9, 'Daily 스피킹 raw'!$1:$1, 0)), ""), IF(val=0, "", val))</f>
        <v>8124</v>
      </c>
      <c r="BF9" s="44">
        <f t="array" ref="BF9">LET(val, IFERROR(INDEX('Daily 스피킹 raw'!$A:$Z, MATCH(BF$2, 'Daily 스피킹 raw'!$A:$A, 0), MATCH($B9, 'Daily 스피킹 raw'!$1:$1, 0)), ""), IF(val=0, "", val))</f>
        <v>10485</v>
      </c>
      <c r="BG9" s="44">
        <f t="array" ref="BG9">LET(val, IFERROR(INDEX('Daily 스피킹 raw'!$A:$Z, MATCH(BG$2, 'Daily 스피킹 raw'!$A:$A, 0), MATCH($B9, 'Daily 스피킹 raw'!$1:$1, 0)), ""), IF(val=0, "", val))</f>
        <v>7643</v>
      </c>
      <c r="BH9" s="44">
        <f t="array" ref="BH9">LET(val, IFERROR(INDEX('Daily 스피킹 raw'!$A:$Z, MATCH(BH$2, 'Daily 스피킹 raw'!$A:$A, 0), MATCH($B9, 'Daily 스피킹 raw'!$1:$1, 0)), ""), IF(val=0, "", val))</f>
        <v>11375</v>
      </c>
      <c r="BI9" s="44">
        <f t="array" ref="BI9">LET(val, IFERROR(INDEX('Daily 스피킹 raw'!$A:$Z, MATCH(BI$2, 'Daily 스피킹 raw'!$A:$A, 0), MATCH($B9, 'Daily 스피킹 raw'!$1:$1, 0)), ""), IF(val=0, "", val))</f>
        <v>9852</v>
      </c>
      <c r="BJ9" s="44">
        <f t="array" ref="BJ9">LET(val, IFERROR(INDEX('Daily 스피킹 raw'!$A:$Z, MATCH(BJ$2, 'Daily 스피킹 raw'!$A:$A, 0), MATCH($B9, 'Daily 스피킹 raw'!$1:$1, 0)), ""), IF(val=0, "", val))</f>
        <v>11671</v>
      </c>
      <c r="BK9" s="44">
        <f t="array" ref="BK9">LET(val, IFERROR(INDEX('Daily 스피킹 raw'!$A:$Z, MATCH(BK$2, 'Daily 스피킹 raw'!$A:$A, 0), MATCH($B9, 'Daily 스피킹 raw'!$1:$1, 0)), ""), IF(val=0, "", val))</f>
        <v>7764</v>
      </c>
      <c r="BL9" s="44">
        <f t="array" ref="BL9">LET(val, IFERROR(INDEX('Daily 스피킹 raw'!$A:$Z, MATCH(BL$2, 'Daily 스피킹 raw'!$A:$A, 0), MATCH($B9, 'Daily 스피킹 raw'!$1:$1, 0)), ""), IF(val=0, "", val))</f>
        <v>7915</v>
      </c>
      <c r="BM9" s="44" t="str">
        <f t="array" ref="BM9">LET(val, IFERROR(INDEX('Daily 스피킹 raw'!$A:$Z, MATCH(BM$2, 'Daily 스피킹 raw'!$A:$A, 0), MATCH($B9, 'Daily 스피킹 raw'!$1:$1, 0)), ""), IF(val=0, "", val))</f>
        <v/>
      </c>
      <c r="BN9" s="44" t="str">
        <f t="array" ref="BN9">LET(val, IFERROR(INDEX('Daily 스피킹 raw'!$A:$Z, MATCH(BN$2, 'Daily 스피킹 raw'!$A:$A, 0), MATCH($B9, 'Daily 스피킹 raw'!$1:$1, 0)), ""), IF(val=0, "", val))</f>
        <v/>
      </c>
      <c r="BO9" s="44" t="str">
        <f t="array" ref="BO9">LET(val, IFERROR(INDEX('Daily 스피킹 raw'!$A:$Z, MATCH(BO$2, 'Daily 스피킹 raw'!$A:$A, 0), MATCH($B9, 'Daily 스피킹 raw'!$1:$1, 0)), ""), IF(val=0, "", val))</f>
        <v/>
      </c>
      <c r="BP9" s="44" t="str">
        <f t="array" ref="BP9">LET(val, IFERROR(INDEX('Daily 스피킹 raw'!$A:$Z, MATCH(BP$2, 'Daily 스피킹 raw'!$A:$A, 0), MATCH($B9, 'Daily 스피킹 raw'!$1:$1, 0)), ""), IF(val=0, "", val))</f>
        <v/>
      </c>
      <c r="BQ9" s="44" t="str">
        <f t="array" ref="BQ9">LET(val, IFERROR(INDEX('Daily 스피킹 raw'!$A:$Z, MATCH(BQ$2, 'Daily 스피킹 raw'!$A:$A, 0), MATCH($B9, 'Daily 스피킹 raw'!$1:$1, 0)), ""), IF(val=0, "", val))</f>
        <v/>
      </c>
      <c r="BR9" s="44" t="str">
        <f t="array" ref="BR9">LET(val, IFERROR(INDEX('Daily 스피킹 raw'!$A:$Z, MATCH(BR$2, 'Daily 스피킹 raw'!$A:$A, 0), MATCH($B9, 'Daily 스피킹 raw'!$1:$1, 0)), ""), IF(val=0, "", val))</f>
        <v/>
      </c>
      <c r="BS9" s="44" t="str">
        <f t="array" ref="BS9">LET(val, IFERROR(INDEX('Daily 스피킹 raw'!$A:$Z, MATCH(BS$2, 'Daily 스피킹 raw'!$A:$A, 0), MATCH($B9, 'Daily 스피킹 raw'!$1:$1, 0)), ""), IF(val=0, "", val))</f>
        <v/>
      </c>
      <c r="BT9" s="44" t="str">
        <f t="array" ref="BT9">LET(val, IFERROR(INDEX('Daily 스피킹 raw'!$A:$Z, MATCH(BT$2, 'Daily 스피킹 raw'!$A:$A, 0), MATCH($B9, 'Daily 스피킹 raw'!$1:$1, 0)), ""), IF(val=0, "", val))</f>
        <v/>
      </c>
      <c r="BU9" s="44" t="str">
        <f t="array" ref="BU9">LET(val, IFERROR(INDEX('Daily 스피킹 raw'!$A:$Z, MATCH(BU$2, 'Daily 스피킹 raw'!$A:$A, 0), MATCH($B9, 'Daily 스피킹 raw'!$1:$1, 0)), ""), IF(val=0, "", val))</f>
        <v/>
      </c>
      <c r="BV9" s="44" t="str">
        <f t="array" ref="BV9">LET(val, IFERROR(INDEX('Daily 스피킹 raw'!$A:$Z, MATCH(BV$2, 'Daily 스피킹 raw'!$A:$A, 0), MATCH($B9, 'Daily 스피킹 raw'!$1:$1, 0)), ""), IF(val=0, "", val))</f>
        <v/>
      </c>
      <c r="BW9" s="44" t="str">
        <f t="array" ref="BW9">LET(val, IFERROR(INDEX('Daily 스피킹 raw'!$A:$Z, MATCH(BW$2, 'Daily 스피킹 raw'!$A:$A, 0), MATCH($B9, 'Daily 스피킹 raw'!$1:$1, 0)), ""), IF(val=0, "", val))</f>
        <v/>
      </c>
      <c r="BX9" s="44" t="str">
        <f t="array" ref="BX9">LET(val, IFERROR(INDEX('Daily 스피킹 raw'!$A:$Z, MATCH(BX$2, 'Daily 스피킹 raw'!$A:$A, 0), MATCH($B9, 'Daily 스피킹 raw'!$1:$1, 0)), ""), IF(val=0, "", val))</f>
        <v/>
      </c>
      <c r="BY9" s="44" t="str">
        <f t="array" ref="BY9">LET(val, IFERROR(INDEX('Daily 스피킹 raw'!$A:$Z, MATCH(BY$2, 'Daily 스피킹 raw'!$A:$A, 0), MATCH($B9, 'Daily 스피킹 raw'!$1:$1, 0)), ""), IF(val=0, "", val))</f>
        <v/>
      </c>
      <c r="BZ9" s="44" t="str">
        <f t="array" ref="BZ9">LET(val, IFERROR(INDEX('Daily 스피킹 raw'!$A:$Z, MATCH(BZ$2, 'Daily 스피킹 raw'!$A:$A, 0), MATCH($B9, 'Daily 스피킹 raw'!$1:$1, 0)), ""), IF(val=0, "", val))</f>
        <v/>
      </c>
      <c r="CA9" s="44" t="str">
        <f t="array" ref="CA9">LET(val, IFERROR(INDEX('Daily 스피킹 raw'!$A:$Z, MATCH(CA$2, 'Daily 스피킹 raw'!$A:$A, 0), MATCH($B9, 'Daily 스피킹 raw'!$1:$1, 0)), ""), IF(val=0, "", val))</f>
        <v/>
      </c>
      <c r="CB9" s="44" t="str">
        <f t="array" ref="CB9">LET(val, IFERROR(INDEX('Daily 스피킹 raw'!$A:$Z, MATCH(CB$2, 'Daily 스피킹 raw'!$A:$A, 0), MATCH($B9, 'Daily 스피킹 raw'!$1:$1, 0)), ""), IF(val=0, "", val))</f>
        <v/>
      </c>
      <c r="CC9" s="44" t="str">
        <f t="array" ref="CC9">LET(val, IFERROR(INDEX('Daily 스피킹 raw'!$A:$Z, MATCH(CC$2, 'Daily 스피킹 raw'!$A:$A, 0), MATCH($B9, 'Daily 스피킹 raw'!$1:$1, 0)), ""), IF(val=0, "", val))</f>
        <v/>
      </c>
      <c r="CD9" s="44" t="str">
        <f t="array" ref="CD9">LET(val, IFERROR(INDEX('Daily 스피킹 raw'!$A:$Z, MATCH(CD$2, 'Daily 스피킹 raw'!$A:$A, 0), MATCH($B9, 'Daily 스피킹 raw'!$1:$1, 0)), ""), IF(val=0, "", val))</f>
        <v/>
      </c>
      <c r="CE9" s="44" t="str">
        <f t="array" ref="CE9">LET(val, IFERROR(INDEX('Daily 스피킹 raw'!$A:$Z, MATCH(CE$2, 'Daily 스피킹 raw'!$A:$A, 0), MATCH($B9, 'Daily 스피킹 raw'!$1:$1, 0)), ""), IF(val=0, "", val))</f>
        <v/>
      </c>
      <c r="CF9" s="44" t="str">
        <f t="array" ref="CF9">LET(val, IFERROR(INDEX('Daily 스피킹 raw'!$A:$Z, MATCH(CF$2, 'Daily 스피킹 raw'!$A:$A, 0), MATCH($B9, 'Daily 스피킹 raw'!$1:$1, 0)), ""), IF(val=0, "", val))</f>
        <v/>
      </c>
      <c r="CG9" s="44" t="str">
        <f t="array" ref="CG9">LET(val, IFERROR(INDEX('Daily 스피킹 raw'!$A:$Z, MATCH(CG$2, 'Daily 스피킹 raw'!$A:$A, 0), MATCH($B9, 'Daily 스피킹 raw'!$1:$1, 0)), ""), IF(val=0, "", val))</f>
        <v/>
      </c>
      <c r="CH9" s="44" t="str">
        <f t="array" ref="CH9">LET(val, IFERROR(INDEX('Daily 스피킹 raw'!$A:$Z, MATCH(CH$2, 'Daily 스피킹 raw'!$A:$A, 0), MATCH($B9, 'Daily 스피킹 raw'!$1:$1, 0)), ""), IF(val=0, "", val))</f>
        <v/>
      </c>
      <c r="CI9" s="44" t="str">
        <f t="array" ref="CI9">LET(val, IFERROR(INDEX('Daily 스피킹 raw'!$A:$Z, MATCH(CI$2, 'Daily 스피킹 raw'!$A:$A, 0), MATCH($B9, 'Daily 스피킹 raw'!$1:$1, 0)), ""), IF(val=0, "", val))</f>
        <v/>
      </c>
      <c r="CJ9" s="44" t="str">
        <f t="array" ref="CJ9">LET(val, IFERROR(INDEX('Daily 스피킹 raw'!$A:$Z, MATCH(CJ$2, 'Daily 스피킹 raw'!$A:$A, 0), MATCH($B9, 'Daily 스피킹 raw'!$1:$1, 0)), ""), IF(val=0, "", val))</f>
        <v/>
      </c>
      <c r="CK9" s="44" t="str">
        <f t="array" ref="CK9">LET(val, IFERROR(INDEX('Daily 스피킹 raw'!$A:$Z, MATCH(CK$2, 'Daily 스피킹 raw'!$A:$A, 0), MATCH($B9, 'Daily 스피킹 raw'!$1:$1, 0)), ""), IF(val=0, "", val))</f>
        <v/>
      </c>
      <c r="CL9" s="44" t="str">
        <f t="array" ref="CL9">LET(val, IFERROR(INDEX('Daily 스피킹 raw'!$A:$Z, MATCH(CL$2, 'Daily 스피킹 raw'!$A:$A, 0), MATCH($B9, 'Daily 스피킹 raw'!$1:$1, 0)), ""), IF(val=0, "", val))</f>
        <v/>
      </c>
      <c r="CM9" s="44" t="str">
        <f t="array" ref="CM9">LET(val, IFERROR(INDEX('Daily 스피킹 raw'!$A:$Z, MATCH(CM$2, 'Daily 스피킹 raw'!$A:$A, 0), MATCH($B9, 'Daily 스피킹 raw'!$1:$1, 0)), ""), IF(val=0, "", val))</f>
        <v/>
      </c>
      <c r="CN9" s="44" t="str">
        <f t="array" ref="CN9">LET(val, IFERROR(INDEX('Daily 스피킹 raw'!$A:$Z, MATCH(CN$2, 'Daily 스피킹 raw'!$A:$A, 0), MATCH($B9, 'Daily 스피킹 raw'!$1:$1, 0)), ""), IF(val=0, "", val))</f>
        <v/>
      </c>
      <c r="CO9" s="44" t="str">
        <f t="array" ref="CO9">LET(val, IFERROR(INDEX('Daily 스피킹 raw'!$A:$Z, MATCH(CO$2, 'Daily 스피킹 raw'!$A:$A, 0), MATCH($B9, 'Daily 스피킹 raw'!$1:$1, 0)), ""), IF(val=0, "", val))</f>
        <v/>
      </c>
      <c r="CP9" s="44" t="str">
        <f t="array" ref="CP9">LET(val, IFERROR(INDEX('Daily 스피킹 raw'!$A:$Z, MATCH(CP$2, 'Daily 스피킹 raw'!$A:$A, 0), MATCH($B9, 'Daily 스피킹 raw'!$1:$1, 0)), ""), IF(val=0, "", val))</f>
        <v/>
      </c>
      <c r="CQ9" s="44" t="str">
        <f t="array" ref="CQ9">LET(val, IFERROR(INDEX('Daily 스피킹 raw'!$A:$Z, MATCH(CQ$2, 'Daily 스피킹 raw'!$A:$A, 0), MATCH($B9, 'Daily 스피킹 raw'!$1:$1, 0)), ""), IF(val=0, "", val))</f>
        <v/>
      </c>
      <c r="CR9" s="44" t="str">
        <f t="array" ref="CR9">LET(val, IFERROR(INDEX('Daily 스피킹 raw'!$A:$Z, MATCH(CR$2, 'Daily 스피킹 raw'!$A:$A, 0), MATCH($B9, 'Daily 스피킹 raw'!$1:$1, 0)), ""), IF(val=0, "", val))</f>
        <v/>
      </c>
      <c r="CS9" s="44" t="str">
        <f t="array" ref="CS9">LET(val, IFERROR(INDEX('Daily 스피킹 raw'!$A:$Z, MATCH(CS$2, 'Daily 스피킹 raw'!$A:$A, 0), MATCH($B9, 'Daily 스피킹 raw'!$1:$1, 0)), ""), IF(val=0, "", val))</f>
        <v/>
      </c>
      <c r="CT9" s="44" t="str">
        <f t="array" ref="CT9">LET(val, IFERROR(INDEX('Daily 스피킹 raw'!$A:$Z, MATCH(CT$2, 'Daily 스피킹 raw'!$A:$A, 0), MATCH($B9, 'Daily 스피킹 raw'!$1:$1, 0)), ""), IF(val=0, "", val))</f>
        <v/>
      </c>
      <c r="CU9" s="44" t="str">
        <f t="array" ref="CU9">LET(val, IFERROR(INDEX('Daily 스피킹 raw'!$A:$Z, MATCH(CU$2, 'Daily 스피킹 raw'!$A:$A, 0), MATCH($B9, 'Daily 스피킹 raw'!$1:$1, 0)), ""), IF(val=0, "", val))</f>
        <v/>
      </c>
      <c r="CV9" s="44" t="str">
        <f t="array" ref="CV9">LET(val, IFERROR(INDEX('Daily 스피킹 raw'!$A:$Z, MATCH(CV$2, 'Daily 스피킹 raw'!$A:$A, 0), MATCH($B9, 'Daily 스피킹 raw'!$1:$1, 0)), ""), IF(val=0, "", val))</f>
        <v/>
      </c>
      <c r="CW9" s="44" t="str">
        <f t="array" ref="CW9">LET(val, IFERROR(INDEX('Daily 스피킹 raw'!$A:$Z, MATCH(CW$2, 'Daily 스피킹 raw'!$A:$A, 0), MATCH($B9, 'Daily 스피킹 raw'!$1:$1, 0)), ""), IF(val=0, "", val))</f>
        <v/>
      </c>
    </row>
    <row r="10" ht="22.5" customHeight="1">
      <c r="A10" s="1"/>
      <c r="B10" s="23" t="s">
        <v>25</v>
      </c>
      <c r="C10" s="1" t="s">
        <v>25</v>
      </c>
      <c r="D10" s="54">
        <f t="array" ref="D10">LET(val, IFERROR(INDEX('Daily 스피킹 raw'!$A:$Z, MATCH(D$2, 'Daily 스피킹 raw'!$A:$A, 0), MATCH($B10, 'Daily 스피킹 raw'!$1:$1, 0)), ""), IF(val=0, "", val))</f>
        <v>129000</v>
      </c>
      <c r="E10" s="54">
        <f t="array" ref="E10">LET(val, IFERROR(INDEX('Daily 스피킹 raw'!$A:$Z, MATCH(E$2, 'Daily 스피킹 raw'!$A:$A, 0), MATCH($B10, 'Daily 스피킹 raw'!$1:$1, 0)), ""), IF(val=0, "", val))</f>
        <v>129000</v>
      </c>
      <c r="F10" s="54">
        <f t="array" ref="F10">LET(val, IFERROR(INDEX('Daily 스피킹 raw'!$A:$Z, MATCH(F$2, 'Daily 스피킹 raw'!$A:$A, 0), MATCH($B10, 'Daily 스피킹 raw'!$1:$1, 0)), ""), IF(val=0, "", val))</f>
        <v>79000</v>
      </c>
      <c r="G10" s="54">
        <f t="array" ref="G10">LET(val, IFERROR(INDEX('Daily 스피킹 raw'!$A:$Z, MATCH(G$2, 'Daily 스피킹 raw'!$A:$A, 0), MATCH($B10, 'Daily 스피킹 raw'!$1:$1, 0)), ""), IF(val=0, "", val))</f>
        <v>129000</v>
      </c>
      <c r="H10" s="54">
        <f t="array" ref="H10">LET(val, IFERROR(INDEX('Daily 스피킹 raw'!$A:$Z, MATCH(H$2, 'Daily 스피킹 raw'!$A:$A, 0), MATCH($B10, 'Daily 스피킹 raw'!$1:$1, 0)), ""), IF(val=0, "", val))</f>
        <v>52666.66667</v>
      </c>
      <c r="I10" s="54">
        <f t="array" ref="I10">LET(val, IFERROR(INDEX('Daily 스피킹 raw'!$A:$Z, MATCH(I$2, 'Daily 스피킹 raw'!$A:$A, 0), MATCH($B10, 'Daily 스피킹 raw'!$1:$1, 0)), ""), IF(val=0, "", val))</f>
        <v>110571.4286</v>
      </c>
      <c r="J10" s="54">
        <f t="array" ref="J10">LET(val, IFERROR(INDEX('Daily 스피킹 raw'!$A:$Z, MATCH(J$2, 'Daily 스피킹 raw'!$A:$A, 0), MATCH($B10, 'Daily 스피킹 raw'!$1:$1, 0)), ""), IF(val=0, "", val))</f>
        <v>49166.66667</v>
      </c>
      <c r="K10" s="54">
        <f t="array" ref="K10">LET(val, IFERROR(INDEX('Daily 스피킹 raw'!$A:$Z, MATCH(K$2, 'Daily 스피킹 raw'!$A:$A, 0), MATCH($B10, 'Daily 스피킹 raw'!$1:$1, 0)), ""), IF(val=0, "", val))</f>
        <v>95666.66667</v>
      </c>
      <c r="L10" s="54">
        <f t="array" ref="L10">LET(val, IFERROR(INDEX('Daily 스피킹 raw'!$A:$Z, MATCH(L$2, 'Daily 스피킹 raw'!$A:$A, 0), MATCH($B10, 'Daily 스피킹 raw'!$1:$1, 0)), ""), IF(val=0, "", val))</f>
        <v>71750</v>
      </c>
      <c r="M10" s="54">
        <f t="array" ref="M10">LET(val, IFERROR(INDEX('Daily 스피킹 raw'!$A:$Z, MATCH(M$2, 'Daily 스피킹 raw'!$A:$A, 0), MATCH($B10, 'Daily 스피킹 raw'!$1:$1, 0)), ""), IF(val=0, "", val))</f>
        <v>97421.05263</v>
      </c>
      <c r="N10" s="54">
        <f t="array" ref="N10">LET(val, IFERROR(INDEX('Daily 스피킹 raw'!$A:$Z, MATCH(N$2, 'Daily 스피킹 raw'!$A:$A, 0), MATCH($B10, 'Daily 스피킹 raw'!$1:$1, 0)), ""), IF(val=0, "", val))</f>
        <v>70692.30769</v>
      </c>
      <c r="O10" s="54">
        <f t="array" ref="O10">LET(val, IFERROR(INDEX('Daily 스피킹 raw'!$A:$Z, MATCH(O$2, 'Daily 스피킹 raw'!$A:$A, 0), MATCH($B10, 'Daily 스피킹 raw'!$1:$1, 0)), ""), IF(val=0, "", val))</f>
        <v>69000</v>
      </c>
      <c r="P10" s="54">
        <f t="array" ref="P10">LET(val, IFERROR(INDEX('Daily 스피킹 raw'!$A:$Z, MATCH(P$2, 'Daily 스피킹 raw'!$A:$A, 0), MATCH($B10, 'Daily 스피킹 raw'!$1:$1, 0)), ""), IF(val=0, "", val))</f>
        <v>37875</v>
      </c>
      <c r="Q10" s="54">
        <f t="array" ref="Q10">LET(val, IFERROR(INDEX('Daily 스피킹 raw'!$A:$Z, MATCH(Q$2, 'Daily 스피킹 raw'!$A:$A, 0), MATCH($B10, 'Daily 스피킹 raw'!$1:$1, 0)), ""), IF(val=0, "", val))</f>
        <v>129000</v>
      </c>
      <c r="R10" s="54">
        <f t="array" ref="R10">LET(val, IFERROR(INDEX('Daily 스피킹 raw'!$A:$Z, MATCH(R$2, 'Daily 스피킹 raw'!$A:$A, 0), MATCH($B10, 'Daily 스피킹 raw'!$1:$1, 0)), ""), IF(val=0, "", val))</f>
        <v>95666.66667</v>
      </c>
      <c r="S10" s="54">
        <f t="array" ref="S10">LET(val, IFERROR(INDEX('Daily 스피킹 raw'!$A:$Z, MATCH(S$2, 'Daily 스피킹 raw'!$A:$A, 0), MATCH($B10, 'Daily 스피킹 raw'!$1:$1, 0)), ""), IF(val=0, "", val))</f>
        <v>79000</v>
      </c>
      <c r="T10" s="54">
        <f t="array" ref="T10">LET(val, IFERROR(INDEX('Daily 스피킹 raw'!$A:$Z, MATCH(T$2, 'Daily 스피킹 raw'!$A:$A, 0), MATCH($B10, 'Daily 스피킹 raw'!$1:$1, 0)), ""), IF(val=0, "", val))</f>
        <v>89000</v>
      </c>
      <c r="U10" s="54">
        <f t="array" ref="U10">LET(val, IFERROR(INDEX('Daily 스피킹 raw'!$A:$Z, MATCH(U$2, 'Daily 스피킹 raw'!$A:$A, 0), MATCH($B10, 'Daily 스피킹 raw'!$1:$1, 0)), ""), IF(val=0, "", val))</f>
        <v>129000</v>
      </c>
      <c r="V10" s="54">
        <f t="array" ref="V10">LET(val, IFERROR(INDEX('Daily 스피킹 raw'!$A:$Z, MATCH(V$2, 'Daily 스피킹 raw'!$A:$A, 0), MATCH($B10, 'Daily 스피킹 raw'!$1:$1, 0)), ""), IF(val=0, "", val))</f>
        <v>82000</v>
      </c>
      <c r="W10" s="54">
        <f t="array" ref="W10">LET(val, IFERROR(INDEX('Daily 스피킹 raw'!$A:$Z, MATCH(W$2, 'Daily 스피킹 raw'!$A:$A, 0), MATCH($B10, 'Daily 스피킹 raw'!$1:$1, 0)), ""), IF(val=0, "", val))</f>
        <v>104000</v>
      </c>
      <c r="X10" s="54">
        <f t="array" ref="X10">LET(val, IFERROR(INDEX('Daily 스피킹 raw'!$A:$Z, MATCH(X$2, 'Daily 스피킹 raw'!$A:$A, 0), MATCH($B10, 'Daily 스피킹 raw'!$1:$1, 0)), ""), IF(val=0, "", val))</f>
        <v>62333.33333</v>
      </c>
      <c r="Y10" s="54">
        <f t="array" ref="Y10">LET(val, IFERROR(INDEX('Daily 스피킹 raw'!$A:$Z, MATCH(Y$2, 'Daily 스피킹 raw'!$A:$A, 0), MATCH($B10, 'Daily 스피킹 raw'!$1:$1, 0)), ""), IF(val=0, "", val))</f>
        <v>104000</v>
      </c>
      <c r="Z10" s="54">
        <f t="array" ref="Z10">LET(val, IFERROR(INDEX('Daily 스피킹 raw'!$A:$Z, MATCH(Z$2, 'Daily 스피킹 raw'!$A:$A, 0), MATCH($B10, 'Daily 스피킹 raw'!$1:$1, 0)), ""), IF(val=0, "", val))</f>
        <v>129000</v>
      </c>
      <c r="AA10" s="54">
        <f t="array" ref="AA10">LET(val, IFERROR(INDEX('Daily 스피킹 raw'!$A:$Z, MATCH(AA$2, 'Daily 스피킹 raw'!$A:$A, 0), MATCH($B10, 'Daily 스피킹 raw'!$1:$1, 0)), ""), IF(val=0, "", val))</f>
        <v>63200</v>
      </c>
      <c r="AB10" s="54">
        <f t="array" ref="AB10">LET(val, IFERROR(INDEX('Daily 스피킹 raw'!$A:$Z, MATCH(AB$2, 'Daily 스피킹 raw'!$A:$A, 0), MATCH($B10, 'Daily 스피킹 raw'!$1:$1, 0)), ""), IF(val=0, "", val))</f>
        <v>90833.33333</v>
      </c>
      <c r="AC10" s="54">
        <f t="array" ref="AC10">LET(val, IFERROR(INDEX('Daily 스피킹 raw'!$A:$Z, MATCH(AC$2, 'Daily 스피킹 raw'!$A:$A, 0), MATCH($B10, 'Daily 스피킹 raw'!$1:$1, 0)), ""), IF(val=0, "", val))</f>
        <v>100428.5714</v>
      </c>
      <c r="AD10" s="54">
        <f t="array" ref="AD10">LET(val, IFERROR(INDEX('Daily 스피킹 raw'!$A:$Z, MATCH(AD$2, 'Daily 스피킹 raw'!$A:$A, 0), MATCH($B10, 'Daily 스피킹 raw'!$1:$1, 0)), ""), IF(val=0, "", val))</f>
        <v>87875</v>
      </c>
      <c r="AE10" s="54">
        <f t="array" ref="AE10">LET(val, IFERROR(INDEX('Daily 스피킹 raw'!$A:$Z, MATCH(AE$2, 'Daily 스피킹 raw'!$A:$A, 0), MATCH($B10, 'Daily 스피킹 raw'!$1:$1, 0)), ""), IF(val=0, "", val))</f>
        <v>62333.33333</v>
      </c>
      <c r="AF10" s="54">
        <f t="array" ref="AF10">LET(val, IFERROR(INDEX('Daily 스피킹 raw'!$A:$Z, MATCH(AF$2, 'Daily 스피킹 raw'!$A:$A, 0), MATCH($B10, 'Daily 스피킹 raw'!$1:$1, 0)), ""), IF(val=0, "", val))</f>
        <v>79000</v>
      </c>
      <c r="AG10" s="54">
        <f t="array" ref="AG10">LET(val, IFERROR(INDEX('Daily 스피킹 raw'!$A:$Z, MATCH(AG$2, 'Daily 스피킹 raw'!$A:$A, 0), MATCH($B10, 'Daily 스피킹 raw'!$1:$1, 0)), ""), IF(val=0, "", val))</f>
        <v>74166.66667</v>
      </c>
      <c r="AH10" s="54">
        <f t="array" ref="AH10">LET(val, IFERROR(INDEX('Daily 스피킹 raw'!$A:$Z, MATCH(AH$2, 'Daily 스피킹 raw'!$A:$A, 0), MATCH($B10, 'Daily 스피킹 raw'!$1:$1, 0)), ""), IF(val=0, "", val))</f>
        <v>69000</v>
      </c>
      <c r="AI10" s="54">
        <f t="array" ref="AI10">LET(val, IFERROR(INDEX('Daily 스피킹 raw'!$A:$Z, MATCH(AI$2, 'Daily 스피킹 raw'!$A:$A, 0), MATCH($B10, 'Daily 스피킹 raw'!$1:$1, 0)), ""), IF(val=0, "", val))</f>
        <v>112333.3333</v>
      </c>
      <c r="AJ10" s="54">
        <f t="array" ref="AJ10">LET(val, IFERROR(INDEX('Daily 스피킹 raw'!$A:$Z, MATCH(AJ$2, 'Daily 스피킹 raw'!$A:$A, 0), MATCH($B10, 'Daily 스피킹 raw'!$1:$1, 0)), ""), IF(val=0, "", val))</f>
        <v>109000</v>
      </c>
      <c r="AK10" s="54">
        <f t="array" ref="AK10">LET(val, IFERROR(INDEX('Daily 스피킹 raw'!$A:$Z, MATCH(AK$2, 'Daily 스피킹 raw'!$A:$A, 0), MATCH($B10, 'Daily 스피킹 raw'!$1:$1, 0)), ""), IF(val=0, "", val))</f>
        <v>54000</v>
      </c>
      <c r="AL10" s="54">
        <f t="array" ref="AL10">LET(val, IFERROR(INDEX('Daily 스피킹 raw'!$A:$Z, MATCH(AL$2, 'Daily 스피킹 raw'!$A:$A, 0), MATCH($B10, 'Daily 스피킹 raw'!$1:$1, 0)), ""), IF(val=0, "", val))</f>
        <v>14500</v>
      </c>
      <c r="AM10" s="54">
        <f t="array" ref="AM10">LET(val, IFERROR(INDEX('Daily 스피킹 raw'!$A:$Z, MATCH(AM$2, 'Daily 스피킹 raw'!$A:$A, 0), MATCH($B10, 'Daily 스피킹 raw'!$1:$1, 0)), ""), IF(val=0, "", val))</f>
        <v>79000</v>
      </c>
      <c r="AN10" s="54">
        <f t="array" ref="AN10">LET(val, IFERROR(INDEX('Daily 스피킹 raw'!$A:$Z, MATCH(AN$2, 'Daily 스피킹 raw'!$A:$A, 0), MATCH($B10, 'Daily 스피킹 raw'!$1:$1, 0)), ""), IF(val=0, "", val))</f>
        <v>52666.66667</v>
      </c>
      <c r="AO10" s="54">
        <f t="array" ref="AO10">LET(val, IFERROR(INDEX('Daily 스피킹 raw'!$A:$Z, MATCH(AO$2, 'Daily 스피킹 raw'!$A:$A, 0), MATCH($B10, 'Daily 스피킹 raw'!$1:$1, 0)), ""), IF(val=0, "", val))</f>
        <v>48000</v>
      </c>
      <c r="AP10" s="54">
        <f t="array" ref="AP10">LET(val, IFERROR(INDEX('Daily 스피킹 raw'!$A:$Z, MATCH(AP$2, 'Daily 스피킹 raw'!$A:$A, 0), MATCH($B10, 'Daily 스피킹 raw'!$1:$1, 0)), ""), IF(val=0, "", val))</f>
        <v>29000</v>
      </c>
      <c r="AQ10" s="54">
        <f t="array" ref="AQ10">LET(val, IFERROR(INDEX('Daily 스피킹 raw'!$A:$Z, MATCH(AQ$2, 'Daily 스피킹 raw'!$A:$A, 0), MATCH($B10, 'Daily 스피킹 raw'!$1:$1, 0)), ""), IF(val=0, "", val))</f>
        <v>79000</v>
      </c>
      <c r="AR10" s="54">
        <f t="array" ref="AR10">LET(val, IFERROR(INDEX('Daily 스피킹 raw'!$A:$Z, MATCH(AR$2, 'Daily 스피킹 raw'!$A:$A, 0), MATCH($B10, 'Daily 스피킹 raw'!$1:$1, 0)), ""), IF(val=0, "", val))</f>
        <v>75375</v>
      </c>
      <c r="AS10" s="54">
        <f t="array" ref="AS10">LET(val, IFERROR(INDEX('Daily 스피킹 raw'!$A:$Z, MATCH(AS$2, 'Daily 스피킹 raw'!$A:$A, 0), MATCH($B10, 'Daily 스피킹 raw'!$1:$1, 0)), ""), IF(val=0, "", val))</f>
        <v>46750</v>
      </c>
      <c r="AT10" s="54">
        <f t="array" ref="AT10">LET(val, IFERROR(INDEX('Daily 스피킹 raw'!$A:$Z, MATCH(AT$2, 'Daily 스피킹 raw'!$A:$A, 0), MATCH($B10, 'Daily 스피킹 raw'!$1:$1, 0)), ""), IF(val=0, "", val))</f>
        <v>89000</v>
      </c>
      <c r="AU10" s="54">
        <f t="array" ref="AU10">LET(val, IFERROR(INDEX('Daily 스피킹 raw'!$A:$Z, MATCH(AU$2, 'Daily 스피킹 raw'!$A:$A, 0), MATCH($B10, 'Daily 스피킹 raw'!$1:$1, 0)), ""), IF(val=0, "", val))</f>
        <v>59111.11111</v>
      </c>
      <c r="AV10" s="54">
        <f t="array" ref="AV10">LET(val, IFERROR(INDEX('Daily 스피킹 raw'!$A:$Z, MATCH(AV$2, 'Daily 스피킹 raw'!$A:$A, 0), MATCH($B10, 'Daily 스피킹 raw'!$1:$1, 0)), ""), IF(val=0, "", val))</f>
        <v>95666.66667</v>
      </c>
      <c r="AW10" s="54">
        <f t="array" ref="AW10">LET(val, IFERROR(INDEX('Daily 스피킹 raw'!$A:$Z, MATCH(AW$2, 'Daily 스피킹 raw'!$A:$A, 0), MATCH($B10, 'Daily 스피킹 raw'!$1:$1, 0)), ""), IF(val=0, "", val))</f>
        <v>112333.3333</v>
      </c>
      <c r="AX10" s="54">
        <f t="array" ref="AX10">LET(val, IFERROR(INDEX('Daily 스피킹 raw'!$A:$Z, MATCH(AX$2, 'Daily 스피킹 raw'!$A:$A, 0), MATCH($B10, 'Daily 스피킹 raw'!$1:$1, 0)), ""), IF(val=0, "", val))</f>
        <v>78272.72727</v>
      </c>
      <c r="AY10" s="54">
        <f t="array" ref="AY10">LET(val, IFERROR(INDEX('Daily 스피킹 raw'!$A:$Z, MATCH(AY$2, 'Daily 스피킹 raw'!$A:$A, 0), MATCH($B10, 'Daily 스피킹 raw'!$1:$1, 0)), ""), IF(val=0, "", val))</f>
        <v>49000</v>
      </c>
      <c r="AZ10" s="54">
        <f t="array" ref="AZ10">LET(val, IFERROR(INDEX('Daily 스피킹 raw'!$A:$Z, MATCH(AZ$2, 'Daily 스피킹 raw'!$A:$A, 0), MATCH($B10, 'Daily 스피킹 raw'!$1:$1, 0)), ""), IF(val=0, "", val))</f>
        <v>129000</v>
      </c>
      <c r="BA10" s="54">
        <f t="array" ref="BA10">LET(val, IFERROR(INDEX('Daily 스피킹 raw'!$A:$Z, MATCH(BA$2, 'Daily 스피킹 raw'!$A:$A, 0), MATCH($B10, 'Daily 스피킹 raw'!$1:$1, 0)), ""), IF(val=0, "", val))</f>
        <v>69000</v>
      </c>
      <c r="BB10" s="54">
        <f t="array" ref="BB10">LET(val, IFERROR(INDEX('Daily 스피킹 raw'!$A:$Z, MATCH(BB$2, 'Daily 스피킹 raw'!$A:$A, 0), MATCH($B10, 'Daily 스피킹 raw'!$1:$1, 0)), ""), IF(val=0, "", val))</f>
        <v>45666.66667</v>
      </c>
      <c r="BC10" s="54">
        <f t="array" ref="BC10">LET(val, IFERROR(INDEX('Daily 스피킹 raw'!$A:$Z, MATCH(BC$2, 'Daily 스피킹 raw'!$A:$A, 0), MATCH($B10, 'Daily 스피킹 raw'!$1:$1, 0)), ""), IF(val=0, "", val))</f>
        <v>40833.33333</v>
      </c>
      <c r="BD10" s="54">
        <f t="array" ref="BD10">LET(val, IFERROR(INDEX('Daily 스피킹 raw'!$A:$Z, MATCH(BD$2, 'Daily 스피킹 raw'!$A:$A, 0), MATCH($B10, 'Daily 스피킹 raw'!$1:$1, 0)), ""), IF(val=0, "", val))</f>
        <v>79000</v>
      </c>
      <c r="BE10" s="54">
        <f t="array" ref="BE10">LET(val, IFERROR(INDEX('Daily 스피킹 raw'!$A:$Z, MATCH(BE$2, 'Daily 스피킹 raw'!$A:$A, 0), MATCH($B10, 'Daily 스피킹 raw'!$1:$1, 0)), ""), IF(val=0, "", val))</f>
        <v>79000</v>
      </c>
      <c r="BF10" s="54">
        <f t="array" ref="BF10">LET(val, IFERROR(INDEX('Daily 스피킹 raw'!$A:$Z, MATCH(BF$2, 'Daily 스피킹 raw'!$A:$A, 0), MATCH($B10, 'Daily 스피킹 raw'!$1:$1, 0)), ""), IF(val=0, "", val))</f>
        <v>129000</v>
      </c>
      <c r="BG10" s="54">
        <f t="array" ref="BG10">LET(val, IFERROR(INDEX('Daily 스피킹 raw'!$A:$Z, MATCH(BG$2, 'Daily 스피킹 raw'!$A:$A, 0), MATCH($B10, 'Daily 스피킹 raw'!$1:$1, 0)), ""), IF(val=0, "", val))</f>
        <v>129000</v>
      </c>
      <c r="BH10" s="54">
        <f t="array" ref="BH10">LET(val, IFERROR(INDEX('Daily 스피킹 raw'!$A:$Z, MATCH(BH$2, 'Daily 스피킹 raw'!$A:$A, 0), MATCH($B10, 'Daily 스피킹 raw'!$1:$1, 0)), ""), IF(val=0, "", val))</f>
        <v>62333.33333</v>
      </c>
      <c r="BI10" s="54">
        <f t="array" ref="BI10">LET(val, IFERROR(INDEX('Daily 스피킹 raw'!$A:$Z, MATCH(BI$2, 'Daily 스피킹 raw'!$A:$A, 0), MATCH($B10, 'Daily 스피킹 raw'!$1:$1, 0)), ""), IF(val=0, "", val))</f>
        <v>49000</v>
      </c>
      <c r="BJ10" s="54">
        <f t="array" ref="BJ10">LET(val, IFERROR(INDEX('Daily 스피킹 raw'!$A:$Z, MATCH(BJ$2, 'Daily 스피킹 raw'!$A:$A, 0), MATCH($B10, 'Daily 스피킹 raw'!$1:$1, 0)), ""), IF(val=0, "", val))</f>
        <v>21750</v>
      </c>
      <c r="BK10" s="54">
        <f t="array" ref="BK10">LET(val, IFERROR(INDEX('Daily 스피킹 raw'!$A:$Z, MATCH(BK$2, 'Daily 스피킹 raw'!$A:$A, 0), MATCH($B10, 'Daily 스피킹 raw'!$1:$1, 0)), ""), IF(val=0, "", val))</f>
        <v>104000</v>
      </c>
      <c r="BL10" s="54">
        <f t="array" ref="BL10">LET(val, IFERROR(INDEX('Daily 스피킹 raw'!$A:$Z, MATCH(BL$2, 'Daily 스피킹 raw'!$A:$A, 0), MATCH($B10, 'Daily 스피킹 raw'!$1:$1, 0)), ""), IF(val=0, "", val))</f>
        <v>89000</v>
      </c>
      <c r="BM10" s="54" t="str">
        <f t="array" ref="BM10">LET(val, IFERROR(INDEX('Daily 스피킹 raw'!$A:$Z, MATCH(BM$2, 'Daily 스피킹 raw'!$A:$A, 0), MATCH($B10, 'Daily 스피킹 raw'!$1:$1, 0)), ""), IF(val=0, "", val))</f>
        <v/>
      </c>
      <c r="BN10" s="54" t="str">
        <f t="array" ref="BN10">LET(val, IFERROR(INDEX('Daily 스피킹 raw'!$A:$Z, MATCH(BN$2, 'Daily 스피킹 raw'!$A:$A, 0), MATCH($B10, 'Daily 스피킹 raw'!$1:$1, 0)), ""), IF(val=0, "", val))</f>
        <v/>
      </c>
      <c r="BO10" s="54" t="str">
        <f t="array" ref="BO10">LET(val, IFERROR(INDEX('Daily 스피킹 raw'!$A:$Z, MATCH(BO$2, 'Daily 스피킹 raw'!$A:$A, 0), MATCH($B10, 'Daily 스피킹 raw'!$1:$1, 0)), ""), IF(val=0, "", val))</f>
        <v/>
      </c>
      <c r="BP10" s="54" t="str">
        <f t="array" ref="BP10">LET(val, IFERROR(INDEX('Daily 스피킹 raw'!$A:$Z, MATCH(BP$2, 'Daily 스피킹 raw'!$A:$A, 0), MATCH($B10, 'Daily 스피킹 raw'!$1:$1, 0)), ""), IF(val=0, "", val))</f>
        <v/>
      </c>
      <c r="BQ10" s="54" t="str">
        <f t="array" ref="BQ10">LET(val, IFERROR(INDEX('Daily 스피킹 raw'!$A:$Z, MATCH(BQ$2, 'Daily 스피킹 raw'!$A:$A, 0), MATCH($B10, 'Daily 스피킹 raw'!$1:$1, 0)), ""), IF(val=0, "", val))</f>
        <v/>
      </c>
      <c r="BR10" s="54" t="str">
        <f t="array" ref="BR10">LET(val, IFERROR(INDEX('Daily 스피킹 raw'!$A:$Z, MATCH(BR$2, 'Daily 스피킹 raw'!$A:$A, 0), MATCH($B10, 'Daily 스피킹 raw'!$1:$1, 0)), ""), IF(val=0, "", val))</f>
        <v/>
      </c>
      <c r="BS10" s="54" t="str">
        <f t="array" ref="BS10">LET(val, IFERROR(INDEX('Daily 스피킹 raw'!$A:$Z, MATCH(BS$2, 'Daily 스피킹 raw'!$A:$A, 0), MATCH($B10, 'Daily 스피킹 raw'!$1:$1, 0)), ""), IF(val=0, "", val))</f>
        <v/>
      </c>
      <c r="BT10" s="54" t="str">
        <f t="array" ref="BT10">LET(val, IFERROR(INDEX('Daily 스피킹 raw'!$A:$Z, MATCH(BT$2, 'Daily 스피킹 raw'!$A:$A, 0), MATCH($B10, 'Daily 스피킹 raw'!$1:$1, 0)), ""), IF(val=0, "", val))</f>
        <v/>
      </c>
      <c r="BU10" s="54" t="str">
        <f t="array" ref="BU10">LET(val, IFERROR(INDEX('Daily 스피킹 raw'!$A:$Z, MATCH(BU$2, 'Daily 스피킹 raw'!$A:$A, 0), MATCH($B10, 'Daily 스피킹 raw'!$1:$1, 0)), ""), IF(val=0, "", val))</f>
        <v/>
      </c>
      <c r="BV10" s="54" t="str">
        <f t="array" ref="BV10">LET(val, IFERROR(INDEX('Daily 스피킹 raw'!$A:$Z, MATCH(BV$2, 'Daily 스피킹 raw'!$A:$A, 0), MATCH($B10, 'Daily 스피킹 raw'!$1:$1, 0)), ""), IF(val=0, "", val))</f>
        <v/>
      </c>
      <c r="BW10" s="54" t="str">
        <f t="array" ref="BW10">LET(val, IFERROR(INDEX('Daily 스피킹 raw'!$A:$Z, MATCH(BW$2, 'Daily 스피킹 raw'!$A:$A, 0), MATCH($B10, 'Daily 스피킹 raw'!$1:$1, 0)), ""), IF(val=0, "", val))</f>
        <v/>
      </c>
      <c r="BX10" s="54" t="str">
        <f t="array" ref="BX10">LET(val, IFERROR(INDEX('Daily 스피킹 raw'!$A:$Z, MATCH(BX$2, 'Daily 스피킹 raw'!$A:$A, 0), MATCH($B10, 'Daily 스피킹 raw'!$1:$1, 0)), ""), IF(val=0, "", val))</f>
        <v/>
      </c>
      <c r="BY10" s="54" t="str">
        <f t="array" ref="BY10">LET(val, IFERROR(INDEX('Daily 스피킹 raw'!$A:$Z, MATCH(BY$2, 'Daily 스피킹 raw'!$A:$A, 0), MATCH($B10, 'Daily 스피킹 raw'!$1:$1, 0)), ""), IF(val=0, "", val))</f>
        <v/>
      </c>
      <c r="BZ10" s="54" t="str">
        <f t="array" ref="BZ10">LET(val, IFERROR(INDEX('Daily 스피킹 raw'!$A:$Z, MATCH(BZ$2, 'Daily 스피킹 raw'!$A:$A, 0), MATCH($B10, 'Daily 스피킹 raw'!$1:$1, 0)), ""), IF(val=0, "", val))</f>
        <v/>
      </c>
      <c r="CA10" s="54" t="str">
        <f t="array" ref="CA10">LET(val, IFERROR(INDEX('Daily 스피킹 raw'!$A:$Z, MATCH(CA$2, 'Daily 스피킹 raw'!$A:$A, 0), MATCH($B10, 'Daily 스피킹 raw'!$1:$1, 0)), ""), IF(val=0, "", val))</f>
        <v/>
      </c>
      <c r="CB10" s="54" t="str">
        <f t="array" ref="CB10">LET(val, IFERROR(INDEX('Daily 스피킹 raw'!$A:$Z, MATCH(CB$2, 'Daily 스피킹 raw'!$A:$A, 0), MATCH($B10, 'Daily 스피킹 raw'!$1:$1, 0)), ""), IF(val=0, "", val))</f>
        <v/>
      </c>
      <c r="CC10" s="54" t="str">
        <f t="array" ref="CC10">LET(val, IFERROR(INDEX('Daily 스피킹 raw'!$A:$Z, MATCH(CC$2, 'Daily 스피킹 raw'!$A:$A, 0), MATCH($B10, 'Daily 스피킹 raw'!$1:$1, 0)), ""), IF(val=0, "", val))</f>
        <v/>
      </c>
      <c r="CD10" s="54" t="str">
        <f t="array" ref="CD10">LET(val, IFERROR(INDEX('Daily 스피킹 raw'!$A:$Z, MATCH(CD$2, 'Daily 스피킹 raw'!$A:$A, 0), MATCH($B10, 'Daily 스피킹 raw'!$1:$1, 0)), ""), IF(val=0, "", val))</f>
        <v/>
      </c>
      <c r="CE10" s="54" t="str">
        <f t="array" ref="CE10">LET(val, IFERROR(INDEX('Daily 스피킹 raw'!$A:$Z, MATCH(CE$2, 'Daily 스피킹 raw'!$A:$A, 0), MATCH($B10, 'Daily 스피킹 raw'!$1:$1, 0)), ""), IF(val=0, "", val))</f>
        <v/>
      </c>
      <c r="CF10" s="54" t="str">
        <f t="array" ref="CF10">LET(val, IFERROR(INDEX('Daily 스피킹 raw'!$A:$Z, MATCH(CF$2, 'Daily 스피킹 raw'!$A:$A, 0), MATCH($B10, 'Daily 스피킹 raw'!$1:$1, 0)), ""), IF(val=0, "", val))</f>
        <v/>
      </c>
      <c r="CG10" s="54" t="str">
        <f t="array" ref="CG10">LET(val, IFERROR(INDEX('Daily 스피킹 raw'!$A:$Z, MATCH(CG$2, 'Daily 스피킹 raw'!$A:$A, 0), MATCH($B10, 'Daily 스피킹 raw'!$1:$1, 0)), ""), IF(val=0, "", val))</f>
        <v/>
      </c>
      <c r="CH10" s="54" t="str">
        <f t="array" ref="CH10">LET(val, IFERROR(INDEX('Daily 스피킹 raw'!$A:$Z, MATCH(CH$2, 'Daily 스피킹 raw'!$A:$A, 0), MATCH($B10, 'Daily 스피킹 raw'!$1:$1, 0)), ""), IF(val=0, "", val))</f>
        <v/>
      </c>
      <c r="CI10" s="54" t="str">
        <f t="array" ref="CI10">LET(val, IFERROR(INDEX('Daily 스피킹 raw'!$A:$Z, MATCH(CI$2, 'Daily 스피킹 raw'!$A:$A, 0), MATCH($B10, 'Daily 스피킹 raw'!$1:$1, 0)), ""), IF(val=0, "", val))</f>
        <v/>
      </c>
      <c r="CJ10" s="54" t="str">
        <f t="array" ref="CJ10">LET(val, IFERROR(INDEX('Daily 스피킹 raw'!$A:$Z, MATCH(CJ$2, 'Daily 스피킹 raw'!$A:$A, 0), MATCH($B10, 'Daily 스피킹 raw'!$1:$1, 0)), ""), IF(val=0, "", val))</f>
        <v/>
      </c>
      <c r="CK10" s="54" t="str">
        <f t="array" ref="CK10">LET(val, IFERROR(INDEX('Daily 스피킹 raw'!$A:$Z, MATCH(CK$2, 'Daily 스피킹 raw'!$A:$A, 0), MATCH($B10, 'Daily 스피킹 raw'!$1:$1, 0)), ""), IF(val=0, "", val))</f>
        <v/>
      </c>
      <c r="CL10" s="54" t="str">
        <f t="array" ref="CL10">LET(val, IFERROR(INDEX('Daily 스피킹 raw'!$A:$Z, MATCH(CL$2, 'Daily 스피킹 raw'!$A:$A, 0), MATCH($B10, 'Daily 스피킹 raw'!$1:$1, 0)), ""), IF(val=0, "", val))</f>
        <v/>
      </c>
      <c r="CM10" s="54" t="str">
        <f t="array" ref="CM10">LET(val, IFERROR(INDEX('Daily 스피킹 raw'!$A:$Z, MATCH(CM$2, 'Daily 스피킹 raw'!$A:$A, 0), MATCH($B10, 'Daily 스피킹 raw'!$1:$1, 0)), ""), IF(val=0, "", val))</f>
        <v/>
      </c>
      <c r="CN10" s="54" t="str">
        <f t="array" ref="CN10">LET(val, IFERROR(INDEX('Daily 스피킹 raw'!$A:$Z, MATCH(CN$2, 'Daily 스피킹 raw'!$A:$A, 0), MATCH($B10, 'Daily 스피킹 raw'!$1:$1, 0)), ""), IF(val=0, "", val))</f>
        <v/>
      </c>
      <c r="CO10" s="54" t="str">
        <f t="array" ref="CO10">LET(val, IFERROR(INDEX('Daily 스피킹 raw'!$A:$Z, MATCH(CO$2, 'Daily 스피킹 raw'!$A:$A, 0), MATCH($B10, 'Daily 스피킹 raw'!$1:$1, 0)), ""), IF(val=0, "", val))</f>
        <v/>
      </c>
      <c r="CP10" s="54" t="str">
        <f t="array" ref="CP10">LET(val, IFERROR(INDEX('Daily 스피킹 raw'!$A:$Z, MATCH(CP$2, 'Daily 스피킹 raw'!$A:$A, 0), MATCH($B10, 'Daily 스피킹 raw'!$1:$1, 0)), ""), IF(val=0, "", val))</f>
        <v/>
      </c>
      <c r="CQ10" s="54" t="str">
        <f t="array" ref="CQ10">LET(val, IFERROR(INDEX('Daily 스피킹 raw'!$A:$Z, MATCH(CQ$2, 'Daily 스피킹 raw'!$A:$A, 0), MATCH($B10, 'Daily 스피킹 raw'!$1:$1, 0)), ""), IF(val=0, "", val))</f>
        <v/>
      </c>
      <c r="CR10" s="54" t="str">
        <f t="array" ref="CR10">LET(val, IFERROR(INDEX('Daily 스피킹 raw'!$A:$Z, MATCH(CR$2, 'Daily 스피킹 raw'!$A:$A, 0), MATCH($B10, 'Daily 스피킹 raw'!$1:$1, 0)), ""), IF(val=0, "", val))</f>
        <v/>
      </c>
      <c r="CS10" s="54" t="str">
        <f t="array" ref="CS10">LET(val, IFERROR(INDEX('Daily 스피킹 raw'!$A:$Z, MATCH(CS$2, 'Daily 스피킹 raw'!$A:$A, 0), MATCH($B10, 'Daily 스피킹 raw'!$1:$1, 0)), ""), IF(val=0, "", val))</f>
        <v/>
      </c>
      <c r="CT10" s="54" t="str">
        <f t="array" ref="CT10">LET(val, IFERROR(INDEX('Daily 스피킹 raw'!$A:$Z, MATCH(CT$2, 'Daily 스피킹 raw'!$A:$A, 0), MATCH($B10, 'Daily 스피킹 raw'!$1:$1, 0)), ""), IF(val=0, "", val))</f>
        <v/>
      </c>
      <c r="CU10" s="54" t="str">
        <f t="array" ref="CU10">LET(val, IFERROR(INDEX('Daily 스피킹 raw'!$A:$Z, MATCH(CU$2, 'Daily 스피킹 raw'!$A:$A, 0), MATCH($B10, 'Daily 스피킹 raw'!$1:$1, 0)), ""), IF(val=0, "", val))</f>
        <v/>
      </c>
      <c r="CV10" s="54" t="str">
        <f t="array" ref="CV10">LET(val, IFERROR(INDEX('Daily 스피킹 raw'!$A:$Z, MATCH(CV$2, 'Daily 스피킹 raw'!$A:$A, 0), MATCH($B10, 'Daily 스피킹 raw'!$1:$1, 0)), ""), IF(val=0, "", val))</f>
        <v/>
      </c>
      <c r="CW10" s="54" t="str">
        <f t="array" ref="CW10">LET(val, IFERROR(INDEX('Daily 스피킹 raw'!$A:$Z, MATCH(CW$2, 'Daily 스피킹 raw'!$A:$A, 0), MATCH($B10, 'Daily 스피킹 raw'!$1:$1, 0)), ""), IF(val=0, "", val))</f>
        <v/>
      </c>
    </row>
    <row r="11" ht="22.5" customHeight="1">
      <c r="A11" s="28"/>
      <c r="B11" s="23" t="s">
        <v>26</v>
      </c>
      <c r="C11" s="28" t="s">
        <v>27</v>
      </c>
      <c r="D11" s="44">
        <f t="array" ref="D11">LET(val, IFERROR(INDEX('Daily 스피킹 raw'!$A:$Z, MATCH(D$2, 'Daily 스피킹 raw'!$A:$A, 0), MATCH($B11, 'Daily 스피킹 raw'!$1:$1, 0)), ""), IF(val=0, "", val))</f>
        <v>387000</v>
      </c>
      <c r="E11" s="44">
        <f t="array" ref="E11">LET(val, IFERROR(INDEX('Daily 스피킹 raw'!$A:$Z, MATCH(E$2, 'Daily 스피킹 raw'!$A:$A, 0), MATCH($B11, 'Daily 스피킹 raw'!$1:$1, 0)), ""), IF(val=0, "", val))</f>
        <v>129000</v>
      </c>
      <c r="F11" s="44">
        <f t="array" ref="F11">LET(val, IFERROR(INDEX('Daily 스피킹 raw'!$A:$Z, MATCH(F$2, 'Daily 스피킹 raw'!$A:$A, 0), MATCH($B11, 'Daily 스피킹 raw'!$1:$1, 0)), ""), IF(val=0, "", val))</f>
        <v>474000</v>
      </c>
      <c r="G11" s="44">
        <f t="array" ref="G11">LET(val, IFERROR(INDEX('Daily 스피킹 raw'!$A:$Z, MATCH(G$2, 'Daily 스피킹 raw'!$A:$A, 0), MATCH($B11, 'Daily 스피킹 raw'!$1:$1, 0)), ""), IF(val=0, "", val))</f>
        <v>258000</v>
      </c>
      <c r="H11" s="44">
        <f t="array" ref="H11">LET(val, IFERROR(INDEX('Daily 스피킹 raw'!$A:$Z, MATCH(H$2, 'Daily 스피킹 raw'!$A:$A, 0), MATCH($B11, 'Daily 스피킹 raw'!$1:$1, 0)), ""), IF(val=0, "", val))</f>
        <v>158000</v>
      </c>
      <c r="I11" s="44">
        <f t="array" ref="I11">LET(val, IFERROR(INDEX('Daily 스피킹 raw'!$A:$Z, MATCH(I$2, 'Daily 스피킹 raw'!$A:$A, 0), MATCH($B11, 'Daily 스피킹 raw'!$1:$1, 0)), ""), IF(val=0, "", val))</f>
        <v>774000</v>
      </c>
      <c r="J11" s="44">
        <f t="array" ref="J11">LET(val, IFERROR(INDEX('Daily 스피킹 raw'!$A:$Z, MATCH(J$2, 'Daily 스피킹 raw'!$A:$A, 0), MATCH($B11, 'Daily 스피킹 raw'!$1:$1, 0)), ""), IF(val=0, "", val))</f>
        <v>590000</v>
      </c>
      <c r="K11" s="44">
        <f t="array" ref="K11">LET(val, IFERROR(INDEX('Daily 스피킹 raw'!$A:$Z, MATCH(K$2, 'Daily 스피킹 raw'!$A:$A, 0), MATCH($B11, 'Daily 스피킹 raw'!$1:$1, 0)), ""), IF(val=0, "", val))</f>
        <v>574000</v>
      </c>
      <c r="L11" s="44">
        <f t="array" ref="L11">LET(val, IFERROR(INDEX('Daily 스피킹 raw'!$A:$Z, MATCH(L$2, 'Daily 스피킹 raw'!$A:$A, 0), MATCH($B11, 'Daily 스피킹 raw'!$1:$1, 0)), ""), IF(val=0, "", val))</f>
        <v>861000</v>
      </c>
      <c r="M11" s="44">
        <f t="array" ref="M11">LET(val, IFERROR(INDEX('Daily 스피킹 raw'!$A:$Z, MATCH(M$2, 'Daily 스피킹 raw'!$A:$A, 0), MATCH($B11, 'Daily 스피킹 raw'!$1:$1, 0)), ""), IF(val=0, "", val))</f>
        <v>1851000</v>
      </c>
      <c r="N11" s="44">
        <f t="array" ref="N11">LET(val, IFERROR(INDEX('Daily 스피킹 raw'!$A:$Z, MATCH(N$2, 'Daily 스피킹 raw'!$A:$A, 0), MATCH($B11, 'Daily 스피킹 raw'!$1:$1, 0)), ""), IF(val=0, "", val))</f>
        <v>919000</v>
      </c>
      <c r="O11" s="44">
        <f t="array" ref="O11">LET(val, IFERROR(INDEX('Daily 스피킹 raw'!$A:$Z, MATCH(O$2, 'Daily 스피킹 raw'!$A:$A, 0), MATCH($B11, 'Daily 스피킹 raw'!$1:$1, 0)), ""), IF(val=0, "", val))</f>
        <v>345000</v>
      </c>
      <c r="P11" s="44">
        <f t="array" ref="P11">LET(val, IFERROR(INDEX('Daily 스피킹 raw'!$A:$Z, MATCH(P$2, 'Daily 스피킹 raw'!$A:$A, 0), MATCH($B11, 'Daily 스피킹 raw'!$1:$1, 0)), ""), IF(val=0, "", val))</f>
        <v>303000</v>
      </c>
      <c r="Q11" s="44">
        <f t="array" ref="Q11">LET(val, IFERROR(INDEX('Daily 스피킹 raw'!$A:$Z, MATCH(Q$2, 'Daily 스피킹 raw'!$A:$A, 0), MATCH($B11, 'Daily 스피킹 raw'!$1:$1, 0)), ""), IF(val=0, "", val))</f>
        <v>645000</v>
      </c>
      <c r="R11" s="44">
        <f t="array" ref="R11">LET(val, IFERROR(INDEX('Daily 스피킹 raw'!$A:$Z, MATCH(R$2, 'Daily 스피킹 raw'!$A:$A, 0), MATCH($B11, 'Daily 스피킹 raw'!$1:$1, 0)), ""), IF(val=0, "", val))</f>
        <v>861000</v>
      </c>
      <c r="S11" s="44">
        <f t="array" ref="S11">LET(val, IFERROR(INDEX('Daily 스피킹 raw'!$A:$Z, MATCH(S$2, 'Daily 스피킹 raw'!$A:$A, 0), MATCH($B11, 'Daily 스피킹 raw'!$1:$1, 0)), ""), IF(val=0, "", val))</f>
        <v>474000</v>
      </c>
      <c r="T11" s="44">
        <f t="array" ref="T11">LET(val, IFERROR(INDEX('Daily 스피킹 raw'!$A:$Z, MATCH(T$2, 'Daily 스피킹 raw'!$A:$A, 0), MATCH($B11, 'Daily 스피킹 raw'!$1:$1, 0)), ""), IF(val=0, "", val))</f>
        <v>445000</v>
      </c>
      <c r="U11" s="44">
        <f t="array" ref="U11">LET(val, IFERROR(INDEX('Daily 스피킹 raw'!$A:$Z, MATCH(U$2, 'Daily 스피킹 raw'!$A:$A, 0), MATCH($B11, 'Daily 스피킹 raw'!$1:$1, 0)), ""), IF(val=0, "", val))</f>
        <v>387000</v>
      </c>
      <c r="V11" s="44">
        <f t="array" ref="V11">LET(val, IFERROR(INDEX('Daily 스피킹 raw'!$A:$Z, MATCH(V$2, 'Daily 스피킹 raw'!$A:$A, 0), MATCH($B11, 'Daily 스피킹 raw'!$1:$1, 0)), ""), IF(val=0, "", val))</f>
        <v>574000</v>
      </c>
      <c r="W11" s="44">
        <f t="array" ref="W11">LET(val, IFERROR(INDEX('Daily 스피킹 raw'!$A:$Z, MATCH(W$2, 'Daily 스피킹 raw'!$A:$A, 0), MATCH($B11, 'Daily 스피킹 raw'!$1:$1, 0)), ""), IF(val=0, "", val))</f>
        <v>832000</v>
      </c>
      <c r="X11" s="44">
        <f t="array" ref="X11">LET(val, IFERROR(INDEX('Daily 스피킹 raw'!$A:$Z, MATCH(X$2, 'Daily 스피킹 raw'!$A:$A, 0), MATCH($B11, 'Daily 스피킹 raw'!$1:$1, 0)), ""), IF(val=0, "", val))</f>
        <v>374000</v>
      </c>
      <c r="Y11" s="44">
        <f t="array" ref="Y11">LET(val, IFERROR(INDEX('Daily 스피킹 raw'!$A:$Z, MATCH(Y$2, 'Daily 스피킹 raw'!$A:$A, 0), MATCH($B11, 'Daily 스피킹 raw'!$1:$1, 0)), ""), IF(val=0, "", val))</f>
        <v>416000</v>
      </c>
      <c r="Z11" s="44">
        <f t="array" ref="Z11">LET(val, IFERROR(INDEX('Daily 스피킹 raw'!$A:$Z, MATCH(Z$2, 'Daily 스피킹 raw'!$A:$A, 0), MATCH($B11, 'Daily 스피킹 raw'!$1:$1, 0)), ""), IF(val=0, "", val))</f>
        <v>258000</v>
      </c>
      <c r="AA11" s="44">
        <f t="array" ref="AA11">LET(val, IFERROR(INDEX('Daily 스피킹 raw'!$A:$Z, MATCH(AA$2, 'Daily 스피킹 raw'!$A:$A, 0), MATCH($B11, 'Daily 스피킹 raw'!$1:$1, 0)), ""), IF(val=0, "", val))</f>
        <v>632000</v>
      </c>
      <c r="AB11" s="44">
        <f t="array" ref="AB11">LET(val, IFERROR(INDEX('Daily 스피킹 raw'!$A:$Z, MATCH(AB$2, 'Daily 스피킹 raw'!$A:$A, 0), MATCH($B11, 'Daily 스피킹 raw'!$1:$1, 0)), ""), IF(val=0, "", val))</f>
        <v>545000</v>
      </c>
      <c r="AC11" s="44">
        <f t="array" ref="AC11">LET(val, IFERROR(INDEX('Daily 스피킹 raw'!$A:$Z, MATCH(AC$2, 'Daily 스피킹 raw'!$A:$A, 0), MATCH($B11, 'Daily 스피킹 raw'!$1:$1, 0)), ""), IF(val=0, "", val))</f>
        <v>703000</v>
      </c>
      <c r="AD11" s="44">
        <f t="array" ref="AD11">LET(val, IFERROR(INDEX('Daily 스피킹 raw'!$A:$Z, MATCH(AD$2, 'Daily 스피킹 raw'!$A:$A, 0), MATCH($B11, 'Daily 스피킹 raw'!$1:$1, 0)), ""), IF(val=0, "", val))</f>
        <v>703000</v>
      </c>
      <c r="AE11" s="44">
        <f t="array" ref="AE11">LET(val, IFERROR(INDEX('Daily 스피킹 raw'!$A:$Z, MATCH(AE$2, 'Daily 스피킹 raw'!$A:$A, 0), MATCH($B11, 'Daily 스피킹 raw'!$1:$1, 0)), ""), IF(val=0, "", val))</f>
        <v>561000</v>
      </c>
      <c r="AF11" s="44">
        <f t="array" ref="AF11">LET(val, IFERROR(INDEX('Daily 스피킹 raw'!$A:$Z, MATCH(AF$2, 'Daily 스피킹 raw'!$A:$A, 0), MATCH($B11, 'Daily 스피킹 raw'!$1:$1, 0)), ""), IF(val=0, "", val))</f>
        <v>316000</v>
      </c>
      <c r="AG11" s="44">
        <f t="array" ref="AG11">LET(val, IFERROR(INDEX('Daily 스피킹 raw'!$A:$Z, MATCH(AG$2, 'Daily 스피킹 raw'!$A:$A, 0), MATCH($B11, 'Daily 스피킹 raw'!$1:$1, 0)), ""), IF(val=0, "", val))</f>
        <v>445000</v>
      </c>
      <c r="AH11" s="44">
        <f t="array" ref="AH11">LET(val, IFERROR(INDEX('Daily 스피킹 raw'!$A:$Z, MATCH(AH$2, 'Daily 스피킹 raw'!$A:$A, 0), MATCH($B11, 'Daily 스피킹 raw'!$1:$1, 0)), ""), IF(val=0, "", val))</f>
        <v>345000</v>
      </c>
      <c r="AI11" s="44">
        <f t="array" ref="AI11">LET(val, IFERROR(INDEX('Daily 스피킹 raw'!$A:$Z, MATCH(AI$2, 'Daily 스피킹 raw'!$A:$A, 0), MATCH($B11, 'Daily 스피킹 raw'!$1:$1, 0)), ""), IF(val=0, "", val))</f>
        <v>674000</v>
      </c>
      <c r="AJ11" s="44">
        <f t="array" ref="AJ11">LET(val, IFERROR(INDEX('Daily 스피킹 raw'!$A:$Z, MATCH(AJ$2, 'Daily 스피킹 raw'!$A:$A, 0), MATCH($B11, 'Daily 스피킹 raw'!$1:$1, 0)), ""), IF(val=0, "", val))</f>
        <v>545000</v>
      </c>
      <c r="AK11" s="44">
        <f t="array" ref="AK11">LET(val, IFERROR(INDEX('Daily 스피킹 raw'!$A:$Z, MATCH(AK$2, 'Daily 스피킹 raw'!$A:$A, 0), MATCH($B11, 'Daily 스피킹 raw'!$1:$1, 0)), ""), IF(val=0, "", val))</f>
        <v>216000</v>
      </c>
      <c r="AL11" s="44">
        <f t="array" ref="AL11">LET(val, IFERROR(INDEX('Daily 스피킹 raw'!$A:$Z, MATCH(AL$2, 'Daily 스피킹 raw'!$A:$A, 0), MATCH($B11, 'Daily 스피킹 raw'!$1:$1, 0)), ""), IF(val=0, "", val))</f>
        <v>58000</v>
      </c>
      <c r="AM11" s="44">
        <f t="array" ref="AM11">LET(val, IFERROR(INDEX('Daily 스피킹 raw'!$A:$Z, MATCH(AM$2, 'Daily 스피킹 raw'!$A:$A, 0), MATCH($B11, 'Daily 스피킹 raw'!$1:$1, 0)), ""), IF(val=0, "", val))</f>
        <v>316000</v>
      </c>
      <c r="AN11" s="44">
        <f t="array" ref="AN11">LET(val, IFERROR(INDEX('Daily 스피킹 raw'!$A:$Z, MATCH(AN$2, 'Daily 스피킹 raw'!$A:$A, 0), MATCH($B11, 'Daily 스피킹 raw'!$1:$1, 0)), ""), IF(val=0, "", val))</f>
        <v>316000</v>
      </c>
      <c r="AO11" s="44">
        <f t="array" ref="AO11">LET(val, IFERROR(INDEX('Daily 스피킹 raw'!$A:$Z, MATCH(AO$2, 'Daily 스피킹 raw'!$A:$A, 0), MATCH($B11, 'Daily 스피킹 raw'!$1:$1, 0)), ""), IF(val=0, "", val))</f>
        <v>432000</v>
      </c>
      <c r="AP11" s="44">
        <f t="array" ref="AP11">LET(val, IFERROR(INDEX('Daily 스피킹 raw'!$A:$Z, MATCH(AP$2, 'Daily 스피킹 raw'!$A:$A, 0), MATCH($B11, 'Daily 스피킹 raw'!$1:$1, 0)), ""), IF(val=0, "", val))</f>
        <v>29000</v>
      </c>
      <c r="AQ11" s="44">
        <f t="array" ref="AQ11">LET(val, IFERROR(INDEX('Daily 스피킹 raw'!$A:$Z, MATCH(AQ$2, 'Daily 스피킹 raw'!$A:$A, 0), MATCH($B11, 'Daily 스피킹 raw'!$1:$1, 0)), ""), IF(val=0, "", val))</f>
        <v>316000</v>
      </c>
      <c r="AR11" s="44">
        <f t="array" ref="AR11">LET(val, IFERROR(INDEX('Daily 스피킹 raw'!$A:$Z, MATCH(AR$2, 'Daily 스피킹 raw'!$A:$A, 0), MATCH($B11, 'Daily 스피킹 raw'!$1:$1, 0)), ""), IF(val=0, "", val))</f>
        <v>603000</v>
      </c>
      <c r="AS11" s="44">
        <f t="array" ref="AS11">LET(val, IFERROR(INDEX('Daily 스피킹 raw'!$A:$Z, MATCH(AS$2, 'Daily 스피킹 raw'!$A:$A, 0), MATCH($B11, 'Daily 스피킹 raw'!$1:$1, 0)), ""), IF(val=0, "", val))</f>
        <v>374000</v>
      </c>
      <c r="AT11" s="44">
        <f t="array" ref="AT11">LET(val, IFERROR(INDEX('Daily 스피킹 raw'!$A:$Z, MATCH(AT$2, 'Daily 스피킹 raw'!$A:$A, 0), MATCH($B11, 'Daily 스피킹 raw'!$1:$1, 0)), ""), IF(val=0, "", val))</f>
        <v>445000</v>
      </c>
      <c r="AU11" s="44">
        <f t="array" ref="AU11">LET(val, IFERROR(INDEX('Daily 스피킹 raw'!$A:$Z, MATCH(AU$2, 'Daily 스피킹 raw'!$A:$A, 0), MATCH($B11, 'Daily 스피킹 raw'!$1:$1, 0)), ""), IF(val=0, "", val))</f>
        <v>532000</v>
      </c>
      <c r="AV11" s="44">
        <f t="array" ref="AV11">LET(val, IFERROR(INDEX('Daily 스피킹 raw'!$A:$Z, MATCH(AV$2, 'Daily 스피킹 raw'!$A:$A, 0), MATCH($B11, 'Daily 스피킹 raw'!$1:$1, 0)), ""), IF(val=0, "", val))</f>
        <v>574000</v>
      </c>
      <c r="AW11" s="44">
        <f t="array" ref="AW11">LET(val, IFERROR(INDEX('Daily 스피킹 raw'!$A:$Z, MATCH(AW$2, 'Daily 스피킹 raw'!$A:$A, 0), MATCH($B11, 'Daily 스피킹 raw'!$1:$1, 0)), ""), IF(val=0, "", val))</f>
        <v>674000</v>
      </c>
      <c r="AX11" s="44">
        <f t="array" ref="AX11">LET(val, IFERROR(INDEX('Daily 스피킹 raw'!$A:$Z, MATCH(AX$2, 'Daily 스피킹 raw'!$A:$A, 0), MATCH($B11, 'Daily 스피킹 raw'!$1:$1, 0)), ""), IF(val=0, "", val))</f>
        <v>861000</v>
      </c>
      <c r="AY11" s="44">
        <f t="array" ref="AY11">LET(val, IFERROR(INDEX('Daily 스피킹 raw'!$A:$Z, MATCH(AY$2, 'Daily 스피킹 raw'!$A:$A, 0), MATCH($B11, 'Daily 스피킹 raw'!$1:$1, 0)), ""), IF(val=0, "", val))</f>
        <v>245000</v>
      </c>
      <c r="AZ11" s="44">
        <f t="array" ref="AZ11">LET(val, IFERROR(INDEX('Daily 스피킹 raw'!$A:$Z, MATCH(AZ$2, 'Daily 스피킹 raw'!$A:$A, 0), MATCH($B11, 'Daily 스피킹 raw'!$1:$1, 0)), ""), IF(val=0, "", val))</f>
        <v>129000</v>
      </c>
      <c r="BA11" s="44">
        <f t="array" ref="BA11">LET(val, IFERROR(INDEX('Daily 스피킹 raw'!$A:$Z, MATCH(BA$2, 'Daily 스피킹 raw'!$A:$A, 0), MATCH($B11, 'Daily 스피킹 raw'!$1:$1, 0)), ""), IF(val=0, "", val))</f>
        <v>345000</v>
      </c>
      <c r="BB11" s="44">
        <f t="array" ref="BB11">LET(val, IFERROR(INDEX('Daily 스피킹 raw'!$A:$Z, MATCH(BB$2, 'Daily 스피킹 raw'!$A:$A, 0), MATCH($B11, 'Daily 스피킹 raw'!$1:$1, 0)), ""), IF(val=0, "", val))</f>
        <v>274000</v>
      </c>
      <c r="BC11" s="44">
        <f t="array" ref="BC11">LET(val, IFERROR(INDEX('Daily 스피킹 raw'!$A:$Z, MATCH(BC$2, 'Daily 스피킹 raw'!$A:$A, 0), MATCH($B11, 'Daily 스피킹 raw'!$1:$1, 0)), ""), IF(val=0, "", val))</f>
        <v>245000</v>
      </c>
      <c r="BD11" s="44">
        <f t="array" ref="BD11">LET(val, IFERROR(INDEX('Daily 스피킹 raw'!$A:$Z, MATCH(BD$2, 'Daily 스피킹 raw'!$A:$A, 0), MATCH($B11, 'Daily 스피킹 raw'!$1:$1, 0)), ""), IF(val=0, "", val))</f>
        <v>316000</v>
      </c>
      <c r="BE11" s="44">
        <f t="array" ref="BE11">LET(val, IFERROR(INDEX('Daily 스피킹 raw'!$A:$Z, MATCH(BE$2, 'Daily 스피킹 raw'!$A:$A, 0), MATCH($B11, 'Daily 스피킹 raw'!$1:$1, 0)), ""), IF(val=0, "", val))</f>
        <v>158000</v>
      </c>
      <c r="BF11" s="44">
        <f t="array" ref="BF11">LET(val, IFERROR(INDEX('Daily 스피킹 raw'!$A:$Z, MATCH(BF$2, 'Daily 스피킹 raw'!$A:$A, 0), MATCH($B11, 'Daily 스피킹 raw'!$1:$1, 0)), ""), IF(val=0, "", val))</f>
        <v>387000</v>
      </c>
      <c r="BG11" s="44">
        <f t="array" ref="BG11">LET(val, IFERROR(INDEX('Daily 스피킹 raw'!$A:$Z, MATCH(BG$2, 'Daily 스피킹 raw'!$A:$A, 0), MATCH($B11, 'Daily 스피킹 raw'!$1:$1, 0)), ""), IF(val=0, "", val))</f>
        <v>258000</v>
      </c>
      <c r="BH11" s="44">
        <f t="array" ref="BH11">LET(val, IFERROR(INDEX('Daily 스피킹 raw'!$A:$Z, MATCH(BH$2, 'Daily 스피킹 raw'!$A:$A, 0), MATCH($B11, 'Daily 스피킹 raw'!$1:$1, 0)), ""), IF(val=0, "", val))</f>
        <v>374000</v>
      </c>
      <c r="BI11" s="44">
        <f t="array" ref="BI11">LET(val, IFERROR(INDEX('Daily 스피킹 raw'!$A:$Z, MATCH(BI$2, 'Daily 스피킹 raw'!$A:$A, 0), MATCH($B11, 'Daily 스피킹 raw'!$1:$1, 0)), ""), IF(val=0, "", val))</f>
        <v>245000</v>
      </c>
      <c r="BJ11" s="44">
        <f t="array" ref="BJ11">LET(val, IFERROR(INDEX('Daily 스피킹 raw'!$A:$Z, MATCH(BJ$2, 'Daily 스피킹 raw'!$A:$A, 0), MATCH($B11, 'Daily 스피킹 raw'!$1:$1, 0)), ""), IF(val=0, "", val))</f>
        <v>87000</v>
      </c>
      <c r="BK11" s="44">
        <f t="array" ref="BK11">LET(val, IFERROR(INDEX('Daily 스피킹 raw'!$A:$Z, MATCH(BK$2, 'Daily 스피킹 raw'!$A:$A, 0), MATCH($B11, 'Daily 스피킹 raw'!$1:$1, 0)), ""), IF(val=0, "", val))</f>
        <v>416000</v>
      </c>
      <c r="BL11" s="44">
        <f t="array" ref="BL11">LET(val, IFERROR(INDEX('Daily 스피킹 raw'!$A:$Z, MATCH(BL$2, 'Daily 스피킹 raw'!$A:$A, 0), MATCH($B11, 'Daily 스피킹 raw'!$1:$1, 0)), ""), IF(val=0, "", val))</f>
        <v>445000</v>
      </c>
      <c r="BM11" s="44" t="str">
        <f t="array" ref="BM11">LET(val, IFERROR(INDEX('Daily 스피킹 raw'!$A:$Z, MATCH(BM$2, 'Daily 스피킹 raw'!$A:$A, 0), MATCH($B11, 'Daily 스피킹 raw'!$1:$1, 0)), ""), IF(val=0, "", val))</f>
        <v/>
      </c>
      <c r="BN11" s="44" t="str">
        <f t="array" ref="BN11">LET(val, IFERROR(INDEX('Daily 스피킹 raw'!$A:$Z, MATCH(BN$2, 'Daily 스피킹 raw'!$A:$A, 0), MATCH($B11, 'Daily 스피킹 raw'!$1:$1, 0)), ""), IF(val=0, "", val))</f>
        <v/>
      </c>
      <c r="BO11" s="44" t="str">
        <f t="array" ref="BO11">LET(val, IFERROR(INDEX('Daily 스피킹 raw'!$A:$Z, MATCH(BO$2, 'Daily 스피킹 raw'!$A:$A, 0), MATCH($B11, 'Daily 스피킹 raw'!$1:$1, 0)), ""), IF(val=0, "", val))</f>
        <v/>
      </c>
      <c r="BP11" s="44" t="str">
        <f t="array" ref="BP11">LET(val, IFERROR(INDEX('Daily 스피킹 raw'!$A:$Z, MATCH(BP$2, 'Daily 스피킹 raw'!$A:$A, 0), MATCH($B11, 'Daily 스피킹 raw'!$1:$1, 0)), ""), IF(val=0, "", val))</f>
        <v/>
      </c>
      <c r="BQ11" s="44" t="str">
        <f t="array" ref="BQ11">LET(val, IFERROR(INDEX('Daily 스피킹 raw'!$A:$Z, MATCH(BQ$2, 'Daily 스피킹 raw'!$A:$A, 0), MATCH($B11, 'Daily 스피킹 raw'!$1:$1, 0)), ""), IF(val=0, "", val))</f>
        <v/>
      </c>
      <c r="BR11" s="44" t="str">
        <f t="array" ref="BR11">LET(val, IFERROR(INDEX('Daily 스피킹 raw'!$A:$Z, MATCH(BR$2, 'Daily 스피킹 raw'!$A:$A, 0), MATCH($B11, 'Daily 스피킹 raw'!$1:$1, 0)), ""), IF(val=0, "", val))</f>
        <v/>
      </c>
      <c r="BS11" s="44" t="str">
        <f t="array" ref="BS11">LET(val, IFERROR(INDEX('Daily 스피킹 raw'!$A:$Z, MATCH(BS$2, 'Daily 스피킹 raw'!$A:$A, 0), MATCH($B11, 'Daily 스피킹 raw'!$1:$1, 0)), ""), IF(val=0, "", val))</f>
        <v/>
      </c>
      <c r="BT11" s="44" t="str">
        <f t="array" ref="BT11">LET(val, IFERROR(INDEX('Daily 스피킹 raw'!$A:$Z, MATCH(BT$2, 'Daily 스피킹 raw'!$A:$A, 0), MATCH($B11, 'Daily 스피킹 raw'!$1:$1, 0)), ""), IF(val=0, "", val))</f>
        <v/>
      </c>
      <c r="BU11" s="44" t="str">
        <f t="array" ref="BU11">LET(val, IFERROR(INDEX('Daily 스피킹 raw'!$A:$Z, MATCH(BU$2, 'Daily 스피킹 raw'!$A:$A, 0), MATCH($B11, 'Daily 스피킹 raw'!$1:$1, 0)), ""), IF(val=0, "", val))</f>
        <v/>
      </c>
      <c r="BV11" s="44" t="str">
        <f t="array" ref="BV11">LET(val, IFERROR(INDEX('Daily 스피킹 raw'!$A:$Z, MATCH(BV$2, 'Daily 스피킹 raw'!$A:$A, 0), MATCH($B11, 'Daily 스피킹 raw'!$1:$1, 0)), ""), IF(val=0, "", val))</f>
        <v/>
      </c>
      <c r="BW11" s="44" t="str">
        <f t="array" ref="BW11">LET(val, IFERROR(INDEX('Daily 스피킹 raw'!$A:$Z, MATCH(BW$2, 'Daily 스피킹 raw'!$A:$A, 0), MATCH($B11, 'Daily 스피킹 raw'!$1:$1, 0)), ""), IF(val=0, "", val))</f>
        <v/>
      </c>
      <c r="BX11" s="44" t="str">
        <f t="array" ref="BX11">LET(val, IFERROR(INDEX('Daily 스피킹 raw'!$A:$Z, MATCH(BX$2, 'Daily 스피킹 raw'!$A:$A, 0), MATCH($B11, 'Daily 스피킹 raw'!$1:$1, 0)), ""), IF(val=0, "", val))</f>
        <v/>
      </c>
      <c r="BY11" s="44" t="str">
        <f t="array" ref="BY11">LET(val, IFERROR(INDEX('Daily 스피킹 raw'!$A:$Z, MATCH(BY$2, 'Daily 스피킹 raw'!$A:$A, 0), MATCH($B11, 'Daily 스피킹 raw'!$1:$1, 0)), ""), IF(val=0, "", val))</f>
        <v/>
      </c>
      <c r="BZ11" s="44" t="str">
        <f t="array" ref="BZ11">LET(val, IFERROR(INDEX('Daily 스피킹 raw'!$A:$Z, MATCH(BZ$2, 'Daily 스피킹 raw'!$A:$A, 0), MATCH($B11, 'Daily 스피킹 raw'!$1:$1, 0)), ""), IF(val=0, "", val))</f>
        <v/>
      </c>
      <c r="CA11" s="44" t="str">
        <f t="array" ref="CA11">LET(val, IFERROR(INDEX('Daily 스피킹 raw'!$A:$Z, MATCH(CA$2, 'Daily 스피킹 raw'!$A:$A, 0), MATCH($B11, 'Daily 스피킹 raw'!$1:$1, 0)), ""), IF(val=0, "", val))</f>
        <v/>
      </c>
      <c r="CB11" s="44" t="str">
        <f t="array" ref="CB11">LET(val, IFERROR(INDEX('Daily 스피킹 raw'!$A:$Z, MATCH(CB$2, 'Daily 스피킹 raw'!$A:$A, 0), MATCH($B11, 'Daily 스피킹 raw'!$1:$1, 0)), ""), IF(val=0, "", val))</f>
        <v/>
      </c>
      <c r="CC11" s="44" t="str">
        <f t="array" ref="CC11">LET(val, IFERROR(INDEX('Daily 스피킹 raw'!$A:$Z, MATCH(CC$2, 'Daily 스피킹 raw'!$A:$A, 0), MATCH($B11, 'Daily 스피킹 raw'!$1:$1, 0)), ""), IF(val=0, "", val))</f>
        <v/>
      </c>
      <c r="CD11" s="44" t="str">
        <f t="array" ref="CD11">LET(val, IFERROR(INDEX('Daily 스피킹 raw'!$A:$Z, MATCH(CD$2, 'Daily 스피킹 raw'!$A:$A, 0), MATCH($B11, 'Daily 스피킹 raw'!$1:$1, 0)), ""), IF(val=0, "", val))</f>
        <v/>
      </c>
      <c r="CE11" s="44" t="str">
        <f t="array" ref="CE11">LET(val, IFERROR(INDEX('Daily 스피킹 raw'!$A:$Z, MATCH(CE$2, 'Daily 스피킹 raw'!$A:$A, 0), MATCH($B11, 'Daily 스피킹 raw'!$1:$1, 0)), ""), IF(val=0, "", val))</f>
        <v/>
      </c>
      <c r="CF11" s="44" t="str">
        <f t="array" ref="CF11">LET(val, IFERROR(INDEX('Daily 스피킹 raw'!$A:$Z, MATCH(CF$2, 'Daily 스피킹 raw'!$A:$A, 0), MATCH($B11, 'Daily 스피킹 raw'!$1:$1, 0)), ""), IF(val=0, "", val))</f>
        <v/>
      </c>
      <c r="CG11" s="44" t="str">
        <f t="array" ref="CG11">LET(val, IFERROR(INDEX('Daily 스피킹 raw'!$A:$Z, MATCH(CG$2, 'Daily 스피킹 raw'!$A:$A, 0), MATCH($B11, 'Daily 스피킹 raw'!$1:$1, 0)), ""), IF(val=0, "", val))</f>
        <v/>
      </c>
      <c r="CH11" s="44" t="str">
        <f t="array" ref="CH11">LET(val, IFERROR(INDEX('Daily 스피킹 raw'!$A:$Z, MATCH(CH$2, 'Daily 스피킹 raw'!$A:$A, 0), MATCH($B11, 'Daily 스피킹 raw'!$1:$1, 0)), ""), IF(val=0, "", val))</f>
        <v/>
      </c>
      <c r="CI11" s="44" t="str">
        <f t="array" ref="CI11">LET(val, IFERROR(INDEX('Daily 스피킹 raw'!$A:$Z, MATCH(CI$2, 'Daily 스피킹 raw'!$A:$A, 0), MATCH($B11, 'Daily 스피킹 raw'!$1:$1, 0)), ""), IF(val=0, "", val))</f>
        <v/>
      </c>
      <c r="CJ11" s="44" t="str">
        <f t="array" ref="CJ11">LET(val, IFERROR(INDEX('Daily 스피킹 raw'!$A:$Z, MATCH(CJ$2, 'Daily 스피킹 raw'!$A:$A, 0), MATCH($B11, 'Daily 스피킹 raw'!$1:$1, 0)), ""), IF(val=0, "", val))</f>
        <v/>
      </c>
      <c r="CK11" s="44" t="str">
        <f t="array" ref="CK11">LET(val, IFERROR(INDEX('Daily 스피킹 raw'!$A:$Z, MATCH(CK$2, 'Daily 스피킹 raw'!$A:$A, 0), MATCH($B11, 'Daily 스피킹 raw'!$1:$1, 0)), ""), IF(val=0, "", val))</f>
        <v/>
      </c>
      <c r="CL11" s="44" t="str">
        <f t="array" ref="CL11">LET(val, IFERROR(INDEX('Daily 스피킹 raw'!$A:$Z, MATCH(CL$2, 'Daily 스피킹 raw'!$A:$A, 0), MATCH($B11, 'Daily 스피킹 raw'!$1:$1, 0)), ""), IF(val=0, "", val))</f>
        <v/>
      </c>
      <c r="CM11" s="44" t="str">
        <f t="array" ref="CM11">LET(val, IFERROR(INDEX('Daily 스피킹 raw'!$A:$Z, MATCH(CM$2, 'Daily 스피킹 raw'!$A:$A, 0), MATCH($B11, 'Daily 스피킹 raw'!$1:$1, 0)), ""), IF(val=0, "", val))</f>
        <v/>
      </c>
      <c r="CN11" s="44" t="str">
        <f t="array" ref="CN11">LET(val, IFERROR(INDEX('Daily 스피킹 raw'!$A:$Z, MATCH(CN$2, 'Daily 스피킹 raw'!$A:$A, 0), MATCH($B11, 'Daily 스피킹 raw'!$1:$1, 0)), ""), IF(val=0, "", val))</f>
        <v/>
      </c>
      <c r="CO11" s="44" t="str">
        <f t="array" ref="CO11">LET(val, IFERROR(INDEX('Daily 스피킹 raw'!$A:$Z, MATCH(CO$2, 'Daily 스피킹 raw'!$A:$A, 0), MATCH($B11, 'Daily 스피킹 raw'!$1:$1, 0)), ""), IF(val=0, "", val))</f>
        <v/>
      </c>
      <c r="CP11" s="44" t="str">
        <f t="array" ref="CP11">LET(val, IFERROR(INDEX('Daily 스피킹 raw'!$A:$Z, MATCH(CP$2, 'Daily 스피킹 raw'!$A:$A, 0), MATCH($B11, 'Daily 스피킹 raw'!$1:$1, 0)), ""), IF(val=0, "", val))</f>
        <v/>
      </c>
      <c r="CQ11" s="44" t="str">
        <f t="array" ref="CQ11">LET(val, IFERROR(INDEX('Daily 스피킹 raw'!$A:$Z, MATCH(CQ$2, 'Daily 스피킹 raw'!$A:$A, 0), MATCH($B11, 'Daily 스피킹 raw'!$1:$1, 0)), ""), IF(val=0, "", val))</f>
        <v/>
      </c>
      <c r="CR11" s="44" t="str">
        <f t="array" ref="CR11">LET(val, IFERROR(INDEX('Daily 스피킹 raw'!$A:$Z, MATCH(CR$2, 'Daily 스피킹 raw'!$A:$A, 0), MATCH($B11, 'Daily 스피킹 raw'!$1:$1, 0)), ""), IF(val=0, "", val))</f>
        <v/>
      </c>
      <c r="CS11" s="44" t="str">
        <f t="array" ref="CS11">LET(val, IFERROR(INDEX('Daily 스피킹 raw'!$A:$Z, MATCH(CS$2, 'Daily 스피킹 raw'!$A:$A, 0), MATCH($B11, 'Daily 스피킹 raw'!$1:$1, 0)), ""), IF(val=0, "", val))</f>
        <v/>
      </c>
      <c r="CT11" s="44" t="str">
        <f t="array" ref="CT11">LET(val, IFERROR(INDEX('Daily 스피킹 raw'!$A:$Z, MATCH(CT$2, 'Daily 스피킹 raw'!$A:$A, 0), MATCH($B11, 'Daily 스피킹 raw'!$1:$1, 0)), ""), IF(val=0, "", val))</f>
        <v/>
      </c>
      <c r="CU11" s="44" t="str">
        <f t="array" ref="CU11">LET(val, IFERROR(INDEX('Daily 스피킹 raw'!$A:$Z, MATCH(CU$2, 'Daily 스피킹 raw'!$A:$A, 0), MATCH($B11, 'Daily 스피킹 raw'!$1:$1, 0)), ""), IF(val=0, "", val))</f>
        <v/>
      </c>
      <c r="CV11" s="44" t="str">
        <f t="array" ref="CV11">LET(val, IFERROR(INDEX('Daily 스피킹 raw'!$A:$Z, MATCH(CV$2, 'Daily 스피킹 raw'!$A:$A, 0), MATCH($B11, 'Daily 스피킹 raw'!$1:$1, 0)), ""), IF(val=0, "", val))</f>
        <v/>
      </c>
      <c r="CW11" s="44" t="str">
        <f t="array" ref="CW11">LET(val, IFERROR(INDEX('Daily 스피킹 raw'!$A:$Z, MATCH(CW$2, 'Daily 스피킹 raw'!$A:$A, 0), MATCH($B11, 'Daily 스피킹 raw'!$1:$1, 0)), ""), IF(val=0, "", val))</f>
        <v/>
      </c>
    </row>
    <row r="12" ht="22.5" customHeight="1">
      <c r="A12" s="28"/>
      <c r="B12" s="23" t="s">
        <v>28</v>
      </c>
      <c r="C12" s="17" t="s">
        <v>20</v>
      </c>
      <c r="D12" s="44">
        <f t="array" ref="D12">LET(val, IFERROR(INDEX('Daily 스피킹 raw'!$A:$ZZ, MATCH(D$2, 'Daily 스피킹 raw'!$A:$A, 0), MATCH($B12, 'Daily 스피킹 raw'!$1:$1, 0)), ""), IF(val=0, "", val))</f>
        <v>3</v>
      </c>
      <c r="E12" s="44">
        <f t="array" ref="E12">LET(val, IFERROR(INDEX('Daily 스피킹 raw'!$A:$ZZ, MATCH(E$2, 'Daily 스피킹 raw'!$A:$A, 0), MATCH($B12, 'Daily 스피킹 raw'!$1:$1, 0)), ""), IF(val=0, "", val))</f>
        <v>1</v>
      </c>
      <c r="F12" s="44">
        <f t="array" ref="F12">LET(val, IFERROR(INDEX('Daily 스피킹 raw'!$A:$ZZ, MATCH(F$2, 'Daily 스피킹 raw'!$A:$A, 0), MATCH($B12, 'Daily 스피킹 raw'!$1:$1, 0)), ""), IF(val=0, "", val))</f>
        <v>6</v>
      </c>
      <c r="G12" s="44">
        <f t="array" ref="G12">LET(val, IFERROR(INDEX('Daily 스피킹 raw'!$A:$ZZ, MATCH(G$2, 'Daily 스피킹 raw'!$A:$A, 0), MATCH($B12, 'Daily 스피킹 raw'!$1:$1, 0)), ""), IF(val=0, "", val))</f>
        <v>2</v>
      </c>
      <c r="H12" s="44">
        <f t="array" ref="H12">LET(val, IFERROR(INDEX('Daily 스피킹 raw'!$A:$ZZ, MATCH(H$2, 'Daily 스피킹 raw'!$A:$A, 0), MATCH($B12, 'Daily 스피킹 raw'!$1:$1, 0)), ""), IF(val=0, "", val))</f>
        <v>3</v>
      </c>
      <c r="I12" s="44">
        <f t="array" ref="I12">LET(val, IFERROR(INDEX('Daily 스피킹 raw'!$A:$ZZ, MATCH(I$2, 'Daily 스피킹 raw'!$A:$A, 0), MATCH($B12, 'Daily 스피킹 raw'!$1:$1, 0)), ""), IF(val=0, "", val))</f>
        <v>7</v>
      </c>
      <c r="J12" s="44">
        <f t="array" ref="J12">LET(val, IFERROR(INDEX('Daily 스피킹 raw'!$A:$ZZ, MATCH(J$2, 'Daily 스피킹 raw'!$A:$A, 0), MATCH($B12, 'Daily 스피킹 raw'!$1:$1, 0)), ""), IF(val=0, "", val))</f>
        <v>12</v>
      </c>
      <c r="K12" s="44">
        <f t="array" ref="K12">LET(val, IFERROR(INDEX('Daily 스피킹 raw'!$A:$ZZ, MATCH(K$2, 'Daily 스피킹 raw'!$A:$A, 0), MATCH($B12, 'Daily 스피킹 raw'!$1:$1, 0)), ""), IF(val=0, "", val))</f>
        <v>6</v>
      </c>
      <c r="L12" s="44">
        <f t="array" ref="L12">LET(val, IFERROR(INDEX('Daily 스피킹 raw'!$A:$ZZ, MATCH(L$2, 'Daily 스피킹 raw'!$A:$A, 0), MATCH($B12, 'Daily 스피킹 raw'!$1:$1, 0)), ""), IF(val=0, "", val))</f>
        <v>12</v>
      </c>
      <c r="M12" s="44">
        <f t="array" ref="M12">LET(val, IFERROR(INDEX('Daily 스피킹 raw'!$A:$ZZ, MATCH(M$2, 'Daily 스피킹 raw'!$A:$A, 0), MATCH($B12, 'Daily 스피킹 raw'!$1:$1, 0)), ""), IF(val=0, "", val))</f>
        <v>19</v>
      </c>
      <c r="N12" s="44">
        <f t="array" ref="N12">LET(val, IFERROR(INDEX('Daily 스피킹 raw'!$A:$ZZ, MATCH(N$2, 'Daily 스피킹 raw'!$A:$A, 0), MATCH($B12, 'Daily 스피킹 raw'!$1:$1, 0)), ""), IF(val=0, "", val))</f>
        <v>13</v>
      </c>
      <c r="O12" s="44">
        <f t="array" ref="O12">LET(val, IFERROR(INDEX('Daily 스피킹 raw'!$A:$ZZ, MATCH(O$2, 'Daily 스피킹 raw'!$A:$A, 0), MATCH($B12, 'Daily 스피킹 raw'!$1:$1, 0)), ""), IF(val=0, "", val))</f>
        <v>5</v>
      </c>
      <c r="P12" s="44">
        <f t="array" ref="P12">LET(val, IFERROR(INDEX('Daily 스피킹 raw'!$A:$ZZ, MATCH(P$2, 'Daily 스피킹 raw'!$A:$A, 0), MATCH($B12, 'Daily 스피킹 raw'!$1:$1, 0)), ""), IF(val=0, "", val))</f>
        <v>8</v>
      </c>
      <c r="Q12" s="44">
        <f t="array" ref="Q12">LET(val, IFERROR(INDEX('Daily 스피킹 raw'!$A:$ZZ, MATCH(Q$2, 'Daily 스피킹 raw'!$A:$A, 0), MATCH($B12, 'Daily 스피킹 raw'!$1:$1, 0)), ""), IF(val=0, "", val))</f>
        <v>5</v>
      </c>
      <c r="R12" s="44">
        <f t="array" ref="R12">LET(val, IFERROR(INDEX('Daily 스피킹 raw'!$A:$ZZ, MATCH(R$2, 'Daily 스피킹 raw'!$A:$A, 0), MATCH($B12, 'Daily 스피킹 raw'!$1:$1, 0)), ""), IF(val=0, "", val))</f>
        <v>9</v>
      </c>
      <c r="S12" s="44">
        <f t="array" ref="S12">LET(val, IFERROR(INDEX('Daily 스피킹 raw'!$A:$ZZ, MATCH(S$2, 'Daily 스피킹 raw'!$A:$A, 0), MATCH($B12, 'Daily 스피킹 raw'!$1:$1, 0)), ""), IF(val=0, "", val))</f>
        <v>6</v>
      </c>
      <c r="T12" s="44">
        <f t="array" ref="T12">LET(val, IFERROR(INDEX('Daily 스피킹 raw'!$A:$ZZ, MATCH(T$2, 'Daily 스피킹 raw'!$A:$A, 0), MATCH($B12, 'Daily 스피킹 raw'!$1:$1, 0)), ""), IF(val=0, "", val))</f>
        <v>5</v>
      </c>
      <c r="U12" s="44">
        <f t="array" ref="U12">LET(val, IFERROR(INDEX('Daily 스피킹 raw'!$A:$ZZ, MATCH(U$2, 'Daily 스피킹 raw'!$A:$A, 0), MATCH($B12, 'Daily 스피킹 raw'!$1:$1, 0)), ""), IF(val=0, "", val))</f>
        <v>3</v>
      </c>
      <c r="V12" s="44">
        <f t="array" ref="V12">LET(val, IFERROR(INDEX('Daily 스피킹 raw'!$A:$ZZ, MATCH(V$2, 'Daily 스피킹 raw'!$A:$A, 0), MATCH($B12, 'Daily 스피킹 raw'!$1:$1, 0)), ""), IF(val=0, "", val))</f>
        <v>7</v>
      </c>
      <c r="W12" s="44">
        <f t="array" ref="W12">LET(val, IFERROR(INDEX('Daily 스피킹 raw'!$A:$ZZ, MATCH(W$2, 'Daily 스피킹 raw'!$A:$A, 0), MATCH($B12, 'Daily 스피킹 raw'!$1:$1, 0)), ""), IF(val=0, "", val))</f>
        <v>8</v>
      </c>
      <c r="X12" s="44">
        <f t="array" ref="X12">LET(val, IFERROR(INDEX('Daily 스피킹 raw'!$A:$ZZ, MATCH(X$2, 'Daily 스피킹 raw'!$A:$A, 0), MATCH($B12, 'Daily 스피킹 raw'!$1:$1, 0)), ""), IF(val=0, "", val))</f>
        <v>6</v>
      </c>
      <c r="Y12" s="44">
        <f t="array" ref="Y12">LET(val, IFERROR(INDEX('Daily 스피킹 raw'!$A:$ZZ, MATCH(Y$2, 'Daily 스피킹 raw'!$A:$A, 0), MATCH($B12, 'Daily 스피킹 raw'!$1:$1, 0)), ""), IF(val=0, "", val))</f>
        <v>4</v>
      </c>
      <c r="Z12" s="44">
        <f t="array" ref="Z12">LET(val, IFERROR(INDEX('Daily 스피킹 raw'!$A:$ZZ, MATCH(Z$2, 'Daily 스피킹 raw'!$A:$A, 0), MATCH($B12, 'Daily 스피킹 raw'!$1:$1, 0)), ""), IF(val=0, "", val))</f>
        <v>2</v>
      </c>
      <c r="AA12" s="44">
        <f t="array" ref="AA12">LET(val, IFERROR(INDEX('Daily 스피킹 raw'!$A:$ZZ, MATCH(AA$2, 'Daily 스피킹 raw'!$A:$A, 0), MATCH($B12, 'Daily 스피킹 raw'!$1:$1, 0)), ""), IF(val=0, "", val))</f>
        <v>10</v>
      </c>
      <c r="AB12" s="44">
        <f t="array" ref="AB12">LET(val, IFERROR(INDEX('Daily 스피킹 raw'!$A:$ZZ, MATCH(AB$2, 'Daily 스피킹 raw'!$A:$A, 0), MATCH($B12, 'Daily 스피킹 raw'!$1:$1, 0)), ""), IF(val=0, "", val))</f>
        <v>6</v>
      </c>
      <c r="AC12" s="44">
        <f t="array" ref="AC12">LET(val, IFERROR(INDEX('Daily 스피킹 raw'!$A:$ZZ, MATCH(AC$2, 'Daily 스피킹 raw'!$A:$A, 0), MATCH($B12, 'Daily 스피킹 raw'!$1:$1, 0)), ""), IF(val=0, "", val))</f>
        <v>7</v>
      </c>
      <c r="AD12" s="44">
        <f t="array" ref="AD12">LET(val, IFERROR(INDEX('Daily 스피킹 raw'!$A:$ZZ, MATCH(AD$2, 'Daily 스피킹 raw'!$A:$A, 0), MATCH($B12, 'Daily 스피킹 raw'!$1:$1, 0)), ""), IF(val=0, "", val))</f>
        <v>8</v>
      </c>
      <c r="AE12" s="44">
        <f t="array" ref="AE12">LET(val, IFERROR(INDEX('Daily 스피킹 raw'!$A:$ZZ, MATCH(AE$2, 'Daily 스피킹 raw'!$A:$A, 0), MATCH($B12, 'Daily 스피킹 raw'!$1:$1, 0)), ""), IF(val=0, "", val))</f>
        <v>9</v>
      </c>
      <c r="AF12" s="44">
        <f t="array" ref="AF12">LET(val, IFERROR(INDEX('Daily 스피킹 raw'!$A:$ZZ, MATCH(AF$2, 'Daily 스피킹 raw'!$A:$A, 0), MATCH($B12, 'Daily 스피킹 raw'!$1:$1, 0)), ""), IF(val=0, "", val))</f>
        <v>4</v>
      </c>
      <c r="AG12" s="44">
        <f t="array" ref="AG12">LET(val, IFERROR(INDEX('Daily 스피킹 raw'!$A:$ZZ, MATCH(AG$2, 'Daily 스피킹 raw'!$A:$A, 0), MATCH($B12, 'Daily 스피킹 raw'!$1:$1, 0)), ""), IF(val=0, "", val))</f>
        <v>6</v>
      </c>
      <c r="AH12" s="44">
        <f t="array" ref="AH12">LET(val, IFERROR(INDEX('Daily 스피킹 raw'!$A:$ZZ, MATCH(AH$2, 'Daily 스피킹 raw'!$A:$A, 0), MATCH($B12, 'Daily 스피킹 raw'!$1:$1, 0)), ""), IF(val=0, "", val))</f>
        <v>5</v>
      </c>
      <c r="AI12" s="44">
        <f t="array" ref="AI12">LET(val, IFERROR(INDEX('Daily 스피킹 raw'!$A:$ZZ, MATCH(AI$2, 'Daily 스피킹 raw'!$A:$A, 0), MATCH($B12, 'Daily 스피킹 raw'!$1:$1, 0)), ""), IF(val=0, "", val))</f>
        <v>6</v>
      </c>
      <c r="AJ12" s="44">
        <f t="array" ref="AJ12">LET(val, IFERROR(INDEX('Daily 스피킹 raw'!$A:$ZZ, MATCH(AJ$2, 'Daily 스피킹 raw'!$A:$A, 0), MATCH($B12, 'Daily 스피킹 raw'!$1:$1, 0)), ""), IF(val=0, "", val))</f>
        <v>5</v>
      </c>
      <c r="AK12" s="44">
        <f t="array" ref="AK12">LET(val, IFERROR(INDEX('Daily 스피킹 raw'!$A:$ZZ, MATCH(AK$2, 'Daily 스피킹 raw'!$A:$A, 0), MATCH($B12, 'Daily 스피킹 raw'!$1:$1, 0)), ""), IF(val=0, "", val))</f>
        <v>4</v>
      </c>
      <c r="AL12" s="44">
        <f t="array" ref="AL12">LET(val, IFERROR(INDEX('Daily 스피킹 raw'!$A:$ZZ, MATCH(AL$2, 'Daily 스피킹 raw'!$A:$A, 0), MATCH($B12, 'Daily 스피킹 raw'!$1:$1, 0)), ""), IF(val=0, "", val))</f>
        <v>4</v>
      </c>
      <c r="AM12" s="44">
        <f t="array" ref="AM12">LET(val, IFERROR(INDEX('Daily 스피킹 raw'!$A:$ZZ, MATCH(AM$2, 'Daily 스피킹 raw'!$A:$A, 0), MATCH($B12, 'Daily 스피킹 raw'!$1:$1, 0)), ""), IF(val=0, "", val))</f>
        <v>4</v>
      </c>
      <c r="AN12" s="44">
        <f t="array" ref="AN12">LET(val, IFERROR(INDEX('Daily 스피킹 raw'!$A:$ZZ, MATCH(AN$2, 'Daily 스피킹 raw'!$A:$A, 0), MATCH($B12, 'Daily 스피킹 raw'!$1:$1, 0)), ""), IF(val=0, "", val))</f>
        <v>6</v>
      </c>
      <c r="AO12" s="44">
        <f t="array" ref="AO12">LET(val, IFERROR(INDEX('Daily 스피킹 raw'!$A:$ZZ, MATCH(AO$2, 'Daily 스피킹 raw'!$A:$A, 0), MATCH($B12, 'Daily 스피킹 raw'!$1:$1, 0)), ""), IF(val=0, "", val))</f>
        <v>9</v>
      </c>
      <c r="AP12" s="44">
        <f t="array" ref="AP12">LET(val, IFERROR(INDEX('Daily 스피킹 raw'!$A:$ZZ, MATCH(AP$2, 'Daily 스피킹 raw'!$A:$A, 0), MATCH($B12, 'Daily 스피킹 raw'!$1:$1, 0)), ""), IF(val=0, "", val))</f>
        <v>1</v>
      </c>
      <c r="AQ12" s="44">
        <f t="array" ref="AQ12">LET(val, IFERROR(INDEX('Daily 스피킹 raw'!$A:$ZZ, MATCH(AQ$2, 'Daily 스피킹 raw'!$A:$A, 0), MATCH($B12, 'Daily 스피킹 raw'!$1:$1, 0)), ""), IF(val=0, "", val))</f>
        <v>4</v>
      </c>
      <c r="AR12" s="44">
        <f t="array" ref="AR12">LET(val, IFERROR(INDEX('Daily 스피킹 raw'!$A:$ZZ, MATCH(AR$2, 'Daily 스피킹 raw'!$A:$A, 0), MATCH($B12, 'Daily 스피킹 raw'!$1:$1, 0)), ""), IF(val=0, "", val))</f>
        <v>8</v>
      </c>
      <c r="AS12" s="44">
        <f t="array" ref="AS12">LET(val, IFERROR(INDEX('Daily 스피킹 raw'!$A:$ZZ, MATCH(AS$2, 'Daily 스피킹 raw'!$A:$A, 0), MATCH($B12, 'Daily 스피킹 raw'!$1:$1, 0)), ""), IF(val=0, "", val))</f>
        <v>8</v>
      </c>
      <c r="AT12" s="44">
        <f t="array" ref="AT12">LET(val, IFERROR(INDEX('Daily 스피킹 raw'!$A:$ZZ, MATCH(AT$2, 'Daily 스피킹 raw'!$A:$A, 0), MATCH($B12, 'Daily 스피킹 raw'!$1:$1, 0)), ""), IF(val=0, "", val))</f>
        <v>5</v>
      </c>
      <c r="AU12" s="44">
        <f t="array" ref="AU12">LET(val, IFERROR(INDEX('Daily 스피킹 raw'!$A:$ZZ, MATCH(AU$2, 'Daily 스피킹 raw'!$A:$A, 0), MATCH($B12, 'Daily 스피킹 raw'!$1:$1, 0)), ""), IF(val=0, "", val))</f>
        <v>9</v>
      </c>
      <c r="AV12" s="44">
        <f t="array" ref="AV12">LET(val, IFERROR(INDEX('Daily 스피킹 raw'!$A:$ZZ, MATCH(AV$2, 'Daily 스피킹 raw'!$A:$A, 0), MATCH($B12, 'Daily 스피킹 raw'!$1:$1, 0)), ""), IF(val=0, "", val))</f>
        <v>6</v>
      </c>
      <c r="AW12" s="44">
        <f t="array" ref="AW12">LET(val, IFERROR(INDEX('Daily 스피킹 raw'!$A:$ZZ, MATCH(AW$2, 'Daily 스피킹 raw'!$A:$A, 0), MATCH($B12, 'Daily 스피킹 raw'!$1:$1, 0)), ""), IF(val=0, "", val))</f>
        <v>6</v>
      </c>
      <c r="AX12" s="44">
        <f t="array" ref="AX12">LET(val, IFERROR(INDEX('Daily 스피킹 raw'!$A:$ZZ, MATCH(AX$2, 'Daily 스피킹 raw'!$A:$A, 0), MATCH($B12, 'Daily 스피킹 raw'!$1:$1, 0)), ""), IF(val=0, "", val))</f>
        <v>11</v>
      </c>
      <c r="AY12" s="44">
        <f t="array" ref="AY12">LET(val, IFERROR(INDEX('Daily 스피킹 raw'!$A:$ZZ, MATCH(AY$2, 'Daily 스피킹 raw'!$A:$A, 0), MATCH($B12, 'Daily 스피킹 raw'!$1:$1, 0)), ""), IF(val=0, "", val))</f>
        <v>5</v>
      </c>
      <c r="AZ12" s="44">
        <f t="array" ref="AZ12">LET(val, IFERROR(INDEX('Daily 스피킹 raw'!$A:$ZZ, MATCH(AZ$2, 'Daily 스피킹 raw'!$A:$A, 0), MATCH($B12, 'Daily 스피킹 raw'!$1:$1, 0)), ""), IF(val=0, "", val))</f>
        <v>1</v>
      </c>
      <c r="BA12" s="44">
        <f t="array" ref="BA12">LET(val, IFERROR(INDEX('Daily 스피킹 raw'!$A:$ZZ, MATCH(BA$2, 'Daily 스피킹 raw'!$A:$A, 0), MATCH($B12, 'Daily 스피킹 raw'!$1:$1, 0)), ""), IF(val=0, "", val))</f>
        <v>5</v>
      </c>
      <c r="BB12" s="44">
        <f t="array" ref="BB12">LET(val, IFERROR(INDEX('Daily 스피킹 raw'!$A:$ZZ, MATCH(BB$2, 'Daily 스피킹 raw'!$A:$A, 0), MATCH($B12, 'Daily 스피킹 raw'!$1:$1, 0)), ""), IF(val=0, "", val))</f>
        <v>6</v>
      </c>
      <c r="BC12" s="44">
        <f t="array" ref="BC12">LET(val, IFERROR(INDEX('Daily 스피킹 raw'!$A:$ZZ, MATCH(BC$2, 'Daily 스피킹 raw'!$A:$A, 0), MATCH($B12, 'Daily 스피킹 raw'!$1:$1, 0)), ""), IF(val=0, "", val))</f>
        <v>6</v>
      </c>
      <c r="BD12" s="44">
        <f t="array" ref="BD12">LET(val, IFERROR(INDEX('Daily 스피킹 raw'!$A:$ZZ, MATCH(BD$2, 'Daily 스피킹 raw'!$A:$A, 0), MATCH($B12, 'Daily 스피킹 raw'!$1:$1, 0)), ""), IF(val=0, "", val))</f>
        <v>4</v>
      </c>
      <c r="BE12" s="44">
        <f t="array" ref="BE12">LET(val, IFERROR(INDEX('Daily 스피킹 raw'!$A:$ZZ, MATCH(BE$2, 'Daily 스피킹 raw'!$A:$A, 0), MATCH($B12, 'Daily 스피킹 raw'!$1:$1, 0)), ""), IF(val=0, "", val))</f>
        <v>2</v>
      </c>
      <c r="BF12" s="44">
        <f t="array" ref="BF12">LET(val, IFERROR(INDEX('Daily 스피킹 raw'!$A:$ZZ, MATCH(BF$2, 'Daily 스피킹 raw'!$A:$A, 0), MATCH($B12, 'Daily 스피킹 raw'!$1:$1, 0)), ""), IF(val=0, "", val))</f>
        <v>3</v>
      </c>
      <c r="BG12" s="44">
        <f t="array" ref="BG12">LET(val, IFERROR(INDEX('Daily 스피킹 raw'!$A:$ZZ, MATCH(BG$2, 'Daily 스피킹 raw'!$A:$A, 0), MATCH($B12, 'Daily 스피킹 raw'!$1:$1, 0)), ""), IF(val=0, "", val))</f>
        <v>2</v>
      </c>
      <c r="BH12" s="44">
        <f t="array" ref="BH12">LET(val, IFERROR(INDEX('Daily 스피킹 raw'!$A:$ZZ, MATCH(BH$2, 'Daily 스피킹 raw'!$A:$A, 0), MATCH($B12, 'Daily 스피킹 raw'!$1:$1, 0)), ""), IF(val=0, "", val))</f>
        <v>6</v>
      </c>
      <c r="BI12" s="44">
        <f t="array" ref="BI12">LET(val, IFERROR(INDEX('Daily 스피킹 raw'!$A:$ZZ, MATCH(BI$2, 'Daily 스피킹 raw'!$A:$A, 0), MATCH($B12, 'Daily 스피킹 raw'!$1:$1, 0)), ""), IF(val=0, "", val))</f>
        <v>5</v>
      </c>
      <c r="BJ12" s="44">
        <f t="array" ref="BJ12">LET(val, IFERROR(INDEX('Daily 스피킹 raw'!$A:$ZZ, MATCH(BJ$2, 'Daily 스피킹 raw'!$A:$A, 0), MATCH($B12, 'Daily 스피킹 raw'!$1:$1, 0)), ""), IF(val=0, "", val))</f>
        <v>4</v>
      </c>
      <c r="BK12" s="44">
        <f t="array" ref="BK12">LET(val, IFERROR(INDEX('Daily 스피킹 raw'!$A:$ZZ, MATCH(BK$2, 'Daily 스피킹 raw'!$A:$A, 0), MATCH($B12, 'Daily 스피킹 raw'!$1:$1, 0)), ""), IF(val=0, "", val))</f>
        <v>4</v>
      </c>
      <c r="BL12" s="44">
        <f t="array" ref="BL12">LET(val, IFERROR(INDEX('Daily 스피킹 raw'!$A:$ZZ, MATCH(BL$2, 'Daily 스피킹 raw'!$A:$A, 0), MATCH($B12, 'Daily 스피킹 raw'!$1:$1, 0)), ""), IF(val=0, "", val))</f>
        <v>5</v>
      </c>
      <c r="BM12" s="44" t="str">
        <f t="array" ref="BM12">LET(val, IFERROR(INDEX('Daily 스피킹 raw'!$A:$ZZ, MATCH(BM$2, 'Daily 스피킹 raw'!$A:$A, 0), MATCH($B12, 'Daily 스피킹 raw'!$1:$1, 0)), ""), IF(val=0, "", val))</f>
        <v/>
      </c>
      <c r="BN12" s="44" t="str">
        <f t="array" ref="BN12">LET(val, IFERROR(INDEX('Daily 스피킹 raw'!$A:$ZZ, MATCH(BN$2, 'Daily 스피킹 raw'!$A:$A, 0), MATCH($B12, 'Daily 스피킹 raw'!$1:$1, 0)), ""), IF(val=0, "", val))</f>
        <v/>
      </c>
      <c r="BO12" s="44" t="str">
        <f t="array" ref="BO12">LET(val, IFERROR(INDEX('Daily 스피킹 raw'!$A:$ZZ, MATCH(BO$2, 'Daily 스피킹 raw'!$A:$A, 0), MATCH($B12, 'Daily 스피킹 raw'!$1:$1, 0)), ""), IF(val=0, "", val))</f>
        <v/>
      </c>
      <c r="BP12" s="44" t="str">
        <f t="array" ref="BP12">LET(val, IFERROR(INDEX('Daily 스피킹 raw'!$A:$ZZ, MATCH(BP$2, 'Daily 스피킹 raw'!$A:$A, 0), MATCH($B12, 'Daily 스피킹 raw'!$1:$1, 0)), ""), IF(val=0, "", val))</f>
        <v/>
      </c>
      <c r="BQ12" s="44" t="str">
        <f t="array" ref="BQ12">LET(val, IFERROR(INDEX('Daily 스피킹 raw'!$A:$ZZ, MATCH(BQ$2, 'Daily 스피킹 raw'!$A:$A, 0), MATCH($B12, 'Daily 스피킹 raw'!$1:$1, 0)), ""), IF(val=0, "", val))</f>
        <v/>
      </c>
      <c r="BR12" s="44" t="str">
        <f t="array" ref="BR12">LET(val, IFERROR(INDEX('Daily 스피킹 raw'!$A:$ZZ, MATCH(BR$2, 'Daily 스피킹 raw'!$A:$A, 0), MATCH($B12, 'Daily 스피킹 raw'!$1:$1, 0)), ""), IF(val=0, "", val))</f>
        <v/>
      </c>
      <c r="BS12" s="44" t="str">
        <f t="array" ref="BS12">LET(val, IFERROR(INDEX('Daily 스피킹 raw'!$A:$ZZ, MATCH(BS$2, 'Daily 스피킹 raw'!$A:$A, 0), MATCH($B12, 'Daily 스피킹 raw'!$1:$1, 0)), ""), IF(val=0, "", val))</f>
        <v/>
      </c>
      <c r="BT12" s="44" t="str">
        <f t="array" ref="BT12">LET(val, IFERROR(INDEX('Daily 스피킹 raw'!$A:$ZZ, MATCH(BT$2, 'Daily 스피킹 raw'!$A:$A, 0), MATCH($B12, 'Daily 스피킹 raw'!$1:$1, 0)), ""), IF(val=0, "", val))</f>
        <v/>
      </c>
      <c r="BU12" s="44" t="str">
        <f t="array" ref="BU12">LET(val, IFERROR(INDEX('Daily 스피킹 raw'!$A:$ZZ, MATCH(BU$2, 'Daily 스피킹 raw'!$A:$A, 0), MATCH($B12, 'Daily 스피킹 raw'!$1:$1, 0)), ""), IF(val=0, "", val))</f>
        <v/>
      </c>
      <c r="BV12" s="44" t="str">
        <f t="array" ref="BV12">LET(val, IFERROR(INDEX('Daily 스피킹 raw'!$A:$ZZ, MATCH(BV$2, 'Daily 스피킹 raw'!$A:$A, 0), MATCH($B12, 'Daily 스피킹 raw'!$1:$1, 0)), ""), IF(val=0, "", val))</f>
        <v/>
      </c>
      <c r="BW12" s="44" t="str">
        <f t="array" ref="BW12">LET(val, IFERROR(INDEX('Daily 스피킹 raw'!$A:$ZZ, MATCH(BW$2, 'Daily 스피킹 raw'!$A:$A, 0), MATCH($B12, 'Daily 스피킹 raw'!$1:$1, 0)), ""), IF(val=0, "", val))</f>
        <v/>
      </c>
      <c r="BX12" s="44" t="str">
        <f t="array" ref="BX12">LET(val, IFERROR(INDEX('Daily 스피킹 raw'!$A:$ZZ, MATCH(BX$2, 'Daily 스피킹 raw'!$A:$A, 0), MATCH($B12, 'Daily 스피킹 raw'!$1:$1, 0)), ""), IF(val=0, "", val))</f>
        <v/>
      </c>
      <c r="BY12" s="44" t="str">
        <f t="array" ref="BY12">LET(val, IFERROR(INDEX('Daily 스피킹 raw'!$A:$ZZ, MATCH(BY$2, 'Daily 스피킹 raw'!$A:$A, 0), MATCH($B12, 'Daily 스피킹 raw'!$1:$1, 0)), ""), IF(val=0, "", val))</f>
        <v/>
      </c>
      <c r="BZ12" s="44" t="str">
        <f t="array" ref="BZ12">LET(val, IFERROR(INDEX('Daily 스피킹 raw'!$A:$ZZ, MATCH(BZ$2, 'Daily 스피킹 raw'!$A:$A, 0), MATCH($B12, 'Daily 스피킹 raw'!$1:$1, 0)), ""), IF(val=0, "", val))</f>
        <v/>
      </c>
      <c r="CA12" s="44" t="str">
        <f t="array" ref="CA12">LET(val, IFERROR(INDEX('Daily 스피킹 raw'!$A:$ZZ, MATCH(CA$2, 'Daily 스피킹 raw'!$A:$A, 0), MATCH($B12, 'Daily 스피킹 raw'!$1:$1, 0)), ""), IF(val=0, "", val))</f>
        <v/>
      </c>
      <c r="CB12" s="44" t="str">
        <f t="array" ref="CB12">LET(val, IFERROR(INDEX('Daily 스피킹 raw'!$A:$ZZ, MATCH(CB$2, 'Daily 스피킹 raw'!$A:$A, 0), MATCH($B12, 'Daily 스피킹 raw'!$1:$1, 0)), ""), IF(val=0, "", val))</f>
        <v/>
      </c>
      <c r="CC12" s="44" t="str">
        <f t="array" ref="CC12">LET(val, IFERROR(INDEX('Daily 스피킹 raw'!$A:$ZZ, MATCH(CC$2, 'Daily 스피킹 raw'!$A:$A, 0), MATCH($B12, 'Daily 스피킹 raw'!$1:$1, 0)), ""), IF(val=0, "", val))</f>
        <v/>
      </c>
      <c r="CD12" s="44" t="str">
        <f t="array" ref="CD12">LET(val, IFERROR(INDEX('Daily 스피킹 raw'!$A:$ZZ, MATCH(CD$2, 'Daily 스피킹 raw'!$A:$A, 0), MATCH($B12, 'Daily 스피킹 raw'!$1:$1, 0)), ""), IF(val=0, "", val))</f>
        <v/>
      </c>
      <c r="CE12" s="44" t="str">
        <f t="array" ref="CE12">LET(val, IFERROR(INDEX('Daily 스피킹 raw'!$A:$ZZ, MATCH(CE$2, 'Daily 스피킹 raw'!$A:$A, 0), MATCH($B12, 'Daily 스피킹 raw'!$1:$1, 0)), ""), IF(val=0, "", val))</f>
        <v/>
      </c>
      <c r="CF12" s="44" t="str">
        <f t="array" ref="CF12">LET(val, IFERROR(INDEX('Daily 스피킹 raw'!$A:$ZZ, MATCH(CF$2, 'Daily 스피킹 raw'!$A:$A, 0), MATCH($B12, 'Daily 스피킹 raw'!$1:$1, 0)), ""), IF(val=0, "", val))</f>
        <v/>
      </c>
      <c r="CG12" s="44" t="str">
        <f t="array" ref="CG12">LET(val, IFERROR(INDEX('Daily 스피킹 raw'!$A:$ZZ, MATCH(CG$2, 'Daily 스피킹 raw'!$A:$A, 0), MATCH($B12, 'Daily 스피킹 raw'!$1:$1, 0)), ""), IF(val=0, "", val))</f>
        <v/>
      </c>
      <c r="CH12" s="44" t="str">
        <f t="array" ref="CH12">LET(val, IFERROR(INDEX('Daily 스피킹 raw'!$A:$ZZ, MATCH(CH$2, 'Daily 스피킹 raw'!$A:$A, 0), MATCH($B12, 'Daily 스피킹 raw'!$1:$1, 0)), ""), IF(val=0, "", val))</f>
        <v/>
      </c>
      <c r="CI12" s="44" t="str">
        <f t="array" ref="CI12">LET(val, IFERROR(INDEX('Daily 스피킹 raw'!$A:$ZZ, MATCH(CI$2, 'Daily 스피킹 raw'!$A:$A, 0), MATCH($B12, 'Daily 스피킹 raw'!$1:$1, 0)), ""), IF(val=0, "", val))</f>
        <v/>
      </c>
      <c r="CJ12" s="44" t="str">
        <f t="array" ref="CJ12">LET(val, IFERROR(INDEX('Daily 스피킹 raw'!$A:$ZZ, MATCH(CJ$2, 'Daily 스피킹 raw'!$A:$A, 0), MATCH($B12, 'Daily 스피킹 raw'!$1:$1, 0)), ""), IF(val=0, "", val))</f>
        <v/>
      </c>
      <c r="CK12" s="44" t="str">
        <f t="array" ref="CK12">LET(val, IFERROR(INDEX('Daily 스피킹 raw'!$A:$ZZ, MATCH(CK$2, 'Daily 스피킹 raw'!$A:$A, 0), MATCH($B12, 'Daily 스피킹 raw'!$1:$1, 0)), ""), IF(val=0, "", val))</f>
        <v/>
      </c>
      <c r="CL12" s="44" t="str">
        <f t="array" ref="CL12">LET(val, IFERROR(INDEX('Daily 스피킹 raw'!$A:$ZZ, MATCH(CL$2, 'Daily 스피킹 raw'!$A:$A, 0), MATCH($B12, 'Daily 스피킹 raw'!$1:$1, 0)), ""), IF(val=0, "", val))</f>
        <v/>
      </c>
      <c r="CM12" s="44" t="str">
        <f t="array" ref="CM12">LET(val, IFERROR(INDEX('Daily 스피킹 raw'!$A:$ZZ, MATCH(CM$2, 'Daily 스피킹 raw'!$A:$A, 0), MATCH($B12, 'Daily 스피킹 raw'!$1:$1, 0)), ""), IF(val=0, "", val))</f>
        <v/>
      </c>
      <c r="CN12" s="44" t="str">
        <f t="array" ref="CN12">LET(val, IFERROR(INDEX('Daily 스피킹 raw'!$A:$ZZ, MATCH(CN$2, 'Daily 스피킹 raw'!$A:$A, 0), MATCH($B12, 'Daily 스피킹 raw'!$1:$1, 0)), ""), IF(val=0, "", val))</f>
        <v/>
      </c>
      <c r="CO12" s="44" t="str">
        <f t="array" ref="CO12">LET(val, IFERROR(INDEX('Daily 스피킹 raw'!$A:$ZZ, MATCH(CO$2, 'Daily 스피킹 raw'!$A:$A, 0), MATCH($B12, 'Daily 스피킹 raw'!$1:$1, 0)), ""), IF(val=0, "", val))</f>
        <v/>
      </c>
      <c r="CP12" s="44" t="str">
        <f t="array" ref="CP12">LET(val, IFERROR(INDEX('Daily 스피킹 raw'!$A:$ZZ, MATCH(CP$2, 'Daily 스피킹 raw'!$A:$A, 0), MATCH($B12, 'Daily 스피킹 raw'!$1:$1, 0)), ""), IF(val=0, "", val))</f>
        <v/>
      </c>
      <c r="CQ12" s="44" t="str">
        <f t="array" ref="CQ12">LET(val, IFERROR(INDEX('Daily 스피킹 raw'!$A:$ZZ, MATCH(CQ$2, 'Daily 스피킹 raw'!$A:$A, 0), MATCH($B12, 'Daily 스피킹 raw'!$1:$1, 0)), ""), IF(val=0, "", val))</f>
        <v/>
      </c>
      <c r="CR12" s="44" t="str">
        <f t="array" ref="CR12">LET(val, IFERROR(INDEX('Daily 스피킹 raw'!$A:$ZZ, MATCH(CR$2, 'Daily 스피킹 raw'!$A:$A, 0), MATCH($B12, 'Daily 스피킹 raw'!$1:$1, 0)), ""), IF(val=0, "", val))</f>
        <v/>
      </c>
      <c r="CS12" s="44" t="str">
        <f t="array" ref="CS12">LET(val, IFERROR(INDEX('Daily 스피킹 raw'!$A:$ZZ, MATCH(CS$2, 'Daily 스피킹 raw'!$A:$A, 0), MATCH($B12, 'Daily 스피킹 raw'!$1:$1, 0)), ""), IF(val=0, "", val))</f>
        <v/>
      </c>
      <c r="CT12" s="44" t="str">
        <f t="array" ref="CT12">LET(val, IFERROR(INDEX('Daily 스피킹 raw'!$A:$ZZ, MATCH(CT$2, 'Daily 스피킹 raw'!$A:$A, 0), MATCH($B12, 'Daily 스피킹 raw'!$1:$1, 0)), ""), IF(val=0, "", val))</f>
        <v/>
      </c>
      <c r="CU12" s="44" t="str">
        <f t="array" ref="CU12">LET(val, IFERROR(INDEX('Daily 스피킹 raw'!$A:$ZZ, MATCH(CU$2, 'Daily 스피킹 raw'!$A:$A, 0), MATCH($B12, 'Daily 스피킹 raw'!$1:$1, 0)), ""), IF(val=0, "", val))</f>
        <v/>
      </c>
      <c r="CV12" s="44" t="str">
        <f t="array" ref="CV12">LET(val, IFERROR(INDEX('Daily 스피킹 raw'!$A:$ZZ, MATCH(CV$2, 'Daily 스피킹 raw'!$A:$A, 0), MATCH($B12, 'Daily 스피킹 raw'!$1:$1, 0)), ""), IF(val=0, "", val))</f>
        <v/>
      </c>
      <c r="CW12" s="44" t="str">
        <f t="array" ref="CW12">LET(val, IFERROR(INDEX('Daily 스피킹 raw'!$A:$ZZ, MATCH(CW$2, 'Daily 스피킹 raw'!$A:$A, 0), MATCH($B12, 'Daily 스피킹 raw'!$1:$1, 0)), ""), IF(val=0, "", val))</f>
        <v/>
      </c>
    </row>
    <row r="13" ht="22.5" customHeight="1">
      <c r="A13" s="17"/>
      <c r="B13" s="23" t="s">
        <v>29</v>
      </c>
      <c r="C13" s="17" t="s">
        <v>30</v>
      </c>
      <c r="D13" s="44">
        <f t="array" ref="D13">LET(val, IFERROR(INDEX('Daily 스피킹 raw'!$A:$ZZ, MATCH(D$2, 'Daily 스피킹 raw'!$A:$A, 0), MATCH($B13, 'Daily 스피킹 raw'!$1:$1, 0)), ""), IF(val=0, "", val))</f>
        <v>3</v>
      </c>
      <c r="E13" s="44">
        <f t="array" ref="E13">LET(val, IFERROR(INDEX('Daily 스피킹 raw'!$A:$ZZ, MATCH(E$2, 'Daily 스피킹 raw'!$A:$A, 0), MATCH($B13, 'Daily 스피킹 raw'!$1:$1, 0)), ""), IF(val=0, "", val))</f>
        <v>1</v>
      </c>
      <c r="F13" s="44">
        <f t="array" ref="F13">LET(val, IFERROR(INDEX('Daily 스피킹 raw'!$A:$ZZ, MATCH(F$2, 'Daily 스피킹 raw'!$A:$A, 0), MATCH($B13, 'Daily 스피킹 raw'!$1:$1, 0)), ""), IF(val=0, "", val))</f>
        <v>6</v>
      </c>
      <c r="G13" s="44">
        <f t="array" ref="G13">LET(val, IFERROR(INDEX('Daily 스피킹 raw'!$A:$ZZ, MATCH(G$2, 'Daily 스피킹 raw'!$A:$A, 0), MATCH($B13, 'Daily 스피킹 raw'!$1:$1, 0)), ""), IF(val=0, "", val))</f>
        <v>2</v>
      </c>
      <c r="H13" s="44">
        <f t="array" ref="H13">LET(val, IFERROR(INDEX('Daily 스피킹 raw'!$A:$ZZ, MATCH(H$2, 'Daily 스피킹 raw'!$A:$A, 0), MATCH($B13, 'Daily 스피킹 raw'!$1:$1, 0)), ""), IF(val=0, "", val))</f>
        <v>3</v>
      </c>
      <c r="I13" s="44">
        <f t="array" ref="I13">LET(val, IFERROR(INDEX('Daily 스피킹 raw'!$A:$ZZ, MATCH(I$2, 'Daily 스피킹 raw'!$A:$A, 0), MATCH($B13, 'Daily 스피킹 raw'!$1:$1, 0)), ""), IF(val=0, "", val))</f>
        <v>7</v>
      </c>
      <c r="J13" s="44">
        <f t="array" ref="J13">LET(val, IFERROR(INDEX('Daily 스피킹 raw'!$A:$ZZ, MATCH(J$2, 'Daily 스피킹 raw'!$A:$A, 0), MATCH($B13, 'Daily 스피킹 raw'!$1:$1, 0)), ""), IF(val=0, "", val))</f>
        <v>12</v>
      </c>
      <c r="K13" s="44">
        <f t="array" ref="K13">LET(val, IFERROR(INDEX('Daily 스피킹 raw'!$A:$ZZ, MATCH(K$2, 'Daily 스피킹 raw'!$A:$A, 0), MATCH($B13, 'Daily 스피킹 raw'!$1:$1, 0)), ""), IF(val=0, "", val))</f>
        <v>6</v>
      </c>
      <c r="L13" s="44">
        <f t="array" ref="L13">LET(val, IFERROR(INDEX('Daily 스피킹 raw'!$A:$ZZ, MATCH(L$2, 'Daily 스피킹 raw'!$A:$A, 0), MATCH($B13, 'Daily 스피킹 raw'!$1:$1, 0)), ""), IF(val=0, "", val))</f>
        <v>12</v>
      </c>
      <c r="M13" s="44">
        <f t="array" ref="M13">LET(val, IFERROR(INDEX('Daily 스피킹 raw'!$A:$ZZ, MATCH(M$2, 'Daily 스피킹 raw'!$A:$A, 0), MATCH($B13, 'Daily 스피킹 raw'!$1:$1, 0)), ""), IF(val=0, "", val))</f>
        <v>19</v>
      </c>
      <c r="N13" s="44">
        <f t="array" ref="N13">LET(val, IFERROR(INDEX('Daily 스피킹 raw'!$A:$ZZ, MATCH(N$2, 'Daily 스피킹 raw'!$A:$A, 0), MATCH($B13, 'Daily 스피킹 raw'!$1:$1, 0)), ""), IF(val=0, "", val))</f>
        <v>13</v>
      </c>
      <c r="O13" s="44">
        <f t="array" ref="O13">LET(val, IFERROR(INDEX('Daily 스피킹 raw'!$A:$ZZ, MATCH(O$2, 'Daily 스피킹 raw'!$A:$A, 0), MATCH($B13, 'Daily 스피킹 raw'!$1:$1, 0)), ""), IF(val=0, "", val))</f>
        <v>5</v>
      </c>
      <c r="P13" s="44">
        <f t="array" ref="P13">LET(val, IFERROR(INDEX('Daily 스피킹 raw'!$A:$ZZ, MATCH(P$2, 'Daily 스피킹 raw'!$A:$A, 0), MATCH($B13, 'Daily 스피킹 raw'!$1:$1, 0)), ""), IF(val=0, "", val))</f>
        <v>8</v>
      </c>
      <c r="Q13" s="44">
        <f t="array" ref="Q13">LET(val, IFERROR(INDEX('Daily 스피킹 raw'!$A:$ZZ, MATCH(Q$2, 'Daily 스피킹 raw'!$A:$A, 0), MATCH($B13, 'Daily 스피킹 raw'!$1:$1, 0)), ""), IF(val=0, "", val))</f>
        <v>5</v>
      </c>
      <c r="R13" s="44">
        <f t="array" ref="R13">LET(val, IFERROR(INDEX('Daily 스피킹 raw'!$A:$ZZ, MATCH(R$2, 'Daily 스피킹 raw'!$A:$A, 0), MATCH($B13, 'Daily 스피킹 raw'!$1:$1, 0)), ""), IF(val=0, "", val))</f>
        <v>9</v>
      </c>
      <c r="S13" s="44">
        <f t="array" ref="S13">LET(val, IFERROR(INDEX('Daily 스피킹 raw'!$A:$ZZ, MATCH(S$2, 'Daily 스피킹 raw'!$A:$A, 0), MATCH($B13, 'Daily 스피킹 raw'!$1:$1, 0)), ""), IF(val=0, "", val))</f>
        <v>6</v>
      </c>
      <c r="T13" s="44">
        <f t="array" ref="T13">LET(val, IFERROR(INDEX('Daily 스피킹 raw'!$A:$ZZ, MATCH(T$2, 'Daily 스피킹 raw'!$A:$A, 0), MATCH($B13, 'Daily 스피킹 raw'!$1:$1, 0)), ""), IF(val=0, "", val))</f>
        <v>5</v>
      </c>
      <c r="U13" s="44">
        <f t="array" ref="U13">LET(val, IFERROR(INDEX('Daily 스피킹 raw'!$A:$ZZ, MATCH(U$2, 'Daily 스피킹 raw'!$A:$A, 0), MATCH($B13, 'Daily 스피킹 raw'!$1:$1, 0)), ""), IF(val=0, "", val))</f>
        <v>3</v>
      </c>
      <c r="V13" s="44">
        <f t="array" ref="V13">LET(val, IFERROR(INDEX('Daily 스피킹 raw'!$A:$ZZ, MATCH(V$2, 'Daily 스피킹 raw'!$A:$A, 0), MATCH($B13, 'Daily 스피킹 raw'!$1:$1, 0)), ""), IF(val=0, "", val))</f>
        <v>7</v>
      </c>
      <c r="W13" s="44">
        <f t="array" ref="W13">LET(val, IFERROR(INDEX('Daily 스피킹 raw'!$A:$ZZ, MATCH(W$2, 'Daily 스피킹 raw'!$A:$A, 0), MATCH($B13, 'Daily 스피킹 raw'!$1:$1, 0)), ""), IF(val=0, "", val))</f>
        <v>8</v>
      </c>
      <c r="X13" s="44">
        <f t="array" ref="X13">LET(val, IFERROR(INDEX('Daily 스피킹 raw'!$A:$ZZ, MATCH(X$2, 'Daily 스피킹 raw'!$A:$A, 0), MATCH($B13, 'Daily 스피킹 raw'!$1:$1, 0)), ""), IF(val=0, "", val))</f>
        <v>6</v>
      </c>
      <c r="Y13" s="44">
        <f t="array" ref="Y13">LET(val, IFERROR(INDEX('Daily 스피킹 raw'!$A:$ZZ, MATCH(Y$2, 'Daily 스피킹 raw'!$A:$A, 0), MATCH($B13, 'Daily 스피킹 raw'!$1:$1, 0)), ""), IF(val=0, "", val))</f>
        <v>4</v>
      </c>
      <c r="Z13" s="44">
        <f t="array" ref="Z13">LET(val, IFERROR(INDEX('Daily 스피킹 raw'!$A:$ZZ, MATCH(Z$2, 'Daily 스피킹 raw'!$A:$A, 0), MATCH($B13, 'Daily 스피킹 raw'!$1:$1, 0)), ""), IF(val=0, "", val))</f>
        <v>2</v>
      </c>
      <c r="AA13" s="44">
        <f t="array" ref="AA13">LET(val, IFERROR(INDEX('Daily 스피킹 raw'!$A:$ZZ, MATCH(AA$2, 'Daily 스피킹 raw'!$A:$A, 0), MATCH($B13, 'Daily 스피킹 raw'!$1:$1, 0)), ""), IF(val=0, "", val))</f>
        <v>10</v>
      </c>
      <c r="AB13" s="44">
        <f t="array" ref="AB13">LET(val, IFERROR(INDEX('Daily 스피킹 raw'!$A:$ZZ, MATCH(AB$2, 'Daily 스피킹 raw'!$A:$A, 0), MATCH($B13, 'Daily 스피킹 raw'!$1:$1, 0)), ""), IF(val=0, "", val))</f>
        <v>6</v>
      </c>
      <c r="AC13" s="44">
        <f t="array" ref="AC13">LET(val, IFERROR(INDEX('Daily 스피킹 raw'!$A:$ZZ, MATCH(AC$2, 'Daily 스피킹 raw'!$A:$A, 0), MATCH($B13, 'Daily 스피킹 raw'!$1:$1, 0)), ""), IF(val=0, "", val))</f>
        <v>7</v>
      </c>
      <c r="AD13" s="44">
        <f t="array" ref="AD13">LET(val, IFERROR(INDEX('Daily 스피킹 raw'!$A:$ZZ, MATCH(AD$2, 'Daily 스피킹 raw'!$A:$A, 0), MATCH($B13, 'Daily 스피킹 raw'!$1:$1, 0)), ""), IF(val=0, "", val))</f>
        <v>8</v>
      </c>
      <c r="AE13" s="44">
        <f t="array" ref="AE13">LET(val, IFERROR(INDEX('Daily 스피킹 raw'!$A:$ZZ, MATCH(AE$2, 'Daily 스피킹 raw'!$A:$A, 0), MATCH($B13, 'Daily 스피킹 raw'!$1:$1, 0)), ""), IF(val=0, "", val))</f>
        <v>9</v>
      </c>
      <c r="AF13" s="44">
        <f t="array" ref="AF13">LET(val, IFERROR(INDEX('Daily 스피킹 raw'!$A:$ZZ, MATCH(AF$2, 'Daily 스피킹 raw'!$A:$A, 0), MATCH($B13, 'Daily 스피킹 raw'!$1:$1, 0)), ""), IF(val=0, "", val))</f>
        <v>4</v>
      </c>
      <c r="AG13" s="44">
        <f t="array" ref="AG13">LET(val, IFERROR(INDEX('Daily 스피킹 raw'!$A:$ZZ, MATCH(AG$2, 'Daily 스피킹 raw'!$A:$A, 0), MATCH($B13, 'Daily 스피킹 raw'!$1:$1, 0)), ""), IF(val=0, "", val))</f>
        <v>6</v>
      </c>
      <c r="AH13" s="44">
        <f t="array" ref="AH13">LET(val, IFERROR(INDEX('Daily 스피킹 raw'!$A:$ZZ, MATCH(AH$2, 'Daily 스피킹 raw'!$A:$A, 0), MATCH($B13, 'Daily 스피킹 raw'!$1:$1, 0)), ""), IF(val=0, "", val))</f>
        <v>5</v>
      </c>
      <c r="AI13" s="44">
        <f t="array" ref="AI13">LET(val, IFERROR(INDEX('Daily 스피킹 raw'!$A:$ZZ, MATCH(AI$2, 'Daily 스피킹 raw'!$A:$A, 0), MATCH($B13, 'Daily 스피킹 raw'!$1:$1, 0)), ""), IF(val=0, "", val))</f>
        <v>6</v>
      </c>
      <c r="AJ13" s="44">
        <f t="array" ref="AJ13">LET(val, IFERROR(INDEX('Daily 스피킹 raw'!$A:$ZZ, MATCH(AJ$2, 'Daily 스피킹 raw'!$A:$A, 0), MATCH($B13, 'Daily 스피킹 raw'!$1:$1, 0)), ""), IF(val=0, "", val))</f>
        <v>5</v>
      </c>
      <c r="AK13" s="44">
        <f t="array" ref="AK13">LET(val, IFERROR(INDEX('Daily 스피킹 raw'!$A:$ZZ, MATCH(AK$2, 'Daily 스피킹 raw'!$A:$A, 0), MATCH($B13, 'Daily 스피킹 raw'!$1:$1, 0)), ""), IF(val=0, "", val))</f>
        <v>4</v>
      </c>
      <c r="AL13" s="44">
        <f t="array" ref="AL13">LET(val, IFERROR(INDEX('Daily 스피킹 raw'!$A:$ZZ, MATCH(AL$2, 'Daily 스피킹 raw'!$A:$A, 0), MATCH($B13, 'Daily 스피킹 raw'!$1:$1, 0)), ""), IF(val=0, "", val))</f>
        <v>4</v>
      </c>
      <c r="AM13" s="44">
        <f t="array" ref="AM13">LET(val, IFERROR(INDEX('Daily 스피킹 raw'!$A:$ZZ, MATCH(AM$2, 'Daily 스피킹 raw'!$A:$A, 0), MATCH($B13, 'Daily 스피킹 raw'!$1:$1, 0)), ""), IF(val=0, "", val))</f>
        <v>4</v>
      </c>
      <c r="AN13" s="44">
        <f t="array" ref="AN13">LET(val, IFERROR(INDEX('Daily 스피킹 raw'!$A:$ZZ, MATCH(AN$2, 'Daily 스피킹 raw'!$A:$A, 0), MATCH($B13, 'Daily 스피킹 raw'!$1:$1, 0)), ""), IF(val=0, "", val))</f>
        <v>6</v>
      </c>
      <c r="AO13" s="44">
        <f t="array" ref="AO13">LET(val, IFERROR(INDEX('Daily 스피킹 raw'!$A:$ZZ, MATCH(AO$2, 'Daily 스피킹 raw'!$A:$A, 0), MATCH($B13, 'Daily 스피킹 raw'!$1:$1, 0)), ""), IF(val=0, "", val))</f>
        <v>9</v>
      </c>
      <c r="AP13" s="44">
        <f t="array" ref="AP13">LET(val, IFERROR(INDEX('Daily 스피킹 raw'!$A:$ZZ, MATCH(AP$2, 'Daily 스피킹 raw'!$A:$A, 0), MATCH($B13, 'Daily 스피킹 raw'!$1:$1, 0)), ""), IF(val=0, "", val))</f>
        <v>1</v>
      </c>
      <c r="AQ13" s="44">
        <f t="array" ref="AQ13">LET(val, IFERROR(INDEX('Daily 스피킹 raw'!$A:$ZZ, MATCH(AQ$2, 'Daily 스피킹 raw'!$A:$A, 0), MATCH($B13, 'Daily 스피킹 raw'!$1:$1, 0)), ""), IF(val=0, "", val))</f>
        <v>4</v>
      </c>
      <c r="AR13" s="44">
        <f t="array" ref="AR13">LET(val, IFERROR(INDEX('Daily 스피킹 raw'!$A:$ZZ, MATCH(AR$2, 'Daily 스피킹 raw'!$A:$A, 0), MATCH($B13, 'Daily 스피킹 raw'!$1:$1, 0)), ""), IF(val=0, "", val))</f>
        <v>8</v>
      </c>
      <c r="AS13" s="44">
        <f t="array" ref="AS13">LET(val, IFERROR(INDEX('Daily 스피킹 raw'!$A:$ZZ, MATCH(AS$2, 'Daily 스피킹 raw'!$A:$A, 0), MATCH($B13, 'Daily 스피킹 raw'!$1:$1, 0)), ""), IF(val=0, "", val))</f>
        <v>8</v>
      </c>
      <c r="AT13" s="44">
        <f t="array" ref="AT13">LET(val, IFERROR(INDEX('Daily 스피킹 raw'!$A:$ZZ, MATCH(AT$2, 'Daily 스피킹 raw'!$A:$A, 0), MATCH($B13, 'Daily 스피킹 raw'!$1:$1, 0)), ""), IF(val=0, "", val))</f>
        <v>5</v>
      </c>
      <c r="AU13" s="44">
        <f t="array" ref="AU13">LET(val, IFERROR(INDEX('Daily 스피킹 raw'!$A:$ZZ, MATCH(AU$2, 'Daily 스피킹 raw'!$A:$A, 0), MATCH($B13, 'Daily 스피킹 raw'!$1:$1, 0)), ""), IF(val=0, "", val))</f>
        <v>9</v>
      </c>
      <c r="AV13" s="44">
        <f t="array" ref="AV13">LET(val, IFERROR(INDEX('Daily 스피킹 raw'!$A:$ZZ, MATCH(AV$2, 'Daily 스피킹 raw'!$A:$A, 0), MATCH($B13, 'Daily 스피킹 raw'!$1:$1, 0)), ""), IF(val=0, "", val))</f>
        <v>6</v>
      </c>
      <c r="AW13" s="44">
        <f t="array" ref="AW13">LET(val, IFERROR(INDEX('Daily 스피킹 raw'!$A:$ZZ, MATCH(AW$2, 'Daily 스피킹 raw'!$A:$A, 0), MATCH($B13, 'Daily 스피킹 raw'!$1:$1, 0)), ""), IF(val=0, "", val))</f>
        <v>6</v>
      </c>
      <c r="AX13" s="44">
        <f t="array" ref="AX13">LET(val, IFERROR(INDEX('Daily 스피킹 raw'!$A:$ZZ, MATCH(AX$2, 'Daily 스피킹 raw'!$A:$A, 0), MATCH($B13, 'Daily 스피킹 raw'!$1:$1, 0)), ""), IF(val=0, "", val))</f>
        <v>11</v>
      </c>
      <c r="AY13" s="44">
        <f t="array" ref="AY13">LET(val, IFERROR(INDEX('Daily 스피킹 raw'!$A:$ZZ, MATCH(AY$2, 'Daily 스피킹 raw'!$A:$A, 0), MATCH($B13, 'Daily 스피킹 raw'!$1:$1, 0)), ""), IF(val=0, "", val))</f>
        <v>5</v>
      </c>
      <c r="AZ13" s="44">
        <f t="array" ref="AZ13">LET(val, IFERROR(INDEX('Daily 스피킹 raw'!$A:$ZZ, MATCH(AZ$2, 'Daily 스피킹 raw'!$A:$A, 0), MATCH($B13, 'Daily 스피킹 raw'!$1:$1, 0)), ""), IF(val=0, "", val))</f>
        <v>1</v>
      </c>
      <c r="BA13" s="44">
        <f t="array" ref="BA13">LET(val, IFERROR(INDEX('Daily 스피킹 raw'!$A:$ZZ, MATCH(BA$2, 'Daily 스피킹 raw'!$A:$A, 0), MATCH($B13, 'Daily 스피킹 raw'!$1:$1, 0)), ""), IF(val=0, "", val))</f>
        <v>5</v>
      </c>
      <c r="BB13" s="44">
        <f t="array" ref="BB13">LET(val, IFERROR(INDEX('Daily 스피킹 raw'!$A:$ZZ, MATCH(BB$2, 'Daily 스피킹 raw'!$A:$A, 0), MATCH($B13, 'Daily 스피킹 raw'!$1:$1, 0)), ""), IF(val=0, "", val))</f>
        <v>6</v>
      </c>
      <c r="BC13" s="44">
        <f t="array" ref="BC13">LET(val, IFERROR(INDEX('Daily 스피킹 raw'!$A:$ZZ, MATCH(BC$2, 'Daily 스피킹 raw'!$A:$A, 0), MATCH($B13, 'Daily 스피킹 raw'!$1:$1, 0)), ""), IF(val=0, "", val))</f>
        <v>6</v>
      </c>
      <c r="BD13" s="44">
        <f t="array" ref="BD13">LET(val, IFERROR(INDEX('Daily 스피킹 raw'!$A:$ZZ, MATCH(BD$2, 'Daily 스피킹 raw'!$A:$A, 0), MATCH($B13, 'Daily 스피킹 raw'!$1:$1, 0)), ""), IF(val=0, "", val))</f>
        <v>4</v>
      </c>
      <c r="BE13" s="44">
        <f t="array" ref="BE13">LET(val, IFERROR(INDEX('Daily 스피킹 raw'!$A:$ZZ, MATCH(BE$2, 'Daily 스피킹 raw'!$A:$A, 0), MATCH($B13, 'Daily 스피킹 raw'!$1:$1, 0)), ""), IF(val=0, "", val))</f>
        <v>2</v>
      </c>
      <c r="BF13" s="44">
        <f t="array" ref="BF13">LET(val, IFERROR(INDEX('Daily 스피킹 raw'!$A:$ZZ, MATCH(BF$2, 'Daily 스피킹 raw'!$A:$A, 0), MATCH($B13, 'Daily 스피킹 raw'!$1:$1, 0)), ""), IF(val=0, "", val))</f>
        <v>3</v>
      </c>
      <c r="BG13" s="44">
        <f t="array" ref="BG13">LET(val, IFERROR(INDEX('Daily 스피킹 raw'!$A:$ZZ, MATCH(BG$2, 'Daily 스피킹 raw'!$A:$A, 0), MATCH($B13, 'Daily 스피킹 raw'!$1:$1, 0)), ""), IF(val=0, "", val))</f>
        <v>2</v>
      </c>
      <c r="BH13" s="44">
        <f t="array" ref="BH13">LET(val, IFERROR(INDEX('Daily 스피킹 raw'!$A:$ZZ, MATCH(BH$2, 'Daily 스피킹 raw'!$A:$A, 0), MATCH($B13, 'Daily 스피킹 raw'!$1:$1, 0)), ""), IF(val=0, "", val))</f>
        <v>6</v>
      </c>
      <c r="BI13" s="44">
        <f t="array" ref="BI13">LET(val, IFERROR(INDEX('Daily 스피킹 raw'!$A:$ZZ, MATCH(BI$2, 'Daily 스피킹 raw'!$A:$A, 0), MATCH($B13, 'Daily 스피킹 raw'!$1:$1, 0)), ""), IF(val=0, "", val))</f>
        <v>5</v>
      </c>
      <c r="BJ13" s="44">
        <f t="array" ref="BJ13">LET(val, IFERROR(INDEX('Daily 스피킹 raw'!$A:$ZZ, MATCH(BJ$2, 'Daily 스피킹 raw'!$A:$A, 0), MATCH($B13, 'Daily 스피킹 raw'!$1:$1, 0)), ""), IF(val=0, "", val))</f>
        <v>4</v>
      </c>
      <c r="BK13" s="44">
        <f t="array" ref="BK13">LET(val, IFERROR(INDEX('Daily 스피킹 raw'!$A:$ZZ, MATCH(BK$2, 'Daily 스피킹 raw'!$A:$A, 0), MATCH($B13, 'Daily 스피킹 raw'!$1:$1, 0)), ""), IF(val=0, "", val))</f>
        <v>4</v>
      </c>
      <c r="BL13" s="44">
        <f t="array" ref="BL13">LET(val, IFERROR(INDEX('Daily 스피킹 raw'!$A:$ZZ, MATCH(BL$2, 'Daily 스피킹 raw'!$A:$A, 0), MATCH($B13, 'Daily 스피킹 raw'!$1:$1, 0)), ""), IF(val=0, "", val))</f>
        <v>5</v>
      </c>
      <c r="BM13" s="44" t="str">
        <f t="array" ref="BM13">LET(val, IFERROR(INDEX('Daily 스피킹 raw'!$A:$ZZ, MATCH(BM$2, 'Daily 스피킹 raw'!$A:$A, 0), MATCH($B13, 'Daily 스피킹 raw'!$1:$1, 0)), ""), IF(val=0, "", val))</f>
        <v/>
      </c>
      <c r="BN13" s="44" t="str">
        <f t="array" ref="BN13">LET(val, IFERROR(INDEX('Daily 스피킹 raw'!$A:$ZZ, MATCH(BN$2, 'Daily 스피킹 raw'!$A:$A, 0), MATCH($B13, 'Daily 스피킹 raw'!$1:$1, 0)), ""), IF(val=0, "", val))</f>
        <v/>
      </c>
      <c r="BO13" s="44" t="str">
        <f t="array" ref="BO13">LET(val, IFERROR(INDEX('Daily 스피킹 raw'!$A:$ZZ, MATCH(BO$2, 'Daily 스피킹 raw'!$A:$A, 0), MATCH($B13, 'Daily 스피킹 raw'!$1:$1, 0)), ""), IF(val=0, "", val))</f>
        <v/>
      </c>
      <c r="BP13" s="44" t="str">
        <f t="array" ref="BP13">LET(val, IFERROR(INDEX('Daily 스피킹 raw'!$A:$ZZ, MATCH(BP$2, 'Daily 스피킹 raw'!$A:$A, 0), MATCH($B13, 'Daily 스피킹 raw'!$1:$1, 0)), ""), IF(val=0, "", val))</f>
        <v/>
      </c>
      <c r="BQ13" s="44" t="str">
        <f t="array" ref="BQ13">LET(val, IFERROR(INDEX('Daily 스피킹 raw'!$A:$ZZ, MATCH(BQ$2, 'Daily 스피킹 raw'!$A:$A, 0), MATCH($B13, 'Daily 스피킹 raw'!$1:$1, 0)), ""), IF(val=0, "", val))</f>
        <v/>
      </c>
      <c r="BR13" s="44" t="str">
        <f t="array" ref="BR13">LET(val, IFERROR(INDEX('Daily 스피킹 raw'!$A:$ZZ, MATCH(BR$2, 'Daily 스피킹 raw'!$A:$A, 0), MATCH($B13, 'Daily 스피킹 raw'!$1:$1, 0)), ""), IF(val=0, "", val))</f>
        <v/>
      </c>
      <c r="BS13" s="44" t="str">
        <f t="array" ref="BS13">LET(val, IFERROR(INDEX('Daily 스피킹 raw'!$A:$ZZ, MATCH(BS$2, 'Daily 스피킹 raw'!$A:$A, 0), MATCH($B13, 'Daily 스피킹 raw'!$1:$1, 0)), ""), IF(val=0, "", val))</f>
        <v/>
      </c>
      <c r="BT13" s="44" t="str">
        <f t="array" ref="BT13">LET(val, IFERROR(INDEX('Daily 스피킹 raw'!$A:$ZZ, MATCH(BT$2, 'Daily 스피킹 raw'!$A:$A, 0), MATCH($B13, 'Daily 스피킹 raw'!$1:$1, 0)), ""), IF(val=0, "", val))</f>
        <v/>
      </c>
      <c r="BU13" s="44" t="str">
        <f t="array" ref="BU13">LET(val, IFERROR(INDEX('Daily 스피킹 raw'!$A:$ZZ, MATCH(BU$2, 'Daily 스피킹 raw'!$A:$A, 0), MATCH($B13, 'Daily 스피킹 raw'!$1:$1, 0)), ""), IF(val=0, "", val))</f>
        <v/>
      </c>
      <c r="BV13" s="44" t="str">
        <f t="array" ref="BV13">LET(val, IFERROR(INDEX('Daily 스피킹 raw'!$A:$ZZ, MATCH(BV$2, 'Daily 스피킹 raw'!$A:$A, 0), MATCH($B13, 'Daily 스피킹 raw'!$1:$1, 0)), ""), IF(val=0, "", val))</f>
        <v/>
      </c>
      <c r="BW13" s="44" t="str">
        <f t="array" ref="BW13">LET(val, IFERROR(INDEX('Daily 스피킹 raw'!$A:$ZZ, MATCH(BW$2, 'Daily 스피킹 raw'!$A:$A, 0), MATCH($B13, 'Daily 스피킹 raw'!$1:$1, 0)), ""), IF(val=0, "", val))</f>
        <v/>
      </c>
      <c r="BX13" s="44" t="str">
        <f t="array" ref="BX13">LET(val, IFERROR(INDEX('Daily 스피킹 raw'!$A:$ZZ, MATCH(BX$2, 'Daily 스피킹 raw'!$A:$A, 0), MATCH($B13, 'Daily 스피킹 raw'!$1:$1, 0)), ""), IF(val=0, "", val))</f>
        <v/>
      </c>
      <c r="BY13" s="44" t="str">
        <f t="array" ref="BY13">LET(val, IFERROR(INDEX('Daily 스피킹 raw'!$A:$ZZ, MATCH(BY$2, 'Daily 스피킹 raw'!$A:$A, 0), MATCH($B13, 'Daily 스피킹 raw'!$1:$1, 0)), ""), IF(val=0, "", val))</f>
        <v/>
      </c>
      <c r="BZ13" s="44" t="str">
        <f t="array" ref="BZ13">LET(val, IFERROR(INDEX('Daily 스피킹 raw'!$A:$ZZ, MATCH(BZ$2, 'Daily 스피킹 raw'!$A:$A, 0), MATCH($B13, 'Daily 스피킹 raw'!$1:$1, 0)), ""), IF(val=0, "", val))</f>
        <v/>
      </c>
      <c r="CA13" s="44" t="str">
        <f t="array" ref="CA13">LET(val, IFERROR(INDEX('Daily 스피킹 raw'!$A:$ZZ, MATCH(CA$2, 'Daily 스피킹 raw'!$A:$A, 0), MATCH($B13, 'Daily 스피킹 raw'!$1:$1, 0)), ""), IF(val=0, "", val))</f>
        <v/>
      </c>
      <c r="CB13" s="44" t="str">
        <f t="array" ref="CB13">LET(val, IFERROR(INDEX('Daily 스피킹 raw'!$A:$ZZ, MATCH(CB$2, 'Daily 스피킹 raw'!$A:$A, 0), MATCH($B13, 'Daily 스피킹 raw'!$1:$1, 0)), ""), IF(val=0, "", val))</f>
        <v/>
      </c>
      <c r="CC13" s="44" t="str">
        <f t="array" ref="CC13">LET(val, IFERROR(INDEX('Daily 스피킹 raw'!$A:$ZZ, MATCH(CC$2, 'Daily 스피킹 raw'!$A:$A, 0), MATCH($B13, 'Daily 스피킹 raw'!$1:$1, 0)), ""), IF(val=0, "", val))</f>
        <v/>
      </c>
      <c r="CD13" s="44" t="str">
        <f t="array" ref="CD13">LET(val, IFERROR(INDEX('Daily 스피킹 raw'!$A:$ZZ, MATCH(CD$2, 'Daily 스피킹 raw'!$A:$A, 0), MATCH($B13, 'Daily 스피킹 raw'!$1:$1, 0)), ""), IF(val=0, "", val))</f>
        <v/>
      </c>
      <c r="CE13" s="44" t="str">
        <f t="array" ref="CE13">LET(val, IFERROR(INDEX('Daily 스피킹 raw'!$A:$ZZ, MATCH(CE$2, 'Daily 스피킹 raw'!$A:$A, 0), MATCH($B13, 'Daily 스피킹 raw'!$1:$1, 0)), ""), IF(val=0, "", val))</f>
        <v/>
      </c>
      <c r="CF13" s="44" t="str">
        <f t="array" ref="CF13">LET(val, IFERROR(INDEX('Daily 스피킹 raw'!$A:$ZZ, MATCH(CF$2, 'Daily 스피킹 raw'!$A:$A, 0), MATCH($B13, 'Daily 스피킹 raw'!$1:$1, 0)), ""), IF(val=0, "", val))</f>
        <v/>
      </c>
      <c r="CG13" s="44" t="str">
        <f t="array" ref="CG13">LET(val, IFERROR(INDEX('Daily 스피킹 raw'!$A:$ZZ, MATCH(CG$2, 'Daily 스피킹 raw'!$A:$A, 0), MATCH($B13, 'Daily 스피킹 raw'!$1:$1, 0)), ""), IF(val=0, "", val))</f>
        <v/>
      </c>
      <c r="CH13" s="44" t="str">
        <f t="array" ref="CH13">LET(val, IFERROR(INDEX('Daily 스피킹 raw'!$A:$ZZ, MATCH(CH$2, 'Daily 스피킹 raw'!$A:$A, 0), MATCH($B13, 'Daily 스피킹 raw'!$1:$1, 0)), ""), IF(val=0, "", val))</f>
        <v/>
      </c>
      <c r="CI13" s="44" t="str">
        <f t="array" ref="CI13">LET(val, IFERROR(INDEX('Daily 스피킹 raw'!$A:$ZZ, MATCH(CI$2, 'Daily 스피킹 raw'!$A:$A, 0), MATCH($B13, 'Daily 스피킹 raw'!$1:$1, 0)), ""), IF(val=0, "", val))</f>
        <v/>
      </c>
      <c r="CJ13" s="44" t="str">
        <f t="array" ref="CJ13">LET(val, IFERROR(INDEX('Daily 스피킹 raw'!$A:$ZZ, MATCH(CJ$2, 'Daily 스피킹 raw'!$A:$A, 0), MATCH($B13, 'Daily 스피킹 raw'!$1:$1, 0)), ""), IF(val=0, "", val))</f>
        <v/>
      </c>
      <c r="CK13" s="44" t="str">
        <f t="array" ref="CK13">LET(val, IFERROR(INDEX('Daily 스피킹 raw'!$A:$ZZ, MATCH(CK$2, 'Daily 스피킹 raw'!$A:$A, 0), MATCH($B13, 'Daily 스피킹 raw'!$1:$1, 0)), ""), IF(val=0, "", val))</f>
        <v/>
      </c>
      <c r="CL13" s="44" t="str">
        <f t="array" ref="CL13">LET(val, IFERROR(INDEX('Daily 스피킹 raw'!$A:$ZZ, MATCH(CL$2, 'Daily 스피킹 raw'!$A:$A, 0), MATCH($B13, 'Daily 스피킹 raw'!$1:$1, 0)), ""), IF(val=0, "", val))</f>
        <v/>
      </c>
      <c r="CM13" s="44" t="str">
        <f t="array" ref="CM13">LET(val, IFERROR(INDEX('Daily 스피킹 raw'!$A:$ZZ, MATCH(CM$2, 'Daily 스피킹 raw'!$A:$A, 0), MATCH($B13, 'Daily 스피킹 raw'!$1:$1, 0)), ""), IF(val=0, "", val))</f>
        <v/>
      </c>
      <c r="CN13" s="44" t="str">
        <f t="array" ref="CN13">LET(val, IFERROR(INDEX('Daily 스피킹 raw'!$A:$ZZ, MATCH(CN$2, 'Daily 스피킹 raw'!$A:$A, 0), MATCH($B13, 'Daily 스피킹 raw'!$1:$1, 0)), ""), IF(val=0, "", val))</f>
        <v/>
      </c>
      <c r="CO13" s="44" t="str">
        <f t="array" ref="CO13">LET(val, IFERROR(INDEX('Daily 스피킹 raw'!$A:$ZZ, MATCH(CO$2, 'Daily 스피킹 raw'!$A:$A, 0), MATCH($B13, 'Daily 스피킹 raw'!$1:$1, 0)), ""), IF(val=0, "", val))</f>
        <v/>
      </c>
      <c r="CP13" s="44" t="str">
        <f t="array" ref="CP13">LET(val, IFERROR(INDEX('Daily 스피킹 raw'!$A:$ZZ, MATCH(CP$2, 'Daily 스피킹 raw'!$A:$A, 0), MATCH($B13, 'Daily 스피킹 raw'!$1:$1, 0)), ""), IF(val=0, "", val))</f>
        <v/>
      </c>
      <c r="CQ13" s="44" t="str">
        <f t="array" ref="CQ13">LET(val, IFERROR(INDEX('Daily 스피킹 raw'!$A:$ZZ, MATCH(CQ$2, 'Daily 스피킹 raw'!$A:$A, 0), MATCH($B13, 'Daily 스피킹 raw'!$1:$1, 0)), ""), IF(val=0, "", val))</f>
        <v/>
      </c>
      <c r="CR13" s="44" t="str">
        <f t="array" ref="CR13">LET(val, IFERROR(INDEX('Daily 스피킹 raw'!$A:$ZZ, MATCH(CR$2, 'Daily 스피킹 raw'!$A:$A, 0), MATCH($B13, 'Daily 스피킹 raw'!$1:$1, 0)), ""), IF(val=0, "", val))</f>
        <v/>
      </c>
      <c r="CS13" s="44" t="str">
        <f t="array" ref="CS13">LET(val, IFERROR(INDEX('Daily 스피킹 raw'!$A:$ZZ, MATCH(CS$2, 'Daily 스피킹 raw'!$A:$A, 0), MATCH($B13, 'Daily 스피킹 raw'!$1:$1, 0)), ""), IF(val=0, "", val))</f>
        <v/>
      </c>
      <c r="CT13" s="44" t="str">
        <f t="array" ref="CT13">LET(val, IFERROR(INDEX('Daily 스피킹 raw'!$A:$ZZ, MATCH(CT$2, 'Daily 스피킹 raw'!$A:$A, 0), MATCH($B13, 'Daily 스피킹 raw'!$1:$1, 0)), ""), IF(val=0, "", val))</f>
        <v/>
      </c>
      <c r="CU13" s="44" t="str">
        <f t="array" ref="CU13">LET(val, IFERROR(INDEX('Daily 스피킹 raw'!$A:$ZZ, MATCH(CU$2, 'Daily 스피킹 raw'!$A:$A, 0), MATCH($B13, 'Daily 스피킹 raw'!$1:$1, 0)), ""), IF(val=0, "", val))</f>
        <v/>
      </c>
      <c r="CV13" s="44" t="str">
        <f t="array" ref="CV13">LET(val, IFERROR(INDEX('Daily 스피킹 raw'!$A:$ZZ, MATCH(CV$2, 'Daily 스피킹 raw'!$A:$A, 0), MATCH($B13, 'Daily 스피킹 raw'!$1:$1, 0)), ""), IF(val=0, "", val))</f>
        <v/>
      </c>
      <c r="CW13" s="44" t="str">
        <f t="array" ref="CW13">LET(val, IFERROR(INDEX('Daily 스피킹 raw'!$A:$ZZ, MATCH(CW$2, 'Daily 스피킹 raw'!$A:$A, 0), MATCH($B13, 'Daily 스피킹 raw'!$1:$1, 0)), ""), IF(val=0, "", val))</f>
        <v/>
      </c>
    </row>
    <row r="14" ht="22.5" customHeight="1">
      <c r="A14" s="1"/>
      <c r="B14" s="11" t="s">
        <v>31</v>
      </c>
      <c r="C14" s="1" t="s">
        <v>32</v>
      </c>
      <c r="D14" s="42">
        <f t="shared" ref="D14:CW14" si="3"> IFERROR(1 - (D15 / D16), "")</f>
        <v>-0.5506428239</v>
      </c>
      <c r="E14" s="42">
        <f t="shared" si="3"/>
        <v>-2.449620249</v>
      </c>
      <c r="F14" s="42">
        <f t="shared" si="3"/>
        <v>-0.4296147909</v>
      </c>
      <c r="G14" s="42">
        <f t="shared" si="3"/>
        <v>-0.9629295838</v>
      </c>
      <c r="H14" s="42">
        <f t="shared" si="3"/>
        <v>-2.503767061</v>
      </c>
      <c r="I14" s="42">
        <f t="shared" si="3"/>
        <v>0.02452272577</v>
      </c>
      <c r="J14" s="42">
        <f t="shared" si="3"/>
        <v>0.08529021157</v>
      </c>
      <c r="K14" s="42">
        <f t="shared" si="3"/>
        <v>-0.03501083053</v>
      </c>
      <c r="L14" s="42">
        <f t="shared" si="3"/>
        <v>-0.1557259529</v>
      </c>
      <c r="M14" s="42">
        <f t="shared" si="3"/>
        <v>0.366266987</v>
      </c>
      <c r="N14" s="42">
        <f t="shared" si="3"/>
        <v>0.201987025</v>
      </c>
      <c r="O14" s="42">
        <f t="shared" si="3"/>
        <v>-0.6897409934</v>
      </c>
      <c r="P14" s="42">
        <f t="shared" si="3"/>
        <v>-1.656955489</v>
      </c>
      <c r="Q14" s="42">
        <f t="shared" si="3"/>
        <v>-0.2007285912</v>
      </c>
      <c r="R14" s="42">
        <f t="shared" si="3"/>
        <v>-0.0869673598</v>
      </c>
      <c r="S14" s="42">
        <f t="shared" si="3"/>
        <v>-0.3443155815</v>
      </c>
      <c r="T14" s="42">
        <f t="shared" si="3"/>
        <v>-0.4835207782</v>
      </c>
      <c r="U14" s="42">
        <f t="shared" si="3"/>
        <v>-0.304948118</v>
      </c>
      <c r="V14" s="42">
        <f t="shared" si="3"/>
        <v>-0.04612279721</v>
      </c>
      <c r="W14" s="42">
        <f t="shared" si="3"/>
        <v>-0.06879560745</v>
      </c>
      <c r="X14" s="42">
        <f t="shared" si="3"/>
        <v>-0.7448834038</v>
      </c>
      <c r="Y14" s="42">
        <f t="shared" si="3"/>
        <v>-0.7607788462</v>
      </c>
      <c r="Z14" s="42">
        <f t="shared" si="3"/>
        <v>-0.8768449612</v>
      </c>
      <c r="AA14" s="42">
        <f t="shared" si="3"/>
        <v>0.07310126582</v>
      </c>
      <c r="AB14" s="42">
        <f t="shared" si="3"/>
        <v>0.432587156</v>
      </c>
      <c r="AC14" s="42">
        <f t="shared" si="3"/>
        <v>0.4603669986</v>
      </c>
      <c r="AD14" s="42">
        <f t="shared" si="3"/>
        <v>0.4099231863</v>
      </c>
      <c r="AE14" s="42">
        <f t="shared" si="3"/>
        <v>0.4380677362</v>
      </c>
      <c r="AF14" s="42">
        <f t="shared" si="3"/>
        <v>0.2362721519</v>
      </c>
      <c r="AG14" s="42">
        <f t="shared" si="3"/>
        <v>0.3581797753</v>
      </c>
      <c r="AH14" s="42">
        <f t="shared" si="3"/>
        <v>0.1843130435</v>
      </c>
      <c r="AI14" s="42">
        <f t="shared" si="3"/>
        <v>0.5015281899</v>
      </c>
      <c r="AJ14" s="42">
        <f t="shared" si="3"/>
        <v>0.4445577982</v>
      </c>
      <c r="AK14" s="42">
        <f t="shared" si="3"/>
        <v>-0.3480555556</v>
      </c>
      <c r="AL14" s="42">
        <f t="shared" si="3"/>
        <v>-3.021344828</v>
      </c>
      <c r="AM14" s="42">
        <f t="shared" si="3"/>
        <v>-0.1000822785</v>
      </c>
      <c r="AN14" s="42">
        <f t="shared" si="3"/>
        <v>0.1123987342</v>
      </c>
      <c r="AO14" s="42">
        <f t="shared" si="3"/>
        <v>0.3226157407</v>
      </c>
      <c r="AP14" s="42">
        <f t="shared" si="3"/>
        <v>-3.583517241</v>
      </c>
      <c r="AQ14" s="42">
        <f t="shared" si="3"/>
        <v>0.3197848101</v>
      </c>
      <c r="AR14" s="42">
        <f t="shared" si="3"/>
        <v>0.4040729685</v>
      </c>
      <c r="AS14" s="42">
        <f t="shared" si="3"/>
        <v>0.1371550802</v>
      </c>
      <c r="AT14" s="42">
        <f t="shared" si="3"/>
        <v>0.4287775281</v>
      </c>
      <c r="AU14" s="42">
        <f t="shared" si="3"/>
        <v>0.5023684211</v>
      </c>
      <c r="AV14" s="42">
        <f t="shared" si="3"/>
        <v>0.5044634146</v>
      </c>
      <c r="AW14" s="42">
        <f t="shared" si="3"/>
        <v>0.5719228487</v>
      </c>
      <c r="AX14" s="42">
        <f t="shared" si="3"/>
        <v>0.595398374</v>
      </c>
      <c r="AY14" s="42">
        <f t="shared" si="3"/>
        <v>0.1748</v>
      </c>
      <c r="AZ14" s="42">
        <f t="shared" si="3"/>
        <v>-0.1011472868</v>
      </c>
      <c r="BA14" s="42">
        <f t="shared" si="3"/>
        <v>0.3653797101</v>
      </c>
      <c r="BB14" s="42">
        <f t="shared" si="3"/>
        <v>0.3913357664</v>
      </c>
      <c r="BC14" s="42">
        <f t="shared" si="3"/>
        <v>0.3333714286</v>
      </c>
      <c r="BD14" s="42">
        <f t="shared" si="3"/>
        <v>0.482556962</v>
      </c>
      <c r="BE14" s="42">
        <f t="shared" si="3"/>
        <v>0.2861139241</v>
      </c>
      <c r="BF14" s="42">
        <f t="shared" si="3"/>
        <v>0.5621705426</v>
      </c>
      <c r="BG14" s="42">
        <f t="shared" si="3"/>
        <v>0.4657984496</v>
      </c>
      <c r="BH14" s="42">
        <f t="shared" si="3"/>
        <v>0.5741016043</v>
      </c>
      <c r="BI14" s="42">
        <f t="shared" si="3"/>
        <v>0.3589959184</v>
      </c>
      <c r="BJ14" s="42">
        <f t="shared" si="3"/>
        <v>1</v>
      </c>
      <c r="BK14" s="42">
        <f t="shared" si="3"/>
        <v>1</v>
      </c>
      <c r="BL14" s="42">
        <f t="shared" si="3"/>
        <v>1</v>
      </c>
      <c r="BM14" s="42" t="str">
        <f t="shared" si="3"/>
        <v/>
      </c>
      <c r="BN14" s="42" t="str">
        <f t="shared" si="3"/>
        <v/>
      </c>
      <c r="BO14" s="42" t="str">
        <f t="shared" si="3"/>
        <v/>
      </c>
      <c r="BP14" s="42" t="str">
        <f t="shared" si="3"/>
        <v/>
      </c>
      <c r="BQ14" s="42" t="str">
        <f t="shared" si="3"/>
        <v/>
      </c>
      <c r="BR14" s="42" t="str">
        <f t="shared" si="3"/>
        <v/>
      </c>
      <c r="BS14" s="42" t="str">
        <f t="shared" si="3"/>
        <v/>
      </c>
      <c r="BT14" s="42" t="str">
        <f t="shared" si="3"/>
        <v/>
      </c>
      <c r="BU14" s="42" t="str">
        <f t="shared" si="3"/>
        <v/>
      </c>
      <c r="BV14" s="42" t="str">
        <f t="shared" si="3"/>
        <v/>
      </c>
      <c r="BW14" s="42" t="str">
        <f t="shared" si="3"/>
        <v/>
      </c>
      <c r="BX14" s="42" t="str">
        <f t="shared" si="3"/>
        <v/>
      </c>
      <c r="BY14" s="42" t="str">
        <f t="shared" si="3"/>
        <v/>
      </c>
      <c r="BZ14" s="42" t="str">
        <f t="shared" si="3"/>
        <v/>
      </c>
      <c r="CA14" s="42" t="str">
        <f t="shared" si="3"/>
        <v/>
      </c>
      <c r="CB14" s="42" t="str">
        <f t="shared" si="3"/>
        <v/>
      </c>
      <c r="CC14" s="42" t="str">
        <f t="shared" si="3"/>
        <v/>
      </c>
      <c r="CD14" s="42" t="str">
        <f t="shared" si="3"/>
        <v/>
      </c>
      <c r="CE14" s="42" t="str">
        <f t="shared" si="3"/>
        <v/>
      </c>
      <c r="CF14" s="42" t="str">
        <f t="shared" si="3"/>
        <v/>
      </c>
      <c r="CG14" s="42" t="str">
        <f t="shared" si="3"/>
        <v/>
      </c>
      <c r="CH14" s="42" t="str">
        <f t="shared" si="3"/>
        <v/>
      </c>
      <c r="CI14" s="42" t="str">
        <f t="shared" si="3"/>
        <v/>
      </c>
      <c r="CJ14" s="42" t="str">
        <f t="shared" si="3"/>
        <v/>
      </c>
      <c r="CK14" s="42" t="str">
        <f t="shared" si="3"/>
        <v/>
      </c>
      <c r="CL14" s="42" t="str">
        <f t="shared" si="3"/>
        <v/>
      </c>
      <c r="CM14" s="42" t="str">
        <f t="shared" si="3"/>
        <v/>
      </c>
      <c r="CN14" s="42" t="str">
        <f t="shared" si="3"/>
        <v/>
      </c>
      <c r="CO14" s="42" t="str">
        <f t="shared" si="3"/>
        <v/>
      </c>
      <c r="CP14" s="42" t="str">
        <f t="shared" si="3"/>
        <v/>
      </c>
      <c r="CQ14" s="42" t="str">
        <f t="shared" si="3"/>
        <v/>
      </c>
      <c r="CR14" s="42" t="str">
        <f t="shared" si="3"/>
        <v/>
      </c>
      <c r="CS14" s="42" t="str">
        <f t="shared" si="3"/>
        <v/>
      </c>
      <c r="CT14" s="42" t="str">
        <f t="shared" si="3"/>
        <v/>
      </c>
      <c r="CU14" s="42" t="str">
        <f t="shared" si="3"/>
        <v/>
      </c>
      <c r="CV14" s="42" t="str">
        <f t="shared" si="3"/>
        <v/>
      </c>
      <c r="CW14" s="42" t="str">
        <f t="shared" si="3"/>
        <v/>
      </c>
    </row>
    <row r="15" ht="22.5" customHeight="1">
      <c r="A15" s="28"/>
      <c r="B15" s="23" t="s">
        <v>33</v>
      </c>
      <c r="C15" s="17" t="s">
        <v>142</v>
      </c>
      <c r="D15" s="54">
        <f t="array" ref="D15">LET(val, IFERROR(INDEX('Daily 스피킹 raw'!$A:$ZZ, MATCH(D$2, 'Daily 스피킹 raw'!$A:$A, 0), MATCH($B15, 'Daily 스피킹 raw'!$1:$1, 0)), "") + (294.15 * 1400), IF(val=0, "", val))</f>
        <v>600098.7728</v>
      </c>
      <c r="E15" s="54">
        <f t="array" ref="E15">LET(val, IFERROR(INDEX('Daily 스피킹 raw'!$A:$ZZ, MATCH(E$2, 'Daily 스피킹 raw'!$A:$A, 0), MATCH($B15, 'Daily 스피킹 raw'!$1:$1, 0)), "") + (249.31 * 1400), IF(val=0, "", val))</f>
        <v>445001.0121</v>
      </c>
      <c r="F15" s="54">
        <f t="array" ref="F15">LET(val, IFERROR(INDEX('Daily 스피킹 raw'!$A:$ZZ, MATCH(F$2, 'Daily 스피킹 raw'!$A:$A, 0), MATCH($B15, 'Daily 스피킹 raw'!$1:$1, 0)), "") + (327.19 * 1400), IF(val=0, "", val))</f>
        <v>677637.4109</v>
      </c>
      <c r="G15" s="54">
        <f t="array" ref="G15">LET(val, IFERROR(INDEX('Daily 스피킹 raw'!$A:$ZZ, MATCH(G$2, 'Daily 스피킹 raw'!$A:$A, 0), MATCH($B15, 'Daily 스피킹 raw'!$1:$1, 0)), "") + (261.75 * 1400), IF(val=0, "", val))</f>
        <v>506435.8326</v>
      </c>
      <c r="H15" s="54">
        <f t="array" ref="H15">LET(val, IFERROR(INDEX('Daily 스피킹 raw'!$A:$ZZ, MATCH(H$2, 'Daily 스피킹 raw'!$A:$A, 0), MATCH($B15, 'Daily 스피킹 raw'!$1:$1, 0)), "") + (312.39 * 1400), IF(val=0, "", val))</f>
        <v>553595.1956</v>
      </c>
      <c r="I15" s="54">
        <f t="array" ref="I15">LET(val, IFERROR(INDEX('Daily 스피킹 raw'!$A:$ZZ, MATCH(I$2, 'Daily 스피킹 raw'!$A:$A, 0), MATCH($B15, 'Daily 스피킹 raw'!$1:$1, 0)), "") + (318.01 * 1400), IF(val=0, "", val))</f>
        <v>755019.4103</v>
      </c>
      <c r="J15" s="54">
        <f t="array" ref="J15">LET(val, IFERROR(INDEX('Daily 스피킹 raw'!$A:$ZZ, MATCH(J$2, 'Daily 스피킹 raw'!$A:$A, 0), MATCH($B15, 'Daily 스피킹 raw'!$1:$1, 0)), "") + (221.34 * 1400), IF(val=0, "", val))</f>
        <v>539678.7752</v>
      </c>
      <c r="K15" s="54">
        <f t="array" ref="K15">LET(val, IFERROR(INDEX('Daily 스피킹 raw'!$A:$ZZ, MATCH(K$2, 'Daily 스피킹 raw'!$A:$A, 0), MATCH($B15, 'Daily 스피킹 raw'!$1:$1, 0)), "") + (253.97 * 1400), IF(val=0, "", val))</f>
        <v>594096.2167</v>
      </c>
      <c r="L15" s="54">
        <f t="array" ref="L15">LET(val, IFERROR(INDEX('Daily 스피킹 raw'!$A:$ZZ, MATCH(L$2, 'Daily 스피킹 raw'!$A:$A, 0), MATCH($B15, 'Daily 스피킹 raw'!$1:$1, 0)), "") + (451.51 * 1400), IF(val=0, "", val))</f>
        <v>995080.0455</v>
      </c>
      <c r="M15" s="54">
        <f t="array" ref="M15">LET(val, IFERROR(INDEX('Daily 스피킹 raw'!$A:$ZZ, MATCH(M$2, 'Daily 스피킹 raw'!$A:$A, 0), MATCH($B15, 'Daily 스피킹 raw'!$1:$1, 0)), "") + (369.39 * 1400), IF(val=0, "", val))</f>
        <v>1173039.807</v>
      </c>
      <c r="N15" s="54">
        <f t="array" ref="N15">LET(val, IFERROR(INDEX('Daily 스피킹 raw'!$A:$ZZ, MATCH(N$2, 'Daily 스피킹 raw'!$A:$A, 0), MATCH($B15, 'Daily 스피킹 raw'!$1:$1, 0)), "") + (275.88 * 1400), IF(val=0, "", val))</f>
        <v>733373.924</v>
      </c>
      <c r="O15" s="54">
        <f t="array" ref="O15">LET(val, IFERROR(INDEX('Daily 스피킹 raw'!$A:$ZZ, MATCH(O$2, 'Daily 스피킹 raw'!$A:$A, 0), MATCH($B15, 'Daily 스피킹 raw'!$1:$1, 0)), "") + (294.45 * 1400), IF(val=0, "", val))</f>
        <v>582960.6427</v>
      </c>
      <c r="P15" s="54">
        <f t="array" ref="P15">LET(val, IFERROR(INDEX('Daily 스피킹 raw'!$A:$ZZ, MATCH(P$2, 'Daily 스피킹 raw'!$A:$A, 0), MATCH($B15, 'Daily 스피킹 raw'!$1:$1, 0)), "") + (436.3 * 1400), IF(val=0, "", val))</f>
        <v>805057.5132</v>
      </c>
      <c r="Q15" s="54">
        <f t="array" ref="Q15">LET(val, IFERROR(INDEX('Daily 스피킹 raw'!$A:$ZZ, MATCH(Q$2, 'Daily 스피킹 raw'!$A:$A, 0), MATCH($B15, 'Daily 스피킹 raw'!$1:$1, 0)), "") + (361.07 * 1400), IF(val=0, "", val))</f>
        <v>774469.9413</v>
      </c>
      <c r="R15" s="54">
        <f t="array" ref="R15">LET(val, IFERROR(INDEX('Daily 스피킹 raw'!$A:$ZZ, MATCH(R$2, 'Daily 스피킹 raw'!$A:$A, 0), MATCH($B15, 'Daily 스피킹 raw'!$1:$1, 0)), "") + (429.42 * 1400), IF(val=0, "", val))</f>
        <v>935878.8968</v>
      </c>
      <c r="S15" s="54">
        <f t="array" ref="S15">LET(val, IFERROR(INDEX('Daily 스피킹 raw'!$A:$ZZ, MATCH(S$2, 'Daily 스피킹 raw'!$A:$A, 0), MATCH($B15, 'Daily 스피킹 raw'!$1:$1, 0)), "") + (310.79 * 1400), IF(val=0, "", val))</f>
        <v>637205.5856</v>
      </c>
      <c r="T15" s="54">
        <f t="array" ref="T15">LET(val, IFERROR(INDEX('Daily 스피킹 raw'!$A:$ZZ, MATCH(T$2, 'Daily 스피킹 raw'!$A:$A, 0), MATCH($B15, 'Daily 스피킹 raw'!$1:$1, 0)), "") + (322.24 * 1400), IF(val=0, "", val))</f>
        <v>660166.7463</v>
      </c>
      <c r="U15" s="54">
        <f t="array" ref="U15">LET(val, IFERROR(INDEX('Daily 스피킹 raw'!$A:$ZZ, MATCH(U$2, 'Daily 스피킹 raw'!$A:$A, 0), MATCH($B15, 'Daily 스피킹 raw'!$1:$1, 0)), "") + (242.56 * 1400), IF(val=0, "", val))</f>
        <v>505014.9217</v>
      </c>
      <c r="V15" s="54">
        <f t="array" ref="V15">LET(val, IFERROR(INDEX('Daily 스피킹 raw'!$A:$ZZ, MATCH(V$2, 'Daily 스피킹 raw'!$A:$A, 0), MATCH($B15, 'Daily 스피킹 raw'!$1:$1, 0)), "") + (274.94 * 1400), IF(val=0, "", val))</f>
        <v>600474.4856</v>
      </c>
      <c r="W15" s="54">
        <f t="array" ref="W15">LET(val, IFERROR(INDEX('Daily 스피킹 raw'!$A:$ZZ, MATCH(W$2, 'Daily 스피킹 raw'!$A:$A, 0), MATCH($B15, 'Daily 스피킹 raw'!$1:$1, 0)), "") + (388.48 * 1400), IF(val=0, "", val))</f>
        <v>889237.9454</v>
      </c>
      <c r="X15" s="54">
        <f t="array" ref="X15">LET(val, IFERROR(INDEX('Daily 스피킹 raw'!$A:$ZZ, MATCH(X$2, 'Daily 스피킹 raw'!$A:$A, 0), MATCH($B15, 'Daily 스피킹 raw'!$1:$1, 0)), "") + (319.46 * 1400), IF(val=0, "", val))</f>
        <v>652586.393</v>
      </c>
      <c r="Y15" s="54">
        <f>(78.3 * 1400) + (Y16 * 0.3) + (355.76 * 1400)</f>
        <v>732484</v>
      </c>
      <c r="Z15" s="54">
        <f>(70.87 * 1400) + (Z16 * 0.3) + (219.72 * 1400)</f>
        <v>484226</v>
      </c>
      <c r="AA15" s="54">
        <f>(63.28 * 1400) + (AA16 * 0.3) + (219.72 * 1400)</f>
        <v>585800</v>
      </c>
      <c r="AB15" s="54">
        <f>(47.06 * 1400) + (AB16 * 0.3) + (57.04 * 1400)</f>
        <v>309240</v>
      </c>
      <c r="AC15" s="54">
        <f>(44.98 * 1400) + (AC16 * 0.3) + (75.35 * 1400)</f>
        <v>379362</v>
      </c>
      <c r="AD15" s="54">
        <f>(56.76 * 1400) + (AD16 * 0.3) + (88.9 * 1400)</f>
        <v>414824</v>
      </c>
      <c r="AE15" s="54">
        <f>(50.6 * 1400) + (AE16 * 0.3) + (54.36 * 1400)</f>
        <v>315244</v>
      </c>
      <c r="AF15" s="54">
        <f>(56.25 * 1400) + (AF16 * 0.3) + (48.42 * 1400)</f>
        <v>241338</v>
      </c>
      <c r="AG15" s="54">
        <f>(66.59 * 1400) + (AG16 * 0.3) + (42.06 * 1400)</f>
        <v>285610</v>
      </c>
      <c r="AH15" s="54">
        <f>(80.38 * 1400) + (AH16 * 0.3) + (46.7 * 1400)</f>
        <v>281412</v>
      </c>
      <c r="AI15" s="54">
        <f>(59.65 * 1400) + (AI16 * 0.3) + (35.9 * 1400)</f>
        <v>335970</v>
      </c>
      <c r="AJ15" s="54">
        <f>(58.08 * 1400) + (AJ16 * 0.3) + (41.36 * 1400)</f>
        <v>302716</v>
      </c>
      <c r="AK15" s="54">
        <f>(98.27 * 1400) + (AK16 * 0.3) + (63.43 * 1400)</f>
        <v>291180</v>
      </c>
      <c r="AL15" s="54">
        <f>(93.78 * 1400) + (AL16 * 0.3) + (60.39 * 1400)</f>
        <v>233238</v>
      </c>
      <c r="AM15" s="54">
        <f>(109.91 * 1400) + (AM16 * 0.3) + (70.68 * 1400)</f>
        <v>347626</v>
      </c>
      <c r="AN15" s="54">
        <f>(83.96 * 1400) + (AN16 * 0.3) + (48.67 * 1400)</f>
        <v>280482</v>
      </c>
      <c r="AO15" s="54">
        <f>(73.65 * 1400) + (AO16 * 0.3) + (42.8 * 1400)</f>
        <v>292630</v>
      </c>
      <c r="AP15" s="54">
        <f>(54.93 * 1400) + (AP16 * 0.3) + (33.8 * 1400)</f>
        <v>132922</v>
      </c>
      <c r="AQ15" s="54">
        <f>(49.48 * 1400) + (AQ16 * 0.3) + (36.34 * 1400)</f>
        <v>214948</v>
      </c>
      <c r="AR15" s="54">
        <f>(75.34 * 1400) + (AR16 * 0.3) + (52.12 * 1400)</f>
        <v>359344</v>
      </c>
      <c r="AS15" s="54">
        <f>(93.79 * 1400) + (AS16 * 0.3) + (56.57 * 1400)</f>
        <v>322704</v>
      </c>
      <c r="AT15" s="54">
        <f>(54.3 * 1400) + (AT16 * 0.3) + (31.91 * 1400)</f>
        <v>254194</v>
      </c>
      <c r="AU15" s="54">
        <f>(45.87 * 1400) + (AU16 * 0.3) + (29.23 * 1400)</f>
        <v>264740</v>
      </c>
      <c r="AV15" s="54">
        <f>(50.63 * 1400) + (AV16 * 0.3) + (29.54 * 1400)</f>
        <v>284438</v>
      </c>
      <c r="AW15" s="54">
        <f>(38.81 * 1400) + (AW16 * 0.3) + (22.85 * 1400)</f>
        <v>288524</v>
      </c>
      <c r="AX15" s="54">
        <f>(40 * 1400) + (AX16 * 0.3) + (24.33 * 1400)</f>
        <v>348362</v>
      </c>
      <c r="AY15" s="54">
        <f>(56.29 * 1400) + (AY16 * 0.3) + (35.62 * 1400)</f>
        <v>202174</v>
      </c>
      <c r="AZ15" s="54">
        <f>(45.3 * 1400) + (AZ16 * 0.3) + (28.52 * 1400)</f>
        <v>142048</v>
      </c>
      <c r="BA15" s="54">
        <f>(52.49 * 1400) + (BA16 * 0.3) + (29.97 * 1400)</f>
        <v>218944</v>
      </c>
      <c r="BB15" s="54">
        <f>(37.02 * 1400) + (BB16 * 0.3) + (23.39 * 1400)</f>
        <v>166774</v>
      </c>
      <c r="BC15" s="54">
        <f>(41.81 * 1400) + (BC16 * 0.3) + (22.35 * 1400)</f>
        <v>163324</v>
      </c>
      <c r="BD15" s="54">
        <f>(30.96 * 1400) + (BD16 * 0.3) + (18.12 * 1400)</f>
        <v>163512</v>
      </c>
      <c r="BE15" s="54">
        <f>(29.15 * 1400) + (BE16 * 0.3) + (17.56 * 1400)</f>
        <v>112794</v>
      </c>
      <c r="BF15" s="54">
        <f>(20.54 * 1400) + (BF16 * 0.3) + (17.56 * 1400)</f>
        <v>169440</v>
      </c>
      <c r="BG15" s="54">
        <f>(26.23 * 1400) + (BG16 * 0.3) + (16.93 * 1400)</f>
        <v>137824</v>
      </c>
      <c r="BH15" s="54">
        <f>(35.19 * 1400) + (BG16 * 0.3) + (23.3 * 1400)</f>
        <v>159286</v>
      </c>
      <c r="BI15" s="54">
        <f>(34.55 * 1400) + (BG16 * 0.3) + (22.34 * 1400)</f>
        <v>157046</v>
      </c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</row>
    <row r="16" ht="22.5" customHeight="1">
      <c r="A16" s="30"/>
      <c r="B16" s="23" t="s">
        <v>35</v>
      </c>
      <c r="C16" s="17" t="s">
        <v>27</v>
      </c>
      <c r="D16" s="54">
        <f t="array" ref="D16">LET(val, IFERROR(INDEX('Daily 스피킹 raw'!$A:$ZZ, MATCH(D$2, 'Daily 스피킹 raw'!$A:$A, 0), MATCH($B16, 'Daily 스피킹 raw'!$1:$1, 0)), ""), IF(val=0, "", val))</f>
        <v>387000</v>
      </c>
      <c r="E16" s="54">
        <f t="array" ref="E16">LET(val, IFERROR(INDEX('Daily 스피킹 raw'!$A:$ZZ, MATCH(E$2, 'Daily 스피킹 raw'!$A:$A, 0), MATCH($B16, 'Daily 스피킹 raw'!$1:$1, 0)), ""), IF(val=0, "", val))</f>
        <v>129000</v>
      </c>
      <c r="F16" s="54">
        <f t="array" ref="F16">LET(val, IFERROR(INDEX('Daily 스피킹 raw'!$A:$ZZ, MATCH(F$2, 'Daily 스피킹 raw'!$A:$A, 0), MATCH($B16, 'Daily 스피킹 raw'!$1:$1, 0)), ""), IF(val=0, "", val))</f>
        <v>474000</v>
      </c>
      <c r="G16" s="54">
        <f t="array" ref="G16">LET(val, IFERROR(INDEX('Daily 스피킹 raw'!$A:$ZZ, MATCH(G$2, 'Daily 스피킹 raw'!$A:$A, 0), MATCH($B16, 'Daily 스피킹 raw'!$1:$1, 0)), ""), IF(val=0, "", val))</f>
        <v>258000</v>
      </c>
      <c r="H16" s="54">
        <f t="array" ref="H16">LET(val, IFERROR(INDEX('Daily 스피킹 raw'!$A:$ZZ, MATCH(H$2, 'Daily 스피킹 raw'!$A:$A, 0), MATCH($B16, 'Daily 스피킹 raw'!$1:$1, 0)), ""), IF(val=0, "", val))</f>
        <v>158000</v>
      </c>
      <c r="I16" s="54">
        <f t="array" ref="I16">LET(val, IFERROR(INDEX('Daily 스피킹 raw'!$A:$ZZ, MATCH(I$2, 'Daily 스피킹 raw'!$A:$A, 0), MATCH($B16, 'Daily 스피킹 raw'!$1:$1, 0)), ""), IF(val=0, "", val))</f>
        <v>774000</v>
      </c>
      <c r="J16" s="54">
        <f t="array" ref="J16">LET(val, IFERROR(INDEX('Daily 스피킹 raw'!$A:$ZZ, MATCH(J$2, 'Daily 스피킹 raw'!$A:$A, 0), MATCH($B16, 'Daily 스피킹 raw'!$1:$1, 0)), ""), IF(val=0, "", val))</f>
        <v>590000</v>
      </c>
      <c r="K16" s="54">
        <f t="array" ref="K16">LET(val, IFERROR(INDEX('Daily 스피킹 raw'!$A:$ZZ, MATCH(K$2, 'Daily 스피킹 raw'!$A:$A, 0), MATCH($B16, 'Daily 스피킹 raw'!$1:$1, 0)), ""), IF(val=0, "", val))</f>
        <v>574000</v>
      </c>
      <c r="L16" s="54">
        <f t="array" ref="L16">LET(val, IFERROR(INDEX('Daily 스피킹 raw'!$A:$ZZ, MATCH(L$2, 'Daily 스피킹 raw'!$A:$A, 0), MATCH($B16, 'Daily 스피킹 raw'!$1:$1, 0)), ""), IF(val=0, "", val))</f>
        <v>861000</v>
      </c>
      <c r="M16" s="54">
        <f t="array" ref="M16">LET(val, IFERROR(INDEX('Daily 스피킹 raw'!$A:$ZZ, MATCH(M$2, 'Daily 스피킹 raw'!$A:$A, 0), MATCH($B16, 'Daily 스피킹 raw'!$1:$1, 0)), ""), IF(val=0, "", val))</f>
        <v>1851000</v>
      </c>
      <c r="N16" s="54">
        <f t="array" ref="N16">LET(val, IFERROR(INDEX('Daily 스피킹 raw'!$A:$ZZ, MATCH(N$2, 'Daily 스피킹 raw'!$A:$A, 0), MATCH($B16, 'Daily 스피킹 raw'!$1:$1, 0)), ""), IF(val=0, "", val))</f>
        <v>919000</v>
      </c>
      <c r="O16" s="54">
        <f t="array" ref="O16">LET(val, IFERROR(INDEX('Daily 스피킹 raw'!$A:$ZZ, MATCH(O$2, 'Daily 스피킹 raw'!$A:$A, 0), MATCH($B16, 'Daily 스피킹 raw'!$1:$1, 0)), ""), IF(val=0, "", val))</f>
        <v>345000</v>
      </c>
      <c r="P16" s="54">
        <f t="array" ref="P16">LET(val, IFERROR(INDEX('Daily 스피킹 raw'!$A:$ZZ, MATCH(P$2, 'Daily 스피킹 raw'!$A:$A, 0), MATCH($B16, 'Daily 스피킹 raw'!$1:$1, 0)), ""), IF(val=0, "", val))</f>
        <v>303000</v>
      </c>
      <c r="Q16" s="54">
        <f t="array" ref="Q16">LET(val, IFERROR(INDEX('Daily 스피킹 raw'!$A:$ZZ, MATCH(Q$2, 'Daily 스피킹 raw'!$A:$A, 0), MATCH($B16, 'Daily 스피킹 raw'!$1:$1, 0)), ""), IF(val=0, "", val))</f>
        <v>645000</v>
      </c>
      <c r="R16" s="54">
        <f t="array" ref="R16">LET(val, IFERROR(INDEX('Daily 스피킹 raw'!$A:$ZZ, MATCH(R$2, 'Daily 스피킹 raw'!$A:$A, 0), MATCH($B16, 'Daily 스피킹 raw'!$1:$1, 0)), ""), IF(val=0, "", val))</f>
        <v>861000</v>
      </c>
      <c r="S16" s="54">
        <f t="array" ref="S16">LET(val, IFERROR(INDEX('Daily 스피킹 raw'!$A:$ZZ, MATCH(S$2, 'Daily 스피킹 raw'!$A:$A, 0), MATCH($B16, 'Daily 스피킹 raw'!$1:$1, 0)), ""), IF(val=0, "", val))</f>
        <v>474000</v>
      </c>
      <c r="T16" s="54">
        <f t="array" ref="T16">LET(val, IFERROR(INDEX('Daily 스피킹 raw'!$A:$ZZ, MATCH(T$2, 'Daily 스피킹 raw'!$A:$A, 0), MATCH($B16, 'Daily 스피킹 raw'!$1:$1, 0)), ""), IF(val=0, "", val))</f>
        <v>445000</v>
      </c>
      <c r="U16" s="54">
        <f t="array" ref="U16">LET(val, IFERROR(INDEX('Daily 스피킹 raw'!$A:$ZZ, MATCH(U$2, 'Daily 스피킹 raw'!$A:$A, 0), MATCH($B16, 'Daily 스피킹 raw'!$1:$1, 0)), ""), IF(val=0, "", val))</f>
        <v>387000</v>
      </c>
      <c r="V16" s="54">
        <f t="array" ref="V16">LET(val, IFERROR(INDEX('Daily 스피킹 raw'!$A:$ZZ, MATCH(V$2, 'Daily 스피킹 raw'!$A:$A, 0), MATCH($B16, 'Daily 스피킹 raw'!$1:$1, 0)), ""), IF(val=0, "", val))</f>
        <v>574000</v>
      </c>
      <c r="W16" s="54">
        <f t="array" ref="W16">LET(val, IFERROR(INDEX('Daily 스피킹 raw'!$A:$ZZ, MATCH(W$2, 'Daily 스피킹 raw'!$A:$A, 0), MATCH($B16, 'Daily 스피킹 raw'!$1:$1, 0)), ""), IF(val=0, "", val))</f>
        <v>832000</v>
      </c>
      <c r="X16" s="54">
        <f t="array" ref="X16">LET(val, IFERROR(INDEX('Daily 스피킹 raw'!$A:$ZZ, MATCH(X$2, 'Daily 스피킹 raw'!$A:$A, 0), MATCH($B16, 'Daily 스피킹 raw'!$1:$1, 0)), ""), IF(val=0, "", val))</f>
        <v>374000</v>
      </c>
      <c r="Y16" s="54">
        <f t="array" ref="Y16">LET(val, IFERROR(INDEX('Daily 스피킹 raw'!$A:$ZZ, MATCH(Y$2, 'Daily 스피킹 raw'!$A:$A, 0), MATCH($B16, 'Daily 스피킹 raw'!$1:$1, 0)), ""), IF(val=0, "", val))</f>
        <v>416000</v>
      </c>
      <c r="Z16" s="54">
        <f t="array" ref="Z16">LET(val, IFERROR(INDEX('Daily 스피킹 raw'!$A:$ZZ, MATCH(Z$2, 'Daily 스피킹 raw'!$A:$A, 0), MATCH($B16, 'Daily 스피킹 raw'!$1:$1, 0)), ""), IF(val=0, "", val))</f>
        <v>258000</v>
      </c>
      <c r="AA16" s="54">
        <f t="array" ref="AA16">LET(val, IFERROR(INDEX('Daily 스피킹 raw'!$A:$ZZ, MATCH(AA$2, 'Daily 스피킹 raw'!$A:$A, 0), MATCH($B16, 'Daily 스피킹 raw'!$1:$1, 0)), ""), IF(val=0, "", val))</f>
        <v>632000</v>
      </c>
      <c r="AB16" s="54">
        <f t="array" ref="AB16">LET(val, IFERROR(INDEX('Daily 스피킹 raw'!$A:$ZZ, MATCH(AB$2, 'Daily 스피킹 raw'!$A:$A, 0), MATCH($B16, 'Daily 스피킹 raw'!$1:$1, 0)), ""), IF(val=0, "", val))</f>
        <v>545000</v>
      </c>
      <c r="AC16" s="54">
        <f t="array" ref="AC16">LET(val, IFERROR(INDEX('Daily 스피킹 raw'!$A:$ZZ, MATCH(AC$2, 'Daily 스피킹 raw'!$A:$A, 0), MATCH($B16, 'Daily 스피킹 raw'!$1:$1, 0)), ""), IF(val=0, "", val))</f>
        <v>703000</v>
      </c>
      <c r="AD16" s="54">
        <f t="array" ref="AD16">LET(val, IFERROR(INDEX('Daily 스피킹 raw'!$A:$ZZ, MATCH(AD$2, 'Daily 스피킹 raw'!$A:$A, 0), MATCH($B16, 'Daily 스피킹 raw'!$1:$1, 0)), ""), IF(val=0, "", val))</f>
        <v>703000</v>
      </c>
      <c r="AE16" s="54">
        <f t="array" ref="AE16">LET(val, IFERROR(INDEX('Daily 스피킹 raw'!$A:$ZZ, MATCH(AE$2, 'Daily 스피킹 raw'!$A:$A, 0), MATCH($B16, 'Daily 스피킹 raw'!$1:$1, 0)), ""), IF(val=0, "", val))</f>
        <v>561000</v>
      </c>
      <c r="AF16" s="54">
        <f t="array" ref="AF16">LET(val, IFERROR(INDEX('Daily 스피킹 raw'!$A:$ZZ, MATCH(AF$2, 'Daily 스피킹 raw'!$A:$A, 0), MATCH($B16, 'Daily 스피킹 raw'!$1:$1, 0)), ""), IF(val=0, "", val))</f>
        <v>316000</v>
      </c>
      <c r="AG16" s="54">
        <f t="array" ref="AG16">LET(val, IFERROR(INDEX('Daily 스피킹 raw'!$A:$ZZ, MATCH(AG$2, 'Daily 스피킹 raw'!$A:$A, 0), MATCH($B16, 'Daily 스피킹 raw'!$1:$1, 0)), ""), IF(val=0, "", val))</f>
        <v>445000</v>
      </c>
      <c r="AH16" s="54">
        <f t="array" ref="AH16">LET(val, IFERROR(INDEX('Daily 스피킹 raw'!$A:$ZZ, MATCH(AH$2, 'Daily 스피킹 raw'!$A:$A, 0), MATCH($B16, 'Daily 스피킹 raw'!$1:$1, 0)), ""), IF(val=0, "", val))</f>
        <v>345000</v>
      </c>
      <c r="AI16" s="54">
        <f t="array" ref="AI16">LET(val, IFERROR(INDEX('Daily 스피킹 raw'!$A:$ZZ, MATCH(AI$2, 'Daily 스피킹 raw'!$A:$A, 0), MATCH($B16, 'Daily 스피킹 raw'!$1:$1, 0)), ""), IF(val=0, "", val))</f>
        <v>674000</v>
      </c>
      <c r="AJ16" s="54">
        <f t="array" ref="AJ16">LET(val, IFERROR(INDEX('Daily 스피킹 raw'!$A:$ZZ, MATCH(AJ$2, 'Daily 스피킹 raw'!$A:$A, 0), MATCH($B16, 'Daily 스피킹 raw'!$1:$1, 0)), ""), IF(val=0, "", val))</f>
        <v>545000</v>
      </c>
      <c r="AK16" s="54">
        <f t="array" ref="AK16">LET(val, IFERROR(INDEX('Daily 스피킹 raw'!$A:$ZZ, MATCH(AK$2, 'Daily 스피킹 raw'!$A:$A, 0), MATCH($B16, 'Daily 스피킹 raw'!$1:$1, 0)), ""), IF(val=0, "", val))</f>
        <v>216000</v>
      </c>
      <c r="AL16" s="54">
        <f t="array" ref="AL16">LET(val, IFERROR(INDEX('Daily 스피킹 raw'!$A:$ZZ, MATCH(AL$2, 'Daily 스피킹 raw'!$A:$A, 0), MATCH($B16, 'Daily 스피킹 raw'!$1:$1, 0)), ""), IF(val=0, "", val))</f>
        <v>58000</v>
      </c>
      <c r="AM16" s="54">
        <f t="array" ref="AM16">LET(val, IFERROR(INDEX('Daily 스피킹 raw'!$A:$ZZ, MATCH(AM$2, 'Daily 스피킹 raw'!$A:$A, 0), MATCH($B16, 'Daily 스피킹 raw'!$1:$1, 0)), ""), IF(val=0, "", val))</f>
        <v>316000</v>
      </c>
      <c r="AN16" s="54">
        <f t="array" ref="AN16">LET(val, IFERROR(INDEX('Daily 스피킹 raw'!$A:$ZZ, MATCH(AN$2, 'Daily 스피킹 raw'!$A:$A, 0), MATCH($B16, 'Daily 스피킹 raw'!$1:$1, 0)), ""), IF(val=0, "", val))</f>
        <v>316000</v>
      </c>
      <c r="AO16" s="54">
        <f t="array" ref="AO16">LET(val, IFERROR(INDEX('Daily 스피킹 raw'!$A:$ZZ, MATCH(AO$2, 'Daily 스피킹 raw'!$A:$A, 0), MATCH($B16, 'Daily 스피킹 raw'!$1:$1, 0)), ""), IF(val=0, "", val))</f>
        <v>432000</v>
      </c>
      <c r="AP16" s="54">
        <f t="array" ref="AP16">LET(val, IFERROR(INDEX('Daily 스피킹 raw'!$A:$ZZ, MATCH(AP$2, 'Daily 스피킹 raw'!$A:$A, 0), MATCH($B16, 'Daily 스피킹 raw'!$1:$1, 0)), ""), IF(val=0, "", val))</f>
        <v>29000</v>
      </c>
      <c r="AQ16" s="54">
        <f t="array" ref="AQ16">LET(val, IFERROR(INDEX('Daily 스피킹 raw'!$A:$ZZ, MATCH(AQ$2, 'Daily 스피킹 raw'!$A:$A, 0), MATCH($B16, 'Daily 스피킹 raw'!$1:$1, 0)), ""), IF(val=0, "", val))</f>
        <v>316000</v>
      </c>
      <c r="AR16" s="54">
        <f t="array" ref="AR16">LET(val, IFERROR(INDEX('Daily 스피킹 raw'!$A:$ZZ, MATCH(AR$2, 'Daily 스피킹 raw'!$A:$A, 0), MATCH($B16, 'Daily 스피킹 raw'!$1:$1, 0)), ""), IF(val=0, "", val))</f>
        <v>603000</v>
      </c>
      <c r="AS16" s="54">
        <f t="array" ref="AS16">LET(val, IFERROR(INDEX('Daily 스피킹 raw'!$A:$ZZ, MATCH(AS$2, 'Daily 스피킹 raw'!$A:$A, 0), MATCH($B16, 'Daily 스피킹 raw'!$1:$1, 0)), ""), IF(val=0, "", val))</f>
        <v>374000</v>
      </c>
      <c r="AT16" s="54">
        <f t="array" ref="AT16">LET(val, IFERROR(INDEX('Daily 스피킹 raw'!$A:$ZZ, MATCH(AT$2, 'Daily 스피킹 raw'!$A:$A, 0), MATCH($B16, 'Daily 스피킹 raw'!$1:$1, 0)), ""), IF(val=0, "", val))</f>
        <v>445000</v>
      </c>
      <c r="AU16" s="54">
        <f t="array" ref="AU16">LET(val, IFERROR(INDEX('Daily 스피킹 raw'!$A:$ZZ, MATCH(AU$2, 'Daily 스피킹 raw'!$A:$A, 0), MATCH($B16, 'Daily 스피킹 raw'!$1:$1, 0)), ""), IF(val=0, "", val))</f>
        <v>532000</v>
      </c>
      <c r="AV16" s="54">
        <f t="array" ref="AV16">LET(val, IFERROR(INDEX('Daily 스피킹 raw'!$A:$ZZ, MATCH(AV$2, 'Daily 스피킹 raw'!$A:$A, 0), MATCH($B16, 'Daily 스피킹 raw'!$1:$1, 0)), ""), IF(val=0, "", val))</f>
        <v>574000</v>
      </c>
      <c r="AW16" s="54">
        <f t="array" ref="AW16">LET(val, IFERROR(INDEX('Daily 스피킹 raw'!$A:$ZZ, MATCH(AW$2, 'Daily 스피킹 raw'!$A:$A, 0), MATCH($B16, 'Daily 스피킹 raw'!$1:$1, 0)), ""), IF(val=0, "", val))</f>
        <v>674000</v>
      </c>
      <c r="AX16" s="54">
        <f t="array" ref="AX16">LET(val, IFERROR(INDEX('Daily 스피킹 raw'!$A:$ZZ, MATCH(AX$2, 'Daily 스피킹 raw'!$A:$A, 0), MATCH($B16, 'Daily 스피킹 raw'!$1:$1, 0)), ""), IF(val=0, "", val))</f>
        <v>861000</v>
      </c>
      <c r="AY16" s="54">
        <f t="array" ref="AY16">LET(val, IFERROR(INDEX('Daily 스피킹 raw'!$A:$ZZ, MATCH(AY$2, 'Daily 스피킹 raw'!$A:$A, 0), MATCH($B16, 'Daily 스피킹 raw'!$1:$1, 0)), ""), IF(val=0, "", val))</f>
        <v>245000</v>
      </c>
      <c r="AZ16" s="54">
        <f t="array" ref="AZ16">LET(val, IFERROR(INDEX('Daily 스피킹 raw'!$A:$ZZ, MATCH(AZ$2, 'Daily 스피킹 raw'!$A:$A, 0), MATCH($B16, 'Daily 스피킹 raw'!$1:$1, 0)), ""), IF(val=0, "", val))</f>
        <v>129000</v>
      </c>
      <c r="BA16" s="54">
        <f t="array" ref="BA16">LET(val, IFERROR(INDEX('Daily 스피킹 raw'!$A:$ZZ, MATCH(BA$2, 'Daily 스피킹 raw'!$A:$A, 0), MATCH($B16, 'Daily 스피킹 raw'!$1:$1, 0)), ""), IF(val=0, "", val))</f>
        <v>345000</v>
      </c>
      <c r="BB16" s="54">
        <f t="array" ref="BB16">LET(val, IFERROR(INDEX('Daily 스피킹 raw'!$A:$ZZ, MATCH(BB$2, 'Daily 스피킹 raw'!$A:$A, 0), MATCH($B16, 'Daily 스피킹 raw'!$1:$1, 0)), ""), IF(val=0, "", val))</f>
        <v>274000</v>
      </c>
      <c r="BC16" s="54">
        <f t="array" ref="BC16">LET(val, IFERROR(INDEX('Daily 스피킹 raw'!$A:$ZZ, MATCH(BC$2, 'Daily 스피킹 raw'!$A:$A, 0), MATCH($B16, 'Daily 스피킹 raw'!$1:$1, 0)), ""), IF(val=0, "", val))</f>
        <v>245000</v>
      </c>
      <c r="BD16" s="54">
        <f t="array" ref="BD16">LET(val, IFERROR(INDEX('Daily 스피킹 raw'!$A:$ZZ, MATCH(BD$2, 'Daily 스피킹 raw'!$A:$A, 0), MATCH($B16, 'Daily 스피킹 raw'!$1:$1, 0)), ""), IF(val=0, "", val))</f>
        <v>316000</v>
      </c>
      <c r="BE16" s="54">
        <f t="array" ref="BE16">LET(val, IFERROR(INDEX('Daily 스피킹 raw'!$A:$ZZ, MATCH(BE$2, 'Daily 스피킹 raw'!$A:$A, 0), MATCH($B16, 'Daily 스피킹 raw'!$1:$1, 0)), ""), IF(val=0, "", val))</f>
        <v>158000</v>
      </c>
      <c r="BF16" s="54">
        <f t="array" ref="BF16">LET(val, IFERROR(INDEX('Daily 스피킹 raw'!$A:$ZZ, MATCH(BF$2, 'Daily 스피킹 raw'!$A:$A, 0), MATCH($B16, 'Daily 스피킹 raw'!$1:$1, 0)), ""), IF(val=0, "", val))</f>
        <v>387000</v>
      </c>
      <c r="BG16" s="54">
        <f t="array" ref="BG16">LET(val, IFERROR(INDEX('Daily 스피킹 raw'!$A:$ZZ, MATCH(BG$2, 'Daily 스피킹 raw'!$A:$A, 0), MATCH($B16, 'Daily 스피킹 raw'!$1:$1, 0)), ""), IF(val=0, "", val))</f>
        <v>258000</v>
      </c>
      <c r="BH16" s="54">
        <f t="array" ref="BH16">LET(val, IFERROR(INDEX('Daily 스피킹 raw'!$A:$ZZ, MATCH(BH$2, 'Daily 스피킹 raw'!$A:$A, 0), MATCH($B16, 'Daily 스피킹 raw'!$1:$1, 0)), ""), IF(val=0, "", val))</f>
        <v>374000</v>
      </c>
      <c r="BI16" s="54">
        <f t="array" ref="BI16">LET(val, IFERROR(INDEX('Daily 스피킹 raw'!$A:$ZZ, MATCH(BI$2, 'Daily 스피킹 raw'!$A:$A, 0), MATCH($B16, 'Daily 스피킹 raw'!$1:$1, 0)), ""), IF(val=0, "", val))</f>
        <v>245000</v>
      </c>
      <c r="BJ16" s="54">
        <f t="array" ref="BJ16">LET(val, IFERROR(INDEX('Daily 스피킹 raw'!$A:$ZZ, MATCH(BJ$2, 'Daily 스피킹 raw'!$A:$A, 0), MATCH($B16, 'Daily 스피킹 raw'!$1:$1, 0)), ""), IF(val=0, "", val))</f>
        <v>87000</v>
      </c>
      <c r="BK16" s="54">
        <f t="array" ref="BK16">LET(val, IFERROR(INDEX('Daily 스피킹 raw'!$A:$ZZ, MATCH(BK$2, 'Daily 스피킹 raw'!$A:$A, 0), MATCH($B16, 'Daily 스피킹 raw'!$1:$1, 0)), ""), IF(val=0, "", val))</f>
        <v>416000</v>
      </c>
      <c r="BL16" s="54">
        <f t="array" ref="BL16">LET(val, IFERROR(INDEX('Daily 스피킹 raw'!$A:$ZZ, MATCH(BL$2, 'Daily 스피킹 raw'!$A:$A, 0), MATCH($B16, 'Daily 스피킹 raw'!$1:$1, 0)), ""), IF(val=0, "", val))</f>
        <v>445000</v>
      </c>
      <c r="BM16" s="54" t="str">
        <f t="array" ref="BM16">LET(val, IFERROR(INDEX('Daily 스피킹 raw'!$A:$ZZ, MATCH(BM$2, 'Daily 스피킹 raw'!$A:$A, 0), MATCH($B16, 'Daily 스피킹 raw'!$1:$1, 0)), ""), IF(val=0, "", val))</f>
        <v/>
      </c>
      <c r="BN16" s="54" t="str">
        <f t="array" ref="BN16">LET(val, IFERROR(INDEX('Daily 스피킹 raw'!$A:$ZZ, MATCH(BN$2, 'Daily 스피킹 raw'!$A:$A, 0), MATCH($B16, 'Daily 스피킹 raw'!$1:$1, 0)), ""), IF(val=0, "", val))</f>
        <v/>
      </c>
      <c r="BO16" s="54" t="str">
        <f t="array" ref="BO16">LET(val, IFERROR(INDEX('Daily 스피킹 raw'!$A:$ZZ, MATCH(BO$2, 'Daily 스피킹 raw'!$A:$A, 0), MATCH($B16, 'Daily 스피킹 raw'!$1:$1, 0)), ""), IF(val=0, "", val))</f>
        <v/>
      </c>
      <c r="BP16" s="54" t="str">
        <f t="array" ref="BP16">LET(val, IFERROR(INDEX('Daily 스피킹 raw'!$A:$ZZ, MATCH(BP$2, 'Daily 스피킹 raw'!$A:$A, 0), MATCH($B16, 'Daily 스피킹 raw'!$1:$1, 0)), ""), IF(val=0, "", val))</f>
        <v/>
      </c>
      <c r="BQ16" s="54" t="str">
        <f t="array" ref="BQ16">LET(val, IFERROR(INDEX('Daily 스피킹 raw'!$A:$ZZ, MATCH(BQ$2, 'Daily 스피킹 raw'!$A:$A, 0), MATCH($B16, 'Daily 스피킹 raw'!$1:$1, 0)), ""), IF(val=0, "", val))</f>
        <v/>
      </c>
      <c r="BR16" s="54" t="str">
        <f t="array" ref="BR16">LET(val, IFERROR(INDEX('Daily 스피킹 raw'!$A:$ZZ, MATCH(BR$2, 'Daily 스피킹 raw'!$A:$A, 0), MATCH($B16, 'Daily 스피킹 raw'!$1:$1, 0)), ""), IF(val=0, "", val))</f>
        <v/>
      </c>
      <c r="BS16" s="54" t="str">
        <f t="array" ref="BS16">LET(val, IFERROR(INDEX('Daily 스피킹 raw'!$A:$ZZ, MATCH(BS$2, 'Daily 스피킹 raw'!$A:$A, 0), MATCH($B16, 'Daily 스피킹 raw'!$1:$1, 0)), ""), IF(val=0, "", val))</f>
        <v/>
      </c>
      <c r="BT16" s="54" t="str">
        <f t="array" ref="BT16">LET(val, IFERROR(INDEX('Daily 스피킹 raw'!$A:$ZZ, MATCH(BT$2, 'Daily 스피킹 raw'!$A:$A, 0), MATCH($B16, 'Daily 스피킹 raw'!$1:$1, 0)), ""), IF(val=0, "", val))</f>
        <v/>
      </c>
      <c r="BU16" s="54" t="str">
        <f t="array" ref="BU16">LET(val, IFERROR(INDEX('Daily 스피킹 raw'!$A:$ZZ, MATCH(BU$2, 'Daily 스피킹 raw'!$A:$A, 0), MATCH($B16, 'Daily 스피킹 raw'!$1:$1, 0)), ""), IF(val=0, "", val))</f>
        <v/>
      </c>
      <c r="BV16" s="54" t="str">
        <f t="array" ref="BV16">LET(val, IFERROR(INDEX('Daily 스피킹 raw'!$A:$ZZ, MATCH(BV$2, 'Daily 스피킹 raw'!$A:$A, 0), MATCH($B16, 'Daily 스피킹 raw'!$1:$1, 0)), ""), IF(val=0, "", val))</f>
        <v/>
      </c>
      <c r="BW16" s="54" t="str">
        <f t="array" ref="BW16">LET(val, IFERROR(INDEX('Daily 스피킹 raw'!$A:$ZZ, MATCH(BW$2, 'Daily 스피킹 raw'!$A:$A, 0), MATCH($B16, 'Daily 스피킹 raw'!$1:$1, 0)), ""), IF(val=0, "", val))</f>
        <v/>
      </c>
      <c r="BX16" s="54" t="str">
        <f t="array" ref="BX16">LET(val, IFERROR(INDEX('Daily 스피킹 raw'!$A:$ZZ, MATCH(BX$2, 'Daily 스피킹 raw'!$A:$A, 0), MATCH($B16, 'Daily 스피킹 raw'!$1:$1, 0)), ""), IF(val=0, "", val))</f>
        <v/>
      </c>
      <c r="BY16" s="54" t="str">
        <f t="array" ref="BY16">LET(val, IFERROR(INDEX('Daily 스피킹 raw'!$A:$ZZ, MATCH(BY$2, 'Daily 스피킹 raw'!$A:$A, 0), MATCH($B16, 'Daily 스피킹 raw'!$1:$1, 0)), ""), IF(val=0, "", val))</f>
        <v/>
      </c>
      <c r="BZ16" s="54" t="str">
        <f t="array" ref="BZ16">LET(val, IFERROR(INDEX('Daily 스피킹 raw'!$A:$ZZ, MATCH(BZ$2, 'Daily 스피킹 raw'!$A:$A, 0), MATCH($B16, 'Daily 스피킹 raw'!$1:$1, 0)), ""), IF(val=0, "", val))</f>
        <v/>
      </c>
      <c r="CA16" s="54" t="str">
        <f t="array" ref="CA16">LET(val, IFERROR(INDEX('Daily 스피킹 raw'!$A:$ZZ, MATCH(CA$2, 'Daily 스피킹 raw'!$A:$A, 0), MATCH($B16, 'Daily 스피킹 raw'!$1:$1, 0)), ""), IF(val=0, "", val))</f>
        <v/>
      </c>
      <c r="CB16" s="54" t="str">
        <f t="array" ref="CB16">LET(val, IFERROR(INDEX('Daily 스피킹 raw'!$A:$ZZ, MATCH(CB$2, 'Daily 스피킹 raw'!$A:$A, 0), MATCH($B16, 'Daily 스피킹 raw'!$1:$1, 0)), ""), IF(val=0, "", val))</f>
        <v/>
      </c>
      <c r="CC16" s="54" t="str">
        <f t="array" ref="CC16">LET(val, IFERROR(INDEX('Daily 스피킹 raw'!$A:$ZZ, MATCH(CC$2, 'Daily 스피킹 raw'!$A:$A, 0), MATCH($B16, 'Daily 스피킹 raw'!$1:$1, 0)), ""), IF(val=0, "", val))</f>
        <v/>
      </c>
      <c r="CD16" s="54" t="str">
        <f t="array" ref="CD16">LET(val, IFERROR(INDEX('Daily 스피킹 raw'!$A:$ZZ, MATCH(CD$2, 'Daily 스피킹 raw'!$A:$A, 0), MATCH($B16, 'Daily 스피킹 raw'!$1:$1, 0)), ""), IF(val=0, "", val))</f>
        <v/>
      </c>
      <c r="CE16" s="54" t="str">
        <f t="array" ref="CE16">LET(val, IFERROR(INDEX('Daily 스피킹 raw'!$A:$ZZ, MATCH(CE$2, 'Daily 스피킹 raw'!$A:$A, 0), MATCH($B16, 'Daily 스피킹 raw'!$1:$1, 0)), ""), IF(val=0, "", val))</f>
        <v/>
      </c>
      <c r="CF16" s="54" t="str">
        <f t="array" ref="CF16">LET(val, IFERROR(INDEX('Daily 스피킹 raw'!$A:$ZZ, MATCH(CF$2, 'Daily 스피킹 raw'!$A:$A, 0), MATCH($B16, 'Daily 스피킹 raw'!$1:$1, 0)), ""), IF(val=0, "", val))</f>
        <v/>
      </c>
      <c r="CG16" s="54" t="str">
        <f t="array" ref="CG16">LET(val, IFERROR(INDEX('Daily 스피킹 raw'!$A:$ZZ, MATCH(CG$2, 'Daily 스피킹 raw'!$A:$A, 0), MATCH($B16, 'Daily 스피킹 raw'!$1:$1, 0)), ""), IF(val=0, "", val))</f>
        <v/>
      </c>
      <c r="CH16" s="54" t="str">
        <f t="array" ref="CH16">LET(val, IFERROR(INDEX('Daily 스피킹 raw'!$A:$ZZ, MATCH(CH$2, 'Daily 스피킹 raw'!$A:$A, 0), MATCH($B16, 'Daily 스피킹 raw'!$1:$1, 0)), ""), IF(val=0, "", val))</f>
        <v/>
      </c>
      <c r="CI16" s="54" t="str">
        <f t="array" ref="CI16">LET(val, IFERROR(INDEX('Daily 스피킹 raw'!$A:$ZZ, MATCH(CI$2, 'Daily 스피킹 raw'!$A:$A, 0), MATCH($B16, 'Daily 스피킹 raw'!$1:$1, 0)), ""), IF(val=0, "", val))</f>
        <v/>
      </c>
      <c r="CJ16" s="54" t="str">
        <f t="array" ref="CJ16">LET(val, IFERROR(INDEX('Daily 스피킹 raw'!$A:$ZZ, MATCH(CJ$2, 'Daily 스피킹 raw'!$A:$A, 0), MATCH($B16, 'Daily 스피킹 raw'!$1:$1, 0)), ""), IF(val=0, "", val))</f>
        <v/>
      </c>
      <c r="CK16" s="54" t="str">
        <f t="array" ref="CK16">LET(val, IFERROR(INDEX('Daily 스피킹 raw'!$A:$ZZ, MATCH(CK$2, 'Daily 스피킹 raw'!$A:$A, 0), MATCH($B16, 'Daily 스피킹 raw'!$1:$1, 0)), ""), IF(val=0, "", val))</f>
        <v/>
      </c>
      <c r="CL16" s="54" t="str">
        <f t="array" ref="CL16">LET(val, IFERROR(INDEX('Daily 스피킹 raw'!$A:$ZZ, MATCH(CL$2, 'Daily 스피킹 raw'!$A:$A, 0), MATCH($B16, 'Daily 스피킹 raw'!$1:$1, 0)), ""), IF(val=0, "", val))</f>
        <v/>
      </c>
      <c r="CM16" s="54" t="str">
        <f t="array" ref="CM16">LET(val, IFERROR(INDEX('Daily 스피킹 raw'!$A:$ZZ, MATCH(CM$2, 'Daily 스피킹 raw'!$A:$A, 0), MATCH($B16, 'Daily 스피킹 raw'!$1:$1, 0)), ""), IF(val=0, "", val))</f>
        <v/>
      </c>
      <c r="CN16" s="54" t="str">
        <f t="array" ref="CN16">LET(val, IFERROR(INDEX('Daily 스피킹 raw'!$A:$ZZ, MATCH(CN$2, 'Daily 스피킹 raw'!$A:$A, 0), MATCH($B16, 'Daily 스피킹 raw'!$1:$1, 0)), ""), IF(val=0, "", val))</f>
        <v/>
      </c>
      <c r="CO16" s="54" t="str">
        <f t="array" ref="CO16">LET(val, IFERROR(INDEX('Daily 스피킹 raw'!$A:$ZZ, MATCH(CO$2, 'Daily 스피킹 raw'!$A:$A, 0), MATCH($B16, 'Daily 스피킹 raw'!$1:$1, 0)), ""), IF(val=0, "", val))</f>
        <v/>
      </c>
      <c r="CP16" s="54" t="str">
        <f t="array" ref="CP16">LET(val, IFERROR(INDEX('Daily 스피킹 raw'!$A:$ZZ, MATCH(CP$2, 'Daily 스피킹 raw'!$A:$A, 0), MATCH($B16, 'Daily 스피킹 raw'!$1:$1, 0)), ""), IF(val=0, "", val))</f>
        <v/>
      </c>
      <c r="CQ16" s="54" t="str">
        <f t="array" ref="CQ16">LET(val, IFERROR(INDEX('Daily 스피킹 raw'!$A:$ZZ, MATCH(CQ$2, 'Daily 스피킹 raw'!$A:$A, 0), MATCH($B16, 'Daily 스피킹 raw'!$1:$1, 0)), ""), IF(val=0, "", val))</f>
        <v/>
      </c>
      <c r="CR16" s="54" t="str">
        <f t="array" ref="CR16">LET(val, IFERROR(INDEX('Daily 스피킹 raw'!$A:$ZZ, MATCH(CR$2, 'Daily 스피킹 raw'!$A:$A, 0), MATCH($B16, 'Daily 스피킹 raw'!$1:$1, 0)), ""), IF(val=0, "", val))</f>
        <v/>
      </c>
      <c r="CS16" s="54" t="str">
        <f t="array" ref="CS16">LET(val, IFERROR(INDEX('Daily 스피킹 raw'!$A:$ZZ, MATCH(CS$2, 'Daily 스피킹 raw'!$A:$A, 0), MATCH($B16, 'Daily 스피킹 raw'!$1:$1, 0)), ""), IF(val=0, "", val))</f>
        <v/>
      </c>
      <c r="CT16" s="54" t="str">
        <f t="array" ref="CT16">LET(val, IFERROR(INDEX('Daily 스피킹 raw'!$A:$ZZ, MATCH(CT$2, 'Daily 스피킹 raw'!$A:$A, 0), MATCH($B16, 'Daily 스피킹 raw'!$1:$1, 0)), ""), IF(val=0, "", val))</f>
        <v/>
      </c>
      <c r="CU16" s="54" t="str">
        <f t="array" ref="CU16">LET(val, IFERROR(INDEX('Daily 스피킹 raw'!$A:$ZZ, MATCH(CU$2, 'Daily 스피킹 raw'!$A:$A, 0), MATCH($B16, 'Daily 스피킹 raw'!$1:$1, 0)), ""), IF(val=0, "", val))</f>
        <v/>
      </c>
      <c r="CV16" s="54" t="str">
        <f t="array" ref="CV16">LET(val, IFERROR(INDEX('Daily 스피킹 raw'!$A:$ZZ, MATCH(CV$2, 'Daily 스피킹 raw'!$A:$A, 0), MATCH($B16, 'Daily 스피킹 raw'!$1:$1, 0)), ""), IF(val=0, "", val))</f>
        <v/>
      </c>
      <c r="CW16" s="54" t="str">
        <f t="array" ref="CW16">LET(val, IFERROR(INDEX('Daily 스피킹 raw'!$A:$ZZ, MATCH(CW$2, 'Daily 스피킹 raw'!$A:$A, 0), MATCH($B16, 'Daily 스피킹 raw'!$1:$1, 0)), ""), IF(val=0, "", val))</f>
        <v/>
      </c>
    </row>
    <row r="17" ht="22.5" customHeight="1">
      <c r="A17" s="17"/>
      <c r="B17" s="16"/>
      <c r="C17" s="30" t="s">
        <v>36</v>
      </c>
      <c r="D17" s="44" t="str">
        <f t="array" ref="D17">LET(val, IFERROR(INDEX('Daily 스피킹 raw'!$A:$ZZ, MATCH(D$2, 'Daily 스피킹 raw'!$A:$A, 0), MATCH($B17, 'Daily 스피킹 raw'!$1:$1, 0)), 0), IF(val=0, "", val))</f>
        <v/>
      </c>
      <c r="E17" s="44" t="str">
        <f t="array" ref="E17">LET(val, IFERROR(INDEX('Daily 스피킹 raw'!$A:$ZZ, MATCH(E$2, 'Daily 스피킹 raw'!$A:$A, 0), MATCH($B17, 'Daily 스피킹 raw'!$1:$1, 0)), 0), IF(val=0, "", val))</f>
        <v/>
      </c>
      <c r="F17" s="44" t="str">
        <f t="array" ref="F17">LET(val, IFERROR(INDEX('Daily 스피킹 raw'!$A:$ZZ, MATCH(F$2, 'Daily 스피킹 raw'!$A:$A, 0), MATCH($B17, 'Daily 스피킹 raw'!$1:$1, 0)), 0), IF(val=0, "", val))</f>
        <v/>
      </c>
      <c r="G17" s="44" t="str">
        <f t="array" ref="G17">LET(val, IFERROR(INDEX('Daily 스피킹 raw'!$A:$ZZ, MATCH(G$2, 'Daily 스피킹 raw'!$A:$A, 0), MATCH($B17, 'Daily 스피킹 raw'!$1:$1, 0)), 0), IF(val=0, "", val))</f>
        <v/>
      </c>
      <c r="H17" s="44" t="str">
        <f t="array" ref="H17">LET(val, IFERROR(INDEX('Daily 스피킹 raw'!$A:$ZZ, MATCH(H$2, 'Daily 스피킹 raw'!$A:$A, 0), MATCH($B17, 'Daily 스피킹 raw'!$1:$1, 0)), 0), IF(val=0, "", val))</f>
        <v/>
      </c>
      <c r="I17" s="44" t="str">
        <f t="array" ref="I17">LET(val, IFERROR(INDEX('Daily 스피킹 raw'!$A:$ZZ, MATCH(I$2, 'Daily 스피킹 raw'!$A:$A, 0), MATCH($B17, 'Daily 스피킹 raw'!$1:$1, 0)), 0), IF(val=0, "", val))</f>
        <v/>
      </c>
      <c r="J17" s="44" t="str">
        <f t="array" ref="J17">LET(val, IFERROR(INDEX('Daily 스피킹 raw'!$A:$ZZ, MATCH(J$2, 'Daily 스피킹 raw'!$A:$A, 0), MATCH($B17, 'Daily 스피킹 raw'!$1:$1, 0)), 0), IF(val=0, "", val))</f>
        <v/>
      </c>
      <c r="K17" s="44" t="str">
        <f t="array" ref="K17">LET(val, IFERROR(INDEX('Daily 스피킹 raw'!$A:$ZZ, MATCH(K$2, 'Daily 스피킹 raw'!$A:$A, 0), MATCH($B17, 'Daily 스피킹 raw'!$1:$1, 0)), 0), IF(val=0, "", val))</f>
        <v/>
      </c>
      <c r="L17" s="44" t="str">
        <f t="array" ref="L17">LET(val, IFERROR(INDEX('Daily 스피킹 raw'!$A:$ZZ, MATCH(L$2, 'Daily 스피킹 raw'!$A:$A, 0), MATCH($B17, 'Daily 스피킹 raw'!$1:$1, 0)), 0), IF(val=0, "", val))</f>
        <v/>
      </c>
      <c r="M17" s="44" t="str">
        <f t="array" ref="M17">LET(val, IFERROR(INDEX('Daily 스피킹 raw'!$A:$ZZ, MATCH(M$2, 'Daily 스피킹 raw'!$A:$A, 0), MATCH($B17, 'Daily 스피킹 raw'!$1:$1, 0)), 0), IF(val=0, "", val))</f>
        <v/>
      </c>
      <c r="N17" s="44" t="str">
        <f t="array" ref="N17">LET(val, IFERROR(INDEX('Daily 스피킹 raw'!$A:$ZZ, MATCH(N$2, 'Daily 스피킹 raw'!$A:$A, 0), MATCH($B17, 'Daily 스피킹 raw'!$1:$1, 0)), 0), IF(val=0, "", val))</f>
        <v/>
      </c>
      <c r="O17" s="44" t="str">
        <f t="array" ref="O17">LET(val, IFERROR(INDEX('Daily 스피킹 raw'!$A:$ZZ, MATCH(O$2, 'Daily 스피킹 raw'!$A:$A, 0), MATCH($B17, 'Daily 스피킹 raw'!$1:$1, 0)), 0), IF(val=0, "", val))</f>
        <v/>
      </c>
      <c r="P17" s="44" t="str">
        <f t="array" ref="P17">LET(val, IFERROR(INDEX('Daily 스피킹 raw'!$A:$ZZ, MATCH(P$2, 'Daily 스피킹 raw'!$A:$A, 0), MATCH($B17, 'Daily 스피킹 raw'!$1:$1, 0)), 0), IF(val=0, "", val))</f>
        <v/>
      </c>
      <c r="Q17" s="44" t="str">
        <f t="array" ref="Q17">LET(val, IFERROR(INDEX('Daily 스피킹 raw'!$A:$ZZ, MATCH(Q$2, 'Daily 스피킹 raw'!$A:$A, 0), MATCH($B17, 'Daily 스피킹 raw'!$1:$1, 0)), 0), IF(val=0, "", val))</f>
        <v/>
      </c>
      <c r="R17" s="44" t="str">
        <f t="array" ref="R17">LET(val, IFERROR(INDEX('Daily 스피킹 raw'!$A:$ZZ, MATCH(R$2, 'Daily 스피킹 raw'!$A:$A, 0), MATCH($B17, 'Daily 스피킹 raw'!$1:$1, 0)), 0), IF(val=0, "", val))</f>
        <v/>
      </c>
      <c r="S17" s="44" t="str">
        <f t="array" ref="S17">LET(val, IFERROR(INDEX('Daily 스피킹 raw'!$A:$ZZ, MATCH(S$2, 'Daily 스피킹 raw'!$A:$A, 0), MATCH($B17, 'Daily 스피킹 raw'!$1:$1, 0)), 0), IF(val=0, "", val))</f>
        <v/>
      </c>
      <c r="T17" s="44" t="str">
        <f t="array" ref="T17">LET(val, IFERROR(INDEX('Daily 스피킹 raw'!$A:$ZZ, MATCH(T$2, 'Daily 스피킹 raw'!$A:$A, 0), MATCH($B17, 'Daily 스피킹 raw'!$1:$1, 0)), 0), IF(val=0, "", val))</f>
        <v/>
      </c>
      <c r="U17" s="44" t="str">
        <f t="array" ref="U17">LET(val, IFERROR(INDEX('Daily 스피킹 raw'!$A:$ZZ, MATCH(U$2, 'Daily 스피킹 raw'!$A:$A, 0), MATCH($B17, 'Daily 스피킹 raw'!$1:$1, 0)), 0), IF(val=0, "", val))</f>
        <v/>
      </c>
      <c r="V17" s="44" t="str">
        <f t="array" ref="V17">LET(val, IFERROR(INDEX('Daily 스피킹 raw'!$A:$ZZ, MATCH(V$2, 'Daily 스피킹 raw'!$A:$A, 0), MATCH($B17, 'Daily 스피킹 raw'!$1:$1, 0)), 0), IF(val=0, "", val))</f>
        <v/>
      </c>
      <c r="W17" s="44" t="str">
        <f t="array" ref="W17">LET(val, IFERROR(INDEX('Daily 스피킹 raw'!$A:$ZZ, MATCH(W$2, 'Daily 스피킹 raw'!$A:$A, 0), MATCH($B17, 'Daily 스피킹 raw'!$1:$1, 0)), 0), IF(val=0, "", val))</f>
        <v/>
      </c>
      <c r="X17" s="44" t="str">
        <f t="array" ref="X17">LET(val, IFERROR(INDEX('Daily 스피킹 raw'!$A:$ZZ, MATCH(X$2, 'Daily 스피킹 raw'!$A:$A, 0), MATCH($B17, 'Daily 스피킹 raw'!$1:$1, 0)), 0), IF(val=0, "", val))</f>
        <v/>
      </c>
      <c r="Y17" s="44" t="str">
        <f t="array" ref="Y17">LET(val, IFERROR(INDEX('Daily 스피킹 raw'!$A:$ZZ, MATCH(Y$2, 'Daily 스피킹 raw'!$A:$A, 0), MATCH($B17, 'Daily 스피킹 raw'!$1:$1, 0)), 0), IF(val=0, "", val))</f>
        <v/>
      </c>
      <c r="Z17" s="44" t="str">
        <f t="array" ref="Z17">LET(val, IFERROR(INDEX('Daily 스피킹 raw'!$A:$ZZ, MATCH(Z$2, 'Daily 스피킹 raw'!$A:$A, 0), MATCH($B17, 'Daily 스피킹 raw'!$1:$1, 0)), 0), IF(val=0, "", val))</f>
        <v/>
      </c>
      <c r="AA17" s="44" t="str">
        <f t="array" ref="AA17">LET(val, IFERROR(INDEX('Daily 스피킹 raw'!$A:$ZZ, MATCH(AA$2, 'Daily 스피킹 raw'!$A:$A, 0), MATCH($B17, 'Daily 스피킹 raw'!$1:$1, 0)), 0), IF(val=0, "", val))</f>
        <v/>
      </c>
      <c r="AB17" s="44" t="str">
        <f t="array" ref="AB17">LET(val, IFERROR(INDEX('Daily 스피킹 raw'!$A:$ZZ, MATCH(AB$2, 'Daily 스피킹 raw'!$A:$A, 0), MATCH($B17, 'Daily 스피킹 raw'!$1:$1, 0)), 0), IF(val=0, "", val))</f>
        <v/>
      </c>
      <c r="AC17" s="44" t="str">
        <f t="array" ref="AC17">LET(val, IFERROR(INDEX('Daily 스피킹 raw'!$A:$ZZ, MATCH(AC$2, 'Daily 스피킹 raw'!$A:$A, 0), MATCH($B17, 'Daily 스피킹 raw'!$1:$1, 0)), 0), IF(val=0, "", val))</f>
        <v/>
      </c>
      <c r="AD17" s="44" t="str">
        <f t="array" ref="AD17">LET(val, IFERROR(INDEX('Daily 스피킹 raw'!$A:$ZZ, MATCH(AD$2, 'Daily 스피킹 raw'!$A:$A, 0), MATCH($B17, 'Daily 스피킹 raw'!$1:$1, 0)), 0), IF(val=0, "", val))</f>
        <v/>
      </c>
      <c r="AE17" s="44" t="str">
        <f t="array" ref="AE17">LET(val, IFERROR(INDEX('Daily 스피킹 raw'!$A:$ZZ, MATCH(AE$2, 'Daily 스피킹 raw'!$A:$A, 0), MATCH($B17, 'Daily 스피킹 raw'!$1:$1, 0)), 0), IF(val=0, "", val))</f>
        <v/>
      </c>
      <c r="AF17" s="44" t="str">
        <f t="array" ref="AF17">LET(val, IFERROR(INDEX('Daily 스피킹 raw'!$A:$ZZ, MATCH(AF$2, 'Daily 스피킹 raw'!$A:$A, 0), MATCH($B17, 'Daily 스피킹 raw'!$1:$1, 0)), 0), IF(val=0, "", val))</f>
        <v/>
      </c>
      <c r="AG17" s="44" t="str">
        <f t="array" ref="AG17">LET(val, IFERROR(INDEX('Daily 스피킹 raw'!$A:$ZZ, MATCH(AG$2, 'Daily 스피킹 raw'!$A:$A, 0), MATCH($B17, 'Daily 스피킹 raw'!$1:$1, 0)), 0), IF(val=0, "", val))</f>
        <v/>
      </c>
      <c r="AH17" s="44" t="str">
        <f t="array" ref="AH17">LET(val, IFERROR(INDEX('Daily 스피킹 raw'!$A:$ZZ, MATCH(AH$2, 'Daily 스피킹 raw'!$A:$A, 0), MATCH($B17, 'Daily 스피킹 raw'!$1:$1, 0)), 0), IF(val=0, "", val))</f>
        <v/>
      </c>
      <c r="AI17" s="44" t="str">
        <f t="array" ref="AI17">LET(val, IFERROR(INDEX('Daily 스피킹 raw'!$A:$ZZ, MATCH(AI$2, 'Daily 스피킹 raw'!$A:$A, 0), MATCH($B17, 'Daily 스피킹 raw'!$1:$1, 0)), 0), IF(val=0, "", val))</f>
        <v/>
      </c>
      <c r="AJ17" s="44" t="str">
        <f t="array" ref="AJ17">LET(val, IFERROR(INDEX('Daily 스피킹 raw'!$A:$ZZ, MATCH(AJ$2, 'Daily 스피킹 raw'!$A:$A, 0), MATCH($B17, 'Daily 스피킹 raw'!$1:$1, 0)), 0), IF(val=0, "", val))</f>
        <v/>
      </c>
      <c r="AK17" s="44" t="str">
        <f t="array" ref="AK17">LET(val, IFERROR(INDEX('Daily 스피킹 raw'!$A:$ZZ, MATCH(AK$2, 'Daily 스피킹 raw'!$A:$A, 0), MATCH($B17, 'Daily 스피킹 raw'!$1:$1, 0)), 0), IF(val=0, "", val))</f>
        <v/>
      </c>
      <c r="AL17" s="44" t="str">
        <f t="array" ref="AL17">LET(val, IFERROR(INDEX('Daily 스피킹 raw'!$A:$ZZ, MATCH(AL$2, 'Daily 스피킹 raw'!$A:$A, 0), MATCH($B17, 'Daily 스피킹 raw'!$1:$1, 0)), 0), IF(val=0, "", val))</f>
        <v/>
      </c>
      <c r="AM17" s="44" t="str">
        <f t="array" ref="AM17">LET(val, IFERROR(INDEX('Daily 스피킹 raw'!$A:$ZZ, MATCH(AM$2, 'Daily 스피킹 raw'!$A:$A, 0), MATCH($B17, 'Daily 스피킹 raw'!$1:$1, 0)), 0), IF(val=0, "", val))</f>
        <v/>
      </c>
      <c r="AN17" s="44" t="str">
        <f t="array" ref="AN17">LET(val, IFERROR(INDEX('Daily 스피킹 raw'!$A:$ZZ, MATCH(AN$2, 'Daily 스피킹 raw'!$A:$A, 0), MATCH($B17, 'Daily 스피킹 raw'!$1:$1, 0)), 0), IF(val=0, "", val))</f>
        <v/>
      </c>
      <c r="AO17" s="44" t="str">
        <f t="array" ref="AO17">LET(val, IFERROR(INDEX('Daily 스피킹 raw'!$A:$ZZ, MATCH(AO$2, 'Daily 스피킹 raw'!$A:$A, 0), MATCH($B17, 'Daily 스피킹 raw'!$1:$1, 0)), 0), IF(val=0, "", val))</f>
        <v/>
      </c>
      <c r="AP17" s="44" t="str">
        <f t="array" ref="AP17">LET(val, IFERROR(INDEX('Daily 스피킹 raw'!$A:$ZZ, MATCH(AP$2, 'Daily 스피킹 raw'!$A:$A, 0), MATCH($B17, 'Daily 스피킹 raw'!$1:$1, 0)), 0), IF(val=0, "", val))</f>
        <v/>
      </c>
      <c r="AQ17" s="44" t="str">
        <f t="array" ref="AQ17">LET(val, IFERROR(INDEX('Daily 스피킹 raw'!$A:$ZZ, MATCH(AQ$2, 'Daily 스피킹 raw'!$A:$A, 0), MATCH($B17, 'Daily 스피킹 raw'!$1:$1, 0)), 0), IF(val=0, "", val))</f>
        <v/>
      </c>
      <c r="AR17" s="44" t="str">
        <f t="array" ref="AR17">LET(val, IFERROR(INDEX('Daily 스피킹 raw'!$A:$ZZ, MATCH(AR$2, 'Daily 스피킹 raw'!$A:$A, 0), MATCH($B17, 'Daily 스피킹 raw'!$1:$1, 0)), 0), IF(val=0, "", val))</f>
        <v/>
      </c>
      <c r="AS17" s="44" t="str">
        <f t="array" ref="AS17">LET(val, IFERROR(INDEX('Daily 스피킹 raw'!$A:$ZZ, MATCH(AS$2, 'Daily 스피킹 raw'!$A:$A, 0), MATCH($B17, 'Daily 스피킹 raw'!$1:$1, 0)), 0), IF(val=0, "", val))</f>
        <v/>
      </c>
      <c r="AT17" s="44" t="str">
        <f t="array" ref="AT17">LET(val, IFERROR(INDEX('Daily 스피킹 raw'!$A:$ZZ, MATCH(AT$2, 'Daily 스피킹 raw'!$A:$A, 0), MATCH($B17, 'Daily 스피킹 raw'!$1:$1, 0)), 0), IF(val=0, "", val))</f>
        <v/>
      </c>
      <c r="AU17" s="44" t="str">
        <f t="array" ref="AU17">LET(val, IFERROR(INDEX('Daily 스피킹 raw'!$A:$ZZ, MATCH(AU$2, 'Daily 스피킹 raw'!$A:$A, 0), MATCH($B17, 'Daily 스피킹 raw'!$1:$1, 0)), 0), IF(val=0, "", val))</f>
        <v/>
      </c>
      <c r="AV17" s="44" t="str">
        <f t="array" ref="AV17">LET(val, IFERROR(INDEX('Daily 스피킹 raw'!$A:$ZZ, MATCH(AV$2, 'Daily 스피킹 raw'!$A:$A, 0), MATCH($B17, 'Daily 스피킹 raw'!$1:$1, 0)), 0), IF(val=0, "", val))</f>
        <v/>
      </c>
      <c r="AW17" s="44" t="str">
        <f t="array" ref="AW17">LET(val, IFERROR(INDEX('Daily 스피킹 raw'!$A:$ZZ, MATCH(AW$2, 'Daily 스피킹 raw'!$A:$A, 0), MATCH($B17, 'Daily 스피킹 raw'!$1:$1, 0)), 0), IF(val=0, "", val))</f>
        <v/>
      </c>
      <c r="AX17" s="44" t="str">
        <f t="array" ref="AX17">LET(val, IFERROR(INDEX('Daily 스피킹 raw'!$A:$ZZ, MATCH(AX$2, 'Daily 스피킹 raw'!$A:$A, 0), MATCH($B17, 'Daily 스피킹 raw'!$1:$1, 0)), 0), IF(val=0, "", val))</f>
        <v/>
      </c>
      <c r="AY17" s="44" t="str">
        <f t="array" ref="AY17">LET(val, IFERROR(INDEX('Daily 스피킹 raw'!$A:$ZZ, MATCH(AY$2, 'Daily 스피킹 raw'!$A:$A, 0), MATCH($B17, 'Daily 스피킹 raw'!$1:$1, 0)), 0), IF(val=0, "", val))</f>
        <v/>
      </c>
      <c r="AZ17" s="44" t="str">
        <f t="array" ref="AZ17">LET(val, IFERROR(INDEX('Daily 스피킹 raw'!$A:$ZZ, MATCH(AZ$2, 'Daily 스피킹 raw'!$A:$A, 0), MATCH($B17, 'Daily 스피킹 raw'!$1:$1, 0)), 0), IF(val=0, "", val))</f>
        <v/>
      </c>
      <c r="BA17" s="44" t="str">
        <f t="array" ref="BA17">LET(val, IFERROR(INDEX('Daily 스피킹 raw'!$A:$ZZ, MATCH(BA$2, 'Daily 스피킹 raw'!$A:$A, 0), MATCH($B17, 'Daily 스피킹 raw'!$1:$1, 0)), 0), IF(val=0, "", val))</f>
        <v/>
      </c>
      <c r="BB17" s="44" t="str">
        <f t="array" ref="BB17">LET(val, IFERROR(INDEX('Daily 스피킹 raw'!$A:$ZZ, MATCH(BB$2, 'Daily 스피킹 raw'!$A:$A, 0), MATCH($B17, 'Daily 스피킹 raw'!$1:$1, 0)), 0), IF(val=0, "", val))</f>
        <v/>
      </c>
      <c r="BC17" s="44" t="str">
        <f t="array" ref="BC17">LET(val, IFERROR(INDEX('Daily 스피킹 raw'!$A:$ZZ, MATCH(BC$2, 'Daily 스피킹 raw'!$A:$A, 0), MATCH($B17, 'Daily 스피킹 raw'!$1:$1, 0)), 0), IF(val=0, "", val))</f>
        <v/>
      </c>
      <c r="BD17" s="44" t="str">
        <f t="array" ref="BD17">LET(val, IFERROR(INDEX('Daily 스피킹 raw'!$A:$ZZ, MATCH(BD$2, 'Daily 스피킹 raw'!$A:$A, 0), MATCH($B17, 'Daily 스피킹 raw'!$1:$1, 0)), 0), IF(val=0, "", val))</f>
        <v/>
      </c>
      <c r="BE17" s="44" t="str">
        <f t="array" ref="BE17">LET(val, IFERROR(INDEX('Daily 스피킹 raw'!$A:$ZZ, MATCH(BE$2, 'Daily 스피킹 raw'!$A:$A, 0), MATCH($B17, 'Daily 스피킹 raw'!$1:$1, 0)), 0), IF(val=0, "", val))</f>
        <v/>
      </c>
      <c r="BF17" s="44" t="str">
        <f t="array" ref="BF17">LET(val, IFERROR(INDEX('Daily 스피킹 raw'!$A:$ZZ, MATCH(BF$2, 'Daily 스피킹 raw'!$A:$A, 0), MATCH($B17, 'Daily 스피킹 raw'!$1:$1, 0)), 0), IF(val=0, "", val))</f>
        <v/>
      </c>
      <c r="BG17" s="44" t="str">
        <f t="array" ref="BG17">LET(val, IFERROR(INDEX('Daily 스피킹 raw'!$A:$ZZ, MATCH(BG$2, 'Daily 스피킹 raw'!$A:$A, 0), MATCH($B17, 'Daily 스피킹 raw'!$1:$1, 0)), 0), IF(val=0, "", val))</f>
        <v/>
      </c>
      <c r="BH17" s="44" t="str">
        <f t="array" ref="BH17">LET(val, IFERROR(INDEX('Daily 스피킹 raw'!$A:$ZZ, MATCH(BH$2, 'Daily 스피킹 raw'!$A:$A, 0), MATCH($B17, 'Daily 스피킹 raw'!$1:$1, 0)), 0), IF(val=0, "", val))</f>
        <v/>
      </c>
      <c r="BI17" s="44" t="str">
        <f t="array" ref="BI17">LET(val, IFERROR(INDEX('Daily 스피킹 raw'!$A:$ZZ, MATCH(BI$2, 'Daily 스피킹 raw'!$A:$A, 0), MATCH($B17, 'Daily 스피킹 raw'!$1:$1, 0)), 0), IF(val=0, "", val))</f>
        <v/>
      </c>
      <c r="BJ17" s="44" t="str">
        <f t="array" ref="BJ17">LET(val, IFERROR(INDEX('Daily 스피킹 raw'!$A:$ZZ, MATCH(BJ$2, 'Daily 스피킹 raw'!$A:$A, 0), MATCH($B17, 'Daily 스피킹 raw'!$1:$1, 0)), 0), IF(val=0, "", val))</f>
        <v/>
      </c>
      <c r="BK17" s="44" t="str">
        <f t="array" ref="BK17">LET(val, IFERROR(INDEX('Daily 스피킹 raw'!$A:$ZZ, MATCH(BK$2, 'Daily 스피킹 raw'!$A:$A, 0), MATCH($B17, 'Daily 스피킹 raw'!$1:$1, 0)), 0), IF(val=0, "", val))</f>
        <v/>
      </c>
      <c r="BL17" s="44" t="str">
        <f t="array" ref="BL17">LET(val, IFERROR(INDEX('Daily 스피킹 raw'!$A:$ZZ, MATCH(BL$2, 'Daily 스피킹 raw'!$A:$A, 0), MATCH($B17, 'Daily 스피킹 raw'!$1:$1, 0)), 0), IF(val=0, "", val))</f>
        <v/>
      </c>
      <c r="BM17" s="44" t="str">
        <f t="array" ref="BM17">LET(val, IFERROR(INDEX('Daily 스피킹 raw'!$A:$ZZ, MATCH(BM$2, 'Daily 스피킹 raw'!$A:$A, 0), MATCH($B17, 'Daily 스피킹 raw'!$1:$1, 0)), 0), IF(val=0, "", val))</f>
        <v/>
      </c>
      <c r="BN17" s="44" t="str">
        <f t="array" ref="BN17">LET(val, IFERROR(INDEX('Daily 스피킹 raw'!$A:$ZZ, MATCH(BN$2, 'Daily 스피킹 raw'!$A:$A, 0), MATCH($B17, 'Daily 스피킹 raw'!$1:$1, 0)), 0), IF(val=0, "", val))</f>
        <v/>
      </c>
      <c r="BO17" s="44" t="str">
        <f t="array" ref="BO17">LET(val, IFERROR(INDEX('Daily 스피킹 raw'!$A:$ZZ, MATCH(BO$2, 'Daily 스피킹 raw'!$A:$A, 0), MATCH($B17, 'Daily 스피킹 raw'!$1:$1, 0)), 0), IF(val=0, "", val))</f>
        <v/>
      </c>
      <c r="BP17" s="44" t="str">
        <f t="array" ref="BP17">LET(val, IFERROR(INDEX('Daily 스피킹 raw'!$A:$ZZ, MATCH(BP$2, 'Daily 스피킹 raw'!$A:$A, 0), MATCH($B17, 'Daily 스피킹 raw'!$1:$1, 0)), 0), IF(val=0, "", val))</f>
        <v/>
      </c>
      <c r="BQ17" s="44" t="str">
        <f t="array" ref="BQ17">LET(val, IFERROR(INDEX('Daily 스피킹 raw'!$A:$ZZ, MATCH(BQ$2, 'Daily 스피킹 raw'!$A:$A, 0), MATCH($B17, 'Daily 스피킹 raw'!$1:$1, 0)), 0), IF(val=0, "", val))</f>
        <v/>
      </c>
      <c r="BR17" s="44" t="str">
        <f t="array" ref="BR17">LET(val, IFERROR(INDEX('Daily 스피킹 raw'!$A:$ZZ, MATCH(BR$2, 'Daily 스피킹 raw'!$A:$A, 0), MATCH($B17, 'Daily 스피킹 raw'!$1:$1, 0)), 0), IF(val=0, "", val))</f>
        <v/>
      </c>
      <c r="BS17" s="44" t="str">
        <f t="array" ref="BS17">LET(val, IFERROR(INDEX('Daily 스피킹 raw'!$A:$ZZ, MATCH(BS$2, 'Daily 스피킹 raw'!$A:$A, 0), MATCH($B17, 'Daily 스피킹 raw'!$1:$1, 0)), 0), IF(val=0, "", val))</f>
        <v/>
      </c>
      <c r="BT17" s="44" t="str">
        <f t="array" ref="BT17">LET(val, IFERROR(INDEX('Daily 스피킹 raw'!$A:$ZZ, MATCH(BT$2, 'Daily 스피킹 raw'!$A:$A, 0), MATCH($B17, 'Daily 스피킹 raw'!$1:$1, 0)), 0), IF(val=0, "", val))</f>
        <v/>
      </c>
      <c r="BU17" s="44" t="str">
        <f t="array" ref="BU17">LET(val, IFERROR(INDEX('Daily 스피킹 raw'!$A:$ZZ, MATCH(BU$2, 'Daily 스피킹 raw'!$A:$A, 0), MATCH($B17, 'Daily 스피킹 raw'!$1:$1, 0)), 0), IF(val=0, "", val))</f>
        <v/>
      </c>
      <c r="BV17" s="44" t="str">
        <f t="array" ref="BV17">LET(val, IFERROR(INDEX('Daily 스피킹 raw'!$A:$ZZ, MATCH(BV$2, 'Daily 스피킹 raw'!$A:$A, 0), MATCH($B17, 'Daily 스피킹 raw'!$1:$1, 0)), 0), IF(val=0, "", val))</f>
        <v/>
      </c>
      <c r="BW17" s="44" t="str">
        <f t="array" ref="BW17">LET(val, IFERROR(INDEX('Daily 스피킹 raw'!$A:$ZZ, MATCH(BW$2, 'Daily 스피킹 raw'!$A:$A, 0), MATCH($B17, 'Daily 스피킹 raw'!$1:$1, 0)), 0), IF(val=0, "", val))</f>
        <v/>
      </c>
      <c r="BX17" s="44" t="str">
        <f t="array" ref="BX17">LET(val, IFERROR(INDEX('Daily 스피킹 raw'!$A:$ZZ, MATCH(BX$2, 'Daily 스피킹 raw'!$A:$A, 0), MATCH($B17, 'Daily 스피킹 raw'!$1:$1, 0)), 0), IF(val=0, "", val))</f>
        <v/>
      </c>
      <c r="BY17" s="44" t="str">
        <f t="array" ref="BY17">LET(val, IFERROR(INDEX('Daily 스피킹 raw'!$A:$ZZ, MATCH(BY$2, 'Daily 스피킹 raw'!$A:$A, 0), MATCH($B17, 'Daily 스피킹 raw'!$1:$1, 0)), 0), IF(val=0, "", val))</f>
        <v/>
      </c>
      <c r="BZ17" s="44" t="str">
        <f t="array" ref="BZ17">LET(val, IFERROR(INDEX('Daily 스피킹 raw'!$A:$ZZ, MATCH(BZ$2, 'Daily 스피킹 raw'!$A:$A, 0), MATCH($B17, 'Daily 스피킹 raw'!$1:$1, 0)), 0), IF(val=0, "", val))</f>
        <v/>
      </c>
      <c r="CA17" s="44" t="str">
        <f t="array" ref="CA17">LET(val, IFERROR(INDEX('Daily 스피킹 raw'!$A:$ZZ, MATCH(CA$2, 'Daily 스피킹 raw'!$A:$A, 0), MATCH($B17, 'Daily 스피킹 raw'!$1:$1, 0)), 0), IF(val=0, "", val))</f>
        <v/>
      </c>
      <c r="CB17" s="44" t="str">
        <f t="array" ref="CB17">LET(val, IFERROR(INDEX('Daily 스피킹 raw'!$A:$ZZ, MATCH(CB$2, 'Daily 스피킹 raw'!$A:$A, 0), MATCH($B17, 'Daily 스피킹 raw'!$1:$1, 0)), 0), IF(val=0, "", val))</f>
        <v/>
      </c>
      <c r="CC17" s="44" t="str">
        <f t="array" ref="CC17">LET(val, IFERROR(INDEX('Daily 스피킹 raw'!$A:$ZZ, MATCH(CC$2, 'Daily 스피킹 raw'!$A:$A, 0), MATCH($B17, 'Daily 스피킹 raw'!$1:$1, 0)), 0), IF(val=0, "", val))</f>
        <v/>
      </c>
      <c r="CD17" s="44" t="str">
        <f t="array" ref="CD17">LET(val, IFERROR(INDEX('Daily 스피킹 raw'!$A:$ZZ, MATCH(CD$2, 'Daily 스피킹 raw'!$A:$A, 0), MATCH($B17, 'Daily 스피킹 raw'!$1:$1, 0)), 0), IF(val=0, "", val))</f>
        <v/>
      </c>
      <c r="CE17" s="44" t="str">
        <f t="array" ref="CE17">LET(val, IFERROR(INDEX('Daily 스피킹 raw'!$A:$ZZ, MATCH(CE$2, 'Daily 스피킹 raw'!$A:$A, 0), MATCH($B17, 'Daily 스피킹 raw'!$1:$1, 0)), 0), IF(val=0, "", val))</f>
        <v/>
      </c>
      <c r="CF17" s="44" t="str">
        <f t="array" ref="CF17">LET(val, IFERROR(INDEX('Daily 스피킹 raw'!$A:$ZZ, MATCH(CF$2, 'Daily 스피킹 raw'!$A:$A, 0), MATCH($B17, 'Daily 스피킹 raw'!$1:$1, 0)), 0), IF(val=0, "", val))</f>
        <v/>
      </c>
      <c r="CG17" s="44" t="str">
        <f t="array" ref="CG17">LET(val, IFERROR(INDEX('Daily 스피킹 raw'!$A:$ZZ, MATCH(CG$2, 'Daily 스피킹 raw'!$A:$A, 0), MATCH($B17, 'Daily 스피킹 raw'!$1:$1, 0)), 0), IF(val=0, "", val))</f>
        <v/>
      </c>
      <c r="CH17" s="44" t="str">
        <f t="array" ref="CH17">LET(val, IFERROR(INDEX('Daily 스피킹 raw'!$A:$ZZ, MATCH(CH$2, 'Daily 스피킹 raw'!$A:$A, 0), MATCH($B17, 'Daily 스피킹 raw'!$1:$1, 0)), 0), IF(val=0, "", val))</f>
        <v/>
      </c>
      <c r="CI17" s="44" t="str">
        <f t="array" ref="CI17">LET(val, IFERROR(INDEX('Daily 스피킹 raw'!$A:$ZZ, MATCH(CI$2, 'Daily 스피킹 raw'!$A:$A, 0), MATCH($B17, 'Daily 스피킹 raw'!$1:$1, 0)), 0), IF(val=0, "", val))</f>
        <v/>
      </c>
      <c r="CJ17" s="44" t="str">
        <f t="array" ref="CJ17">LET(val, IFERROR(INDEX('Daily 스피킹 raw'!$A:$ZZ, MATCH(CJ$2, 'Daily 스피킹 raw'!$A:$A, 0), MATCH($B17, 'Daily 스피킹 raw'!$1:$1, 0)), 0), IF(val=0, "", val))</f>
        <v/>
      </c>
      <c r="CK17" s="44" t="str">
        <f t="array" ref="CK17">LET(val, IFERROR(INDEX('Daily 스피킹 raw'!$A:$ZZ, MATCH(CK$2, 'Daily 스피킹 raw'!$A:$A, 0), MATCH($B17, 'Daily 스피킹 raw'!$1:$1, 0)), 0), IF(val=0, "", val))</f>
        <v/>
      </c>
      <c r="CL17" s="44" t="str">
        <f t="array" ref="CL17">LET(val, IFERROR(INDEX('Daily 스피킹 raw'!$A:$ZZ, MATCH(CL$2, 'Daily 스피킹 raw'!$A:$A, 0), MATCH($B17, 'Daily 스피킹 raw'!$1:$1, 0)), 0), IF(val=0, "", val))</f>
        <v/>
      </c>
      <c r="CM17" s="44" t="str">
        <f t="array" ref="CM17">LET(val, IFERROR(INDEX('Daily 스피킹 raw'!$A:$ZZ, MATCH(CM$2, 'Daily 스피킹 raw'!$A:$A, 0), MATCH($B17, 'Daily 스피킹 raw'!$1:$1, 0)), 0), IF(val=0, "", val))</f>
        <v/>
      </c>
      <c r="CN17" s="44" t="str">
        <f t="array" ref="CN17">LET(val, IFERROR(INDEX('Daily 스피킹 raw'!$A:$ZZ, MATCH(CN$2, 'Daily 스피킹 raw'!$A:$A, 0), MATCH($B17, 'Daily 스피킹 raw'!$1:$1, 0)), 0), IF(val=0, "", val))</f>
        <v/>
      </c>
      <c r="CO17" s="44" t="str">
        <f t="array" ref="CO17">LET(val, IFERROR(INDEX('Daily 스피킹 raw'!$A:$ZZ, MATCH(CO$2, 'Daily 스피킹 raw'!$A:$A, 0), MATCH($B17, 'Daily 스피킹 raw'!$1:$1, 0)), 0), IF(val=0, "", val))</f>
        <v/>
      </c>
      <c r="CP17" s="44" t="str">
        <f t="array" ref="CP17">LET(val, IFERROR(INDEX('Daily 스피킹 raw'!$A:$ZZ, MATCH(CP$2, 'Daily 스피킹 raw'!$A:$A, 0), MATCH($B17, 'Daily 스피킹 raw'!$1:$1, 0)), 0), IF(val=0, "", val))</f>
        <v/>
      </c>
      <c r="CQ17" s="44" t="str">
        <f t="array" ref="CQ17">LET(val, IFERROR(INDEX('Daily 스피킹 raw'!$A:$ZZ, MATCH(CQ$2, 'Daily 스피킹 raw'!$A:$A, 0), MATCH($B17, 'Daily 스피킹 raw'!$1:$1, 0)), 0), IF(val=0, "", val))</f>
        <v/>
      </c>
      <c r="CR17" s="44" t="str">
        <f t="array" ref="CR17">LET(val, IFERROR(INDEX('Daily 스피킹 raw'!$A:$ZZ, MATCH(CR$2, 'Daily 스피킹 raw'!$A:$A, 0), MATCH($B17, 'Daily 스피킹 raw'!$1:$1, 0)), 0), IF(val=0, "", val))</f>
        <v/>
      </c>
      <c r="CS17" s="44" t="str">
        <f t="array" ref="CS17">LET(val, IFERROR(INDEX('Daily 스피킹 raw'!$A:$ZZ, MATCH(CS$2, 'Daily 스피킹 raw'!$A:$A, 0), MATCH($B17, 'Daily 스피킹 raw'!$1:$1, 0)), 0), IF(val=0, "", val))</f>
        <v/>
      </c>
      <c r="CT17" s="44" t="str">
        <f t="array" ref="CT17">LET(val, IFERROR(INDEX('Daily 스피킹 raw'!$A:$ZZ, MATCH(CT$2, 'Daily 스피킹 raw'!$A:$A, 0), MATCH($B17, 'Daily 스피킹 raw'!$1:$1, 0)), 0), IF(val=0, "", val))</f>
        <v/>
      </c>
      <c r="CU17" s="44" t="str">
        <f t="array" ref="CU17">LET(val, IFERROR(INDEX('Daily 스피킹 raw'!$A:$ZZ, MATCH(CU$2, 'Daily 스피킹 raw'!$A:$A, 0), MATCH($B17, 'Daily 스피킹 raw'!$1:$1, 0)), 0), IF(val=0, "", val))</f>
        <v/>
      </c>
      <c r="CV17" s="44" t="str">
        <f t="array" ref="CV17">LET(val, IFERROR(INDEX('Daily 스피킹 raw'!$A:$ZZ, MATCH(CV$2, 'Daily 스피킹 raw'!$A:$A, 0), MATCH($B17, 'Daily 스피킹 raw'!$1:$1, 0)), 0), IF(val=0, "", val))</f>
        <v/>
      </c>
      <c r="CW17" s="44" t="str">
        <f t="array" ref="CW17">LET(val, IFERROR(INDEX('Daily 스피킹 raw'!$A:$ZZ, MATCH(CW$2, 'Daily 스피킹 raw'!$A:$A, 0), MATCH($B17, 'Daily 스피킹 raw'!$1:$1, 0)), 0), IF(val=0, "", val))</f>
        <v/>
      </c>
    </row>
    <row r="18" ht="22.5" customHeight="1">
      <c r="A18" s="17"/>
      <c r="B18" s="16" t="s">
        <v>37</v>
      </c>
      <c r="C18" s="17" t="s">
        <v>38</v>
      </c>
      <c r="D18" s="44" t="str">
        <f t="array" ref="D18">LET(val, IFERROR(INDEX('Daily 스피킹 raw'!$A:$ZZ, MATCH(D$2, 'Daily 스피킹 raw'!$A:$A, 0), MATCH($B18, 'Daily 스피킹 raw'!$1:$1, 0)), ""), IF(val=0, "", val))</f>
        <v/>
      </c>
      <c r="E18" s="44" t="str">
        <f t="array" ref="E18">LET(val, IFERROR(INDEX('Daily 스피킹 raw'!$A:$ZZ, MATCH(E$2, 'Daily 스피킹 raw'!$A:$A, 0), MATCH($B18, 'Daily 스피킹 raw'!$1:$1, 0)), ""), IF(val=0, "", val))</f>
        <v/>
      </c>
      <c r="F18" s="44" t="str">
        <f t="array" ref="F18">LET(val, IFERROR(INDEX('Daily 스피킹 raw'!$A:$ZZ, MATCH(F$2, 'Daily 스피킹 raw'!$A:$A, 0), MATCH($B18, 'Daily 스피킹 raw'!$1:$1, 0)), ""), IF(val=0, "", val))</f>
        <v/>
      </c>
      <c r="G18" s="44" t="str">
        <f t="array" ref="G18">LET(val, IFERROR(INDEX('Daily 스피킹 raw'!$A:$ZZ, MATCH(G$2, 'Daily 스피킹 raw'!$A:$A, 0), MATCH($B18, 'Daily 스피킹 raw'!$1:$1, 0)), ""), IF(val=0, "", val))</f>
        <v/>
      </c>
      <c r="H18" s="44" t="str">
        <f t="array" ref="H18">LET(val, IFERROR(INDEX('Daily 스피킹 raw'!$A:$ZZ, MATCH(H$2, 'Daily 스피킹 raw'!$A:$A, 0), MATCH($B18, 'Daily 스피킹 raw'!$1:$1, 0)), ""), IF(val=0, "", val))</f>
        <v/>
      </c>
      <c r="I18" s="44" t="str">
        <f t="array" ref="I18">LET(val, IFERROR(INDEX('Daily 스피킹 raw'!$A:$ZZ, MATCH(I$2, 'Daily 스피킹 raw'!$A:$A, 0), MATCH($B18, 'Daily 스피킹 raw'!$1:$1, 0)), ""), IF(val=0, "", val))</f>
        <v/>
      </c>
      <c r="J18" s="44" t="str">
        <f t="array" ref="J18">LET(val, IFERROR(INDEX('Daily 스피킹 raw'!$A:$ZZ, MATCH(J$2, 'Daily 스피킹 raw'!$A:$A, 0), MATCH($B18, 'Daily 스피킹 raw'!$1:$1, 0)), ""), IF(val=0, "", val))</f>
        <v/>
      </c>
      <c r="K18" s="44" t="str">
        <f t="array" ref="K18">LET(val, IFERROR(INDEX('Daily 스피킹 raw'!$A:$ZZ, MATCH(K$2, 'Daily 스피킹 raw'!$A:$A, 0), MATCH($B18, 'Daily 스피킹 raw'!$1:$1, 0)), ""), IF(val=0, "", val))</f>
        <v/>
      </c>
      <c r="L18" s="44" t="str">
        <f t="array" ref="L18">LET(val, IFERROR(INDEX('Daily 스피킹 raw'!$A:$ZZ, MATCH(L$2, 'Daily 스피킹 raw'!$A:$A, 0), MATCH($B18, 'Daily 스피킹 raw'!$1:$1, 0)), ""), IF(val=0, "", val))</f>
        <v/>
      </c>
      <c r="M18" s="44" t="str">
        <f t="array" ref="M18">LET(val, IFERROR(INDEX('Daily 스피킹 raw'!$A:$ZZ, MATCH(M$2, 'Daily 스피킹 raw'!$A:$A, 0), MATCH($B18, 'Daily 스피킹 raw'!$1:$1, 0)), ""), IF(val=0, "", val))</f>
        <v/>
      </c>
      <c r="N18" s="44" t="str">
        <f t="array" ref="N18">LET(val, IFERROR(INDEX('Daily 스피킹 raw'!$A:$ZZ, MATCH(N$2, 'Daily 스피킹 raw'!$A:$A, 0), MATCH($B18, 'Daily 스피킹 raw'!$1:$1, 0)), ""), IF(val=0, "", val))</f>
        <v/>
      </c>
      <c r="O18" s="44" t="str">
        <f t="array" ref="O18">LET(val, IFERROR(INDEX('Daily 스피킹 raw'!$A:$ZZ, MATCH(O$2, 'Daily 스피킹 raw'!$A:$A, 0), MATCH($B18, 'Daily 스피킹 raw'!$1:$1, 0)), ""), IF(val=0, "", val))</f>
        <v/>
      </c>
      <c r="P18" s="44" t="str">
        <f t="array" ref="P18">LET(val, IFERROR(INDEX('Daily 스피킹 raw'!$A:$ZZ, MATCH(P$2, 'Daily 스피킹 raw'!$A:$A, 0), MATCH($B18, 'Daily 스피킹 raw'!$1:$1, 0)), ""), IF(val=0, "", val))</f>
        <v/>
      </c>
      <c r="Q18" s="44" t="str">
        <f t="array" ref="Q18">LET(val, IFERROR(INDEX('Daily 스피킹 raw'!$A:$ZZ, MATCH(Q$2, 'Daily 스피킹 raw'!$A:$A, 0), MATCH($B18, 'Daily 스피킹 raw'!$1:$1, 0)), ""), IF(val=0, "", val))</f>
        <v/>
      </c>
      <c r="R18" s="44" t="str">
        <f t="array" ref="R18">LET(val, IFERROR(INDEX('Daily 스피킹 raw'!$A:$ZZ, MATCH(R$2, 'Daily 스피킹 raw'!$A:$A, 0), MATCH($B18, 'Daily 스피킹 raw'!$1:$1, 0)), ""), IF(val=0, "", val))</f>
        <v/>
      </c>
      <c r="S18" s="44" t="str">
        <f t="array" ref="S18">LET(val, IFERROR(INDEX('Daily 스피킹 raw'!$A:$ZZ, MATCH(S$2, 'Daily 스피킹 raw'!$A:$A, 0), MATCH($B18, 'Daily 스피킹 raw'!$1:$1, 0)), ""), IF(val=0, "", val))</f>
        <v/>
      </c>
      <c r="T18" s="44" t="str">
        <f t="array" ref="T18">LET(val, IFERROR(INDEX('Daily 스피킹 raw'!$A:$ZZ, MATCH(T$2, 'Daily 스피킹 raw'!$A:$A, 0), MATCH($B18, 'Daily 스피킹 raw'!$1:$1, 0)), ""), IF(val=0, "", val))</f>
        <v/>
      </c>
      <c r="U18" s="44" t="str">
        <f t="array" ref="U18">LET(val, IFERROR(INDEX('Daily 스피킹 raw'!$A:$ZZ, MATCH(U$2, 'Daily 스피킹 raw'!$A:$A, 0), MATCH($B18, 'Daily 스피킹 raw'!$1:$1, 0)), ""), IF(val=0, "", val))</f>
        <v/>
      </c>
      <c r="V18" s="44" t="str">
        <f t="array" ref="V18">LET(val, IFERROR(INDEX('Daily 스피킹 raw'!$A:$ZZ, MATCH(V$2, 'Daily 스피킹 raw'!$A:$A, 0), MATCH($B18, 'Daily 스피킹 raw'!$1:$1, 0)), ""), IF(val=0, "", val))</f>
        <v/>
      </c>
      <c r="W18" s="44" t="str">
        <f t="array" ref="W18">LET(val, IFERROR(INDEX('Daily 스피킹 raw'!$A:$ZZ, MATCH(W$2, 'Daily 스피킹 raw'!$A:$A, 0), MATCH($B18, 'Daily 스피킹 raw'!$1:$1, 0)), ""), IF(val=0, "", val))</f>
        <v/>
      </c>
      <c r="X18" s="44" t="str">
        <f t="array" ref="X18">LET(val, IFERROR(INDEX('Daily 스피킹 raw'!$A:$ZZ, MATCH(X$2, 'Daily 스피킹 raw'!$A:$A, 0), MATCH($B18, 'Daily 스피킹 raw'!$1:$1, 0)), ""), IF(val=0, "", val))</f>
        <v/>
      </c>
      <c r="Y18" s="44" t="str">
        <f t="array" ref="Y18">LET(val, IFERROR(INDEX('Daily 스피킹 raw'!$A:$ZZ, MATCH(Y$2, 'Daily 스피킹 raw'!$A:$A, 0), MATCH($B18, 'Daily 스피킹 raw'!$1:$1, 0)), ""), IF(val=0, "", val))</f>
        <v/>
      </c>
      <c r="Z18" s="44" t="str">
        <f t="array" ref="Z18">LET(val, IFERROR(INDEX('Daily 스피킹 raw'!$A:$ZZ, MATCH(Z$2, 'Daily 스피킹 raw'!$A:$A, 0), MATCH($B18, 'Daily 스피킹 raw'!$1:$1, 0)), ""), IF(val=0, "", val))</f>
        <v/>
      </c>
      <c r="AA18" s="44" t="str">
        <f t="array" ref="AA18">LET(val, IFERROR(INDEX('Daily 스피킹 raw'!$A:$ZZ, MATCH(AA$2, 'Daily 스피킹 raw'!$A:$A, 0), MATCH($B18, 'Daily 스피킹 raw'!$1:$1, 0)), ""), IF(val=0, "", val))</f>
        <v/>
      </c>
      <c r="AB18" s="44" t="str">
        <f t="array" ref="AB18">LET(val, IFERROR(INDEX('Daily 스피킹 raw'!$A:$ZZ, MATCH(AB$2, 'Daily 스피킹 raw'!$A:$A, 0), MATCH($B18, 'Daily 스피킹 raw'!$1:$1, 0)), ""), IF(val=0, "", val))</f>
        <v/>
      </c>
      <c r="AC18" s="44" t="str">
        <f t="array" ref="AC18">LET(val, IFERROR(INDEX('Daily 스피킹 raw'!$A:$ZZ, MATCH(AC$2, 'Daily 스피킹 raw'!$A:$A, 0), MATCH($B18, 'Daily 스피킹 raw'!$1:$1, 0)), ""), IF(val=0, "", val))</f>
        <v/>
      </c>
      <c r="AD18" s="44" t="str">
        <f t="array" ref="AD18">LET(val, IFERROR(INDEX('Daily 스피킹 raw'!$A:$ZZ, MATCH(AD$2, 'Daily 스피킹 raw'!$A:$A, 0), MATCH($B18, 'Daily 스피킹 raw'!$1:$1, 0)), ""), IF(val=0, "", val))</f>
        <v/>
      </c>
      <c r="AE18" s="44" t="str">
        <f t="array" ref="AE18">LET(val, IFERROR(INDEX('Daily 스피킹 raw'!$A:$ZZ, MATCH(AE$2, 'Daily 스피킹 raw'!$A:$A, 0), MATCH($B18, 'Daily 스피킹 raw'!$1:$1, 0)), ""), IF(val=0, "", val))</f>
        <v/>
      </c>
      <c r="AF18" s="44" t="str">
        <f t="array" ref="AF18">LET(val, IFERROR(INDEX('Daily 스피킹 raw'!$A:$ZZ, MATCH(AF$2, 'Daily 스피킹 raw'!$A:$A, 0), MATCH($B18, 'Daily 스피킹 raw'!$1:$1, 0)), ""), IF(val=0, "", val))</f>
        <v/>
      </c>
      <c r="AG18" s="44" t="str">
        <f t="array" ref="AG18">LET(val, IFERROR(INDEX('Daily 스피킹 raw'!$A:$ZZ, MATCH(AG$2, 'Daily 스피킹 raw'!$A:$A, 0), MATCH($B18, 'Daily 스피킹 raw'!$1:$1, 0)), ""), IF(val=0, "", val))</f>
        <v/>
      </c>
      <c r="AH18" s="44" t="str">
        <f t="array" ref="AH18">LET(val, IFERROR(INDEX('Daily 스피킹 raw'!$A:$ZZ, MATCH(AH$2, 'Daily 스피킹 raw'!$A:$A, 0), MATCH($B18, 'Daily 스피킹 raw'!$1:$1, 0)), ""), IF(val=0, "", val))</f>
        <v/>
      </c>
      <c r="AI18" s="44" t="str">
        <f t="array" ref="AI18">LET(val, IFERROR(INDEX('Daily 스피킹 raw'!$A:$ZZ, MATCH(AI$2, 'Daily 스피킹 raw'!$A:$A, 0), MATCH($B18, 'Daily 스피킹 raw'!$1:$1, 0)), ""), IF(val=0, "", val))</f>
        <v/>
      </c>
      <c r="AJ18" s="44" t="str">
        <f t="array" ref="AJ18">LET(val, IFERROR(INDEX('Daily 스피킹 raw'!$A:$ZZ, MATCH(AJ$2, 'Daily 스피킹 raw'!$A:$A, 0), MATCH($B18, 'Daily 스피킹 raw'!$1:$1, 0)), ""), IF(val=0, "", val))</f>
        <v/>
      </c>
      <c r="AK18" s="44" t="str">
        <f t="array" ref="AK18">LET(val, IFERROR(INDEX('Daily 스피킹 raw'!$A:$ZZ, MATCH(AK$2, 'Daily 스피킹 raw'!$A:$A, 0), MATCH($B18, 'Daily 스피킹 raw'!$1:$1, 0)), ""), IF(val=0, "", val))</f>
        <v/>
      </c>
      <c r="AL18" s="44" t="str">
        <f t="array" ref="AL18">LET(val, IFERROR(INDEX('Daily 스피킹 raw'!$A:$ZZ, MATCH(AL$2, 'Daily 스피킹 raw'!$A:$A, 0), MATCH($B18, 'Daily 스피킹 raw'!$1:$1, 0)), ""), IF(val=0, "", val))</f>
        <v/>
      </c>
      <c r="AM18" s="44" t="str">
        <f t="array" ref="AM18">LET(val, IFERROR(INDEX('Daily 스피킹 raw'!$A:$ZZ, MATCH(AM$2, 'Daily 스피킹 raw'!$A:$A, 0), MATCH($B18, 'Daily 스피킹 raw'!$1:$1, 0)), ""), IF(val=0, "", val))</f>
        <v/>
      </c>
      <c r="AN18" s="44" t="str">
        <f t="array" ref="AN18">LET(val, IFERROR(INDEX('Daily 스피킹 raw'!$A:$ZZ, MATCH(AN$2, 'Daily 스피킹 raw'!$A:$A, 0), MATCH($B18, 'Daily 스피킹 raw'!$1:$1, 0)), ""), IF(val=0, "", val))</f>
        <v/>
      </c>
      <c r="AO18" s="44" t="str">
        <f t="array" ref="AO18">LET(val, IFERROR(INDEX('Daily 스피킹 raw'!$A:$ZZ, MATCH(AO$2, 'Daily 스피킹 raw'!$A:$A, 0), MATCH($B18, 'Daily 스피킹 raw'!$1:$1, 0)), ""), IF(val=0, "", val))</f>
        <v/>
      </c>
      <c r="AP18" s="44" t="str">
        <f t="array" ref="AP18">LET(val, IFERROR(INDEX('Daily 스피킹 raw'!$A:$ZZ, MATCH(AP$2, 'Daily 스피킹 raw'!$A:$A, 0), MATCH($B18, 'Daily 스피킹 raw'!$1:$1, 0)), ""), IF(val=0, "", val))</f>
        <v/>
      </c>
      <c r="AQ18" s="44" t="str">
        <f t="array" ref="AQ18">LET(val, IFERROR(INDEX('Daily 스피킹 raw'!$A:$ZZ, MATCH(AQ$2, 'Daily 스피킹 raw'!$A:$A, 0), MATCH($B18, 'Daily 스피킹 raw'!$1:$1, 0)), ""), IF(val=0, "", val))</f>
        <v/>
      </c>
      <c r="AR18" s="44" t="str">
        <f t="array" ref="AR18">LET(val, IFERROR(INDEX('Daily 스피킹 raw'!$A:$ZZ, MATCH(AR$2, 'Daily 스피킹 raw'!$A:$A, 0), MATCH($B18, 'Daily 스피킹 raw'!$1:$1, 0)), ""), IF(val=0, "", val))</f>
        <v/>
      </c>
      <c r="AS18" s="44" t="str">
        <f t="array" ref="AS18">LET(val, IFERROR(INDEX('Daily 스피킹 raw'!$A:$ZZ, MATCH(AS$2, 'Daily 스피킹 raw'!$A:$A, 0), MATCH($B18, 'Daily 스피킹 raw'!$1:$1, 0)), ""), IF(val=0, "", val))</f>
        <v/>
      </c>
      <c r="AT18" s="44" t="str">
        <f t="array" ref="AT18">LET(val, IFERROR(INDEX('Daily 스피킹 raw'!$A:$ZZ, MATCH(AT$2, 'Daily 스피킹 raw'!$A:$A, 0), MATCH($B18, 'Daily 스피킹 raw'!$1:$1, 0)), ""), IF(val=0, "", val))</f>
        <v/>
      </c>
      <c r="AU18" s="44" t="str">
        <f t="array" ref="AU18">LET(val, IFERROR(INDEX('Daily 스피킹 raw'!$A:$ZZ, MATCH(AU$2, 'Daily 스피킹 raw'!$A:$A, 0), MATCH($B18, 'Daily 스피킹 raw'!$1:$1, 0)), ""), IF(val=0, "", val))</f>
        <v/>
      </c>
      <c r="AV18" s="44" t="str">
        <f t="array" ref="AV18">LET(val, IFERROR(INDEX('Daily 스피킹 raw'!$A:$ZZ, MATCH(AV$2, 'Daily 스피킹 raw'!$A:$A, 0), MATCH($B18, 'Daily 스피킹 raw'!$1:$1, 0)), ""), IF(val=0, "", val))</f>
        <v/>
      </c>
      <c r="AW18" s="44" t="str">
        <f t="array" ref="AW18">LET(val, IFERROR(INDEX('Daily 스피킹 raw'!$A:$ZZ, MATCH(AW$2, 'Daily 스피킹 raw'!$A:$A, 0), MATCH($B18, 'Daily 스피킹 raw'!$1:$1, 0)), ""), IF(val=0, "", val))</f>
        <v/>
      </c>
      <c r="AX18" s="44" t="str">
        <f t="array" ref="AX18">LET(val, IFERROR(INDEX('Daily 스피킹 raw'!$A:$ZZ, MATCH(AX$2, 'Daily 스피킹 raw'!$A:$A, 0), MATCH($B18, 'Daily 스피킹 raw'!$1:$1, 0)), ""), IF(val=0, "", val))</f>
        <v/>
      </c>
      <c r="AY18" s="44" t="str">
        <f t="array" ref="AY18">LET(val, IFERROR(INDEX('Daily 스피킹 raw'!$A:$ZZ, MATCH(AY$2, 'Daily 스피킹 raw'!$A:$A, 0), MATCH($B18, 'Daily 스피킹 raw'!$1:$1, 0)), ""), IF(val=0, "", val))</f>
        <v/>
      </c>
      <c r="AZ18" s="44" t="str">
        <f t="array" ref="AZ18">LET(val, IFERROR(INDEX('Daily 스피킹 raw'!$A:$ZZ, MATCH(AZ$2, 'Daily 스피킹 raw'!$A:$A, 0), MATCH($B18, 'Daily 스피킹 raw'!$1:$1, 0)), ""), IF(val=0, "", val))</f>
        <v/>
      </c>
      <c r="BA18" s="44" t="str">
        <f t="array" ref="BA18">LET(val, IFERROR(INDEX('Daily 스피킹 raw'!$A:$ZZ, MATCH(BA$2, 'Daily 스피킹 raw'!$A:$A, 0), MATCH($B18, 'Daily 스피킹 raw'!$1:$1, 0)), ""), IF(val=0, "", val))</f>
        <v/>
      </c>
      <c r="BB18" s="44" t="str">
        <f t="array" ref="BB18">LET(val, IFERROR(INDEX('Daily 스피킹 raw'!$A:$ZZ, MATCH(BB$2, 'Daily 스피킹 raw'!$A:$A, 0), MATCH($B18, 'Daily 스피킹 raw'!$1:$1, 0)), ""), IF(val=0, "", val))</f>
        <v/>
      </c>
      <c r="BC18" s="44" t="str">
        <f t="array" ref="BC18">LET(val, IFERROR(INDEX('Daily 스피킹 raw'!$A:$ZZ, MATCH(BC$2, 'Daily 스피킹 raw'!$A:$A, 0), MATCH($B18, 'Daily 스피킹 raw'!$1:$1, 0)), ""), IF(val=0, "", val))</f>
        <v/>
      </c>
      <c r="BD18" s="44" t="str">
        <f t="array" ref="BD18">LET(val, IFERROR(INDEX('Daily 스피킹 raw'!$A:$ZZ, MATCH(BD$2, 'Daily 스피킹 raw'!$A:$A, 0), MATCH($B18, 'Daily 스피킹 raw'!$1:$1, 0)), ""), IF(val=0, "", val))</f>
        <v/>
      </c>
      <c r="BE18" s="44" t="str">
        <f t="array" ref="BE18">LET(val, IFERROR(INDEX('Daily 스피킹 raw'!$A:$ZZ, MATCH(BE$2, 'Daily 스피킹 raw'!$A:$A, 0), MATCH($B18, 'Daily 스피킹 raw'!$1:$1, 0)), ""), IF(val=0, "", val))</f>
        <v/>
      </c>
      <c r="BF18" s="44" t="str">
        <f t="array" ref="BF18">LET(val, IFERROR(INDEX('Daily 스피킹 raw'!$A:$ZZ, MATCH(BF$2, 'Daily 스피킹 raw'!$A:$A, 0), MATCH($B18, 'Daily 스피킹 raw'!$1:$1, 0)), ""), IF(val=0, "", val))</f>
        <v/>
      </c>
      <c r="BG18" s="44" t="str">
        <f t="array" ref="BG18">LET(val, IFERROR(INDEX('Daily 스피킹 raw'!$A:$ZZ, MATCH(BG$2, 'Daily 스피킹 raw'!$A:$A, 0), MATCH($B18, 'Daily 스피킹 raw'!$1:$1, 0)), ""), IF(val=0, "", val))</f>
        <v/>
      </c>
      <c r="BH18" s="44" t="str">
        <f t="array" ref="BH18">LET(val, IFERROR(INDEX('Daily 스피킹 raw'!$A:$ZZ, MATCH(BH$2, 'Daily 스피킹 raw'!$A:$A, 0), MATCH($B18, 'Daily 스피킹 raw'!$1:$1, 0)), ""), IF(val=0, "", val))</f>
        <v/>
      </c>
      <c r="BI18" s="44" t="str">
        <f t="array" ref="BI18">LET(val, IFERROR(INDEX('Daily 스피킹 raw'!$A:$ZZ, MATCH(BI$2, 'Daily 스피킹 raw'!$A:$A, 0), MATCH($B18, 'Daily 스피킹 raw'!$1:$1, 0)), ""), IF(val=0, "", val))</f>
        <v/>
      </c>
      <c r="BJ18" s="44" t="str">
        <f t="array" ref="BJ18">LET(val, IFERROR(INDEX('Daily 스피킹 raw'!$A:$ZZ, MATCH(BJ$2, 'Daily 스피킹 raw'!$A:$A, 0), MATCH($B18, 'Daily 스피킹 raw'!$1:$1, 0)), ""), IF(val=0, "", val))</f>
        <v/>
      </c>
      <c r="BK18" s="44" t="str">
        <f t="array" ref="BK18">LET(val, IFERROR(INDEX('Daily 스피킹 raw'!$A:$ZZ, MATCH(BK$2, 'Daily 스피킹 raw'!$A:$A, 0), MATCH($B18, 'Daily 스피킹 raw'!$1:$1, 0)), ""), IF(val=0, "", val))</f>
        <v/>
      </c>
      <c r="BL18" s="44" t="str">
        <f t="array" ref="BL18">LET(val, IFERROR(INDEX('Daily 스피킹 raw'!$A:$ZZ, MATCH(BL$2, 'Daily 스피킹 raw'!$A:$A, 0), MATCH($B18, 'Daily 스피킹 raw'!$1:$1, 0)), ""), IF(val=0, "", val))</f>
        <v/>
      </c>
      <c r="BM18" s="44" t="str">
        <f t="array" ref="BM18">LET(val, IFERROR(INDEX('Daily 스피킹 raw'!$A:$ZZ, MATCH(BM$2, 'Daily 스피킹 raw'!$A:$A, 0), MATCH($B18, 'Daily 스피킹 raw'!$1:$1, 0)), ""), IF(val=0, "", val))</f>
        <v/>
      </c>
      <c r="BN18" s="44" t="str">
        <f t="array" ref="BN18">LET(val, IFERROR(INDEX('Daily 스피킹 raw'!$A:$ZZ, MATCH(BN$2, 'Daily 스피킹 raw'!$A:$A, 0), MATCH($B18, 'Daily 스피킹 raw'!$1:$1, 0)), ""), IF(val=0, "", val))</f>
        <v/>
      </c>
      <c r="BO18" s="44" t="str">
        <f t="array" ref="BO18">LET(val, IFERROR(INDEX('Daily 스피킹 raw'!$A:$ZZ, MATCH(BO$2, 'Daily 스피킹 raw'!$A:$A, 0), MATCH($B18, 'Daily 스피킹 raw'!$1:$1, 0)), ""), IF(val=0, "", val))</f>
        <v/>
      </c>
      <c r="BP18" s="44" t="str">
        <f t="array" ref="BP18">LET(val, IFERROR(INDEX('Daily 스피킹 raw'!$A:$ZZ, MATCH(BP$2, 'Daily 스피킹 raw'!$A:$A, 0), MATCH($B18, 'Daily 스피킹 raw'!$1:$1, 0)), ""), IF(val=0, "", val))</f>
        <v/>
      </c>
      <c r="BQ18" s="44" t="str">
        <f t="array" ref="BQ18">LET(val, IFERROR(INDEX('Daily 스피킹 raw'!$A:$ZZ, MATCH(BQ$2, 'Daily 스피킹 raw'!$A:$A, 0), MATCH($B18, 'Daily 스피킹 raw'!$1:$1, 0)), ""), IF(val=0, "", val))</f>
        <v/>
      </c>
      <c r="BR18" s="44" t="str">
        <f t="array" ref="BR18">LET(val, IFERROR(INDEX('Daily 스피킹 raw'!$A:$ZZ, MATCH(BR$2, 'Daily 스피킹 raw'!$A:$A, 0), MATCH($B18, 'Daily 스피킹 raw'!$1:$1, 0)), ""), IF(val=0, "", val))</f>
        <v/>
      </c>
      <c r="BS18" s="44" t="str">
        <f t="array" ref="BS18">LET(val, IFERROR(INDEX('Daily 스피킹 raw'!$A:$ZZ, MATCH(BS$2, 'Daily 스피킹 raw'!$A:$A, 0), MATCH($B18, 'Daily 스피킹 raw'!$1:$1, 0)), ""), IF(val=0, "", val))</f>
        <v/>
      </c>
      <c r="BT18" s="44" t="str">
        <f t="array" ref="BT18">LET(val, IFERROR(INDEX('Daily 스피킹 raw'!$A:$ZZ, MATCH(BT$2, 'Daily 스피킹 raw'!$A:$A, 0), MATCH($B18, 'Daily 스피킹 raw'!$1:$1, 0)), ""), IF(val=0, "", val))</f>
        <v/>
      </c>
      <c r="BU18" s="44" t="str">
        <f t="array" ref="BU18">LET(val, IFERROR(INDEX('Daily 스피킹 raw'!$A:$ZZ, MATCH(BU$2, 'Daily 스피킹 raw'!$A:$A, 0), MATCH($B18, 'Daily 스피킹 raw'!$1:$1, 0)), ""), IF(val=0, "", val))</f>
        <v/>
      </c>
      <c r="BV18" s="44" t="str">
        <f t="array" ref="BV18">LET(val, IFERROR(INDEX('Daily 스피킹 raw'!$A:$ZZ, MATCH(BV$2, 'Daily 스피킹 raw'!$A:$A, 0), MATCH($B18, 'Daily 스피킹 raw'!$1:$1, 0)), ""), IF(val=0, "", val))</f>
        <v/>
      </c>
      <c r="BW18" s="44" t="str">
        <f t="array" ref="BW18">LET(val, IFERROR(INDEX('Daily 스피킹 raw'!$A:$ZZ, MATCH(BW$2, 'Daily 스피킹 raw'!$A:$A, 0), MATCH($B18, 'Daily 스피킹 raw'!$1:$1, 0)), ""), IF(val=0, "", val))</f>
        <v/>
      </c>
      <c r="BX18" s="44" t="str">
        <f t="array" ref="BX18">LET(val, IFERROR(INDEX('Daily 스피킹 raw'!$A:$ZZ, MATCH(BX$2, 'Daily 스피킹 raw'!$A:$A, 0), MATCH($B18, 'Daily 스피킹 raw'!$1:$1, 0)), ""), IF(val=0, "", val))</f>
        <v/>
      </c>
      <c r="BY18" s="44" t="str">
        <f t="array" ref="BY18">LET(val, IFERROR(INDEX('Daily 스피킹 raw'!$A:$ZZ, MATCH(BY$2, 'Daily 스피킹 raw'!$A:$A, 0), MATCH($B18, 'Daily 스피킹 raw'!$1:$1, 0)), ""), IF(val=0, "", val))</f>
        <v/>
      </c>
      <c r="BZ18" s="44" t="str">
        <f t="array" ref="BZ18">LET(val, IFERROR(INDEX('Daily 스피킹 raw'!$A:$ZZ, MATCH(BZ$2, 'Daily 스피킹 raw'!$A:$A, 0), MATCH($B18, 'Daily 스피킹 raw'!$1:$1, 0)), ""), IF(val=0, "", val))</f>
        <v/>
      </c>
      <c r="CA18" s="44" t="str">
        <f t="array" ref="CA18">LET(val, IFERROR(INDEX('Daily 스피킹 raw'!$A:$ZZ, MATCH(CA$2, 'Daily 스피킹 raw'!$A:$A, 0), MATCH($B18, 'Daily 스피킹 raw'!$1:$1, 0)), ""), IF(val=0, "", val))</f>
        <v/>
      </c>
      <c r="CB18" s="44" t="str">
        <f t="array" ref="CB18">LET(val, IFERROR(INDEX('Daily 스피킹 raw'!$A:$ZZ, MATCH(CB$2, 'Daily 스피킹 raw'!$A:$A, 0), MATCH($B18, 'Daily 스피킹 raw'!$1:$1, 0)), ""), IF(val=0, "", val))</f>
        <v/>
      </c>
      <c r="CC18" s="44" t="str">
        <f t="array" ref="CC18">LET(val, IFERROR(INDEX('Daily 스피킹 raw'!$A:$ZZ, MATCH(CC$2, 'Daily 스피킹 raw'!$A:$A, 0), MATCH($B18, 'Daily 스피킹 raw'!$1:$1, 0)), ""), IF(val=0, "", val))</f>
        <v/>
      </c>
      <c r="CD18" s="44" t="str">
        <f t="array" ref="CD18">LET(val, IFERROR(INDEX('Daily 스피킹 raw'!$A:$ZZ, MATCH(CD$2, 'Daily 스피킹 raw'!$A:$A, 0), MATCH($B18, 'Daily 스피킹 raw'!$1:$1, 0)), ""), IF(val=0, "", val))</f>
        <v/>
      </c>
      <c r="CE18" s="44" t="str">
        <f t="array" ref="CE18">LET(val, IFERROR(INDEX('Daily 스피킹 raw'!$A:$ZZ, MATCH(CE$2, 'Daily 스피킹 raw'!$A:$A, 0), MATCH($B18, 'Daily 스피킹 raw'!$1:$1, 0)), ""), IF(val=0, "", val))</f>
        <v/>
      </c>
      <c r="CF18" s="44" t="str">
        <f t="array" ref="CF18">LET(val, IFERROR(INDEX('Daily 스피킹 raw'!$A:$ZZ, MATCH(CF$2, 'Daily 스피킹 raw'!$A:$A, 0), MATCH($B18, 'Daily 스피킹 raw'!$1:$1, 0)), ""), IF(val=0, "", val))</f>
        <v/>
      </c>
      <c r="CG18" s="44" t="str">
        <f t="array" ref="CG18">LET(val, IFERROR(INDEX('Daily 스피킹 raw'!$A:$ZZ, MATCH(CG$2, 'Daily 스피킹 raw'!$A:$A, 0), MATCH($B18, 'Daily 스피킹 raw'!$1:$1, 0)), ""), IF(val=0, "", val))</f>
        <v/>
      </c>
      <c r="CH18" s="44" t="str">
        <f t="array" ref="CH18">LET(val, IFERROR(INDEX('Daily 스피킹 raw'!$A:$ZZ, MATCH(CH$2, 'Daily 스피킹 raw'!$A:$A, 0), MATCH($B18, 'Daily 스피킹 raw'!$1:$1, 0)), ""), IF(val=0, "", val))</f>
        <v/>
      </c>
      <c r="CI18" s="44" t="str">
        <f t="array" ref="CI18">LET(val, IFERROR(INDEX('Daily 스피킹 raw'!$A:$ZZ, MATCH(CI$2, 'Daily 스피킹 raw'!$A:$A, 0), MATCH($B18, 'Daily 스피킹 raw'!$1:$1, 0)), ""), IF(val=0, "", val))</f>
        <v/>
      </c>
      <c r="CJ18" s="44" t="str">
        <f t="array" ref="CJ18">LET(val, IFERROR(INDEX('Daily 스피킹 raw'!$A:$ZZ, MATCH(CJ$2, 'Daily 스피킹 raw'!$A:$A, 0), MATCH($B18, 'Daily 스피킹 raw'!$1:$1, 0)), ""), IF(val=0, "", val))</f>
        <v/>
      </c>
      <c r="CK18" s="44" t="str">
        <f t="array" ref="CK18">LET(val, IFERROR(INDEX('Daily 스피킹 raw'!$A:$ZZ, MATCH(CK$2, 'Daily 스피킹 raw'!$A:$A, 0), MATCH($B18, 'Daily 스피킹 raw'!$1:$1, 0)), ""), IF(val=0, "", val))</f>
        <v/>
      </c>
      <c r="CL18" s="44" t="str">
        <f t="array" ref="CL18">LET(val, IFERROR(INDEX('Daily 스피킹 raw'!$A:$ZZ, MATCH(CL$2, 'Daily 스피킹 raw'!$A:$A, 0), MATCH($B18, 'Daily 스피킹 raw'!$1:$1, 0)), ""), IF(val=0, "", val))</f>
        <v/>
      </c>
      <c r="CM18" s="44" t="str">
        <f t="array" ref="CM18">LET(val, IFERROR(INDEX('Daily 스피킹 raw'!$A:$ZZ, MATCH(CM$2, 'Daily 스피킹 raw'!$A:$A, 0), MATCH($B18, 'Daily 스피킹 raw'!$1:$1, 0)), ""), IF(val=0, "", val))</f>
        <v/>
      </c>
      <c r="CN18" s="44" t="str">
        <f t="array" ref="CN18">LET(val, IFERROR(INDEX('Daily 스피킹 raw'!$A:$ZZ, MATCH(CN$2, 'Daily 스피킹 raw'!$A:$A, 0), MATCH($B18, 'Daily 스피킹 raw'!$1:$1, 0)), ""), IF(val=0, "", val))</f>
        <v/>
      </c>
      <c r="CO18" s="44" t="str">
        <f t="array" ref="CO18">LET(val, IFERROR(INDEX('Daily 스피킹 raw'!$A:$ZZ, MATCH(CO$2, 'Daily 스피킹 raw'!$A:$A, 0), MATCH($B18, 'Daily 스피킹 raw'!$1:$1, 0)), ""), IF(val=0, "", val))</f>
        <v/>
      </c>
      <c r="CP18" s="44" t="str">
        <f t="array" ref="CP18">LET(val, IFERROR(INDEX('Daily 스피킹 raw'!$A:$ZZ, MATCH(CP$2, 'Daily 스피킹 raw'!$A:$A, 0), MATCH($B18, 'Daily 스피킹 raw'!$1:$1, 0)), ""), IF(val=0, "", val))</f>
        <v/>
      </c>
      <c r="CQ18" s="44" t="str">
        <f t="array" ref="CQ18">LET(val, IFERROR(INDEX('Daily 스피킹 raw'!$A:$ZZ, MATCH(CQ$2, 'Daily 스피킹 raw'!$A:$A, 0), MATCH($B18, 'Daily 스피킹 raw'!$1:$1, 0)), ""), IF(val=0, "", val))</f>
        <v/>
      </c>
      <c r="CR18" s="44" t="str">
        <f t="array" ref="CR18">LET(val, IFERROR(INDEX('Daily 스피킹 raw'!$A:$ZZ, MATCH(CR$2, 'Daily 스피킹 raw'!$A:$A, 0), MATCH($B18, 'Daily 스피킹 raw'!$1:$1, 0)), ""), IF(val=0, "", val))</f>
        <v/>
      </c>
      <c r="CS18" s="44" t="str">
        <f t="array" ref="CS18">LET(val, IFERROR(INDEX('Daily 스피킹 raw'!$A:$ZZ, MATCH(CS$2, 'Daily 스피킹 raw'!$A:$A, 0), MATCH($B18, 'Daily 스피킹 raw'!$1:$1, 0)), ""), IF(val=0, "", val))</f>
        <v/>
      </c>
      <c r="CT18" s="44" t="str">
        <f t="array" ref="CT18">LET(val, IFERROR(INDEX('Daily 스피킹 raw'!$A:$ZZ, MATCH(CT$2, 'Daily 스피킹 raw'!$A:$A, 0), MATCH($B18, 'Daily 스피킹 raw'!$1:$1, 0)), ""), IF(val=0, "", val))</f>
        <v/>
      </c>
      <c r="CU18" s="44" t="str">
        <f t="array" ref="CU18">LET(val, IFERROR(INDEX('Daily 스피킹 raw'!$A:$ZZ, MATCH(CU$2, 'Daily 스피킹 raw'!$A:$A, 0), MATCH($B18, 'Daily 스피킹 raw'!$1:$1, 0)), ""), IF(val=0, "", val))</f>
        <v/>
      </c>
      <c r="CV18" s="44" t="str">
        <f t="array" ref="CV18">LET(val, IFERROR(INDEX('Daily 스피킹 raw'!$A:$ZZ, MATCH(CV$2, 'Daily 스피킹 raw'!$A:$A, 0), MATCH($B18, 'Daily 스피킹 raw'!$1:$1, 0)), ""), IF(val=0, "", val))</f>
        <v/>
      </c>
      <c r="CW18" s="44" t="str">
        <f t="array" ref="CW18">LET(val, IFERROR(INDEX('Daily 스피킹 raw'!$A:$ZZ, MATCH(CW$2, 'Daily 스피킹 raw'!$A:$A, 0), MATCH($B18, 'Daily 스피킹 raw'!$1:$1, 0)), ""), IF(val=0, "", val))</f>
        <v/>
      </c>
    </row>
    <row r="19" ht="22.5" customHeight="1">
      <c r="A19" s="17"/>
      <c r="B19" s="16" t="s">
        <v>39</v>
      </c>
      <c r="C19" s="17" t="s">
        <v>40</v>
      </c>
      <c r="D19" s="44" t="str">
        <f t="array" ref="D19">LET(val, IFERROR(INDEX('Daily 스피킹 raw'!$A:$ZZ, MATCH(D$2, 'Daily 스피킹 raw'!$A:$A, 0), MATCH($B19, 'Daily 스피킹 raw'!$1:$1, 0)), ""), IF(val=0, "", val))</f>
        <v/>
      </c>
      <c r="E19" s="44" t="str">
        <f t="array" ref="E19">LET(val, IFERROR(INDEX('Daily 스피킹 raw'!$A:$ZZ, MATCH(E$2, 'Daily 스피킹 raw'!$A:$A, 0), MATCH($B19, 'Daily 스피킹 raw'!$1:$1, 0)), ""), IF(val=0, "", val))</f>
        <v/>
      </c>
      <c r="F19" s="44" t="str">
        <f t="array" ref="F19">LET(val, IFERROR(INDEX('Daily 스피킹 raw'!$A:$ZZ, MATCH(F$2, 'Daily 스피킹 raw'!$A:$A, 0), MATCH($B19, 'Daily 스피킹 raw'!$1:$1, 0)), ""), IF(val=0, "", val))</f>
        <v/>
      </c>
      <c r="G19" s="44" t="str">
        <f t="array" ref="G19">LET(val, IFERROR(INDEX('Daily 스피킹 raw'!$A:$ZZ, MATCH(G$2, 'Daily 스피킹 raw'!$A:$A, 0), MATCH($B19, 'Daily 스피킹 raw'!$1:$1, 0)), ""), IF(val=0, "", val))</f>
        <v/>
      </c>
      <c r="H19" s="44" t="str">
        <f t="array" ref="H19">LET(val, IFERROR(INDEX('Daily 스피킹 raw'!$A:$ZZ, MATCH(H$2, 'Daily 스피킹 raw'!$A:$A, 0), MATCH($B19, 'Daily 스피킹 raw'!$1:$1, 0)), ""), IF(val=0, "", val))</f>
        <v/>
      </c>
      <c r="I19" s="44" t="str">
        <f t="array" ref="I19">LET(val, IFERROR(INDEX('Daily 스피킹 raw'!$A:$ZZ, MATCH(I$2, 'Daily 스피킹 raw'!$A:$A, 0), MATCH($B19, 'Daily 스피킹 raw'!$1:$1, 0)), ""), IF(val=0, "", val))</f>
        <v/>
      </c>
      <c r="J19" s="44" t="str">
        <f t="array" ref="J19">LET(val, IFERROR(INDEX('Daily 스피킹 raw'!$A:$ZZ, MATCH(J$2, 'Daily 스피킹 raw'!$A:$A, 0), MATCH($B19, 'Daily 스피킹 raw'!$1:$1, 0)), ""), IF(val=0, "", val))</f>
        <v/>
      </c>
      <c r="K19" s="44" t="str">
        <f t="array" ref="K19">LET(val, IFERROR(INDEX('Daily 스피킹 raw'!$A:$ZZ, MATCH(K$2, 'Daily 스피킹 raw'!$A:$A, 0), MATCH($B19, 'Daily 스피킹 raw'!$1:$1, 0)), ""), IF(val=0, "", val))</f>
        <v/>
      </c>
      <c r="L19" s="44" t="str">
        <f t="array" ref="L19">LET(val, IFERROR(INDEX('Daily 스피킹 raw'!$A:$ZZ, MATCH(L$2, 'Daily 스피킹 raw'!$A:$A, 0), MATCH($B19, 'Daily 스피킹 raw'!$1:$1, 0)), ""), IF(val=0, "", val))</f>
        <v/>
      </c>
      <c r="M19" s="44" t="str">
        <f t="array" ref="M19">LET(val, IFERROR(INDEX('Daily 스피킹 raw'!$A:$ZZ, MATCH(M$2, 'Daily 스피킹 raw'!$A:$A, 0), MATCH($B19, 'Daily 스피킹 raw'!$1:$1, 0)), ""), IF(val=0, "", val))</f>
        <v/>
      </c>
      <c r="N19" s="44" t="str">
        <f t="array" ref="N19">LET(val, IFERROR(INDEX('Daily 스피킹 raw'!$A:$ZZ, MATCH(N$2, 'Daily 스피킹 raw'!$A:$A, 0), MATCH($B19, 'Daily 스피킹 raw'!$1:$1, 0)), ""), IF(val=0, "", val))</f>
        <v/>
      </c>
      <c r="O19" s="44" t="str">
        <f t="array" ref="O19">LET(val, IFERROR(INDEX('Daily 스피킹 raw'!$A:$ZZ, MATCH(O$2, 'Daily 스피킹 raw'!$A:$A, 0), MATCH($B19, 'Daily 스피킹 raw'!$1:$1, 0)), ""), IF(val=0, "", val))</f>
        <v/>
      </c>
      <c r="P19" s="44" t="str">
        <f t="array" ref="P19">LET(val, IFERROR(INDEX('Daily 스피킹 raw'!$A:$ZZ, MATCH(P$2, 'Daily 스피킹 raw'!$A:$A, 0), MATCH($B19, 'Daily 스피킹 raw'!$1:$1, 0)), ""), IF(val=0, "", val))</f>
        <v/>
      </c>
      <c r="Q19" s="44" t="str">
        <f t="array" ref="Q19">LET(val, IFERROR(INDEX('Daily 스피킹 raw'!$A:$ZZ, MATCH(Q$2, 'Daily 스피킹 raw'!$A:$A, 0), MATCH($B19, 'Daily 스피킹 raw'!$1:$1, 0)), ""), IF(val=0, "", val))</f>
        <v/>
      </c>
      <c r="R19" s="44" t="str">
        <f t="array" ref="R19">LET(val, IFERROR(INDEX('Daily 스피킹 raw'!$A:$ZZ, MATCH(R$2, 'Daily 스피킹 raw'!$A:$A, 0), MATCH($B19, 'Daily 스피킹 raw'!$1:$1, 0)), ""), IF(val=0, "", val))</f>
        <v/>
      </c>
      <c r="S19" s="44" t="str">
        <f t="array" ref="S19">LET(val, IFERROR(INDEX('Daily 스피킹 raw'!$A:$ZZ, MATCH(S$2, 'Daily 스피킹 raw'!$A:$A, 0), MATCH($B19, 'Daily 스피킹 raw'!$1:$1, 0)), ""), IF(val=0, "", val))</f>
        <v/>
      </c>
      <c r="T19" s="44" t="str">
        <f t="array" ref="T19">LET(val, IFERROR(INDEX('Daily 스피킹 raw'!$A:$ZZ, MATCH(T$2, 'Daily 스피킹 raw'!$A:$A, 0), MATCH($B19, 'Daily 스피킹 raw'!$1:$1, 0)), ""), IF(val=0, "", val))</f>
        <v/>
      </c>
      <c r="U19" s="44" t="str">
        <f t="array" ref="U19">LET(val, IFERROR(INDEX('Daily 스피킹 raw'!$A:$ZZ, MATCH(U$2, 'Daily 스피킹 raw'!$A:$A, 0), MATCH($B19, 'Daily 스피킹 raw'!$1:$1, 0)), ""), IF(val=0, "", val))</f>
        <v/>
      </c>
      <c r="V19" s="44" t="str">
        <f t="array" ref="V19">LET(val, IFERROR(INDEX('Daily 스피킹 raw'!$A:$ZZ, MATCH(V$2, 'Daily 스피킹 raw'!$A:$A, 0), MATCH($B19, 'Daily 스피킹 raw'!$1:$1, 0)), ""), IF(val=0, "", val))</f>
        <v/>
      </c>
      <c r="W19" s="44" t="str">
        <f t="array" ref="W19">LET(val, IFERROR(INDEX('Daily 스피킹 raw'!$A:$ZZ, MATCH(W$2, 'Daily 스피킹 raw'!$A:$A, 0), MATCH($B19, 'Daily 스피킹 raw'!$1:$1, 0)), ""), IF(val=0, "", val))</f>
        <v/>
      </c>
      <c r="X19" s="44" t="str">
        <f t="array" ref="X19">LET(val, IFERROR(INDEX('Daily 스피킹 raw'!$A:$ZZ, MATCH(X$2, 'Daily 스피킹 raw'!$A:$A, 0), MATCH($B19, 'Daily 스피킹 raw'!$1:$1, 0)), ""), IF(val=0, "", val))</f>
        <v/>
      </c>
      <c r="Y19" s="44" t="str">
        <f t="array" ref="Y19">LET(val, IFERROR(INDEX('Daily 스피킹 raw'!$A:$ZZ, MATCH(Y$2, 'Daily 스피킹 raw'!$A:$A, 0), MATCH($B19, 'Daily 스피킹 raw'!$1:$1, 0)), ""), IF(val=0, "", val))</f>
        <v/>
      </c>
      <c r="Z19" s="44" t="str">
        <f t="array" ref="Z19">LET(val, IFERROR(INDEX('Daily 스피킹 raw'!$A:$ZZ, MATCH(Z$2, 'Daily 스피킹 raw'!$A:$A, 0), MATCH($B19, 'Daily 스피킹 raw'!$1:$1, 0)), ""), IF(val=0, "", val))</f>
        <v/>
      </c>
      <c r="AA19" s="44" t="str">
        <f t="array" ref="AA19">LET(val, IFERROR(INDEX('Daily 스피킹 raw'!$A:$ZZ, MATCH(AA$2, 'Daily 스피킹 raw'!$A:$A, 0), MATCH($B19, 'Daily 스피킹 raw'!$1:$1, 0)), ""), IF(val=0, "", val))</f>
        <v/>
      </c>
      <c r="AB19" s="44" t="str">
        <f t="array" ref="AB19">LET(val, IFERROR(INDEX('Daily 스피킹 raw'!$A:$ZZ, MATCH(AB$2, 'Daily 스피킹 raw'!$A:$A, 0), MATCH($B19, 'Daily 스피킹 raw'!$1:$1, 0)), ""), IF(val=0, "", val))</f>
        <v/>
      </c>
      <c r="AC19" s="44" t="str">
        <f t="array" ref="AC19">LET(val, IFERROR(INDEX('Daily 스피킹 raw'!$A:$ZZ, MATCH(AC$2, 'Daily 스피킹 raw'!$A:$A, 0), MATCH($B19, 'Daily 스피킹 raw'!$1:$1, 0)), ""), IF(val=0, "", val))</f>
        <v/>
      </c>
      <c r="AD19" s="44" t="str">
        <f t="array" ref="AD19">LET(val, IFERROR(INDEX('Daily 스피킹 raw'!$A:$ZZ, MATCH(AD$2, 'Daily 스피킹 raw'!$A:$A, 0), MATCH($B19, 'Daily 스피킹 raw'!$1:$1, 0)), ""), IF(val=0, "", val))</f>
        <v/>
      </c>
      <c r="AE19" s="44" t="str">
        <f t="array" ref="AE19">LET(val, IFERROR(INDEX('Daily 스피킹 raw'!$A:$ZZ, MATCH(AE$2, 'Daily 스피킹 raw'!$A:$A, 0), MATCH($B19, 'Daily 스피킹 raw'!$1:$1, 0)), ""), IF(val=0, "", val))</f>
        <v/>
      </c>
      <c r="AF19" s="44" t="str">
        <f t="array" ref="AF19">LET(val, IFERROR(INDEX('Daily 스피킹 raw'!$A:$ZZ, MATCH(AF$2, 'Daily 스피킹 raw'!$A:$A, 0), MATCH($B19, 'Daily 스피킹 raw'!$1:$1, 0)), ""), IF(val=0, "", val))</f>
        <v/>
      </c>
      <c r="AG19" s="44" t="str">
        <f t="array" ref="AG19">LET(val, IFERROR(INDEX('Daily 스피킹 raw'!$A:$ZZ, MATCH(AG$2, 'Daily 스피킹 raw'!$A:$A, 0), MATCH($B19, 'Daily 스피킹 raw'!$1:$1, 0)), ""), IF(val=0, "", val))</f>
        <v/>
      </c>
      <c r="AH19" s="44" t="str">
        <f t="array" ref="AH19">LET(val, IFERROR(INDEX('Daily 스피킹 raw'!$A:$ZZ, MATCH(AH$2, 'Daily 스피킹 raw'!$A:$A, 0), MATCH($B19, 'Daily 스피킹 raw'!$1:$1, 0)), ""), IF(val=0, "", val))</f>
        <v/>
      </c>
      <c r="AI19" s="44" t="str">
        <f t="array" ref="AI19">LET(val, IFERROR(INDEX('Daily 스피킹 raw'!$A:$ZZ, MATCH(AI$2, 'Daily 스피킹 raw'!$A:$A, 0), MATCH($B19, 'Daily 스피킹 raw'!$1:$1, 0)), ""), IF(val=0, "", val))</f>
        <v/>
      </c>
      <c r="AJ19" s="44" t="str">
        <f t="array" ref="AJ19">LET(val, IFERROR(INDEX('Daily 스피킹 raw'!$A:$ZZ, MATCH(AJ$2, 'Daily 스피킹 raw'!$A:$A, 0), MATCH($B19, 'Daily 스피킹 raw'!$1:$1, 0)), ""), IF(val=0, "", val))</f>
        <v/>
      </c>
      <c r="AK19" s="44" t="str">
        <f t="array" ref="AK19">LET(val, IFERROR(INDEX('Daily 스피킹 raw'!$A:$ZZ, MATCH(AK$2, 'Daily 스피킹 raw'!$A:$A, 0), MATCH($B19, 'Daily 스피킹 raw'!$1:$1, 0)), ""), IF(val=0, "", val))</f>
        <v/>
      </c>
      <c r="AL19" s="44" t="str">
        <f t="array" ref="AL19">LET(val, IFERROR(INDEX('Daily 스피킹 raw'!$A:$ZZ, MATCH(AL$2, 'Daily 스피킹 raw'!$A:$A, 0), MATCH($B19, 'Daily 스피킹 raw'!$1:$1, 0)), ""), IF(val=0, "", val))</f>
        <v/>
      </c>
      <c r="AM19" s="44" t="str">
        <f t="array" ref="AM19">LET(val, IFERROR(INDEX('Daily 스피킹 raw'!$A:$ZZ, MATCH(AM$2, 'Daily 스피킹 raw'!$A:$A, 0), MATCH($B19, 'Daily 스피킹 raw'!$1:$1, 0)), ""), IF(val=0, "", val))</f>
        <v/>
      </c>
      <c r="AN19" s="44" t="str">
        <f t="array" ref="AN19">LET(val, IFERROR(INDEX('Daily 스피킹 raw'!$A:$ZZ, MATCH(AN$2, 'Daily 스피킹 raw'!$A:$A, 0), MATCH($B19, 'Daily 스피킹 raw'!$1:$1, 0)), ""), IF(val=0, "", val))</f>
        <v/>
      </c>
      <c r="AO19" s="44" t="str">
        <f t="array" ref="AO19">LET(val, IFERROR(INDEX('Daily 스피킹 raw'!$A:$ZZ, MATCH(AO$2, 'Daily 스피킹 raw'!$A:$A, 0), MATCH($B19, 'Daily 스피킹 raw'!$1:$1, 0)), ""), IF(val=0, "", val))</f>
        <v/>
      </c>
      <c r="AP19" s="44" t="str">
        <f t="array" ref="AP19">LET(val, IFERROR(INDEX('Daily 스피킹 raw'!$A:$ZZ, MATCH(AP$2, 'Daily 스피킹 raw'!$A:$A, 0), MATCH($B19, 'Daily 스피킹 raw'!$1:$1, 0)), ""), IF(val=0, "", val))</f>
        <v/>
      </c>
      <c r="AQ19" s="44" t="str">
        <f t="array" ref="AQ19">LET(val, IFERROR(INDEX('Daily 스피킹 raw'!$A:$ZZ, MATCH(AQ$2, 'Daily 스피킹 raw'!$A:$A, 0), MATCH($B19, 'Daily 스피킹 raw'!$1:$1, 0)), ""), IF(val=0, "", val))</f>
        <v/>
      </c>
      <c r="AR19" s="44" t="str">
        <f t="array" ref="AR19">LET(val, IFERROR(INDEX('Daily 스피킹 raw'!$A:$ZZ, MATCH(AR$2, 'Daily 스피킹 raw'!$A:$A, 0), MATCH($B19, 'Daily 스피킹 raw'!$1:$1, 0)), ""), IF(val=0, "", val))</f>
        <v/>
      </c>
      <c r="AS19" s="44" t="str">
        <f t="array" ref="AS19">LET(val, IFERROR(INDEX('Daily 스피킹 raw'!$A:$ZZ, MATCH(AS$2, 'Daily 스피킹 raw'!$A:$A, 0), MATCH($B19, 'Daily 스피킹 raw'!$1:$1, 0)), ""), IF(val=0, "", val))</f>
        <v/>
      </c>
      <c r="AT19" s="44" t="str">
        <f t="array" ref="AT19">LET(val, IFERROR(INDEX('Daily 스피킹 raw'!$A:$ZZ, MATCH(AT$2, 'Daily 스피킹 raw'!$A:$A, 0), MATCH($B19, 'Daily 스피킹 raw'!$1:$1, 0)), ""), IF(val=0, "", val))</f>
        <v/>
      </c>
      <c r="AU19" s="44" t="str">
        <f t="array" ref="AU19">LET(val, IFERROR(INDEX('Daily 스피킹 raw'!$A:$ZZ, MATCH(AU$2, 'Daily 스피킹 raw'!$A:$A, 0), MATCH($B19, 'Daily 스피킹 raw'!$1:$1, 0)), ""), IF(val=0, "", val))</f>
        <v/>
      </c>
      <c r="AV19" s="44" t="str">
        <f t="array" ref="AV19">LET(val, IFERROR(INDEX('Daily 스피킹 raw'!$A:$ZZ, MATCH(AV$2, 'Daily 스피킹 raw'!$A:$A, 0), MATCH($B19, 'Daily 스피킹 raw'!$1:$1, 0)), ""), IF(val=0, "", val))</f>
        <v/>
      </c>
      <c r="AW19" s="44" t="str">
        <f t="array" ref="AW19">LET(val, IFERROR(INDEX('Daily 스피킹 raw'!$A:$ZZ, MATCH(AW$2, 'Daily 스피킹 raw'!$A:$A, 0), MATCH($B19, 'Daily 스피킹 raw'!$1:$1, 0)), ""), IF(val=0, "", val))</f>
        <v/>
      </c>
      <c r="AX19" s="44" t="str">
        <f t="array" ref="AX19">LET(val, IFERROR(INDEX('Daily 스피킹 raw'!$A:$ZZ, MATCH(AX$2, 'Daily 스피킹 raw'!$A:$A, 0), MATCH($B19, 'Daily 스피킹 raw'!$1:$1, 0)), ""), IF(val=0, "", val))</f>
        <v/>
      </c>
      <c r="AY19" s="44" t="str">
        <f t="array" ref="AY19">LET(val, IFERROR(INDEX('Daily 스피킹 raw'!$A:$ZZ, MATCH(AY$2, 'Daily 스피킹 raw'!$A:$A, 0), MATCH($B19, 'Daily 스피킹 raw'!$1:$1, 0)), ""), IF(val=0, "", val))</f>
        <v/>
      </c>
      <c r="AZ19" s="44" t="str">
        <f t="array" ref="AZ19">LET(val, IFERROR(INDEX('Daily 스피킹 raw'!$A:$ZZ, MATCH(AZ$2, 'Daily 스피킹 raw'!$A:$A, 0), MATCH($B19, 'Daily 스피킹 raw'!$1:$1, 0)), ""), IF(val=0, "", val))</f>
        <v/>
      </c>
      <c r="BA19" s="44" t="str">
        <f t="array" ref="BA19">LET(val, IFERROR(INDEX('Daily 스피킹 raw'!$A:$ZZ, MATCH(BA$2, 'Daily 스피킹 raw'!$A:$A, 0), MATCH($B19, 'Daily 스피킹 raw'!$1:$1, 0)), ""), IF(val=0, "", val))</f>
        <v/>
      </c>
      <c r="BB19" s="44" t="str">
        <f t="array" ref="BB19">LET(val, IFERROR(INDEX('Daily 스피킹 raw'!$A:$ZZ, MATCH(BB$2, 'Daily 스피킹 raw'!$A:$A, 0), MATCH($B19, 'Daily 스피킹 raw'!$1:$1, 0)), ""), IF(val=0, "", val))</f>
        <v/>
      </c>
      <c r="BC19" s="44" t="str">
        <f t="array" ref="BC19">LET(val, IFERROR(INDEX('Daily 스피킹 raw'!$A:$ZZ, MATCH(BC$2, 'Daily 스피킹 raw'!$A:$A, 0), MATCH($B19, 'Daily 스피킹 raw'!$1:$1, 0)), ""), IF(val=0, "", val))</f>
        <v/>
      </c>
      <c r="BD19" s="44" t="str">
        <f t="array" ref="BD19">LET(val, IFERROR(INDEX('Daily 스피킹 raw'!$A:$ZZ, MATCH(BD$2, 'Daily 스피킹 raw'!$A:$A, 0), MATCH($B19, 'Daily 스피킹 raw'!$1:$1, 0)), ""), IF(val=0, "", val))</f>
        <v/>
      </c>
      <c r="BE19" s="44" t="str">
        <f t="array" ref="BE19">LET(val, IFERROR(INDEX('Daily 스피킹 raw'!$A:$ZZ, MATCH(BE$2, 'Daily 스피킹 raw'!$A:$A, 0), MATCH($B19, 'Daily 스피킹 raw'!$1:$1, 0)), ""), IF(val=0, "", val))</f>
        <v/>
      </c>
      <c r="BF19" s="44" t="str">
        <f t="array" ref="BF19">LET(val, IFERROR(INDEX('Daily 스피킹 raw'!$A:$ZZ, MATCH(BF$2, 'Daily 스피킹 raw'!$A:$A, 0), MATCH($B19, 'Daily 스피킹 raw'!$1:$1, 0)), ""), IF(val=0, "", val))</f>
        <v/>
      </c>
      <c r="BG19" s="44" t="str">
        <f t="array" ref="BG19">LET(val, IFERROR(INDEX('Daily 스피킹 raw'!$A:$ZZ, MATCH(BG$2, 'Daily 스피킹 raw'!$A:$A, 0), MATCH($B19, 'Daily 스피킹 raw'!$1:$1, 0)), ""), IF(val=0, "", val))</f>
        <v/>
      </c>
      <c r="BH19" s="44" t="str">
        <f t="array" ref="BH19">LET(val, IFERROR(INDEX('Daily 스피킹 raw'!$A:$ZZ, MATCH(BH$2, 'Daily 스피킹 raw'!$A:$A, 0), MATCH($B19, 'Daily 스피킹 raw'!$1:$1, 0)), ""), IF(val=0, "", val))</f>
        <v/>
      </c>
      <c r="BI19" s="44" t="str">
        <f t="array" ref="BI19">LET(val, IFERROR(INDEX('Daily 스피킹 raw'!$A:$ZZ, MATCH(BI$2, 'Daily 스피킹 raw'!$A:$A, 0), MATCH($B19, 'Daily 스피킹 raw'!$1:$1, 0)), ""), IF(val=0, "", val))</f>
        <v/>
      </c>
      <c r="BJ19" s="44" t="str">
        <f t="array" ref="BJ19">LET(val, IFERROR(INDEX('Daily 스피킹 raw'!$A:$ZZ, MATCH(BJ$2, 'Daily 스피킹 raw'!$A:$A, 0), MATCH($B19, 'Daily 스피킹 raw'!$1:$1, 0)), ""), IF(val=0, "", val))</f>
        <v/>
      </c>
      <c r="BK19" s="44" t="str">
        <f t="array" ref="BK19">LET(val, IFERROR(INDEX('Daily 스피킹 raw'!$A:$ZZ, MATCH(BK$2, 'Daily 스피킹 raw'!$A:$A, 0), MATCH($B19, 'Daily 스피킹 raw'!$1:$1, 0)), ""), IF(val=0, "", val))</f>
        <v/>
      </c>
      <c r="BL19" s="44" t="str">
        <f t="array" ref="BL19">LET(val, IFERROR(INDEX('Daily 스피킹 raw'!$A:$ZZ, MATCH(BL$2, 'Daily 스피킹 raw'!$A:$A, 0), MATCH($B19, 'Daily 스피킹 raw'!$1:$1, 0)), ""), IF(val=0, "", val))</f>
        <v/>
      </c>
      <c r="BM19" s="44" t="str">
        <f t="array" ref="BM19">LET(val, IFERROR(INDEX('Daily 스피킹 raw'!$A:$ZZ, MATCH(BM$2, 'Daily 스피킹 raw'!$A:$A, 0), MATCH($B19, 'Daily 스피킹 raw'!$1:$1, 0)), ""), IF(val=0, "", val))</f>
        <v/>
      </c>
      <c r="BN19" s="44" t="str">
        <f t="array" ref="BN19">LET(val, IFERROR(INDEX('Daily 스피킹 raw'!$A:$ZZ, MATCH(BN$2, 'Daily 스피킹 raw'!$A:$A, 0), MATCH($B19, 'Daily 스피킹 raw'!$1:$1, 0)), ""), IF(val=0, "", val))</f>
        <v/>
      </c>
      <c r="BO19" s="44" t="str">
        <f t="array" ref="BO19">LET(val, IFERROR(INDEX('Daily 스피킹 raw'!$A:$ZZ, MATCH(BO$2, 'Daily 스피킹 raw'!$A:$A, 0), MATCH($B19, 'Daily 스피킹 raw'!$1:$1, 0)), ""), IF(val=0, "", val))</f>
        <v/>
      </c>
      <c r="BP19" s="44" t="str">
        <f t="array" ref="BP19">LET(val, IFERROR(INDEX('Daily 스피킹 raw'!$A:$ZZ, MATCH(BP$2, 'Daily 스피킹 raw'!$A:$A, 0), MATCH($B19, 'Daily 스피킹 raw'!$1:$1, 0)), ""), IF(val=0, "", val))</f>
        <v/>
      </c>
      <c r="BQ19" s="44" t="str">
        <f t="array" ref="BQ19">LET(val, IFERROR(INDEX('Daily 스피킹 raw'!$A:$ZZ, MATCH(BQ$2, 'Daily 스피킹 raw'!$A:$A, 0), MATCH($B19, 'Daily 스피킹 raw'!$1:$1, 0)), ""), IF(val=0, "", val))</f>
        <v/>
      </c>
      <c r="BR19" s="44" t="str">
        <f t="array" ref="BR19">LET(val, IFERROR(INDEX('Daily 스피킹 raw'!$A:$ZZ, MATCH(BR$2, 'Daily 스피킹 raw'!$A:$A, 0), MATCH($B19, 'Daily 스피킹 raw'!$1:$1, 0)), ""), IF(val=0, "", val))</f>
        <v/>
      </c>
      <c r="BS19" s="44" t="str">
        <f t="array" ref="BS19">LET(val, IFERROR(INDEX('Daily 스피킹 raw'!$A:$ZZ, MATCH(BS$2, 'Daily 스피킹 raw'!$A:$A, 0), MATCH($B19, 'Daily 스피킹 raw'!$1:$1, 0)), ""), IF(val=0, "", val))</f>
        <v/>
      </c>
      <c r="BT19" s="44" t="str">
        <f t="array" ref="BT19">LET(val, IFERROR(INDEX('Daily 스피킹 raw'!$A:$ZZ, MATCH(BT$2, 'Daily 스피킹 raw'!$A:$A, 0), MATCH($B19, 'Daily 스피킹 raw'!$1:$1, 0)), ""), IF(val=0, "", val))</f>
        <v/>
      </c>
      <c r="BU19" s="44" t="str">
        <f t="array" ref="BU19">LET(val, IFERROR(INDEX('Daily 스피킹 raw'!$A:$ZZ, MATCH(BU$2, 'Daily 스피킹 raw'!$A:$A, 0), MATCH($B19, 'Daily 스피킹 raw'!$1:$1, 0)), ""), IF(val=0, "", val))</f>
        <v/>
      </c>
      <c r="BV19" s="44" t="str">
        <f t="array" ref="BV19">LET(val, IFERROR(INDEX('Daily 스피킹 raw'!$A:$ZZ, MATCH(BV$2, 'Daily 스피킹 raw'!$A:$A, 0), MATCH($B19, 'Daily 스피킹 raw'!$1:$1, 0)), ""), IF(val=0, "", val))</f>
        <v/>
      </c>
      <c r="BW19" s="44" t="str">
        <f t="array" ref="BW19">LET(val, IFERROR(INDEX('Daily 스피킹 raw'!$A:$ZZ, MATCH(BW$2, 'Daily 스피킹 raw'!$A:$A, 0), MATCH($B19, 'Daily 스피킹 raw'!$1:$1, 0)), ""), IF(val=0, "", val))</f>
        <v/>
      </c>
      <c r="BX19" s="44" t="str">
        <f t="array" ref="BX19">LET(val, IFERROR(INDEX('Daily 스피킹 raw'!$A:$ZZ, MATCH(BX$2, 'Daily 스피킹 raw'!$A:$A, 0), MATCH($B19, 'Daily 스피킹 raw'!$1:$1, 0)), ""), IF(val=0, "", val))</f>
        <v/>
      </c>
      <c r="BY19" s="44" t="str">
        <f t="array" ref="BY19">LET(val, IFERROR(INDEX('Daily 스피킹 raw'!$A:$ZZ, MATCH(BY$2, 'Daily 스피킹 raw'!$A:$A, 0), MATCH($B19, 'Daily 스피킹 raw'!$1:$1, 0)), ""), IF(val=0, "", val))</f>
        <v/>
      </c>
      <c r="BZ19" s="44" t="str">
        <f t="array" ref="BZ19">LET(val, IFERROR(INDEX('Daily 스피킹 raw'!$A:$ZZ, MATCH(BZ$2, 'Daily 스피킹 raw'!$A:$A, 0), MATCH($B19, 'Daily 스피킹 raw'!$1:$1, 0)), ""), IF(val=0, "", val))</f>
        <v/>
      </c>
      <c r="CA19" s="44" t="str">
        <f t="array" ref="CA19">LET(val, IFERROR(INDEX('Daily 스피킹 raw'!$A:$ZZ, MATCH(CA$2, 'Daily 스피킹 raw'!$A:$A, 0), MATCH($B19, 'Daily 스피킹 raw'!$1:$1, 0)), ""), IF(val=0, "", val))</f>
        <v/>
      </c>
      <c r="CB19" s="44" t="str">
        <f t="array" ref="CB19">LET(val, IFERROR(INDEX('Daily 스피킹 raw'!$A:$ZZ, MATCH(CB$2, 'Daily 스피킹 raw'!$A:$A, 0), MATCH($B19, 'Daily 스피킹 raw'!$1:$1, 0)), ""), IF(val=0, "", val))</f>
        <v/>
      </c>
      <c r="CC19" s="44" t="str">
        <f t="array" ref="CC19">LET(val, IFERROR(INDEX('Daily 스피킹 raw'!$A:$ZZ, MATCH(CC$2, 'Daily 스피킹 raw'!$A:$A, 0), MATCH($B19, 'Daily 스피킹 raw'!$1:$1, 0)), ""), IF(val=0, "", val))</f>
        <v/>
      </c>
      <c r="CD19" s="44" t="str">
        <f t="array" ref="CD19">LET(val, IFERROR(INDEX('Daily 스피킹 raw'!$A:$ZZ, MATCH(CD$2, 'Daily 스피킹 raw'!$A:$A, 0), MATCH($B19, 'Daily 스피킹 raw'!$1:$1, 0)), ""), IF(val=0, "", val))</f>
        <v/>
      </c>
      <c r="CE19" s="44" t="str">
        <f t="array" ref="CE19">LET(val, IFERROR(INDEX('Daily 스피킹 raw'!$A:$ZZ, MATCH(CE$2, 'Daily 스피킹 raw'!$A:$A, 0), MATCH($B19, 'Daily 스피킹 raw'!$1:$1, 0)), ""), IF(val=0, "", val))</f>
        <v/>
      </c>
      <c r="CF19" s="44" t="str">
        <f t="array" ref="CF19">LET(val, IFERROR(INDEX('Daily 스피킹 raw'!$A:$ZZ, MATCH(CF$2, 'Daily 스피킹 raw'!$A:$A, 0), MATCH($B19, 'Daily 스피킹 raw'!$1:$1, 0)), ""), IF(val=0, "", val))</f>
        <v/>
      </c>
      <c r="CG19" s="44" t="str">
        <f t="array" ref="CG19">LET(val, IFERROR(INDEX('Daily 스피킹 raw'!$A:$ZZ, MATCH(CG$2, 'Daily 스피킹 raw'!$A:$A, 0), MATCH($B19, 'Daily 스피킹 raw'!$1:$1, 0)), ""), IF(val=0, "", val))</f>
        <v/>
      </c>
      <c r="CH19" s="44" t="str">
        <f t="array" ref="CH19">LET(val, IFERROR(INDEX('Daily 스피킹 raw'!$A:$ZZ, MATCH(CH$2, 'Daily 스피킹 raw'!$A:$A, 0), MATCH($B19, 'Daily 스피킹 raw'!$1:$1, 0)), ""), IF(val=0, "", val))</f>
        <v/>
      </c>
      <c r="CI19" s="44" t="str">
        <f t="array" ref="CI19">LET(val, IFERROR(INDEX('Daily 스피킹 raw'!$A:$ZZ, MATCH(CI$2, 'Daily 스피킹 raw'!$A:$A, 0), MATCH($B19, 'Daily 스피킹 raw'!$1:$1, 0)), ""), IF(val=0, "", val))</f>
        <v/>
      </c>
      <c r="CJ19" s="44" t="str">
        <f t="array" ref="CJ19">LET(val, IFERROR(INDEX('Daily 스피킹 raw'!$A:$ZZ, MATCH(CJ$2, 'Daily 스피킹 raw'!$A:$A, 0), MATCH($B19, 'Daily 스피킹 raw'!$1:$1, 0)), ""), IF(val=0, "", val))</f>
        <v/>
      </c>
      <c r="CK19" s="44" t="str">
        <f t="array" ref="CK19">LET(val, IFERROR(INDEX('Daily 스피킹 raw'!$A:$ZZ, MATCH(CK$2, 'Daily 스피킹 raw'!$A:$A, 0), MATCH($B19, 'Daily 스피킹 raw'!$1:$1, 0)), ""), IF(val=0, "", val))</f>
        <v/>
      </c>
      <c r="CL19" s="44" t="str">
        <f t="array" ref="CL19">LET(val, IFERROR(INDEX('Daily 스피킹 raw'!$A:$ZZ, MATCH(CL$2, 'Daily 스피킹 raw'!$A:$A, 0), MATCH($B19, 'Daily 스피킹 raw'!$1:$1, 0)), ""), IF(val=0, "", val))</f>
        <v/>
      </c>
      <c r="CM19" s="44" t="str">
        <f t="array" ref="CM19">LET(val, IFERROR(INDEX('Daily 스피킹 raw'!$A:$ZZ, MATCH(CM$2, 'Daily 스피킹 raw'!$A:$A, 0), MATCH($B19, 'Daily 스피킹 raw'!$1:$1, 0)), ""), IF(val=0, "", val))</f>
        <v/>
      </c>
      <c r="CN19" s="44" t="str">
        <f t="array" ref="CN19">LET(val, IFERROR(INDEX('Daily 스피킹 raw'!$A:$ZZ, MATCH(CN$2, 'Daily 스피킹 raw'!$A:$A, 0), MATCH($B19, 'Daily 스피킹 raw'!$1:$1, 0)), ""), IF(val=0, "", val))</f>
        <v/>
      </c>
      <c r="CO19" s="44" t="str">
        <f t="array" ref="CO19">LET(val, IFERROR(INDEX('Daily 스피킹 raw'!$A:$ZZ, MATCH(CO$2, 'Daily 스피킹 raw'!$A:$A, 0), MATCH($B19, 'Daily 스피킹 raw'!$1:$1, 0)), ""), IF(val=0, "", val))</f>
        <v/>
      </c>
      <c r="CP19" s="44" t="str">
        <f t="array" ref="CP19">LET(val, IFERROR(INDEX('Daily 스피킹 raw'!$A:$ZZ, MATCH(CP$2, 'Daily 스피킹 raw'!$A:$A, 0), MATCH($B19, 'Daily 스피킹 raw'!$1:$1, 0)), ""), IF(val=0, "", val))</f>
        <v/>
      </c>
      <c r="CQ19" s="44" t="str">
        <f t="array" ref="CQ19">LET(val, IFERROR(INDEX('Daily 스피킹 raw'!$A:$ZZ, MATCH(CQ$2, 'Daily 스피킹 raw'!$A:$A, 0), MATCH($B19, 'Daily 스피킹 raw'!$1:$1, 0)), ""), IF(val=0, "", val))</f>
        <v/>
      </c>
      <c r="CR19" s="44" t="str">
        <f t="array" ref="CR19">LET(val, IFERROR(INDEX('Daily 스피킹 raw'!$A:$ZZ, MATCH(CR$2, 'Daily 스피킹 raw'!$A:$A, 0), MATCH($B19, 'Daily 스피킹 raw'!$1:$1, 0)), ""), IF(val=0, "", val))</f>
        <v/>
      </c>
      <c r="CS19" s="44" t="str">
        <f t="array" ref="CS19">LET(val, IFERROR(INDEX('Daily 스피킹 raw'!$A:$ZZ, MATCH(CS$2, 'Daily 스피킹 raw'!$A:$A, 0), MATCH($B19, 'Daily 스피킹 raw'!$1:$1, 0)), ""), IF(val=0, "", val))</f>
        <v/>
      </c>
      <c r="CT19" s="44" t="str">
        <f t="array" ref="CT19">LET(val, IFERROR(INDEX('Daily 스피킹 raw'!$A:$ZZ, MATCH(CT$2, 'Daily 스피킹 raw'!$A:$A, 0), MATCH($B19, 'Daily 스피킹 raw'!$1:$1, 0)), ""), IF(val=0, "", val))</f>
        <v/>
      </c>
      <c r="CU19" s="44" t="str">
        <f t="array" ref="CU19">LET(val, IFERROR(INDEX('Daily 스피킹 raw'!$A:$ZZ, MATCH(CU$2, 'Daily 스피킹 raw'!$A:$A, 0), MATCH($B19, 'Daily 스피킹 raw'!$1:$1, 0)), ""), IF(val=0, "", val))</f>
        <v/>
      </c>
      <c r="CV19" s="44" t="str">
        <f t="array" ref="CV19">LET(val, IFERROR(INDEX('Daily 스피킹 raw'!$A:$ZZ, MATCH(CV$2, 'Daily 스피킹 raw'!$A:$A, 0), MATCH($B19, 'Daily 스피킹 raw'!$1:$1, 0)), ""), IF(val=0, "", val))</f>
        <v/>
      </c>
      <c r="CW19" s="44" t="str">
        <f t="array" ref="CW19">LET(val, IFERROR(INDEX('Daily 스피킹 raw'!$A:$ZZ, MATCH(CW$2, 'Daily 스피킹 raw'!$A:$A, 0), MATCH($B19, 'Daily 스피킹 raw'!$1:$1, 0)), ""), IF(val=0, "", val))</f>
        <v/>
      </c>
    </row>
    <row r="20" ht="22.5" customHeight="1">
      <c r="A20" s="17"/>
      <c r="B20" s="16" t="s">
        <v>41</v>
      </c>
      <c r="C20" s="17" t="s">
        <v>42</v>
      </c>
      <c r="D20" s="44">
        <f t="array" ref="D20">LET(val, IFERROR(INDEX('Daily 스피킹 raw'!$A:$ZZ, MATCH(D$2, 'Daily 스피킹 raw'!$A:$A, 0), MATCH($B20, 'Daily 스피킹 raw'!$1:$1, 0)), ""), IF(val=0, "", val))</f>
        <v>265</v>
      </c>
      <c r="E20" s="44">
        <f t="array" ref="E20">LET(val, IFERROR(INDEX('Daily 스피킹 raw'!$A:$ZZ, MATCH(E$2, 'Daily 스피킹 raw'!$A:$A, 0), MATCH($B20, 'Daily 스피킹 raw'!$1:$1, 0)), ""), IF(val=0, "", val))</f>
        <v>298</v>
      </c>
      <c r="F20" s="44">
        <f t="array" ref="F20">LET(val, IFERROR(INDEX('Daily 스피킹 raw'!$A:$ZZ, MATCH(F$2, 'Daily 스피킹 raw'!$A:$A, 0), MATCH($B20, 'Daily 스피킹 raw'!$1:$1, 0)), ""), IF(val=0, "", val))</f>
        <v>284</v>
      </c>
      <c r="G20" s="44">
        <f t="array" ref="G20">LET(val, IFERROR(INDEX('Daily 스피킹 raw'!$A:$ZZ, MATCH(G$2, 'Daily 스피킹 raw'!$A:$A, 0), MATCH($B20, 'Daily 스피킹 raw'!$1:$1, 0)), ""), IF(val=0, "", val))</f>
        <v>353</v>
      </c>
      <c r="H20" s="44">
        <f t="array" ref="H20">LET(val, IFERROR(INDEX('Daily 스피킹 raw'!$A:$ZZ, MATCH(H$2, 'Daily 스피킹 raw'!$A:$A, 0), MATCH($B20, 'Daily 스피킹 raw'!$1:$1, 0)), ""), IF(val=0, "", val))</f>
        <v>489</v>
      </c>
      <c r="I20" s="44">
        <f t="array" ref="I20">LET(val, IFERROR(INDEX('Daily 스피킹 raw'!$A:$ZZ, MATCH(I$2, 'Daily 스피킹 raw'!$A:$A, 0), MATCH($B20, 'Daily 스피킹 raw'!$1:$1, 0)), ""), IF(val=0, "", val))</f>
        <v>403</v>
      </c>
      <c r="J20" s="44">
        <f t="array" ref="J20">LET(val, IFERROR(INDEX('Daily 스피킹 raw'!$A:$ZZ, MATCH(J$2, 'Daily 스피킹 raw'!$A:$A, 0), MATCH($B20, 'Daily 스피킹 raw'!$1:$1, 0)), ""), IF(val=0, "", val))</f>
        <v>391</v>
      </c>
      <c r="K20" s="44">
        <f t="array" ref="K20">LET(val, IFERROR(INDEX('Daily 스피킹 raw'!$A:$ZZ, MATCH(K$2, 'Daily 스피킹 raw'!$A:$A, 0), MATCH($B20, 'Daily 스피킹 raw'!$1:$1, 0)), ""), IF(val=0, "", val))</f>
        <v>293</v>
      </c>
      <c r="L20" s="44">
        <f t="array" ref="L20">LET(val, IFERROR(INDEX('Daily 스피킹 raw'!$A:$ZZ, MATCH(L$2, 'Daily 스피킹 raw'!$A:$A, 0), MATCH($B20, 'Daily 스피킹 raw'!$1:$1, 0)), ""), IF(val=0, "", val))</f>
        <v>443</v>
      </c>
      <c r="M20" s="44">
        <f t="array" ref="M20">LET(val, IFERROR(INDEX('Daily 스피킹 raw'!$A:$ZZ, MATCH(M$2, 'Daily 스피킹 raw'!$A:$A, 0), MATCH($B20, 'Daily 스피킹 raw'!$1:$1, 0)), ""), IF(val=0, "", val))</f>
        <v>352</v>
      </c>
      <c r="N20" s="44">
        <f t="array" ref="N20">LET(val, IFERROR(INDEX('Daily 스피킹 raw'!$A:$ZZ, MATCH(N$2, 'Daily 스피킹 raw'!$A:$A, 0), MATCH($B20, 'Daily 스피킹 raw'!$1:$1, 0)), ""), IF(val=0, "", val))</f>
        <v>373</v>
      </c>
      <c r="O20" s="44">
        <f t="array" ref="O20">LET(val, IFERROR(INDEX('Daily 스피킹 raw'!$A:$ZZ, MATCH(O$2, 'Daily 스피킹 raw'!$A:$A, 0), MATCH($B20, 'Daily 스피킹 raw'!$1:$1, 0)), ""), IF(val=0, "", val))</f>
        <v>402</v>
      </c>
      <c r="P20" s="44">
        <f t="array" ref="P20">LET(val, IFERROR(INDEX('Daily 스피킹 raw'!$A:$ZZ, MATCH(P$2, 'Daily 스피킹 raw'!$A:$A, 0), MATCH($B20, 'Daily 스피킹 raw'!$1:$1, 0)), ""), IF(val=0, "", val))</f>
        <v>299</v>
      </c>
      <c r="Q20" s="44">
        <f t="array" ref="Q20">LET(val, IFERROR(INDEX('Daily 스피킹 raw'!$A:$ZZ, MATCH(Q$2, 'Daily 스피킹 raw'!$A:$A, 0), MATCH($B20, 'Daily 스피킹 raw'!$1:$1, 0)), ""), IF(val=0, "", val))</f>
        <v>333</v>
      </c>
      <c r="R20" s="44">
        <f t="array" ref="R20">LET(val, IFERROR(INDEX('Daily 스피킹 raw'!$A:$ZZ, MATCH(R$2, 'Daily 스피킹 raw'!$A:$A, 0), MATCH($B20, 'Daily 스피킹 raw'!$1:$1, 0)), ""), IF(val=0, "", val))</f>
        <v>389</v>
      </c>
      <c r="S20" s="44">
        <f t="array" ref="S20">LET(val, IFERROR(INDEX('Daily 스피킹 raw'!$A:$ZZ, MATCH(S$2, 'Daily 스피킹 raw'!$A:$A, 0), MATCH($B20, 'Daily 스피킹 raw'!$1:$1, 0)), ""), IF(val=0, "", val))</f>
        <v>350</v>
      </c>
      <c r="T20" s="44">
        <f t="array" ref="T20">LET(val, IFERROR(INDEX('Daily 스피킹 raw'!$A:$ZZ, MATCH(T$2, 'Daily 스피킹 raw'!$A:$A, 0), MATCH($B20, 'Daily 스피킹 raw'!$1:$1, 0)), ""), IF(val=0, "", val))</f>
        <v>267</v>
      </c>
      <c r="U20" s="44">
        <f t="array" ref="U20">LET(val, IFERROR(INDEX('Daily 스피킹 raw'!$A:$ZZ, MATCH(U$2, 'Daily 스피킹 raw'!$A:$A, 0), MATCH($B20, 'Daily 스피킹 raw'!$1:$1, 0)), ""), IF(val=0, "", val))</f>
        <v>286</v>
      </c>
      <c r="V20" s="44">
        <f t="array" ref="V20">LET(val, IFERROR(INDEX('Daily 스피킹 raw'!$A:$ZZ, MATCH(V$2, 'Daily 스피킹 raw'!$A:$A, 0), MATCH($B20, 'Daily 스피킹 raw'!$1:$1, 0)), ""), IF(val=0, "", val))</f>
        <v>313</v>
      </c>
      <c r="W20" s="44">
        <f t="array" ref="W20">LET(val, IFERROR(INDEX('Daily 스피킹 raw'!$A:$ZZ, MATCH(W$2, 'Daily 스피킹 raw'!$A:$A, 0), MATCH($B20, 'Daily 스피킹 raw'!$1:$1, 0)), ""), IF(val=0, "", val))</f>
        <v>432</v>
      </c>
      <c r="X20" s="44">
        <f t="array" ref="X20">LET(val, IFERROR(INDEX('Daily 스피킹 raw'!$A:$ZZ, MATCH(X$2, 'Daily 스피킹 raw'!$A:$A, 0), MATCH($B20, 'Daily 스피킹 raw'!$1:$1, 0)), ""), IF(val=0, "", val))</f>
        <v>431</v>
      </c>
      <c r="Y20" s="44">
        <f t="array" ref="Y20">LET(val, IFERROR(INDEX('Daily 스피킹 raw'!$A:$ZZ, MATCH(Y$2, 'Daily 스피킹 raw'!$A:$A, 0), MATCH($B20, 'Daily 스피킹 raw'!$1:$1, 0)), ""), IF(val=0, "", val))</f>
        <v>309</v>
      </c>
      <c r="Z20" s="44">
        <f t="array" ref="Z20">LET(val, IFERROR(INDEX('Daily 스피킹 raw'!$A:$ZZ, MATCH(Z$2, 'Daily 스피킹 raw'!$A:$A, 0), MATCH($B20, 'Daily 스피킹 raw'!$1:$1, 0)), ""), IF(val=0, "", val))</f>
        <v>580</v>
      </c>
      <c r="AA20" s="44">
        <f t="array" ref="AA20">LET(val, IFERROR(INDEX('Daily 스피킹 raw'!$A:$ZZ, MATCH(AA$2, 'Daily 스피킹 raw'!$A:$A, 0), MATCH($B20, 'Daily 스피킹 raw'!$1:$1, 0)), ""), IF(val=0, "", val))</f>
        <v>417</v>
      </c>
      <c r="AB20" s="44">
        <f t="array" ref="AB20">LET(val, IFERROR(INDEX('Daily 스피킹 raw'!$A:$ZZ, MATCH(AB$2, 'Daily 스피킹 raw'!$A:$A, 0), MATCH($B20, 'Daily 스피킹 raw'!$1:$1, 0)), ""), IF(val=0, "", val))</f>
        <v>531</v>
      </c>
      <c r="AC20" s="44">
        <f t="array" ref="AC20">LET(val, IFERROR(INDEX('Daily 스피킹 raw'!$A:$ZZ, MATCH(AC$2, 'Daily 스피킹 raw'!$A:$A, 0), MATCH($B20, 'Daily 스피킹 raw'!$1:$1, 0)), ""), IF(val=0, "", val))</f>
        <v>722</v>
      </c>
      <c r="AD20" s="44">
        <f t="array" ref="AD20">LET(val, IFERROR(INDEX('Daily 스피킹 raw'!$A:$ZZ, MATCH(AD$2, 'Daily 스피킹 raw'!$A:$A, 0), MATCH($B20, 'Daily 스피킹 raw'!$1:$1, 0)), ""), IF(val=0, "", val))</f>
        <v>334</v>
      </c>
      <c r="AE20" s="44">
        <f t="array" ref="AE20">LET(val, IFERROR(INDEX('Daily 스피킹 raw'!$A:$ZZ, MATCH(AE$2, 'Daily 스피킹 raw'!$A:$A, 0), MATCH($B20, 'Daily 스피킹 raw'!$1:$1, 0)), ""), IF(val=0, "", val))</f>
        <v>367</v>
      </c>
      <c r="AF20" s="44">
        <f t="array" ref="AF20">LET(val, IFERROR(INDEX('Daily 스피킹 raw'!$A:$ZZ, MATCH(AF$2, 'Daily 스피킹 raw'!$A:$A, 0), MATCH($B20, 'Daily 스피킹 raw'!$1:$1, 0)), ""), IF(val=0, "", val))</f>
        <v>396</v>
      </c>
      <c r="AG20" s="44">
        <f t="array" ref="AG20">LET(val, IFERROR(INDEX('Daily 스피킹 raw'!$A:$ZZ, MATCH(AG$2, 'Daily 스피킹 raw'!$A:$A, 0), MATCH($B20, 'Daily 스피킹 raw'!$1:$1, 0)), ""), IF(val=0, "", val))</f>
        <v>431</v>
      </c>
      <c r="AH20" s="44">
        <f t="array" ref="AH20">LET(val, IFERROR(INDEX('Daily 스피킹 raw'!$A:$ZZ, MATCH(AH$2, 'Daily 스피킹 raw'!$A:$A, 0), MATCH($B20, 'Daily 스피킹 raw'!$1:$1, 0)), ""), IF(val=0, "", val))</f>
        <v>439</v>
      </c>
      <c r="AI20" s="44">
        <f t="array" ref="AI20">LET(val, IFERROR(INDEX('Daily 스피킹 raw'!$A:$ZZ, MATCH(AI$2, 'Daily 스피킹 raw'!$A:$A, 0), MATCH($B20, 'Daily 스피킹 raw'!$1:$1, 0)), ""), IF(val=0, "", val))</f>
        <v>369</v>
      </c>
      <c r="AJ20" s="44">
        <f t="array" ref="AJ20">LET(val, IFERROR(INDEX('Daily 스피킹 raw'!$A:$ZZ, MATCH(AJ$2, 'Daily 스피킹 raw'!$A:$A, 0), MATCH($B20, 'Daily 스피킹 raw'!$1:$1, 0)), ""), IF(val=0, "", val))</f>
        <v>408</v>
      </c>
      <c r="AK20" s="44">
        <f t="array" ref="AK20">LET(val, IFERROR(INDEX('Daily 스피킹 raw'!$A:$ZZ, MATCH(AK$2, 'Daily 스피킹 raw'!$A:$A, 0), MATCH($B20, 'Daily 스피킹 raw'!$1:$1, 0)), ""), IF(val=0, "", val))</f>
        <v>572</v>
      </c>
      <c r="AL20" s="44">
        <f t="array" ref="AL20">LET(val, IFERROR(INDEX('Daily 스피킹 raw'!$A:$ZZ, MATCH(AL$2, 'Daily 스피킹 raw'!$A:$A, 0), MATCH($B20, 'Daily 스피킹 raw'!$1:$1, 0)), ""), IF(val=0, "", val))</f>
        <v>513</v>
      </c>
      <c r="AM20" s="44">
        <f t="array" ref="AM20">LET(val, IFERROR(INDEX('Daily 스피킹 raw'!$A:$ZZ, MATCH(AM$2, 'Daily 스피킹 raw'!$A:$A, 0), MATCH($B20, 'Daily 스피킹 raw'!$1:$1, 0)), ""), IF(val=0, "", val))</f>
        <v>687</v>
      </c>
      <c r="AN20" s="44">
        <f t="array" ref="AN20">LET(val, IFERROR(INDEX('Daily 스피킹 raw'!$A:$ZZ, MATCH(AN$2, 'Daily 스피킹 raw'!$A:$A, 0), MATCH($B20, 'Daily 스피킹 raw'!$1:$1, 0)), ""), IF(val=0, "", val))</f>
        <v>628</v>
      </c>
      <c r="AO20" s="44">
        <f t="array" ref="AO20">LET(val, IFERROR(INDEX('Daily 스피킹 raw'!$A:$ZZ, MATCH(AO$2, 'Daily 스피킹 raw'!$A:$A, 0), MATCH($B20, 'Daily 스피킹 raw'!$1:$1, 0)), ""), IF(val=0, "", val))</f>
        <v>600</v>
      </c>
      <c r="AP20" s="44">
        <f t="array" ref="AP20">LET(val, IFERROR(INDEX('Daily 스피킹 raw'!$A:$ZZ, MATCH(AP$2, 'Daily 스피킹 raw'!$A:$A, 0), MATCH($B20, 'Daily 스피킹 raw'!$1:$1, 0)), ""), IF(val=0, "", val))</f>
        <v>495</v>
      </c>
      <c r="AQ20" s="44">
        <f t="array" ref="AQ20">LET(val, IFERROR(INDEX('Daily 스피킹 raw'!$A:$ZZ, MATCH(AQ$2, 'Daily 스피킹 raw'!$A:$A, 0), MATCH($B20, 'Daily 스피킹 raw'!$1:$1, 0)), ""), IF(val=0, "", val))</f>
        <v>690</v>
      </c>
      <c r="AR20" s="44">
        <f t="array" ref="AR20">LET(val, IFERROR(INDEX('Daily 스피킹 raw'!$A:$ZZ, MATCH(AR$2, 'Daily 스피킹 raw'!$A:$A, 0), MATCH($B20, 'Daily 스피킹 raw'!$1:$1, 0)), ""), IF(val=0, "", val))</f>
        <v>519</v>
      </c>
      <c r="AS20" s="44">
        <f t="array" ref="AS20">LET(val, IFERROR(INDEX('Daily 스피킹 raw'!$A:$ZZ, MATCH(AS$2, 'Daily 스피킹 raw'!$A:$A, 0), MATCH($B20, 'Daily 스피킹 raw'!$1:$1, 0)), ""), IF(val=0, "", val))</f>
        <v>638</v>
      </c>
      <c r="AT20" s="44">
        <f t="array" ref="AT20">LET(val, IFERROR(INDEX('Daily 스피킹 raw'!$A:$ZZ, MATCH(AT$2, 'Daily 스피킹 raw'!$A:$A, 0), MATCH($B20, 'Daily 스피킹 raw'!$1:$1, 0)), ""), IF(val=0, "", val))</f>
        <v>568</v>
      </c>
      <c r="AU20" s="44">
        <f t="array" ref="AU20">LET(val, IFERROR(INDEX('Daily 스피킹 raw'!$A:$ZZ, MATCH(AU$2, 'Daily 스피킹 raw'!$A:$A, 0), MATCH($B20, 'Daily 스피킹 raw'!$1:$1, 0)), ""), IF(val=0, "", val))</f>
        <v>614</v>
      </c>
      <c r="AV20" s="44">
        <f t="array" ref="AV20">LET(val, IFERROR(INDEX('Daily 스피킹 raw'!$A:$ZZ, MATCH(AV$2, 'Daily 스피킹 raw'!$A:$A, 0), MATCH($B20, 'Daily 스피킹 raw'!$1:$1, 0)), ""), IF(val=0, "", val))</f>
        <v>402</v>
      </c>
      <c r="AW20" s="44">
        <f t="array" ref="AW20">LET(val, IFERROR(INDEX('Daily 스피킹 raw'!$A:$ZZ, MATCH(AW$2, 'Daily 스피킹 raw'!$A:$A, 0), MATCH($B20, 'Daily 스피킹 raw'!$1:$1, 0)), ""), IF(val=0, "", val))</f>
        <v>556</v>
      </c>
      <c r="AX20" s="44">
        <f t="array" ref="AX20">LET(val, IFERROR(INDEX('Daily 스피킹 raw'!$A:$ZZ, MATCH(AX$2, 'Daily 스피킹 raw'!$A:$A, 0), MATCH($B20, 'Daily 스피킹 raw'!$1:$1, 0)), ""), IF(val=0, "", val))</f>
        <v>810</v>
      </c>
      <c r="AY20" s="44">
        <f t="array" ref="AY20">LET(val, IFERROR(INDEX('Daily 스피킹 raw'!$A:$ZZ, MATCH(AY$2, 'Daily 스피킹 raw'!$A:$A, 0), MATCH($B20, 'Daily 스피킹 raw'!$1:$1, 0)), ""), IF(val=0, "", val))</f>
        <v>714</v>
      </c>
      <c r="AZ20" s="44">
        <f t="array" ref="AZ20">LET(val, IFERROR(INDEX('Daily 스피킹 raw'!$A:$ZZ, MATCH(AZ$2, 'Daily 스피킹 raw'!$A:$A, 0), MATCH($B20, 'Daily 스피킹 raw'!$1:$1, 0)), ""), IF(val=0, "", val))</f>
        <v>595</v>
      </c>
      <c r="BA20" s="44">
        <f t="array" ref="BA20">LET(val, IFERROR(INDEX('Daily 스피킹 raw'!$A:$ZZ, MATCH(BA$2, 'Daily 스피킹 raw'!$A:$A, 0), MATCH($B20, 'Daily 스피킹 raw'!$1:$1, 0)), ""), IF(val=0, "", val))</f>
        <v>707</v>
      </c>
      <c r="BB20" s="44">
        <f t="array" ref="BB20">LET(val, IFERROR(INDEX('Daily 스피킹 raw'!$A:$ZZ, MATCH(BB$2, 'Daily 스피킹 raw'!$A:$A, 0), MATCH($B20, 'Daily 스피킹 raw'!$1:$1, 0)), ""), IF(val=0, "", val))</f>
        <v>404</v>
      </c>
      <c r="BC20" s="44">
        <f t="array" ref="BC20">LET(val, IFERROR(INDEX('Daily 스피킹 raw'!$A:$ZZ, MATCH(BC$2, 'Daily 스피킹 raw'!$A:$A, 0), MATCH($B20, 'Daily 스피킹 raw'!$1:$1, 0)), ""), IF(val=0, "", val))</f>
        <v>296</v>
      </c>
      <c r="BD20" s="44">
        <f t="array" ref="BD20">LET(val, IFERROR(INDEX('Daily 스피킹 raw'!$A:$ZZ, MATCH(BD$2, 'Daily 스피킹 raw'!$A:$A, 0), MATCH($B20, 'Daily 스피킹 raw'!$1:$1, 0)), ""), IF(val=0, "", val))</f>
        <v>241</v>
      </c>
      <c r="BE20" s="44">
        <f t="array" ref="BE20">LET(val, IFERROR(INDEX('Daily 스피킹 raw'!$A:$ZZ, MATCH(BE$2, 'Daily 스피킹 raw'!$A:$A, 0), MATCH($B20, 'Daily 스피킹 raw'!$1:$1, 0)), ""), IF(val=0, "", val))</f>
        <v>231</v>
      </c>
      <c r="BF20" s="44">
        <f t="array" ref="BF20">LET(val, IFERROR(INDEX('Daily 스피킹 raw'!$A:$ZZ, MATCH(BF$2, 'Daily 스피킹 raw'!$A:$A, 0), MATCH($B20, 'Daily 스피킹 raw'!$1:$1, 0)), ""), IF(val=0, "", val))</f>
        <v>226</v>
      </c>
      <c r="BG20" s="44">
        <f t="array" ref="BG20">LET(val, IFERROR(INDEX('Daily 스피킹 raw'!$A:$ZZ, MATCH(BG$2, 'Daily 스피킹 raw'!$A:$A, 0), MATCH($B20, 'Daily 스피킹 raw'!$1:$1, 0)), ""), IF(val=0, "", val))</f>
        <v>209</v>
      </c>
      <c r="BH20" s="44">
        <f t="array" ref="BH20">LET(val, IFERROR(INDEX('Daily 스피킹 raw'!$A:$ZZ, MATCH(BH$2, 'Daily 스피킹 raw'!$A:$A, 0), MATCH($B20, 'Daily 스피킹 raw'!$1:$1, 0)), ""), IF(val=0, "", val))</f>
        <v>179</v>
      </c>
      <c r="BI20" s="44">
        <f t="array" ref="BI20">LET(val, IFERROR(INDEX('Daily 스피킹 raw'!$A:$ZZ, MATCH(BI$2, 'Daily 스피킹 raw'!$A:$A, 0), MATCH($B20, 'Daily 스피킹 raw'!$1:$1, 0)), ""), IF(val=0, "", val))</f>
        <v>203</v>
      </c>
      <c r="BJ20" s="44">
        <f t="array" ref="BJ20">LET(val, IFERROR(INDEX('Daily 스피킹 raw'!$A:$ZZ, MATCH(BJ$2, 'Daily 스피킹 raw'!$A:$A, 0), MATCH($B20, 'Daily 스피킹 raw'!$1:$1, 0)), ""), IF(val=0, "", val))</f>
        <v>175</v>
      </c>
      <c r="BK20" s="44">
        <f t="array" ref="BK20">LET(val, IFERROR(INDEX('Daily 스피킹 raw'!$A:$ZZ, MATCH(BK$2, 'Daily 스피킹 raw'!$A:$A, 0), MATCH($B20, 'Daily 스피킹 raw'!$1:$1, 0)), ""), IF(val=0, "", val))</f>
        <v>168</v>
      </c>
      <c r="BL20" s="44">
        <f t="array" ref="BL20">LET(val, IFERROR(INDEX('Daily 스피킹 raw'!$A:$ZZ, MATCH(BL$2, 'Daily 스피킹 raw'!$A:$A, 0), MATCH($B20, 'Daily 스피킹 raw'!$1:$1, 0)), ""), IF(val=0, "", val))</f>
        <v>196</v>
      </c>
      <c r="BM20" s="44" t="str">
        <f t="array" ref="BM20">LET(val, IFERROR(INDEX('Daily 스피킹 raw'!$A:$ZZ, MATCH(BM$2, 'Daily 스피킹 raw'!$A:$A, 0), MATCH($B20, 'Daily 스피킹 raw'!$1:$1, 0)), ""), IF(val=0, "", val))</f>
        <v/>
      </c>
      <c r="BN20" s="44" t="str">
        <f t="array" ref="BN20">LET(val, IFERROR(INDEX('Daily 스피킹 raw'!$A:$ZZ, MATCH(BN$2, 'Daily 스피킹 raw'!$A:$A, 0), MATCH($B20, 'Daily 스피킹 raw'!$1:$1, 0)), ""), IF(val=0, "", val))</f>
        <v/>
      </c>
      <c r="BO20" s="44" t="str">
        <f t="array" ref="BO20">LET(val, IFERROR(INDEX('Daily 스피킹 raw'!$A:$ZZ, MATCH(BO$2, 'Daily 스피킹 raw'!$A:$A, 0), MATCH($B20, 'Daily 스피킹 raw'!$1:$1, 0)), ""), IF(val=0, "", val))</f>
        <v/>
      </c>
      <c r="BP20" s="44" t="str">
        <f t="array" ref="BP20">LET(val, IFERROR(INDEX('Daily 스피킹 raw'!$A:$ZZ, MATCH(BP$2, 'Daily 스피킹 raw'!$A:$A, 0), MATCH($B20, 'Daily 스피킹 raw'!$1:$1, 0)), ""), IF(val=0, "", val))</f>
        <v/>
      </c>
      <c r="BQ20" s="44" t="str">
        <f t="array" ref="BQ20">LET(val, IFERROR(INDEX('Daily 스피킹 raw'!$A:$ZZ, MATCH(BQ$2, 'Daily 스피킹 raw'!$A:$A, 0), MATCH($B20, 'Daily 스피킹 raw'!$1:$1, 0)), ""), IF(val=0, "", val))</f>
        <v/>
      </c>
      <c r="BR20" s="44" t="str">
        <f t="array" ref="BR20">LET(val, IFERROR(INDEX('Daily 스피킹 raw'!$A:$ZZ, MATCH(BR$2, 'Daily 스피킹 raw'!$A:$A, 0), MATCH($B20, 'Daily 스피킹 raw'!$1:$1, 0)), ""), IF(val=0, "", val))</f>
        <v/>
      </c>
      <c r="BS20" s="44" t="str">
        <f t="array" ref="BS20">LET(val, IFERROR(INDEX('Daily 스피킹 raw'!$A:$ZZ, MATCH(BS$2, 'Daily 스피킹 raw'!$A:$A, 0), MATCH($B20, 'Daily 스피킹 raw'!$1:$1, 0)), ""), IF(val=0, "", val))</f>
        <v/>
      </c>
      <c r="BT20" s="44" t="str">
        <f t="array" ref="BT20">LET(val, IFERROR(INDEX('Daily 스피킹 raw'!$A:$ZZ, MATCH(BT$2, 'Daily 스피킹 raw'!$A:$A, 0), MATCH($B20, 'Daily 스피킹 raw'!$1:$1, 0)), ""), IF(val=0, "", val))</f>
        <v/>
      </c>
      <c r="BU20" s="44" t="str">
        <f t="array" ref="BU20">LET(val, IFERROR(INDEX('Daily 스피킹 raw'!$A:$ZZ, MATCH(BU$2, 'Daily 스피킹 raw'!$A:$A, 0), MATCH($B20, 'Daily 스피킹 raw'!$1:$1, 0)), ""), IF(val=0, "", val))</f>
        <v/>
      </c>
      <c r="BV20" s="44" t="str">
        <f t="array" ref="BV20">LET(val, IFERROR(INDEX('Daily 스피킹 raw'!$A:$ZZ, MATCH(BV$2, 'Daily 스피킹 raw'!$A:$A, 0), MATCH($B20, 'Daily 스피킹 raw'!$1:$1, 0)), ""), IF(val=0, "", val))</f>
        <v/>
      </c>
      <c r="BW20" s="44" t="str">
        <f t="array" ref="BW20">LET(val, IFERROR(INDEX('Daily 스피킹 raw'!$A:$ZZ, MATCH(BW$2, 'Daily 스피킹 raw'!$A:$A, 0), MATCH($B20, 'Daily 스피킹 raw'!$1:$1, 0)), ""), IF(val=0, "", val))</f>
        <v/>
      </c>
      <c r="BX20" s="44" t="str">
        <f t="array" ref="BX20">LET(val, IFERROR(INDEX('Daily 스피킹 raw'!$A:$ZZ, MATCH(BX$2, 'Daily 스피킹 raw'!$A:$A, 0), MATCH($B20, 'Daily 스피킹 raw'!$1:$1, 0)), ""), IF(val=0, "", val))</f>
        <v/>
      </c>
      <c r="BY20" s="44" t="str">
        <f t="array" ref="BY20">LET(val, IFERROR(INDEX('Daily 스피킹 raw'!$A:$ZZ, MATCH(BY$2, 'Daily 스피킹 raw'!$A:$A, 0), MATCH($B20, 'Daily 스피킹 raw'!$1:$1, 0)), ""), IF(val=0, "", val))</f>
        <v/>
      </c>
      <c r="BZ20" s="44" t="str">
        <f t="array" ref="BZ20">LET(val, IFERROR(INDEX('Daily 스피킹 raw'!$A:$ZZ, MATCH(BZ$2, 'Daily 스피킹 raw'!$A:$A, 0), MATCH($B20, 'Daily 스피킹 raw'!$1:$1, 0)), ""), IF(val=0, "", val))</f>
        <v/>
      </c>
      <c r="CA20" s="44" t="str">
        <f t="array" ref="CA20">LET(val, IFERROR(INDEX('Daily 스피킹 raw'!$A:$ZZ, MATCH(CA$2, 'Daily 스피킹 raw'!$A:$A, 0), MATCH($B20, 'Daily 스피킹 raw'!$1:$1, 0)), ""), IF(val=0, "", val))</f>
        <v/>
      </c>
      <c r="CB20" s="44" t="str">
        <f t="array" ref="CB20">LET(val, IFERROR(INDEX('Daily 스피킹 raw'!$A:$ZZ, MATCH(CB$2, 'Daily 스피킹 raw'!$A:$A, 0), MATCH($B20, 'Daily 스피킹 raw'!$1:$1, 0)), ""), IF(val=0, "", val))</f>
        <v/>
      </c>
      <c r="CC20" s="44" t="str">
        <f t="array" ref="CC20">LET(val, IFERROR(INDEX('Daily 스피킹 raw'!$A:$ZZ, MATCH(CC$2, 'Daily 스피킹 raw'!$A:$A, 0), MATCH($B20, 'Daily 스피킹 raw'!$1:$1, 0)), ""), IF(val=0, "", val))</f>
        <v/>
      </c>
      <c r="CD20" s="44" t="str">
        <f t="array" ref="CD20">LET(val, IFERROR(INDEX('Daily 스피킹 raw'!$A:$ZZ, MATCH(CD$2, 'Daily 스피킹 raw'!$A:$A, 0), MATCH($B20, 'Daily 스피킹 raw'!$1:$1, 0)), ""), IF(val=0, "", val))</f>
        <v/>
      </c>
      <c r="CE20" s="44" t="str">
        <f t="array" ref="CE20">LET(val, IFERROR(INDEX('Daily 스피킹 raw'!$A:$ZZ, MATCH(CE$2, 'Daily 스피킹 raw'!$A:$A, 0), MATCH($B20, 'Daily 스피킹 raw'!$1:$1, 0)), ""), IF(val=0, "", val))</f>
        <v/>
      </c>
      <c r="CF20" s="44" t="str">
        <f t="array" ref="CF20">LET(val, IFERROR(INDEX('Daily 스피킹 raw'!$A:$ZZ, MATCH(CF$2, 'Daily 스피킹 raw'!$A:$A, 0), MATCH($B20, 'Daily 스피킹 raw'!$1:$1, 0)), ""), IF(val=0, "", val))</f>
        <v/>
      </c>
      <c r="CG20" s="44" t="str">
        <f t="array" ref="CG20">LET(val, IFERROR(INDEX('Daily 스피킹 raw'!$A:$ZZ, MATCH(CG$2, 'Daily 스피킹 raw'!$A:$A, 0), MATCH($B20, 'Daily 스피킹 raw'!$1:$1, 0)), ""), IF(val=0, "", val))</f>
        <v/>
      </c>
      <c r="CH20" s="44" t="str">
        <f t="array" ref="CH20">LET(val, IFERROR(INDEX('Daily 스피킹 raw'!$A:$ZZ, MATCH(CH$2, 'Daily 스피킹 raw'!$A:$A, 0), MATCH($B20, 'Daily 스피킹 raw'!$1:$1, 0)), ""), IF(val=0, "", val))</f>
        <v/>
      </c>
      <c r="CI20" s="44" t="str">
        <f t="array" ref="CI20">LET(val, IFERROR(INDEX('Daily 스피킹 raw'!$A:$ZZ, MATCH(CI$2, 'Daily 스피킹 raw'!$A:$A, 0), MATCH($B20, 'Daily 스피킹 raw'!$1:$1, 0)), ""), IF(val=0, "", val))</f>
        <v/>
      </c>
      <c r="CJ20" s="44" t="str">
        <f t="array" ref="CJ20">LET(val, IFERROR(INDEX('Daily 스피킹 raw'!$A:$ZZ, MATCH(CJ$2, 'Daily 스피킹 raw'!$A:$A, 0), MATCH($B20, 'Daily 스피킹 raw'!$1:$1, 0)), ""), IF(val=0, "", val))</f>
        <v/>
      </c>
      <c r="CK20" s="44" t="str">
        <f t="array" ref="CK20">LET(val, IFERROR(INDEX('Daily 스피킹 raw'!$A:$ZZ, MATCH(CK$2, 'Daily 스피킹 raw'!$A:$A, 0), MATCH($B20, 'Daily 스피킹 raw'!$1:$1, 0)), ""), IF(val=0, "", val))</f>
        <v/>
      </c>
      <c r="CL20" s="44" t="str">
        <f t="array" ref="CL20">LET(val, IFERROR(INDEX('Daily 스피킹 raw'!$A:$ZZ, MATCH(CL$2, 'Daily 스피킹 raw'!$A:$A, 0), MATCH($B20, 'Daily 스피킹 raw'!$1:$1, 0)), ""), IF(val=0, "", val))</f>
        <v/>
      </c>
      <c r="CM20" s="44" t="str">
        <f t="array" ref="CM20">LET(val, IFERROR(INDEX('Daily 스피킹 raw'!$A:$ZZ, MATCH(CM$2, 'Daily 스피킹 raw'!$A:$A, 0), MATCH($B20, 'Daily 스피킹 raw'!$1:$1, 0)), ""), IF(val=0, "", val))</f>
        <v/>
      </c>
      <c r="CN20" s="44" t="str">
        <f t="array" ref="CN20">LET(val, IFERROR(INDEX('Daily 스피킹 raw'!$A:$ZZ, MATCH(CN$2, 'Daily 스피킹 raw'!$A:$A, 0), MATCH($B20, 'Daily 스피킹 raw'!$1:$1, 0)), ""), IF(val=0, "", val))</f>
        <v/>
      </c>
      <c r="CO20" s="44" t="str">
        <f t="array" ref="CO20">LET(val, IFERROR(INDEX('Daily 스피킹 raw'!$A:$ZZ, MATCH(CO$2, 'Daily 스피킹 raw'!$A:$A, 0), MATCH($B20, 'Daily 스피킹 raw'!$1:$1, 0)), ""), IF(val=0, "", val))</f>
        <v/>
      </c>
      <c r="CP20" s="44" t="str">
        <f t="array" ref="CP20">LET(val, IFERROR(INDEX('Daily 스피킹 raw'!$A:$ZZ, MATCH(CP$2, 'Daily 스피킹 raw'!$A:$A, 0), MATCH($B20, 'Daily 스피킹 raw'!$1:$1, 0)), ""), IF(val=0, "", val))</f>
        <v/>
      </c>
      <c r="CQ20" s="44" t="str">
        <f t="array" ref="CQ20">LET(val, IFERROR(INDEX('Daily 스피킹 raw'!$A:$ZZ, MATCH(CQ$2, 'Daily 스피킹 raw'!$A:$A, 0), MATCH($B20, 'Daily 스피킹 raw'!$1:$1, 0)), ""), IF(val=0, "", val))</f>
        <v/>
      </c>
      <c r="CR20" s="44" t="str">
        <f t="array" ref="CR20">LET(val, IFERROR(INDEX('Daily 스피킹 raw'!$A:$ZZ, MATCH(CR$2, 'Daily 스피킹 raw'!$A:$A, 0), MATCH($B20, 'Daily 스피킹 raw'!$1:$1, 0)), ""), IF(val=0, "", val))</f>
        <v/>
      </c>
      <c r="CS20" s="44" t="str">
        <f t="array" ref="CS20">LET(val, IFERROR(INDEX('Daily 스피킹 raw'!$A:$ZZ, MATCH(CS$2, 'Daily 스피킹 raw'!$A:$A, 0), MATCH($B20, 'Daily 스피킹 raw'!$1:$1, 0)), ""), IF(val=0, "", val))</f>
        <v/>
      </c>
      <c r="CT20" s="44" t="str">
        <f t="array" ref="CT20">LET(val, IFERROR(INDEX('Daily 스피킹 raw'!$A:$ZZ, MATCH(CT$2, 'Daily 스피킹 raw'!$A:$A, 0), MATCH($B20, 'Daily 스피킹 raw'!$1:$1, 0)), ""), IF(val=0, "", val))</f>
        <v/>
      </c>
      <c r="CU20" s="44" t="str">
        <f t="array" ref="CU20">LET(val, IFERROR(INDEX('Daily 스피킹 raw'!$A:$ZZ, MATCH(CU$2, 'Daily 스피킹 raw'!$A:$A, 0), MATCH($B20, 'Daily 스피킹 raw'!$1:$1, 0)), ""), IF(val=0, "", val))</f>
        <v/>
      </c>
      <c r="CV20" s="44" t="str">
        <f t="array" ref="CV20">LET(val, IFERROR(INDEX('Daily 스피킹 raw'!$A:$ZZ, MATCH(CV$2, 'Daily 스피킹 raw'!$A:$A, 0), MATCH($B20, 'Daily 스피킹 raw'!$1:$1, 0)), ""), IF(val=0, "", val))</f>
        <v/>
      </c>
      <c r="CW20" s="44" t="str">
        <f t="array" ref="CW20">LET(val, IFERROR(INDEX('Daily 스피킹 raw'!$A:$ZZ, MATCH(CW$2, 'Daily 스피킹 raw'!$A:$A, 0), MATCH($B20, 'Daily 스피킹 raw'!$1:$1, 0)), ""), IF(val=0, "", val))</f>
        <v/>
      </c>
    </row>
    <row r="21" ht="22.5" customHeight="1">
      <c r="A21" s="17"/>
      <c r="B21" s="16" t="s">
        <v>43</v>
      </c>
      <c r="C21" s="17" t="s">
        <v>44</v>
      </c>
      <c r="D21" s="44">
        <f t="array" ref="D21">LET(val, IFERROR(INDEX('Daily 스피킹 raw'!$A:$ZZ, MATCH(D$2, 'Daily 스피킹 raw'!$A:$A, 0), MATCH($B21, 'Daily 스피킹 raw'!$1:$1, 0)), ""), IF(val=0, "", val))</f>
        <v>88</v>
      </c>
      <c r="E21" s="44">
        <f t="array" ref="E21">LET(val, IFERROR(INDEX('Daily 스피킹 raw'!$A:$ZZ, MATCH(E$2, 'Daily 스피킹 raw'!$A:$A, 0), MATCH($B21, 'Daily 스피킹 raw'!$1:$1, 0)), ""), IF(val=0, "", val))</f>
        <v>112</v>
      </c>
      <c r="F21" s="44">
        <f t="array" ref="F21">LET(val, IFERROR(INDEX('Daily 스피킹 raw'!$A:$ZZ, MATCH(F$2, 'Daily 스피킹 raw'!$A:$A, 0), MATCH($B21, 'Daily 스피킹 raw'!$1:$1, 0)), ""), IF(val=0, "", val))</f>
        <v>77</v>
      </c>
      <c r="G21" s="44">
        <f t="array" ref="G21">LET(val, IFERROR(INDEX('Daily 스피킹 raw'!$A:$ZZ, MATCH(G$2, 'Daily 스피킹 raw'!$A:$A, 0), MATCH($B21, 'Daily 스피킹 raw'!$1:$1, 0)), ""), IF(val=0, "", val))</f>
        <v>127</v>
      </c>
      <c r="H21" s="44">
        <f t="array" ref="H21">LET(val, IFERROR(INDEX('Daily 스피킹 raw'!$A:$ZZ, MATCH(H$2, 'Daily 스피킹 raw'!$A:$A, 0), MATCH($B21, 'Daily 스피킹 raw'!$1:$1, 0)), ""), IF(val=0, "", val))</f>
        <v>170</v>
      </c>
      <c r="I21" s="44">
        <f t="array" ref="I21">LET(val, IFERROR(INDEX('Daily 스피킹 raw'!$A:$ZZ, MATCH(I$2, 'Daily 스피킹 raw'!$A:$A, 0), MATCH($B21, 'Daily 스피킹 raw'!$1:$1, 0)), ""), IF(val=0, "", val))</f>
        <v>114</v>
      </c>
      <c r="J21" s="44">
        <f t="array" ref="J21">LET(val, IFERROR(INDEX('Daily 스피킹 raw'!$A:$ZZ, MATCH(J$2, 'Daily 스피킹 raw'!$A:$A, 0), MATCH($B21, 'Daily 스피킹 raw'!$1:$1, 0)), ""), IF(val=0, "", val))</f>
        <v>139</v>
      </c>
      <c r="K21" s="44">
        <f t="array" ref="K21">LET(val, IFERROR(INDEX('Daily 스피킹 raw'!$A:$ZZ, MATCH(K$2, 'Daily 스피킹 raw'!$A:$A, 0), MATCH($B21, 'Daily 스피킹 raw'!$1:$1, 0)), ""), IF(val=0, "", val))</f>
        <v>131</v>
      </c>
      <c r="L21" s="44">
        <f t="array" ref="L21">LET(val, IFERROR(INDEX('Daily 스피킹 raw'!$A:$ZZ, MATCH(L$2, 'Daily 스피킹 raw'!$A:$A, 0), MATCH($B21, 'Daily 스피킹 raw'!$1:$1, 0)), ""), IF(val=0, "", val))</f>
        <v>196</v>
      </c>
      <c r="M21" s="44">
        <f t="array" ref="M21">LET(val, IFERROR(INDEX('Daily 스피킹 raw'!$A:$ZZ, MATCH(M$2, 'Daily 스피킹 raw'!$A:$A, 0), MATCH($B21, 'Daily 스피킹 raw'!$1:$1, 0)), ""), IF(val=0, "", val))</f>
        <v>169</v>
      </c>
      <c r="N21" s="44">
        <f t="array" ref="N21">LET(val, IFERROR(INDEX('Daily 스피킹 raw'!$A:$ZZ, MATCH(N$2, 'Daily 스피킹 raw'!$A:$A, 0), MATCH($B21, 'Daily 스피킹 raw'!$1:$1, 0)), ""), IF(val=0, "", val))</f>
        <v>146</v>
      </c>
      <c r="O21" s="44">
        <f t="array" ref="O21">LET(val, IFERROR(INDEX('Daily 스피킹 raw'!$A:$ZZ, MATCH(O$2, 'Daily 스피킹 raw'!$A:$A, 0), MATCH($B21, 'Daily 스피킹 raw'!$1:$1, 0)), ""), IF(val=0, "", val))</f>
        <v>153</v>
      </c>
      <c r="P21" s="44">
        <f t="array" ref="P21">LET(val, IFERROR(INDEX('Daily 스피킹 raw'!$A:$ZZ, MATCH(P$2, 'Daily 스피킹 raw'!$A:$A, 0), MATCH($B21, 'Daily 스피킹 raw'!$1:$1, 0)), ""), IF(val=0, "", val))</f>
        <v>122</v>
      </c>
      <c r="Q21" s="44">
        <f t="array" ref="Q21">LET(val, IFERROR(INDEX('Daily 스피킹 raw'!$A:$ZZ, MATCH(Q$2, 'Daily 스피킹 raw'!$A:$A, 0), MATCH($B21, 'Daily 스피킹 raw'!$1:$1, 0)), ""), IF(val=0, "", val))</f>
        <v>143</v>
      </c>
      <c r="R21" s="44">
        <f t="array" ref="R21">LET(val, IFERROR(INDEX('Daily 스피킹 raw'!$A:$ZZ, MATCH(R$2, 'Daily 스피킹 raw'!$A:$A, 0), MATCH($B21, 'Daily 스피킹 raw'!$1:$1, 0)), ""), IF(val=0, "", val))</f>
        <v>140</v>
      </c>
      <c r="S21" s="44">
        <f t="array" ref="S21">LET(val, IFERROR(INDEX('Daily 스피킹 raw'!$A:$ZZ, MATCH(S$2, 'Daily 스피킹 raw'!$A:$A, 0), MATCH($B21, 'Daily 스피킹 raw'!$1:$1, 0)), ""), IF(val=0, "", val))</f>
        <v>128</v>
      </c>
      <c r="T21" s="44">
        <f t="array" ref="T21">LET(val, IFERROR(INDEX('Daily 스피킹 raw'!$A:$ZZ, MATCH(T$2, 'Daily 스피킹 raw'!$A:$A, 0), MATCH($B21, 'Daily 스피킹 raw'!$1:$1, 0)), ""), IF(val=0, "", val))</f>
        <v>106</v>
      </c>
      <c r="U21" s="44">
        <f t="array" ref="U21">LET(val, IFERROR(INDEX('Daily 스피킹 raw'!$A:$ZZ, MATCH(U$2, 'Daily 스피킹 raw'!$A:$A, 0), MATCH($B21, 'Daily 스피킹 raw'!$1:$1, 0)), ""), IF(val=0, "", val))</f>
        <v>113</v>
      </c>
      <c r="V21" s="44">
        <f t="array" ref="V21">LET(val, IFERROR(INDEX('Daily 스피킹 raw'!$A:$ZZ, MATCH(V$2, 'Daily 스피킹 raw'!$A:$A, 0), MATCH($B21, 'Daily 스피킹 raw'!$1:$1, 0)), ""), IF(val=0, "", val))</f>
        <v>127</v>
      </c>
      <c r="W21" s="44">
        <f t="array" ref="W21">LET(val, IFERROR(INDEX('Daily 스피킹 raw'!$A:$ZZ, MATCH(W$2, 'Daily 스피킹 raw'!$A:$A, 0), MATCH($B21, 'Daily 스피킹 raw'!$1:$1, 0)), ""), IF(val=0, "", val))</f>
        <v>140</v>
      </c>
      <c r="X21" s="44">
        <f t="array" ref="X21">LET(val, IFERROR(INDEX('Daily 스피킹 raw'!$A:$ZZ, MATCH(X$2, 'Daily 스피킹 raw'!$A:$A, 0), MATCH($B21, 'Daily 스피킹 raw'!$1:$1, 0)), ""), IF(val=0, "", val))</f>
        <v>133</v>
      </c>
      <c r="Y21" s="44">
        <f t="array" ref="Y21">LET(val, IFERROR(INDEX('Daily 스피킹 raw'!$A:$ZZ, MATCH(Y$2, 'Daily 스피킹 raw'!$A:$A, 0), MATCH($B21, 'Daily 스피킹 raw'!$1:$1, 0)), ""), IF(val=0, "", val))</f>
        <v>108</v>
      </c>
      <c r="Z21" s="44">
        <f t="array" ref="Z21">LET(val, IFERROR(INDEX('Daily 스피킹 raw'!$A:$ZZ, MATCH(Z$2, 'Daily 스피킹 raw'!$A:$A, 0), MATCH($B21, 'Daily 스피킹 raw'!$1:$1, 0)), ""), IF(val=0, "", val))</f>
        <v>160</v>
      </c>
      <c r="AA21" s="44">
        <f t="array" ref="AA21">LET(val, IFERROR(INDEX('Daily 스피킹 raw'!$A:$ZZ, MATCH(AA$2, 'Daily 스피킹 raw'!$A:$A, 0), MATCH($B21, 'Daily 스피킹 raw'!$1:$1, 0)), ""), IF(val=0, "", val))</f>
        <v>146</v>
      </c>
      <c r="AB21" s="44">
        <f t="array" ref="AB21">LET(val, IFERROR(INDEX('Daily 스피킹 raw'!$A:$ZZ, MATCH(AB$2, 'Daily 스피킹 raw'!$A:$A, 0), MATCH($B21, 'Daily 스피킹 raw'!$1:$1, 0)), ""), IF(val=0, "", val))</f>
        <v>162</v>
      </c>
      <c r="AC21" s="44">
        <f t="array" ref="AC21">LET(val, IFERROR(INDEX('Daily 스피킹 raw'!$A:$ZZ, MATCH(AC$2, 'Daily 스피킹 raw'!$A:$A, 0), MATCH($B21, 'Daily 스피킹 raw'!$1:$1, 0)), ""), IF(val=0, "", val))</f>
        <v>149</v>
      </c>
      <c r="AD21" s="44">
        <f t="array" ref="AD21">LET(val, IFERROR(INDEX('Daily 스피킹 raw'!$A:$ZZ, MATCH(AD$2, 'Daily 스피킹 raw'!$A:$A, 0), MATCH($B21, 'Daily 스피킹 raw'!$1:$1, 0)), ""), IF(val=0, "", val))</f>
        <v>104</v>
      </c>
      <c r="AE21" s="44">
        <f t="array" ref="AE21">LET(val, IFERROR(INDEX('Daily 스피킹 raw'!$A:$ZZ, MATCH(AE$2, 'Daily 스피킹 raw'!$A:$A, 0), MATCH($B21, 'Daily 스피킹 raw'!$1:$1, 0)), ""), IF(val=0, "", val))</f>
        <v>123</v>
      </c>
      <c r="AF21" s="44">
        <f t="array" ref="AF21">LET(val, IFERROR(INDEX('Daily 스피킹 raw'!$A:$ZZ, MATCH(AF$2, 'Daily 스피킹 raw'!$A:$A, 0), MATCH($B21, 'Daily 스피킹 raw'!$1:$1, 0)), ""), IF(val=0, "", val))</f>
        <v>150</v>
      </c>
      <c r="AG21" s="44">
        <f t="array" ref="AG21">LET(val, IFERROR(INDEX('Daily 스피킹 raw'!$A:$ZZ, MATCH(AG$2, 'Daily 스피킹 raw'!$A:$A, 0), MATCH($B21, 'Daily 스피킹 raw'!$1:$1, 0)), ""), IF(val=0, "", val))</f>
        <v>135</v>
      </c>
      <c r="AH21" s="44">
        <f t="array" ref="AH21">LET(val, IFERROR(INDEX('Daily 스피킹 raw'!$A:$ZZ, MATCH(AH$2, 'Daily 스피킹 raw'!$A:$A, 0), MATCH($B21, 'Daily 스피킹 raw'!$1:$1, 0)), ""), IF(val=0, "", val))</f>
        <v>130</v>
      </c>
      <c r="AI21" s="44">
        <f t="array" ref="AI21">LET(val, IFERROR(INDEX('Daily 스피킹 raw'!$A:$ZZ, MATCH(AI$2, 'Daily 스피킹 raw'!$A:$A, 0), MATCH($B21, 'Daily 스피킹 raw'!$1:$1, 0)), ""), IF(val=0, "", val))</f>
        <v>102</v>
      </c>
      <c r="AJ21" s="44">
        <f t="array" ref="AJ21">LET(val, IFERROR(INDEX('Daily 스피킹 raw'!$A:$ZZ, MATCH(AJ$2, 'Daily 스피킹 raw'!$A:$A, 0), MATCH($B21, 'Daily 스피킹 raw'!$1:$1, 0)), ""), IF(val=0, "", val))</f>
        <v>132</v>
      </c>
      <c r="AK21" s="44">
        <f t="array" ref="AK21">LET(val, IFERROR(INDEX('Daily 스피킹 raw'!$A:$ZZ, MATCH(AK$2, 'Daily 스피킹 raw'!$A:$A, 0), MATCH($B21, 'Daily 스피킹 raw'!$1:$1, 0)), ""), IF(val=0, "", val))</f>
        <v>165</v>
      </c>
      <c r="AL21" s="44">
        <f t="array" ref="AL21">LET(val, IFERROR(INDEX('Daily 스피킹 raw'!$A:$ZZ, MATCH(AL$2, 'Daily 스피킹 raw'!$A:$A, 0), MATCH($B21, 'Daily 스피킹 raw'!$1:$1, 0)), ""), IF(val=0, "", val))</f>
        <v>146</v>
      </c>
      <c r="AM21" s="44">
        <f t="array" ref="AM21">LET(val, IFERROR(INDEX('Daily 스피킹 raw'!$A:$ZZ, MATCH(AM$2, 'Daily 스피킹 raw'!$A:$A, 0), MATCH($B21, 'Daily 스피킹 raw'!$1:$1, 0)), ""), IF(val=0, "", val))</f>
        <v>194</v>
      </c>
      <c r="AN21" s="44">
        <f t="array" ref="AN21">LET(val, IFERROR(INDEX('Daily 스피킹 raw'!$A:$ZZ, MATCH(AN$2, 'Daily 스피킹 raw'!$A:$A, 0), MATCH($B21, 'Daily 스피킹 raw'!$1:$1, 0)), ""), IF(val=0, "", val))</f>
        <v>176</v>
      </c>
      <c r="AO21" s="44">
        <f t="array" ref="AO21">LET(val, IFERROR(INDEX('Daily 스피킹 raw'!$A:$ZZ, MATCH(AO$2, 'Daily 스피킹 raw'!$A:$A, 0), MATCH($B21, 'Daily 스피킹 raw'!$1:$1, 0)), ""), IF(val=0, "", val))</f>
        <v>183</v>
      </c>
      <c r="AP21" s="44">
        <f t="array" ref="AP21">LET(val, IFERROR(INDEX('Daily 스피킹 raw'!$A:$ZZ, MATCH(AP$2, 'Daily 스피킹 raw'!$A:$A, 0), MATCH($B21, 'Daily 스피킹 raw'!$1:$1, 0)), ""), IF(val=0, "", val))</f>
        <v>154</v>
      </c>
      <c r="AQ21" s="44">
        <f t="array" ref="AQ21">LET(val, IFERROR(INDEX('Daily 스피킹 raw'!$A:$ZZ, MATCH(AQ$2, 'Daily 스피킹 raw'!$A:$A, 0), MATCH($B21, 'Daily 스피킹 raw'!$1:$1, 0)), ""), IF(val=0, "", val))</f>
        <v>166</v>
      </c>
      <c r="AR21" s="44">
        <f t="array" ref="AR21">LET(val, IFERROR(INDEX('Daily 스피킹 raw'!$A:$ZZ, MATCH(AR$2, 'Daily 스피킹 raw'!$A:$A, 0), MATCH($B21, 'Daily 스피킹 raw'!$1:$1, 0)), ""), IF(val=0, "", val))</f>
        <v>161</v>
      </c>
      <c r="AS21" s="44">
        <f t="array" ref="AS21">LET(val, IFERROR(INDEX('Daily 스피킹 raw'!$A:$ZZ, MATCH(AS$2, 'Daily 스피킹 raw'!$A:$A, 0), MATCH($B21, 'Daily 스피킹 raw'!$1:$1, 0)), ""), IF(val=0, "", val))</f>
        <v>154</v>
      </c>
      <c r="AT21" s="44">
        <f t="array" ref="AT21">LET(val, IFERROR(INDEX('Daily 스피킹 raw'!$A:$ZZ, MATCH(AT$2, 'Daily 스피킹 raw'!$A:$A, 0), MATCH($B21, 'Daily 스피킹 raw'!$1:$1, 0)), ""), IF(val=0, "", val))</f>
        <v>136</v>
      </c>
      <c r="AU21" s="44">
        <f t="array" ref="AU21">LET(val, IFERROR(INDEX('Daily 스피킹 raw'!$A:$ZZ, MATCH(AU$2, 'Daily 스피킹 raw'!$A:$A, 0), MATCH($B21, 'Daily 스피킹 raw'!$1:$1, 0)), ""), IF(val=0, "", val))</f>
        <v>159</v>
      </c>
      <c r="AV21" s="44">
        <f t="array" ref="AV21">LET(val, IFERROR(INDEX('Daily 스피킹 raw'!$A:$ZZ, MATCH(AV$2, 'Daily 스피킹 raw'!$A:$A, 0), MATCH($B21, 'Daily 스피킹 raw'!$1:$1, 0)), ""), IF(val=0, "", val))</f>
        <v>117</v>
      </c>
      <c r="AW21" s="44">
        <f t="array" ref="AW21">LET(val, IFERROR(INDEX('Daily 스피킹 raw'!$A:$ZZ, MATCH(AW$2, 'Daily 스피킹 raw'!$A:$A, 0), MATCH($B21, 'Daily 스피킹 raw'!$1:$1, 0)), ""), IF(val=0, "", val))</f>
        <v>134</v>
      </c>
      <c r="AX21" s="44">
        <f t="array" ref="AX21">LET(val, IFERROR(INDEX('Daily 스피킹 raw'!$A:$ZZ, MATCH(AX$2, 'Daily 스피킹 raw'!$A:$A, 0), MATCH($B21, 'Daily 스피킹 raw'!$1:$1, 0)), ""), IF(val=0, "", val))</f>
        <v>210</v>
      </c>
      <c r="AY21" s="44">
        <f t="array" ref="AY21">LET(val, IFERROR(INDEX('Daily 스피킹 raw'!$A:$ZZ, MATCH(AY$2, 'Daily 스피킹 raw'!$A:$A, 0), MATCH($B21, 'Daily 스피킹 raw'!$1:$1, 0)), ""), IF(val=0, "", val))</f>
        <v>178</v>
      </c>
      <c r="AZ21" s="44">
        <f t="array" ref="AZ21">LET(val, IFERROR(INDEX('Daily 스피킹 raw'!$A:$ZZ, MATCH(AZ$2, 'Daily 스피킹 raw'!$A:$A, 0), MATCH($B21, 'Daily 스피킹 raw'!$1:$1, 0)), ""), IF(val=0, "", val))</f>
        <v>123</v>
      </c>
      <c r="BA21" s="44">
        <f t="array" ref="BA21">LET(val, IFERROR(INDEX('Daily 스피킹 raw'!$A:$ZZ, MATCH(BA$2, 'Daily 스피킹 raw'!$A:$A, 0), MATCH($B21, 'Daily 스피킹 raw'!$1:$1, 0)), ""), IF(val=0, "", val))</f>
        <v>192</v>
      </c>
      <c r="BB21" s="44">
        <f t="array" ref="BB21">LET(val, IFERROR(INDEX('Daily 스피킹 raw'!$A:$ZZ, MATCH(BB$2, 'Daily 스피킹 raw'!$A:$A, 0), MATCH($B21, 'Daily 스피킹 raw'!$1:$1, 0)), ""), IF(val=0, "", val))</f>
        <v>112</v>
      </c>
      <c r="BC21" s="44">
        <f t="array" ref="BC21">LET(val, IFERROR(INDEX('Daily 스피킹 raw'!$A:$ZZ, MATCH(BC$2, 'Daily 스피킹 raw'!$A:$A, 0), MATCH($B21, 'Daily 스피킹 raw'!$1:$1, 0)), ""), IF(val=0, "", val))</f>
        <v>77</v>
      </c>
      <c r="BD21" s="44">
        <f t="array" ref="BD21">LET(val, IFERROR(INDEX('Daily 스피킹 raw'!$A:$ZZ, MATCH(BD$2, 'Daily 스피킹 raw'!$A:$A, 0), MATCH($B21, 'Daily 스피킹 raw'!$1:$1, 0)), ""), IF(val=0, "", val))</f>
        <v>73</v>
      </c>
      <c r="BE21" s="44">
        <f t="array" ref="BE21">LET(val, IFERROR(INDEX('Daily 스피킹 raw'!$A:$ZZ, MATCH(BE$2, 'Daily 스피킹 raw'!$A:$A, 0), MATCH($B21, 'Daily 스피킹 raw'!$1:$1, 0)), ""), IF(val=0, "", val))</f>
        <v>73</v>
      </c>
      <c r="BF21" s="44">
        <f t="array" ref="BF21">LET(val, IFERROR(INDEX('Daily 스피킹 raw'!$A:$ZZ, MATCH(BF$2, 'Daily 스피킹 raw'!$A:$A, 0), MATCH($B21, 'Daily 스피킹 raw'!$1:$1, 0)), ""), IF(val=0, "", val))</f>
        <v>59</v>
      </c>
      <c r="BG21" s="44">
        <f t="array" ref="BG21">LET(val, IFERROR(INDEX('Daily 스피킹 raw'!$A:$ZZ, MATCH(BG$2, 'Daily 스피킹 raw'!$A:$A, 0), MATCH($B21, 'Daily 스피킹 raw'!$1:$1, 0)), ""), IF(val=0, "", val))</f>
        <v>65</v>
      </c>
      <c r="BH21" s="44">
        <f t="array" ref="BH21">LET(val, IFERROR(INDEX('Daily 스피킹 raw'!$A:$ZZ, MATCH(BH$2, 'Daily 스피킹 raw'!$A:$A, 0), MATCH($B21, 'Daily 스피킹 raw'!$1:$1, 0)), ""), IF(val=0, "", val))</f>
        <v>65</v>
      </c>
      <c r="BI21" s="44">
        <f t="array" ref="BI21">LET(val, IFERROR(INDEX('Daily 스피킹 raw'!$A:$ZZ, MATCH(BI$2, 'Daily 스피킹 raw'!$A:$A, 0), MATCH($B21, 'Daily 스피킹 raw'!$1:$1, 0)), ""), IF(val=0, "", val))</f>
        <v>77</v>
      </c>
      <c r="BJ21" s="44">
        <f t="array" ref="BJ21">LET(val, IFERROR(INDEX('Daily 스피킹 raw'!$A:$ZZ, MATCH(BJ$2, 'Daily 스피킹 raw'!$A:$A, 0), MATCH($B21, 'Daily 스피킹 raw'!$1:$1, 0)), ""), IF(val=0, "", val))</f>
        <v>65</v>
      </c>
      <c r="BK21" s="44">
        <f t="array" ref="BK21">LET(val, IFERROR(INDEX('Daily 스피킹 raw'!$A:$ZZ, MATCH(BK$2, 'Daily 스피킹 raw'!$A:$A, 0), MATCH($B21, 'Daily 스피킹 raw'!$1:$1, 0)), ""), IF(val=0, "", val))</f>
        <v>58</v>
      </c>
      <c r="BL21" s="44">
        <f t="array" ref="BL21">LET(val, IFERROR(INDEX('Daily 스피킹 raw'!$A:$ZZ, MATCH(BL$2, 'Daily 스피킹 raw'!$A:$A, 0), MATCH($B21, 'Daily 스피킹 raw'!$1:$1, 0)), ""), IF(val=0, "", val))</f>
        <v>63</v>
      </c>
      <c r="BM21" s="44" t="str">
        <f t="array" ref="BM21">LET(val, IFERROR(INDEX('Daily 스피킹 raw'!$A:$ZZ, MATCH(BM$2, 'Daily 스피킹 raw'!$A:$A, 0), MATCH($B21, 'Daily 스피킹 raw'!$1:$1, 0)), ""), IF(val=0, "", val))</f>
        <v/>
      </c>
      <c r="BN21" s="44" t="str">
        <f t="array" ref="BN21">LET(val, IFERROR(INDEX('Daily 스피킹 raw'!$A:$ZZ, MATCH(BN$2, 'Daily 스피킹 raw'!$A:$A, 0), MATCH($B21, 'Daily 스피킹 raw'!$1:$1, 0)), ""), IF(val=0, "", val))</f>
        <v/>
      </c>
      <c r="BO21" s="44" t="str">
        <f t="array" ref="BO21">LET(val, IFERROR(INDEX('Daily 스피킹 raw'!$A:$ZZ, MATCH(BO$2, 'Daily 스피킹 raw'!$A:$A, 0), MATCH($B21, 'Daily 스피킹 raw'!$1:$1, 0)), ""), IF(val=0, "", val))</f>
        <v/>
      </c>
      <c r="BP21" s="44" t="str">
        <f t="array" ref="BP21">LET(val, IFERROR(INDEX('Daily 스피킹 raw'!$A:$ZZ, MATCH(BP$2, 'Daily 스피킹 raw'!$A:$A, 0), MATCH($B21, 'Daily 스피킹 raw'!$1:$1, 0)), ""), IF(val=0, "", val))</f>
        <v/>
      </c>
      <c r="BQ21" s="44" t="str">
        <f t="array" ref="BQ21">LET(val, IFERROR(INDEX('Daily 스피킹 raw'!$A:$ZZ, MATCH(BQ$2, 'Daily 스피킹 raw'!$A:$A, 0), MATCH($B21, 'Daily 스피킹 raw'!$1:$1, 0)), ""), IF(val=0, "", val))</f>
        <v/>
      </c>
      <c r="BR21" s="44" t="str">
        <f t="array" ref="BR21">LET(val, IFERROR(INDEX('Daily 스피킹 raw'!$A:$ZZ, MATCH(BR$2, 'Daily 스피킹 raw'!$A:$A, 0), MATCH($B21, 'Daily 스피킹 raw'!$1:$1, 0)), ""), IF(val=0, "", val))</f>
        <v/>
      </c>
      <c r="BS21" s="44" t="str">
        <f t="array" ref="BS21">LET(val, IFERROR(INDEX('Daily 스피킹 raw'!$A:$ZZ, MATCH(BS$2, 'Daily 스피킹 raw'!$A:$A, 0), MATCH($B21, 'Daily 스피킹 raw'!$1:$1, 0)), ""), IF(val=0, "", val))</f>
        <v/>
      </c>
      <c r="BT21" s="44" t="str">
        <f t="array" ref="BT21">LET(val, IFERROR(INDEX('Daily 스피킹 raw'!$A:$ZZ, MATCH(BT$2, 'Daily 스피킹 raw'!$A:$A, 0), MATCH($B21, 'Daily 스피킹 raw'!$1:$1, 0)), ""), IF(val=0, "", val))</f>
        <v/>
      </c>
      <c r="BU21" s="44" t="str">
        <f t="array" ref="BU21">LET(val, IFERROR(INDEX('Daily 스피킹 raw'!$A:$ZZ, MATCH(BU$2, 'Daily 스피킹 raw'!$A:$A, 0), MATCH($B21, 'Daily 스피킹 raw'!$1:$1, 0)), ""), IF(val=0, "", val))</f>
        <v/>
      </c>
      <c r="BV21" s="44" t="str">
        <f t="array" ref="BV21">LET(val, IFERROR(INDEX('Daily 스피킹 raw'!$A:$ZZ, MATCH(BV$2, 'Daily 스피킹 raw'!$A:$A, 0), MATCH($B21, 'Daily 스피킹 raw'!$1:$1, 0)), ""), IF(val=0, "", val))</f>
        <v/>
      </c>
      <c r="BW21" s="44" t="str">
        <f t="array" ref="BW21">LET(val, IFERROR(INDEX('Daily 스피킹 raw'!$A:$ZZ, MATCH(BW$2, 'Daily 스피킹 raw'!$A:$A, 0), MATCH($B21, 'Daily 스피킹 raw'!$1:$1, 0)), ""), IF(val=0, "", val))</f>
        <v/>
      </c>
      <c r="BX21" s="44" t="str">
        <f t="array" ref="BX21">LET(val, IFERROR(INDEX('Daily 스피킹 raw'!$A:$ZZ, MATCH(BX$2, 'Daily 스피킹 raw'!$A:$A, 0), MATCH($B21, 'Daily 스피킹 raw'!$1:$1, 0)), ""), IF(val=0, "", val))</f>
        <v/>
      </c>
      <c r="BY21" s="44" t="str">
        <f t="array" ref="BY21">LET(val, IFERROR(INDEX('Daily 스피킹 raw'!$A:$ZZ, MATCH(BY$2, 'Daily 스피킹 raw'!$A:$A, 0), MATCH($B21, 'Daily 스피킹 raw'!$1:$1, 0)), ""), IF(val=0, "", val))</f>
        <v/>
      </c>
      <c r="BZ21" s="44" t="str">
        <f t="array" ref="BZ21">LET(val, IFERROR(INDEX('Daily 스피킹 raw'!$A:$ZZ, MATCH(BZ$2, 'Daily 스피킹 raw'!$A:$A, 0), MATCH($B21, 'Daily 스피킹 raw'!$1:$1, 0)), ""), IF(val=0, "", val))</f>
        <v/>
      </c>
      <c r="CA21" s="44" t="str">
        <f t="array" ref="CA21">LET(val, IFERROR(INDEX('Daily 스피킹 raw'!$A:$ZZ, MATCH(CA$2, 'Daily 스피킹 raw'!$A:$A, 0), MATCH($B21, 'Daily 스피킹 raw'!$1:$1, 0)), ""), IF(val=0, "", val))</f>
        <v/>
      </c>
      <c r="CB21" s="44" t="str">
        <f t="array" ref="CB21">LET(val, IFERROR(INDEX('Daily 스피킹 raw'!$A:$ZZ, MATCH(CB$2, 'Daily 스피킹 raw'!$A:$A, 0), MATCH($B21, 'Daily 스피킹 raw'!$1:$1, 0)), ""), IF(val=0, "", val))</f>
        <v/>
      </c>
      <c r="CC21" s="44" t="str">
        <f t="array" ref="CC21">LET(val, IFERROR(INDEX('Daily 스피킹 raw'!$A:$ZZ, MATCH(CC$2, 'Daily 스피킹 raw'!$A:$A, 0), MATCH($B21, 'Daily 스피킹 raw'!$1:$1, 0)), ""), IF(val=0, "", val))</f>
        <v/>
      </c>
      <c r="CD21" s="44" t="str">
        <f t="array" ref="CD21">LET(val, IFERROR(INDEX('Daily 스피킹 raw'!$A:$ZZ, MATCH(CD$2, 'Daily 스피킹 raw'!$A:$A, 0), MATCH($B21, 'Daily 스피킹 raw'!$1:$1, 0)), ""), IF(val=0, "", val))</f>
        <v/>
      </c>
      <c r="CE21" s="44" t="str">
        <f t="array" ref="CE21">LET(val, IFERROR(INDEX('Daily 스피킹 raw'!$A:$ZZ, MATCH(CE$2, 'Daily 스피킹 raw'!$A:$A, 0), MATCH($B21, 'Daily 스피킹 raw'!$1:$1, 0)), ""), IF(val=0, "", val))</f>
        <v/>
      </c>
      <c r="CF21" s="44" t="str">
        <f t="array" ref="CF21">LET(val, IFERROR(INDEX('Daily 스피킹 raw'!$A:$ZZ, MATCH(CF$2, 'Daily 스피킹 raw'!$A:$A, 0), MATCH($B21, 'Daily 스피킹 raw'!$1:$1, 0)), ""), IF(val=0, "", val))</f>
        <v/>
      </c>
      <c r="CG21" s="44" t="str">
        <f t="array" ref="CG21">LET(val, IFERROR(INDEX('Daily 스피킹 raw'!$A:$ZZ, MATCH(CG$2, 'Daily 스피킹 raw'!$A:$A, 0), MATCH($B21, 'Daily 스피킹 raw'!$1:$1, 0)), ""), IF(val=0, "", val))</f>
        <v/>
      </c>
      <c r="CH21" s="44" t="str">
        <f t="array" ref="CH21">LET(val, IFERROR(INDEX('Daily 스피킹 raw'!$A:$ZZ, MATCH(CH$2, 'Daily 스피킹 raw'!$A:$A, 0), MATCH($B21, 'Daily 스피킹 raw'!$1:$1, 0)), ""), IF(val=0, "", val))</f>
        <v/>
      </c>
      <c r="CI21" s="44" t="str">
        <f t="array" ref="CI21">LET(val, IFERROR(INDEX('Daily 스피킹 raw'!$A:$ZZ, MATCH(CI$2, 'Daily 스피킹 raw'!$A:$A, 0), MATCH($B21, 'Daily 스피킹 raw'!$1:$1, 0)), ""), IF(val=0, "", val))</f>
        <v/>
      </c>
      <c r="CJ21" s="44" t="str">
        <f t="array" ref="CJ21">LET(val, IFERROR(INDEX('Daily 스피킹 raw'!$A:$ZZ, MATCH(CJ$2, 'Daily 스피킹 raw'!$A:$A, 0), MATCH($B21, 'Daily 스피킹 raw'!$1:$1, 0)), ""), IF(val=0, "", val))</f>
        <v/>
      </c>
      <c r="CK21" s="44" t="str">
        <f t="array" ref="CK21">LET(val, IFERROR(INDEX('Daily 스피킹 raw'!$A:$ZZ, MATCH(CK$2, 'Daily 스피킹 raw'!$A:$A, 0), MATCH($B21, 'Daily 스피킹 raw'!$1:$1, 0)), ""), IF(val=0, "", val))</f>
        <v/>
      </c>
      <c r="CL21" s="44" t="str">
        <f t="array" ref="CL21">LET(val, IFERROR(INDEX('Daily 스피킹 raw'!$A:$ZZ, MATCH(CL$2, 'Daily 스피킹 raw'!$A:$A, 0), MATCH($B21, 'Daily 스피킹 raw'!$1:$1, 0)), ""), IF(val=0, "", val))</f>
        <v/>
      </c>
      <c r="CM21" s="44" t="str">
        <f t="array" ref="CM21">LET(val, IFERROR(INDEX('Daily 스피킹 raw'!$A:$ZZ, MATCH(CM$2, 'Daily 스피킹 raw'!$A:$A, 0), MATCH($B21, 'Daily 스피킹 raw'!$1:$1, 0)), ""), IF(val=0, "", val))</f>
        <v/>
      </c>
      <c r="CN21" s="44" t="str">
        <f t="array" ref="CN21">LET(val, IFERROR(INDEX('Daily 스피킹 raw'!$A:$ZZ, MATCH(CN$2, 'Daily 스피킹 raw'!$A:$A, 0), MATCH($B21, 'Daily 스피킹 raw'!$1:$1, 0)), ""), IF(val=0, "", val))</f>
        <v/>
      </c>
      <c r="CO21" s="44" t="str">
        <f t="array" ref="CO21">LET(val, IFERROR(INDEX('Daily 스피킹 raw'!$A:$ZZ, MATCH(CO$2, 'Daily 스피킹 raw'!$A:$A, 0), MATCH($B21, 'Daily 스피킹 raw'!$1:$1, 0)), ""), IF(val=0, "", val))</f>
        <v/>
      </c>
      <c r="CP21" s="44" t="str">
        <f t="array" ref="CP21">LET(val, IFERROR(INDEX('Daily 스피킹 raw'!$A:$ZZ, MATCH(CP$2, 'Daily 스피킹 raw'!$A:$A, 0), MATCH($B21, 'Daily 스피킹 raw'!$1:$1, 0)), ""), IF(val=0, "", val))</f>
        <v/>
      </c>
      <c r="CQ21" s="44" t="str">
        <f t="array" ref="CQ21">LET(val, IFERROR(INDEX('Daily 스피킹 raw'!$A:$ZZ, MATCH(CQ$2, 'Daily 스피킹 raw'!$A:$A, 0), MATCH($B21, 'Daily 스피킹 raw'!$1:$1, 0)), ""), IF(val=0, "", val))</f>
        <v/>
      </c>
      <c r="CR21" s="44" t="str">
        <f t="array" ref="CR21">LET(val, IFERROR(INDEX('Daily 스피킹 raw'!$A:$ZZ, MATCH(CR$2, 'Daily 스피킹 raw'!$A:$A, 0), MATCH($B21, 'Daily 스피킹 raw'!$1:$1, 0)), ""), IF(val=0, "", val))</f>
        <v/>
      </c>
      <c r="CS21" s="44" t="str">
        <f t="array" ref="CS21">LET(val, IFERROR(INDEX('Daily 스피킹 raw'!$A:$ZZ, MATCH(CS$2, 'Daily 스피킹 raw'!$A:$A, 0), MATCH($B21, 'Daily 스피킹 raw'!$1:$1, 0)), ""), IF(val=0, "", val))</f>
        <v/>
      </c>
      <c r="CT21" s="44" t="str">
        <f t="array" ref="CT21">LET(val, IFERROR(INDEX('Daily 스피킹 raw'!$A:$ZZ, MATCH(CT$2, 'Daily 스피킹 raw'!$A:$A, 0), MATCH($B21, 'Daily 스피킹 raw'!$1:$1, 0)), ""), IF(val=0, "", val))</f>
        <v/>
      </c>
      <c r="CU21" s="44" t="str">
        <f t="array" ref="CU21">LET(val, IFERROR(INDEX('Daily 스피킹 raw'!$A:$ZZ, MATCH(CU$2, 'Daily 스피킹 raw'!$A:$A, 0), MATCH($B21, 'Daily 스피킹 raw'!$1:$1, 0)), ""), IF(val=0, "", val))</f>
        <v/>
      </c>
      <c r="CV21" s="44" t="str">
        <f t="array" ref="CV21">LET(val, IFERROR(INDEX('Daily 스피킹 raw'!$A:$ZZ, MATCH(CV$2, 'Daily 스피킹 raw'!$A:$A, 0), MATCH($B21, 'Daily 스피킹 raw'!$1:$1, 0)), ""), IF(val=0, "", val))</f>
        <v/>
      </c>
      <c r="CW21" s="44" t="str">
        <f t="array" ref="CW21">LET(val, IFERROR(INDEX('Daily 스피킹 raw'!$A:$ZZ, MATCH(CW$2, 'Daily 스피킹 raw'!$A:$A, 0), MATCH($B21, 'Daily 스피킹 raw'!$1:$1, 0)), ""), IF(val=0, "", val))</f>
        <v/>
      </c>
    </row>
    <row r="22" ht="22.5" customHeight="1">
      <c r="A22" s="17"/>
      <c r="B22" s="16" t="s">
        <v>45</v>
      </c>
      <c r="C22" s="17" t="s">
        <v>22</v>
      </c>
      <c r="D22" s="44">
        <f t="array" ref="D22">LET(val, IFERROR(INDEX('Daily 스피킹 raw'!$A:$ZZ, MATCH(D$2, 'Daily 스피킹 raw'!$A:$A, 0), MATCH($B22, 'Daily 스피킹 raw'!$1:$1, 0)), ""), IF(val=0, "", val))</f>
        <v>78</v>
      </c>
      <c r="E22" s="44">
        <f t="array" ref="E22">LET(val, IFERROR(INDEX('Daily 스피킹 raw'!$A:$ZZ, MATCH(E$2, 'Daily 스피킹 raw'!$A:$A, 0), MATCH($B22, 'Daily 스피킹 raw'!$1:$1, 0)), ""), IF(val=0, "", val))</f>
        <v>106</v>
      </c>
      <c r="F22" s="44">
        <f t="array" ref="F22">LET(val, IFERROR(INDEX('Daily 스피킹 raw'!$A:$ZZ, MATCH(F$2, 'Daily 스피킹 raw'!$A:$A, 0), MATCH($B22, 'Daily 스피킹 raw'!$1:$1, 0)), ""), IF(val=0, "", val))</f>
        <v>73</v>
      </c>
      <c r="G22" s="44">
        <f t="array" ref="G22">LET(val, IFERROR(INDEX('Daily 스피킹 raw'!$A:$ZZ, MATCH(G$2, 'Daily 스피킹 raw'!$A:$A, 0), MATCH($B22, 'Daily 스피킹 raw'!$1:$1, 0)), ""), IF(val=0, "", val))</f>
        <v>116</v>
      </c>
      <c r="H22" s="44">
        <f t="array" ref="H22">LET(val, IFERROR(INDEX('Daily 스피킹 raw'!$A:$ZZ, MATCH(H$2, 'Daily 스피킹 raw'!$A:$A, 0), MATCH($B22, 'Daily 스피킹 raw'!$1:$1, 0)), ""), IF(val=0, "", val))</f>
        <v>154</v>
      </c>
      <c r="I22" s="44">
        <f t="array" ref="I22">LET(val, IFERROR(INDEX('Daily 스피킹 raw'!$A:$ZZ, MATCH(I$2, 'Daily 스피킹 raw'!$A:$A, 0), MATCH($B22, 'Daily 스피킹 raw'!$1:$1, 0)), ""), IF(val=0, "", val))</f>
        <v>104</v>
      </c>
      <c r="J22" s="44">
        <f t="array" ref="J22">LET(val, IFERROR(INDEX('Daily 스피킹 raw'!$A:$ZZ, MATCH(J$2, 'Daily 스피킹 raw'!$A:$A, 0), MATCH($B22, 'Daily 스피킹 raw'!$1:$1, 0)), ""), IF(val=0, "", val))</f>
        <v>130</v>
      </c>
      <c r="K22" s="44">
        <f t="array" ref="K22">LET(val, IFERROR(INDEX('Daily 스피킹 raw'!$A:$ZZ, MATCH(K$2, 'Daily 스피킹 raw'!$A:$A, 0), MATCH($B22, 'Daily 스피킹 raw'!$1:$1, 0)), ""), IF(val=0, "", val))</f>
        <v>118</v>
      </c>
      <c r="L22" s="44">
        <f t="array" ref="L22">LET(val, IFERROR(INDEX('Daily 스피킹 raw'!$A:$ZZ, MATCH(L$2, 'Daily 스피킹 raw'!$A:$A, 0), MATCH($B22, 'Daily 스피킹 raw'!$1:$1, 0)), ""), IF(val=0, "", val))</f>
        <v>175</v>
      </c>
      <c r="M22" s="44">
        <f t="array" ref="M22">LET(val, IFERROR(INDEX('Daily 스피킹 raw'!$A:$ZZ, MATCH(M$2, 'Daily 스피킹 raw'!$A:$A, 0), MATCH($B22, 'Daily 스피킹 raw'!$1:$1, 0)), ""), IF(val=0, "", val))</f>
        <v>151</v>
      </c>
      <c r="N22" s="44">
        <f t="array" ref="N22">LET(val, IFERROR(INDEX('Daily 스피킹 raw'!$A:$ZZ, MATCH(N$2, 'Daily 스피킹 raw'!$A:$A, 0), MATCH($B22, 'Daily 스피킹 raw'!$1:$1, 0)), ""), IF(val=0, "", val))</f>
        <v>136</v>
      </c>
      <c r="O22" s="44">
        <f t="array" ref="O22">LET(val, IFERROR(INDEX('Daily 스피킹 raw'!$A:$ZZ, MATCH(O$2, 'Daily 스피킹 raw'!$A:$A, 0), MATCH($B22, 'Daily 스피킹 raw'!$1:$1, 0)), ""), IF(val=0, "", val))</f>
        <v>137</v>
      </c>
      <c r="P22" s="44">
        <f t="array" ref="P22">LET(val, IFERROR(INDEX('Daily 스피킹 raw'!$A:$ZZ, MATCH(P$2, 'Daily 스피킹 raw'!$A:$A, 0), MATCH($B22, 'Daily 스피킹 raw'!$1:$1, 0)), ""), IF(val=0, "", val))</f>
        <v>107</v>
      </c>
      <c r="Q22" s="44">
        <f t="array" ref="Q22">LET(val, IFERROR(INDEX('Daily 스피킹 raw'!$A:$ZZ, MATCH(Q$2, 'Daily 스피킹 raw'!$A:$A, 0), MATCH($B22, 'Daily 스피킹 raw'!$1:$1, 0)), ""), IF(val=0, "", val))</f>
        <v>133</v>
      </c>
      <c r="R22" s="44">
        <f t="array" ref="R22">LET(val, IFERROR(INDEX('Daily 스피킹 raw'!$A:$ZZ, MATCH(R$2, 'Daily 스피킹 raw'!$A:$A, 0), MATCH($B22, 'Daily 스피킹 raw'!$1:$1, 0)), ""), IF(val=0, "", val))</f>
        <v>133</v>
      </c>
      <c r="S22" s="44">
        <f t="array" ref="S22">LET(val, IFERROR(INDEX('Daily 스피킹 raw'!$A:$ZZ, MATCH(S$2, 'Daily 스피킹 raw'!$A:$A, 0), MATCH($B22, 'Daily 스피킹 raw'!$1:$1, 0)), ""), IF(val=0, "", val))</f>
        <v>115</v>
      </c>
      <c r="T22" s="44">
        <f t="array" ref="T22">LET(val, IFERROR(INDEX('Daily 스피킹 raw'!$A:$ZZ, MATCH(T$2, 'Daily 스피킹 raw'!$A:$A, 0), MATCH($B22, 'Daily 스피킹 raw'!$1:$1, 0)), ""), IF(val=0, "", val))</f>
        <v>102</v>
      </c>
      <c r="U22" s="44">
        <f t="array" ref="U22">LET(val, IFERROR(INDEX('Daily 스피킹 raw'!$A:$ZZ, MATCH(U$2, 'Daily 스피킹 raw'!$A:$A, 0), MATCH($B22, 'Daily 스피킹 raw'!$1:$1, 0)), ""), IF(val=0, "", val))</f>
        <v>100</v>
      </c>
      <c r="V22" s="44">
        <f t="array" ref="V22">LET(val, IFERROR(INDEX('Daily 스피킹 raw'!$A:$ZZ, MATCH(V$2, 'Daily 스피킹 raw'!$A:$A, 0), MATCH($B22, 'Daily 스피킹 raw'!$1:$1, 0)), ""), IF(val=0, "", val))</f>
        <v>117</v>
      </c>
      <c r="W22" s="44">
        <f t="array" ref="W22">LET(val, IFERROR(INDEX('Daily 스피킹 raw'!$A:$ZZ, MATCH(W$2, 'Daily 스피킹 raw'!$A:$A, 0), MATCH($B22, 'Daily 스피킹 raw'!$1:$1, 0)), ""), IF(val=0, "", val))</f>
        <v>129</v>
      </c>
      <c r="X22" s="44">
        <f t="array" ref="X22">LET(val, IFERROR(INDEX('Daily 스피킹 raw'!$A:$ZZ, MATCH(X$2, 'Daily 스피킹 raw'!$A:$A, 0), MATCH($B22, 'Daily 스피킹 raw'!$1:$1, 0)), ""), IF(val=0, "", val))</f>
        <v>127</v>
      </c>
      <c r="Y22" s="44">
        <f t="array" ref="Y22">LET(val, IFERROR(INDEX('Daily 스피킹 raw'!$A:$ZZ, MATCH(Y$2, 'Daily 스피킹 raw'!$A:$A, 0), MATCH($B22, 'Daily 스피킹 raw'!$1:$1, 0)), ""), IF(val=0, "", val))</f>
        <v>96</v>
      </c>
      <c r="Z22" s="44">
        <f t="array" ref="Z22">LET(val, IFERROR(INDEX('Daily 스피킹 raw'!$A:$ZZ, MATCH(Z$2, 'Daily 스피킹 raw'!$A:$A, 0), MATCH($B22, 'Daily 스피킹 raw'!$1:$1, 0)), ""), IF(val=0, "", val))</f>
        <v>151</v>
      </c>
      <c r="AA22" s="44">
        <f t="array" ref="AA22">LET(val, IFERROR(INDEX('Daily 스피킹 raw'!$A:$ZZ, MATCH(AA$2, 'Daily 스피킹 raw'!$A:$A, 0), MATCH($B22, 'Daily 스피킹 raw'!$1:$1, 0)), ""), IF(val=0, "", val))</f>
        <v>133</v>
      </c>
      <c r="AB22" s="44">
        <f t="array" ref="AB22">LET(val, IFERROR(INDEX('Daily 스피킹 raw'!$A:$ZZ, MATCH(AB$2, 'Daily 스피킹 raw'!$A:$A, 0), MATCH($B22, 'Daily 스피킹 raw'!$1:$1, 0)), ""), IF(val=0, "", val))</f>
        <v>151</v>
      </c>
      <c r="AC22" s="44">
        <f t="array" ref="AC22">LET(val, IFERROR(INDEX('Daily 스피킹 raw'!$A:$ZZ, MATCH(AC$2, 'Daily 스피킹 raw'!$A:$A, 0), MATCH($B22, 'Daily 스피킹 raw'!$1:$1, 0)), ""), IF(val=0, "", val))</f>
        <v>131</v>
      </c>
      <c r="AD22" s="44">
        <f t="array" ref="AD22">LET(val, IFERROR(INDEX('Daily 스피킹 raw'!$A:$ZZ, MATCH(AD$2, 'Daily 스피킹 raw'!$A:$A, 0), MATCH($B22, 'Daily 스피킹 raw'!$1:$1, 0)), ""), IF(val=0, "", val))</f>
        <v>94</v>
      </c>
      <c r="AE22" s="44">
        <f t="array" ref="AE22">LET(val, IFERROR(INDEX('Daily 스피킹 raw'!$A:$ZZ, MATCH(AE$2, 'Daily 스피킹 raw'!$A:$A, 0), MATCH($B22, 'Daily 스피킹 raw'!$1:$1, 0)), ""), IF(val=0, "", val))</f>
        <v>114</v>
      </c>
      <c r="AF22" s="44">
        <f t="array" ref="AF22">LET(val, IFERROR(INDEX('Daily 스피킹 raw'!$A:$ZZ, MATCH(AF$2, 'Daily 스피킹 raw'!$A:$A, 0), MATCH($B22, 'Daily 스피킹 raw'!$1:$1, 0)), ""), IF(val=0, "", val))</f>
        <v>139</v>
      </c>
      <c r="AG22" s="44">
        <f t="array" ref="AG22">LET(val, IFERROR(INDEX('Daily 스피킹 raw'!$A:$ZZ, MATCH(AG$2, 'Daily 스피킹 raw'!$A:$A, 0), MATCH($B22, 'Daily 스피킹 raw'!$1:$1, 0)), ""), IF(val=0, "", val))</f>
        <v>120</v>
      </c>
      <c r="AH22" s="44">
        <f t="array" ref="AH22">LET(val, IFERROR(INDEX('Daily 스피킹 raw'!$A:$ZZ, MATCH(AH$2, 'Daily 스피킹 raw'!$A:$A, 0), MATCH($B22, 'Daily 스피킹 raw'!$1:$1, 0)), ""), IF(val=0, "", val))</f>
        <v>115</v>
      </c>
      <c r="AI22" s="44">
        <f t="array" ref="AI22">LET(val, IFERROR(INDEX('Daily 스피킹 raw'!$A:$ZZ, MATCH(AI$2, 'Daily 스피킹 raw'!$A:$A, 0), MATCH($B22, 'Daily 스피킹 raw'!$1:$1, 0)), ""), IF(val=0, "", val))</f>
        <v>93</v>
      </c>
      <c r="AJ22" s="44">
        <f t="array" ref="AJ22">LET(val, IFERROR(INDEX('Daily 스피킹 raw'!$A:$ZZ, MATCH(AJ$2, 'Daily 스피킹 raw'!$A:$A, 0), MATCH($B22, 'Daily 스피킹 raw'!$1:$1, 0)), ""), IF(val=0, "", val))</f>
        <v>117</v>
      </c>
      <c r="AK22" s="44">
        <f t="array" ref="AK22">LET(val, IFERROR(INDEX('Daily 스피킹 raw'!$A:$ZZ, MATCH(AK$2, 'Daily 스피킹 raw'!$A:$A, 0), MATCH($B22, 'Daily 스피킹 raw'!$1:$1, 0)), ""), IF(val=0, "", val))</f>
        <v>152</v>
      </c>
      <c r="AL22" s="44">
        <f t="array" ref="AL22">LET(val, IFERROR(INDEX('Daily 스피킹 raw'!$A:$ZZ, MATCH(AL$2, 'Daily 스피킹 raw'!$A:$A, 0), MATCH($B22, 'Daily 스피킹 raw'!$1:$1, 0)), ""), IF(val=0, "", val))</f>
        <v>132</v>
      </c>
      <c r="AM22" s="44">
        <f t="array" ref="AM22">LET(val, IFERROR(INDEX('Daily 스피킹 raw'!$A:$ZZ, MATCH(AM$2, 'Daily 스피킹 raw'!$A:$A, 0), MATCH($B22, 'Daily 스피킹 raw'!$1:$1, 0)), ""), IF(val=0, "", val))</f>
        <v>166</v>
      </c>
      <c r="AN22" s="44">
        <f t="array" ref="AN22">LET(val, IFERROR(INDEX('Daily 스피킹 raw'!$A:$ZZ, MATCH(AN$2, 'Daily 스피킹 raw'!$A:$A, 0), MATCH($B22, 'Daily 스피킹 raw'!$1:$1, 0)), ""), IF(val=0, "", val))</f>
        <v>162</v>
      </c>
      <c r="AO22" s="44">
        <f t="array" ref="AO22">LET(val, IFERROR(INDEX('Daily 스피킹 raw'!$A:$ZZ, MATCH(AO$2, 'Daily 스피킹 raw'!$A:$A, 0), MATCH($B22, 'Daily 스피킹 raw'!$1:$1, 0)), ""), IF(val=0, "", val))</f>
        <v>165</v>
      </c>
      <c r="AP22" s="44">
        <f t="array" ref="AP22">LET(val, IFERROR(INDEX('Daily 스피킹 raw'!$A:$ZZ, MATCH(AP$2, 'Daily 스피킹 raw'!$A:$A, 0), MATCH($B22, 'Daily 스피킹 raw'!$1:$1, 0)), ""), IF(val=0, "", val))</f>
        <v>146</v>
      </c>
      <c r="AQ22" s="44">
        <f t="array" ref="AQ22">LET(val, IFERROR(INDEX('Daily 스피킹 raw'!$A:$ZZ, MATCH(AQ$2, 'Daily 스피킹 raw'!$A:$A, 0), MATCH($B22, 'Daily 스피킹 raw'!$1:$1, 0)), ""), IF(val=0, "", val))</f>
        <v>155</v>
      </c>
      <c r="AR22" s="44">
        <f t="array" ref="AR22">LET(val, IFERROR(INDEX('Daily 스피킹 raw'!$A:$ZZ, MATCH(AR$2, 'Daily 스피킹 raw'!$A:$A, 0), MATCH($B22, 'Daily 스피킹 raw'!$1:$1, 0)), ""), IF(val=0, "", val))</f>
        <v>148</v>
      </c>
      <c r="AS22" s="44">
        <f t="array" ref="AS22">LET(val, IFERROR(INDEX('Daily 스피킹 raw'!$A:$ZZ, MATCH(AS$2, 'Daily 스피킹 raw'!$A:$A, 0), MATCH($B22, 'Daily 스피킹 raw'!$1:$1, 0)), ""), IF(val=0, "", val))</f>
        <v>136</v>
      </c>
      <c r="AT22" s="44">
        <f t="array" ref="AT22">LET(val, IFERROR(INDEX('Daily 스피킹 raw'!$A:$ZZ, MATCH(AT$2, 'Daily 스피킹 raw'!$A:$A, 0), MATCH($B22, 'Daily 스피킹 raw'!$1:$1, 0)), ""), IF(val=0, "", val))</f>
        <v>127</v>
      </c>
      <c r="AU22" s="44">
        <f t="array" ref="AU22">LET(val, IFERROR(INDEX('Daily 스피킹 raw'!$A:$ZZ, MATCH(AU$2, 'Daily 스피킹 raw'!$A:$A, 0), MATCH($B22, 'Daily 스피킹 raw'!$1:$1, 0)), ""), IF(val=0, "", val))</f>
        <v>145</v>
      </c>
      <c r="AV22" s="44">
        <f t="array" ref="AV22">LET(val, IFERROR(INDEX('Daily 스피킹 raw'!$A:$ZZ, MATCH(AV$2, 'Daily 스피킹 raw'!$A:$A, 0), MATCH($B22, 'Daily 스피킹 raw'!$1:$1, 0)), ""), IF(val=0, "", val))</f>
        <v>110</v>
      </c>
      <c r="AW22" s="44">
        <f t="array" ref="AW22">LET(val, IFERROR(INDEX('Daily 스피킹 raw'!$A:$ZZ, MATCH(AW$2, 'Daily 스피킹 raw'!$A:$A, 0), MATCH($B22, 'Daily 스피킹 raw'!$1:$1, 0)), ""), IF(val=0, "", val))</f>
        <v>121</v>
      </c>
      <c r="AX22" s="44">
        <f t="array" ref="AX22">LET(val, IFERROR(INDEX('Daily 스피킹 raw'!$A:$ZZ, MATCH(AX$2, 'Daily 스피킹 raw'!$A:$A, 0), MATCH($B22, 'Daily 스피킹 raw'!$1:$1, 0)), ""), IF(val=0, "", val))</f>
        <v>188</v>
      </c>
      <c r="AY22" s="44">
        <f t="array" ref="AY22">LET(val, IFERROR(INDEX('Daily 스피킹 raw'!$A:$ZZ, MATCH(AY$2, 'Daily 스피킹 raw'!$A:$A, 0), MATCH($B22, 'Daily 스피킹 raw'!$1:$1, 0)), ""), IF(val=0, "", val))</f>
        <v>162</v>
      </c>
      <c r="AZ22" s="44">
        <f t="array" ref="AZ22">LET(val, IFERROR(INDEX('Daily 스피킹 raw'!$A:$ZZ, MATCH(AZ$2, 'Daily 스피킹 raw'!$A:$A, 0), MATCH($B22, 'Daily 스피킹 raw'!$1:$1, 0)), ""), IF(val=0, "", val))</f>
        <v>114</v>
      </c>
      <c r="BA22" s="44">
        <f t="array" ref="BA22">LET(val, IFERROR(INDEX('Daily 스피킹 raw'!$A:$ZZ, MATCH(BA$2, 'Daily 스피킹 raw'!$A:$A, 0), MATCH($B22, 'Daily 스피킹 raw'!$1:$1, 0)), ""), IF(val=0, "", val))</f>
        <v>180</v>
      </c>
      <c r="BB22" s="44">
        <f t="array" ref="BB22">LET(val, IFERROR(INDEX('Daily 스피킹 raw'!$A:$ZZ, MATCH(BB$2, 'Daily 스피킹 raw'!$A:$A, 0), MATCH($B22, 'Daily 스피킹 raw'!$1:$1, 0)), ""), IF(val=0, "", val))</f>
        <v>101</v>
      </c>
      <c r="BC22" s="44">
        <f t="array" ref="BC22">LET(val, IFERROR(INDEX('Daily 스피킹 raw'!$A:$ZZ, MATCH(BC$2, 'Daily 스피킹 raw'!$A:$A, 0), MATCH($B22, 'Daily 스피킹 raw'!$1:$1, 0)), ""), IF(val=0, "", val))</f>
        <v>74</v>
      </c>
      <c r="BD22" s="44">
        <f t="array" ref="BD22">LET(val, IFERROR(INDEX('Daily 스피킹 raw'!$A:$ZZ, MATCH(BD$2, 'Daily 스피킹 raw'!$A:$A, 0), MATCH($B22, 'Daily 스피킹 raw'!$1:$1, 0)), ""), IF(val=0, "", val))</f>
        <v>69</v>
      </c>
      <c r="BE22" s="44">
        <f t="array" ref="BE22">LET(val, IFERROR(INDEX('Daily 스피킹 raw'!$A:$ZZ, MATCH(BE$2, 'Daily 스피킹 raw'!$A:$A, 0), MATCH($B22, 'Daily 스피킹 raw'!$1:$1, 0)), ""), IF(val=0, "", val))</f>
        <v>65</v>
      </c>
      <c r="BF22" s="44">
        <f t="array" ref="BF22">LET(val, IFERROR(INDEX('Daily 스피킹 raw'!$A:$ZZ, MATCH(BF$2, 'Daily 스피킹 raw'!$A:$A, 0), MATCH($B22, 'Daily 스피킹 raw'!$1:$1, 0)), ""), IF(val=0, "", val))</f>
        <v>51</v>
      </c>
      <c r="BG22" s="44">
        <f t="array" ref="BG22">LET(val, IFERROR(INDEX('Daily 스피킹 raw'!$A:$ZZ, MATCH(BG$2, 'Daily 스피킹 raw'!$A:$A, 0), MATCH($B22, 'Daily 스피킹 raw'!$1:$1, 0)), ""), IF(val=0, "", val))</f>
        <v>62</v>
      </c>
      <c r="BH22" s="44">
        <f t="array" ref="BH22">LET(val, IFERROR(INDEX('Daily 스피킹 raw'!$A:$ZZ, MATCH(BH$2, 'Daily 스피킹 raw'!$A:$A, 0), MATCH($B22, 'Daily 스피킹 raw'!$1:$1, 0)), ""), IF(val=0, "", val))</f>
        <v>56</v>
      </c>
      <c r="BI22" s="44">
        <f t="array" ref="BI22">LET(val, IFERROR(INDEX('Daily 스피킹 raw'!$A:$ZZ, MATCH(BI$2, 'Daily 스피킹 raw'!$A:$A, 0), MATCH($B22, 'Daily 스피킹 raw'!$1:$1, 0)), ""), IF(val=0, "", val))</f>
        <v>71</v>
      </c>
      <c r="BJ22" s="44">
        <f t="array" ref="BJ22">LET(val, IFERROR(INDEX('Daily 스피킹 raw'!$A:$ZZ, MATCH(BJ$2, 'Daily 스피킹 raw'!$A:$A, 0), MATCH($B22, 'Daily 스피킹 raw'!$1:$1, 0)), ""), IF(val=0, "", val))</f>
        <v>57</v>
      </c>
      <c r="BK22" s="44">
        <f t="array" ref="BK22">LET(val, IFERROR(INDEX('Daily 스피킹 raw'!$A:$ZZ, MATCH(BK$2, 'Daily 스피킹 raw'!$A:$A, 0), MATCH($B22, 'Daily 스피킹 raw'!$1:$1, 0)), ""), IF(val=0, "", val))</f>
        <v>51</v>
      </c>
      <c r="BL22" s="44">
        <f t="array" ref="BL22">LET(val, IFERROR(INDEX('Daily 스피킹 raw'!$A:$ZZ, MATCH(BL$2, 'Daily 스피킹 raw'!$A:$A, 0), MATCH($B22, 'Daily 스피킹 raw'!$1:$1, 0)), ""), IF(val=0, "", val))</f>
        <v>63</v>
      </c>
      <c r="BM22" s="44" t="str">
        <f t="array" ref="BM22">LET(val, IFERROR(INDEX('Daily 스피킹 raw'!$A:$ZZ, MATCH(BM$2, 'Daily 스피킹 raw'!$A:$A, 0), MATCH($B22, 'Daily 스피킹 raw'!$1:$1, 0)), ""), IF(val=0, "", val))</f>
        <v/>
      </c>
      <c r="BN22" s="44" t="str">
        <f t="array" ref="BN22">LET(val, IFERROR(INDEX('Daily 스피킹 raw'!$A:$ZZ, MATCH(BN$2, 'Daily 스피킹 raw'!$A:$A, 0), MATCH($B22, 'Daily 스피킹 raw'!$1:$1, 0)), ""), IF(val=0, "", val))</f>
        <v/>
      </c>
      <c r="BO22" s="44" t="str">
        <f t="array" ref="BO22">LET(val, IFERROR(INDEX('Daily 스피킹 raw'!$A:$ZZ, MATCH(BO$2, 'Daily 스피킹 raw'!$A:$A, 0), MATCH($B22, 'Daily 스피킹 raw'!$1:$1, 0)), ""), IF(val=0, "", val))</f>
        <v/>
      </c>
      <c r="BP22" s="44" t="str">
        <f t="array" ref="BP22">LET(val, IFERROR(INDEX('Daily 스피킹 raw'!$A:$ZZ, MATCH(BP$2, 'Daily 스피킹 raw'!$A:$A, 0), MATCH($B22, 'Daily 스피킹 raw'!$1:$1, 0)), ""), IF(val=0, "", val))</f>
        <v/>
      </c>
      <c r="BQ22" s="44" t="str">
        <f t="array" ref="BQ22">LET(val, IFERROR(INDEX('Daily 스피킹 raw'!$A:$ZZ, MATCH(BQ$2, 'Daily 스피킹 raw'!$A:$A, 0), MATCH($B22, 'Daily 스피킹 raw'!$1:$1, 0)), ""), IF(val=0, "", val))</f>
        <v/>
      </c>
      <c r="BR22" s="44" t="str">
        <f t="array" ref="BR22">LET(val, IFERROR(INDEX('Daily 스피킹 raw'!$A:$ZZ, MATCH(BR$2, 'Daily 스피킹 raw'!$A:$A, 0), MATCH($B22, 'Daily 스피킹 raw'!$1:$1, 0)), ""), IF(val=0, "", val))</f>
        <v/>
      </c>
      <c r="BS22" s="44" t="str">
        <f t="array" ref="BS22">LET(val, IFERROR(INDEX('Daily 스피킹 raw'!$A:$ZZ, MATCH(BS$2, 'Daily 스피킹 raw'!$A:$A, 0), MATCH($B22, 'Daily 스피킹 raw'!$1:$1, 0)), ""), IF(val=0, "", val))</f>
        <v/>
      </c>
      <c r="BT22" s="44" t="str">
        <f t="array" ref="BT22">LET(val, IFERROR(INDEX('Daily 스피킹 raw'!$A:$ZZ, MATCH(BT$2, 'Daily 스피킹 raw'!$A:$A, 0), MATCH($B22, 'Daily 스피킹 raw'!$1:$1, 0)), ""), IF(val=0, "", val))</f>
        <v/>
      </c>
      <c r="BU22" s="44" t="str">
        <f t="array" ref="BU22">LET(val, IFERROR(INDEX('Daily 스피킹 raw'!$A:$ZZ, MATCH(BU$2, 'Daily 스피킹 raw'!$A:$A, 0), MATCH($B22, 'Daily 스피킹 raw'!$1:$1, 0)), ""), IF(val=0, "", val))</f>
        <v/>
      </c>
      <c r="BV22" s="44" t="str">
        <f t="array" ref="BV22">LET(val, IFERROR(INDEX('Daily 스피킹 raw'!$A:$ZZ, MATCH(BV$2, 'Daily 스피킹 raw'!$A:$A, 0), MATCH($B22, 'Daily 스피킹 raw'!$1:$1, 0)), ""), IF(val=0, "", val))</f>
        <v/>
      </c>
      <c r="BW22" s="44" t="str">
        <f t="array" ref="BW22">LET(val, IFERROR(INDEX('Daily 스피킹 raw'!$A:$ZZ, MATCH(BW$2, 'Daily 스피킹 raw'!$A:$A, 0), MATCH($B22, 'Daily 스피킹 raw'!$1:$1, 0)), ""), IF(val=0, "", val))</f>
        <v/>
      </c>
      <c r="BX22" s="44" t="str">
        <f t="array" ref="BX22">LET(val, IFERROR(INDEX('Daily 스피킹 raw'!$A:$ZZ, MATCH(BX$2, 'Daily 스피킹 raw'!$A:$A, 0), MATCH($B22, 'Daily 스피킹 raw'!$1:$1, 0)), ""), IF(val=0, "", val))</f>
        <v/>
      </c>
      <c r="BY22" s="44" t="str">
        <f t="array" ref="BY22">LET(val, IFERROR(INDEX('Daily 스피킹 raw'!$A:$ZZ, MATCH(BY$2, 'Daily 스피킹 raw'!$A:$A, 0), MATCH($B22, 'Daily 스피킹 raw'!$1:$1, 0)), ""), IF(val=0, "", val))</f>
        <v/>
      </c>
      <c r="BZ22" s="44" t="str">
        <f t="array" ref="BZ22">LET(val, IFERROR(INDEX('Daily 스피킹 raw'!$A:$ZZ, MATCH(BZ$2, 'Daily 스피킹 raw'!$A:$A, 0), MATCH($B22, 'Daily 스피킹 raw'!$1:$1, 0)), ""), IF(val=0, "", val))</f>
        <v/>
      </c>
      <c r="CA22" s="44" t="str">
        <f t="array" ref="CA22">LET(val, IFERROR(INDEX('Daily 스피킹 raw'!$A:$ZZ, MATCH(CA$2, 'Daily 스피킹 raw'!$A:$A, 0), MATCH($B22, 'Daily 스피킹 raw'!$1:$1, 0)), ""), IF(val=0, "", val))</f>
        <v/>
      </c>
      <c r="CB22" s="44" t="str">
        <f t="array" ref="CB22">LET(val, IFERROR(INDEX('Daily 스피킹 raw'!$A:$ZZ, MATCH(CB$2, 'Daily 스피킹 raw'!$A:$A, 0), MATCH($B22, 'Daily 스피킹 raw'!$1:$1, 0)), ""), IF(val=0, "", val))</f>
        <v/>
      </c>
      <c r="CC22" s="44" t="str">
        <f t="array" ref="CC22">LET(val, IFERROR(INDEX('Daily 스피킹 raw'!$A:$ZZ, MATCH(CC$2, 'Daily 스피킹 raw'!$A:$A, 0), MATCH($B22, 'Daily 스피킹 raw'!$1:$1, 0)), ""), IF(val=0, "", val))</f>
        <v/>
      </c>
      <c r="CD22" s="44" t="str">
        <f t="array" ref="CD22">LET(val, IFERROR(INDEX('Daily 스피킹 raw'!$A:$ZZ, MATCH(CD$2, 'Daily 스피킹 raw'!$A:$A, 0), MATCH($B22, 'Daily 스피킹 raw'!$1:$1, 0)), ""), IF(val=0, "", val))</f>
        <v/>
      </c>
      <c r="CE22" s="44" t="str">
        <f t="array" ref="CE22">LET(val, IFERROR(INDEX('Daily 스피킹 raw'!$A:$ZZ, MATCH(CE$2, 'Daily 스피킹 raw'!$A:$A, 0), MATCH($B22, 'Daily 스피킹 raw'!$1:$1, 0)), ""), IF(val=0, "", val))</f>
        <v/>
      </c>
      <c r="CF22" s="44" t="str">
        <f t="array" ref="CF22">LET(val, IFERROR(INDEX('Daily 스피킹 raw'!$A:$ZZ, MATCH(CF$2, 'Daily 스피킹 raw'!$A:$A, 0), MATCH($B22, 'Daily 스피킹 raw'!$1:$1, 0)), ""), IF(val=0, "", val))</f>
        <v/>
      </c>
      <c r="CG22" s="44" t="str">
        <f t="array" ref="CG22">LET(val, IFERROR(INDEX('Daily 스피킹 raw'!$A:$ZZ, MATCH(CG$2, 'Daily 스피킹 raw'!$A:$A, 0), MATCH($B22, 'Daily 스피킹 raw'!$1:$1, 0)), ""), IF(val=0, "", val))</f>
        <v/>
      </c>
      <c r="CH22" s="44" t="str">
        <f t="array" ref="CH22">LET(val, IFERROR(INDEX('Daily 스피킹 raw'!$A:$ZZ, MATCH(CH$2, 'Daily 스피킹 raw'!$A:$A, 0), MATCH($B22, 'Daily 스피킹 raw'!$1:$1, 0)), ""), IF(val=0, "", val))</f>
        <v/>
      </c>
      <c r="CI22" s="44" t="str">
        <f t="array" ref="CI22">LET(val, IFERROR(INDEX('Daily 스피킹 raw'!$A:$ZZ, MATCH(CI$2, 'Daily 스피킹 raw'!$A:$A, 0), MATCH($B22, 'Daily 스피킹 raw'!$1:$1, 0)), ""), IF(val=0, "", val))</f>
        <v/>
      </c>
      <c r="CJ22" s="44" t="str">
        <f t="array" ref="CJ22">LET(val, IFERROR(INDEX('Daily 스피킹 raw'!$A:$ZZ, MATCH(CJ$2, 'Daily 스피킹 raw'!$A:$A, 0), MATCH($B22, 'Daily 스피킹 raw'!$1:$1, 0)), ""), IF(val=0, "", val))</f>
        <v/>
      </c>
      <c r="CK22" s="44" t="str">
        <f t="array" ref="CK22">LET(val, IFERROR(INDEX('Daily 스피킹 raw'!$A:$ZZ, MATCH(CK$2, 'Daily 스피킹 raw'!$A:$A, 0), MATCH($B22, 'Daily 스피킹 raw'!$1:$1, 0)), ""), IF(val=0, "", val))</f>
        <v/>
      </c>
      <c r="CL22" s="44" t="str">
        <f t="array" ref="CL22">LET(val, IFERROR(INDEX('Daily 스피킹 raw'!$A:$ZZ, MATCH(CL$2, 'Daily 스피킹 raw'!$A:$A, 0), MATCH($B22, 'Daily 스피킹 raw'!$1:$1, 0)), ""), IF(val=0, "", val))</f>
        <v/>
      </c>
      <c r="CM22" s="44" t="str">
        <f t="array" ref="CM22">LET(val, IFERROR(INDEX('Daily 스피킹 raw'!$A:$ZZ, MATCH(CM$2, 'Daily 스피킹 raw'!$A:$A, 0), MATCH($B22, 'Daily 스피킹 raw'!$1:$1, 0)), ""), IF(val=0, "", val))</f>
        <v/>
      </c>
      <c r="CN22" s="44" t="str">
        <f t="array" ref="CN22">LET(val, IFERROR(INDEX('Daily 스피킹 raw'!$A:$ZZ, MATCH(CN$2, 'Daily 스피킹 raw'!$A:$A, 0), MATCH($B22, 'Daily 스피킹 raw'!$1:$1, 0)), ""), IF(val=0, "", val))</f>
        <v/>
      </c>
      <c r="CO22" s="44" t="str">
        <f t="array" ref="CO22">LET(val, IFERROR(INDEX('Daily 스피킹 raw'!$A:$ZZ, MATCH(CO$2, 'Daily 스피킹 raw'!$A:$A, 0), MATCH($B22, 'Daily 스피킹 raw'!$1:$1, 0)), ""), IF(val=0, "", val))</f>
        <v/>
      </c>
      <c r="CP22" s="44" t="str">
        <f t="array" ref="CP22">LET(val, IFERROR(INDEX('Daily 스피킹 raw'!$A:$ZZ, MATCH(CP$2, 'Daily 스피킹 raw'!$A:$A, 0), MATCH($B22, 'Daily 스피킹 raw'!$1:$1, 0)), ""), IF(val=0, "", val))</f>
        <v/>
      </c>
      <c r="CQ22" s="44" t="str">
        <f t="array" ref="CQ22">LET(val, IFERROR(INDEX('Daily 스피킹 raw'!$A:$ZZ, MATCH(CQ$2, 'Daily 스피킹 raw'!$A:$A, 0), MATCH($B22, 'Daily 스피킹 raw'!$1:$1, 0)), ""), IF(val=0, "", val))</f>
        <v/>
      </c>
      <c r="CR22" s="44" t="str">
        <f t="array" ref="CR22">LET(val, IFERROR(INDEX('Daily 스피킹 raw'!$A:$ZZ, MATCH(CR$2, 'Daily 스피킹 raw'!$A:$A, 0), MATCH($B22, 'Daily 스피킹 raw'!$1:$1, 0)), ""), IF(val=0, "", val))</f>
        <v/>
      </c>
      <c r="CS22" s="44" t="str">
        <f t="array" ref="CS22">LET(val, IFERROR(INDEX('Daily 스피킹 raw'!$A:$ZZ, MATCH(CS$2, 'Daily 스피킹 raw'!$A:$A, 0), MATCH($B22, 'Daily 스피킹 raw'!$1:$1, 0)), ""), IF(val=0, "", val))</f>
        <v/>
      </c>
      <c r="CT22" s="44" t="str">
        <f t="array" ref="CT22">LET(val, IFERROR(INDEX('Daily 스피킹 raw'!$A:$ZZ, MATCH(CT$2, 'Daily 스피킹 raw'!$A:$A, 0), MATCH($B22, 'Daily 스피킹 raw'!$1:$1, 0)), ""), IF(val=0, "", val))</f>
        <v/>
      </c>
      <c r="CU22" s="44" t="str">
        <f t="array" ref="CU22">LET(val, IFERROR(INDEX('Daily 스피킹 raw'!$A:$ZZ, MATCH(CU$2, 'Daily 스피킹 raw'!$A:$A, 0), MATCH($B22, 'Daily 스피킹 raw'!$1:$1, 0)), ""), IF(val=0, "", val))</f>
        <v/>
      </c>
      <c r="CV22" s="44" t="str">
        <f t="array" ref="CV22">LET(val, IFERROR(INDEX('Daily 스피킹 raw'!$A:$ZZ, MATCH(CV$2, 'Daily 스피킹 raw'!$A:$A, 0), MATCH($B22, 'Daily 스피킹 raw'!$1:$1, 0)), ""), IF(val=0, "", val))</f>
        <v/>
      </c>
      <c r="CW22" s="44" t="str">
        <f t="array" ref="CW22">LET(val, IFERROR(INDEX('Daily 스피킹 raw'!$A:$ZZ, MATCH(CW$2, 'Daily 스피킹 raw'!$A:$A, 0), MATCH($B22, 'Daily 스피킹 raw'!$1:$1, 0)), ""), IF(val=0, "", val))</f>
        <v/>
      </c>
    </row>
    <row r="23" ht="22.5" customHeight="1">
      <c r="A23" s="17"/>
      <c r="B23" s="16" t="s">
        <v>46</v>
      </c>
      <c r="C23" s="17" t="s">
        <v>47</v>
      </c>
      <c r="D23" s="44">
        <f t="array" ref="D23">LET(val, IFERROR(INDEX('Daily 스피킹 raw'!$A:$ZZ, MATCH(D$2, 'Daily 스피킹 raw'!$A:$A, 0), MATCH($B23, 'Daily 스피킹 raw'!$1:$1, 0)), ""), IF(val=0, "", val))</f>
        <v>45</v>
      </c>
      <c r="E23" s="44">
        <f t="array" ref="E23">LET(val, IFERROR(INDEX('Daily 스피킹 raw'!$A:$ZZ, MATCH(E$2, 'Daily 스피킹 raw'!$A:$A, 0), MATCH($B23, 'Daily 스피킹 raw'!$1:$1, 0)), ""), IF(val=0, "", val))</f>
        <v>50</v>
      </c>
      <c r="F23" s="44">
        <f t="array" ref="F23">LET(val, IFERROR(INDEX('Daily 스피킹 raw'!$A:$ZZ, MATCH(F$2, 'Daily 스피킹 raw'!$A:$A, 0), MATCH($B23, 'Daily 스피킹 raw'!$1:$1, 0)), ""), IF(val=0, "", val))</f>
        <v>54</v>
      </c>
      <c r="G23" s="44">
        <f t="array" ref="G23">LET(val, IFERROR(INDEX('Daily 스피킹 raw'!$A:$ZZ, MATCH(G$2, 'Daily 스피킹 raw'!$A:$A, 0), MATCH($B23, 'Daily 스피킹 raw'!$1:$1, 0)), ""), IF(val=0, "", val))</f>
        <v>49</v>
      </c>
      <c r="H23" s="44">
        <f t="array" ref="H23">LET(val, IFERROR(INDEX('Daily 스피킹 raw'!$A:$ZZ, MATCH(H$2, 'Daily 스피킹 raw'!$A:$A, 0), MATCH($B23, 'Daily 스피킹 raw'!$1:$1, 0)), ""), IF(val=0, "", val))</f>
        <v>89</v>
      </c>
      <c r="I23" s="44">
        <f t="array" ref="I23">LET(val, IFERROR(INDEX('Daily 스피킹 raw'!$A:$ZZ, MATCH(I$2, 'Daily 스피킹 raw'!$A:$A, 0), MATCH($B23, 'Daily 스피킹 raw'!$1:$1, 0)), ""), IF(val=0, "", val))</f>
        <v>60</v>
      </c>
      <c r="J23" s="44">
        <f t="array" ref="J23">LET(val, IFERROR(INDEX('Daily 스피킹 raw'!$A:$ZZ, MATCH(J$2, 'Daily 스피킹 raw'!$A:$A, 0), MATCH($B23, 'Daily 스피킹 raw'!$1:$1, 0)), ""), IF(val=0, "", val))</f>
        <v>86</v>
      </c>
      <c r="K23" s="44">
        <f t="array" ref="K23">LET(val, IFERROR(INDEX('Daily 스피킹 raw'!$A:$ZZ, MATCH(K$2, 'Daily 스피킹 raw'!$A:$A, 0), MATCH($B23, 'Daily 스피킹 raw'!$1:$1, 0)), ""), IF(val=0, "", val))</f>
        <v>85</v>
      </c>
      <c r="L23" s="44">
        <f t="array" ref="L23">LET(val, IFERROR(INDEX('Daily 스피킹 raw'!$A:$ZZ, MATCH(L$2, 'Daily 스피킹 raw'!$A:$A, 0), MATCH($B23, 'Daily 스피킹 raw'!$1:$1, 0)), ""), IF(val=0, "", val))</f>
        <v>122</v>
      </c>
      <c r="M23" s="44">
        <f t="array" ref="M23">LET(val, IFERROR(INDEX('Daily 스피킹 raw'!$A:$ZZ, MATCH(M$2, 'Daily 스피킹 raw'!$A:$A, 0), MATCH($B23, 'Daily 스피킹 raw'!$1:$1, 0)), ""), IF(val=0, "", val))</f>
        <v>113</v>
      </c>
      <c r="N23" s="44">
        <f t="array" ref="N23">LET(val, IFERROR(INDEX('Daily 스피킹 raw'!$A:$ZZ, MATCH(N$2, 'Daily 스피킹 raw'!$A:$A, 0), MATCH($B23, 'Daily 스피킹 raw'!$1:$1, 0)), ""), IF(val=0, "", val))</f>
        <v>79</v>
      </c>
      <c r="O23" s="44">
        <f t="array" ref="O23">LET(val, IFERROR(INDEX('Daily 스피킹 raw'!$A:$ZZ, MATCH(O$2, 'Daily 스피킹 raw'!$A:$A, 0), MATCH($B23, 'Daily 스피킹 raw'!$1:$1, 0)), ""), IF(val=0, "", val))</f>
        <v>82</v>
      </c>
      <c r="P23" s="44">
        <f t="array" ref="P23">LET(val, IFERROR(INDEX('Daily 스피킹 raw'!$A:$ZZ, MATCH(P$2, 'Daily 스피킹 raw'!$A:$A, 0), MATCH($B23, 'Daily 스피킹 raw'!$1:$1, 0)), ""), IF(val=0, "", val))</f>
        <v>86</v>
      </c>
      <c r="Q23" s="44">
        <f t="array" ref="Q23">LET(val, IFERROR(INDEX('Daily 스피킹 raw'!$A:$ZZ, MATCH(Q$2, 'Daily 스피킹 raw'!$A:$A, 0), MATCH($B23, 'Daily 스피킹 raw'!$1:$1, 0)), ""), IF(val=0, "", val))</f>
        <v>92</v>
      </c>
      <c r="R23" s="44">
        <f t="array" ref="R23">LET(val, IFERROR(INDEX('Daily 스피킹 raw'!$A:$ZZ, MATCH(R$2, 'Daily 스피킹 raw'!$A:$A, 0), MATCH($B23, 'Daily 스피킹 raw'!$1:$1, 0)), ""), IF(val=0, "", val))</f>
        <v>81</v>
      </c>
      <c r="S23" s="44">
        <f t="array" ref="S23">LET(val, IFERROR(INDEX('Daily 스피킹 raw'!$A:$ZZ, MATCH(S$2, 'Daily 스피킹 raw'!$A:$A, 0), MATCH($B23, 'Daily 스피킹 raw'!$1:$1, 0)), ""), IF(val=0, "", val))</f>
        <v>78</v>
      </c>
      <c r="T23" s="44">
        <f t="array" ref="T23">LET(val, IFERROR(INDEX('Daily 스피킹 raw'!$A:$ZZ, MATCH(T$2, 'Daily 스피킹 raw'!$A:$A, 0), MATCH($B23, 'Daily 스피킹 raw'!$1:$1, 0)), ""), IF(val=0, "", val))</f>
        <v>71</v>
      </c>
      <c r="U23" s="44">
        <f t="array" ref="U23">LET(val, IFERROR(INDEX('Daily 스피킹 raw'!$A:$ZZ, MATCH(U$2, 'Daily 스피킹 raw'!$A:$A, 0), MATCH($B23, 'Daily 스피킹 raw'!$1:$1, 0)), ""), IF(val=0, "", val))</f>
        <v>61</v>
      </c>
      <c r="V23" s="44">
        <f t="array" ref="V23">LET(val, IFERROR(INDEX('Daily 스피킹 raw'!$A:$ZZ, MATCH(V$2, 'Daily 스피킹 raw'!$A:$A, 0), MATCH($B23, 'Daily 스피킹 raw'!$1:$1, 0)), ""), IF(val=0, "", val))</f>
        <v>75</v>
      </c>
      <c r="W23" s="44">
        <f t="array" ref="W23">LET(val, IFERROR(INDEX('Daily 스피킹 raw'!$A:$ZZ, MATCH(W$2, 'Daily 스피킹 raw'!$A:$A, 0), MATCH($B23, 'Daily 스피킹 raw'!$1:$1, 0)), ""), IF(val=0, "", val))</f>
        <v>75</v>
      </c>
      <c r="X23" s="44">
        <f t="array" ref="X23">LET(val, IFERROR(INDEX('Daily 스피킹 raw'!$A:$ZZ, MATCH(X$2, 'Daily 스피킹 raw'!$A:$A, 0), MATCH($B23, 'Daily 스피킹 raw'!$1:$1, 0)), ""), IF(val=0, "", val))</f>
        <v>74</v>
      </c>
      <c r="Y23" s="44">
        <f t="array" ref="Y23">LET(val, IFERROR(INDEX('Daily 스피킹 raw'!$A:$ZZ, MATCH(Y$2, 'Daily 스피킹 raw'!$A:$A, 0), MATCH($B23, 'Daily 스피킹 raw'!$1:$1, 0)), ""), IF(val=0, "", val))</f>
        <v>65</v>
      </c>
      <c r="Z23" s="44">
        <f t="array" ref="Z23">LET(val, IFERROR(INDEX('Daily 스피킹 raw'!$A:$ZZ, MATCH(Z$2, 'Daily 스피킹 raw'!$A:$A, 0), MATCH($B23, 'Daily 스피킹 raw'!$1:$1, 0)), ""), IF(val=0, "", val))</f>
        <v>83</v>
      </c>
      <c r="AA23" s="44">
        <f t="array" ref="AA23">LET(val, IFERROR(INDEX('Daily 스피킹 raw'!$A:$ZZ, MATCH(AA$2, 'Daily 스피킹 raw'!$A:$A, 0), MATCH($B23, 'Daily 스피킹 raw'!$1:$1, 0)), ""), IF(val=0, "", val))</f>
        <v>83</v>
      </c>
      <c r="AB23" s="44">
        <f t="array" ref="AB23">LET(val, IFERROR(INDEX('Daily 스피킹 raw'!$A:$ZZ, MATCH(AB$2, 'Daily 스피킹 raw'!$A:$A, 0), MATCH($B23, 'Daily 스피킹 raw'!$1:$1, 0)), ""), IF(val=0, "", val))</f>
        <v>95</v>
      </c>
      <c r="AC23" s="44">
        <f t="array" ref="AC23">LET(val, IFERROR(INDEX('Daily 스피킹 raw'!$A:$ZZ, MATCH(AC$2, 'Daily 스피킹 raw'!$A:$A, 0), MATCH($B23, 'Daily 스피킹 raw'!$1:$1, 0)), ""), IF(val=0, "", val))</f>
        <v>83</v>
      </c>
      <c r="AD23" s="44">
        <f t="array" ref="AD23">LET(val, IFERROR(INDEX('Daily 스피킹 raw'!$A:$ZZ, MATCH(AD$2, 'Daily 스피킹 raw'!$A:$A, 0), MATCH($B23, 'Daily 스피킹 raw'!$1:$1, 0)), ""), IF(val=0, "", val))</f>
        <v>61</v>
      </c>
      <c r="AE23" s="44">
        <f t="array" ref="AE23">LET(val, IFERROR(INDEX('Daily 스피킹 raw'!$A:$ZZ, MATCH(AE$2, 'Daily 스피킹 raw'!$A:$A, 0), MATCH($B23, 'Daily 스피킹 raw'!$1:$1, 0)), ""), IF(val=0, "", val))</f>
        <v>72</v>
      </c>
      <c r="AF23" s="44">
        <f t="array" ref="AF23">LET(val, IFERROR(INDEX('Daily 스피킹 raw'!$A:$ZZ, MATCH(AF$2, 'Daily 스피킹 raw'!$A:$A, 0), MATCH($B23, 'Daily 스피킹 raw'!$1:$1, 0)), ""), IF(val=0, "", val))</f>
        <v>78</v>
      </c>
      <c r="AG23" s="44">
        <f t="array" ref="AG23">LET(val, IFERROR(INDEX('Daily 스피킹 raw'!$A:$ZZ, MATCH(AG$2, 'Daily 스피킹 raw'!$A:$A, 0), MATCH($B23, 'Daily 스피킹 raw'!$1:$1, 0)), ""), IF(val=0, "", val))</f>
        <v>81</v>
      </c>
      <c r="AH23" s="44">
        <f t="array" ref="AH23">LET(val, IFERROR(INDEX('Daily 스피킹 raw'!$A:$ZZ, MATCH(AH$2, 'Daily 스피킹 raw'!$A:$A, 0), MATCH($B23, 'Daily 스피킹 raw'!$1:$1, 0)), ""), IF(val=0, "", val))</f>
        <v>81</v>
      </c>
      <c r="AI23" s="44">
        <f t="array" ref="AI23">LET(val, IFERROR(INDEX('Daily 스피킹 raw'!$A:$ZZ, MATCH(AI$2, 'Daily 스피킹 raw'!$A:$A, 0), MATCH($B23, 'Daily 스피킹 raw'!$1:$1, 0)), ""), IF(val=0, "", val))</f>
        <v>54</v>
      </c>
      <c r="AJ23" s="44">
        <f t="array" ref="AJ23">LET(val, IFERROR(INDEX('Daily 스피킹 raw'!$A:$ZZ, MATCH(AJ$2, 'Daily 스피킹 raw'!$A:$A, 0), MATCH($B23, 'Daily 스피킹 raw'!$1:$1, 0)), ""), IF(val=0, "", val))</f>
        <v>69</v>
      </c>
      <c r="AK23" s="44">
        <f t="array" ref="AK23">LET(val, IFERROR(INDEX('Daily 스피킹 raw'!$A:$ZZ, MATCH(AK$2, 'Daily 스피킹 raw'!$A:$A, 0), MATCH($B23, 'Daily 스피킹 raw'!$1:$1, 0)), ""), IF(val=0, "", val))</f>
        <v>87</v>
      </c>
      <c r="AL23" s="44">
        <f t="array" ref="AL23">LET(val, IFERROR(INDEX('Daily 스피킹 raw'!$A:$ZZ, MATCH(AL$2, 'Daily 스피킹 raw'!$A:$A, 0), MATCH($B23, 'Daily 스피킹 raw'!$1:$1, 0)), ""), IF(val=0, "", val))</f>
        <v>82</v>
      </c>
      <c r="AM23" s="44">
        <f t="array" ref="AM23">LET(val, IFERROR(INDEX('Daily 스피킹 raw'!$A:$ZZ, MATCH(AM$2, 'Daily 스피킹 raw'!$A:$A, 0), MATCH($B23, 'Daily 스피킹 raw'!$1:$1, 0)), ""), IF(val=0, "", val))</f>
        <v>107</v>
      </c>
      <c r="AN23" s="44">
        <f t="array" ref="AN23">LET(val, IFERROR(INDEX('Daily 스피킹 raw'!$A:$ZZ, MATCH(AN$2, 'Daily 스피킹 raw'!$A:$A, 0), MATCH($B23, 'Daily 스피킹 raw'!$1:$1, 0)), ""), IF(val=0, "", val))</f>
        <v>93</v>
      </c>
      <c r="AO23" s="44">
        <f t="array" ref="AO23">LET(val, IFERROR(INDEX('Daily 스피킹 raw'!$A:$ZZ, MATCH(AO$2, 'Daily 스피킹 raw'!$A:$A, 0), MATCH($B23, 'Daily 스피킹 raw'!$1:$1, 0)), ""), IF(val=0, "", val))</f>
        <v>101</v>
      </c>
      <c r="AP23" s="44">
        <f t="array" ref="AP23">LET(val, IFERROR(INDEX('Daily 스피킹 raw'!$A:$ZZ, MATCH(AP$2, 'Daily 스피킹 raw'!$A:$A, 0), MATCH($B23, 'Daily 스피킹 raw'!$1:$1, 0)), ""), IF(val=0, "", val))</f>
        <v>88</v>
      </c>
      <c r="AQ23" s="44">
        <f t="array" ref="AQ23">LET(val, IFERROR(INDEX('Daily 스피킹 raw'!$A:$ZZ, MATCH(AQ$2, 'Daily 스피킹 raw'!$A:$A, 0), MATCH($B23, 'Daily 스피킹 raw'!$1:$1, 0)), ""), IF(val=0, "", val))</f>
        <v>79</v>
      </c>
      <c r="AR23" s="44">
        <f t="array" ref="AR23">LET(val, IFERROR(INDEX('Daily 스피킹 raw'!$A:$ZZ, MATCH(AR$2, 'Daily 스피킹 raw'!$A:$A, 0), MATCH($B23, 'Daily 스피킹 raw'!$1:$1, 0)), ""), IF(val=0, "", val))</f>
        <v>90</v>
      </c>
      <c r="AS23" s="44">
        <f t="array" ref="AS23">LET(val, IFERROR(INDEX('Daily 스피킹 raw'!$A:$ZZ, MATCH(AS$2, 'Daily 스피킹 raw'!$A:$A, 0), MATCH($B23, 'Daily 스피킹 raw'!$1:$1, 0)), ""), IF(val=0, "", val))</f>
        <v>89</v>
      </c>
      <c r="AT23" s="44">
        <f t="array" ref="AT23">LET(val, IFERROR(INDEX('Daily 스피킹 raw'!$A:$ZZ, MATCH(AT$2, 'Daily 스피킹 raw'!$A:$A, 0), MATCH($B23, 'Daily 스피킹 raw'!$1:$1, 0)), ""), IF(val=0, "", val))</f>
        <v>75</v>
      </c>
      <c r="AU23" s="44">
        <f t="array" ref="AU23">LET(val, IFERROR(INDEX('Daily 스피킹 raw'!$A:$ZZ, MATCH(AU$2, 'Daily 스피킹 raw'!$A:$A, 0), MATCH($B23, 'Daily 스피킹 raw'!$1:$1, 0)), ""), IF(val=0, "", val))</f>
        <v>87</v>
      </c>
      <c r="AV23" s="44">
        <f t="array" ref="AV23">LET(val, IFERROR(INDEX('Daily 스피킹 raw'!$A:$ZZ, MATCH(AV$2, 'Daily 스피킹 raw'!$A:$A, 0), MATCH($B23, 'Daily 스피킹 raw'!$1:$1, 0)), ""), IF(val=0, "", val))</f>
        <v>58</v>
      </c>
      <c r="AW23" s="44">
        <f t="array" ref="AW23">LET(val, IFERROR(INDEX('Daily 스피킹 raw'!$A:$ZZ, MATCH(AW$2, 'Daily 스피킹 raw'!$A:$A, 0), MATCH($B23, 'Daily 스피킹 raw'!$1:$1, 0)), ""), IF(val=0, "", val))</f>
        <v>79</v>
      </c>
      <c r="AX23" s="44">
        <f t="array" ref="AX23">LET(val, IFERROR(INDEX('Daily 스피킹 raw'!$A:$ZZ, MATCH(AX$2, 'Daily 스피킹 raw'!$A:$A, 0), MATCH($B23, 'Daily 스피킹 raw'!$1:$1, 0)), ""), IF(val=0, "", val))</f>
        <v>104</v>
      </c>
      <c r="AY23" s="44">
        <f t="array" ref="AY23">LET(val, IFERROR(INDEX('Daily 스피킹 raw'!$A:$ZZ, MATCH(AY$2, 'Daily 스피킹 raw'!$A:$A, 0), MATCH($B23, 'Daily 스피킹 raw'!$1:$1, 0)), ""), IF(val=0, "", val))</f>
        <v>101</v>
      </c>
      <c r="AZ23" s="44">
        <f t="array" ref="AZ23">LET(val, IFERROR(INDEX('Daily 스피킹 raw'!$A:$ZZ, MATCH(AZ$2, 'Daily 스피킹 raw'!$A:$A, 0), MATCH($B23, 'Daily 스피킹 raw'!$1:$1, 0)), ""), IF(val=0, "", val))</f>
        <v>51</v>
      </c>
      <c r="BA23" s="44">
        <f t="array" ref="BA23">LET(val, IFERROR(INDEX('Daily 스피킹 raw'!$A:$ZZ, MATCH(BA$2, 'Daily 스피킹 raw'!$A:$A, 0), MATCH($B23, 'Daily 스피킹 raw'!$1:$1, 0)), ""), IF(val=0, "", val))</f>
        <v>106</v>
      </c>
      <c r="BB23" s="44">
        <f t="array" ref="BB23">LET(val, IFERROR(INDEX('Daily 스피킹 raw'!$A:$ZZ, MATCH(BB$2, 'Daily 스피킹 raw'!$A:$A, 0), MATCH($B23, 'Daily 스피킹 raw'!$1:$1, 0)), ""), IF(val=0, "", val))</f>
        <v>63</v>
      </c>
      <c r="BC23" s="44">
        <f t="array" ref="BC23">LET(val, IFERROR(INDEX('Daily 스피킹 raw'!$A:$ZZ, MATCH(BC$2, 'Daily 스피킹 raw'!$A:$A, 0), MATCH($B23, 'Daily 스피킹 raw'!$1:$1, 0)), ""), IF(val=0, "", val))</f>
        <v>50</v>
      </c>
      <c r="BD23" s="44">
        <f t="array" ref="BD23">LET(val, IFERROR(INDEX('Daily 스피킹 raw'!$A:$ZZ, MATCH(BD$2, 'Daily 스피킹 raw'!$A:$A, 0), MATCH($B23, 'Daily 스피킹 raw'!$1:$1, 0)), ""), IF(val=0, "", val))</f>
        <v>40</v>
      </c>
      <c r="BE23" s="44">
        <f t="array" ref="BE23">LET(val, IFERROR(INDEX('Daily 스피킹 raw'!$A:$ZZ, MATCH(BE$2, 'Daily 스피킹 raw'!$A:$A, 0), MATCH($B23, 'Daily 스피킹 raw'!$1:$1, 0)), ""), IF(val=0, "", val))</f>
        <v>54</v>
      </c>
      <c r="BF23" s="44">
        <f t="array" ref="BF23">LET(val, IFERROR(INDEX('Daily 스피킹 raw'!$A:$ZZ, MATCH(BF$2, 'Daily 스피킹 raw'!$A:$A, 0), MATCH($B23, 'Daily 스피킹 raw'!$1:$1, 0)), ""), IF(val=0, "", val))</f>
        <v>33</v>
      </c>
      <c r="BG23" s="44">
        <f t="array" ref="BG23">LET(val, IFERROR(INDEX('Daily 스피킹 raw'!$A:$ZZ, MATCH(BG$2, 'Daily 스피킹 raw'!$A:$A, 0), MATCH($B23, 'Daily 스피킹 raw'!$1:$1, 0)), ""), IF(val=0, "", val))</f>
        <v>45</v>
      </c>
      <c r="BH23" s="44">
        <f t="array" ref="BH23">LET(val, IFERROR(INDEX('Daily 스피킹 raw'!$A:$ZZ, MATCH(BH$2, 'Daily 스피킹 raw'!$A:$A, 0), MATCH($B23, 'Daily 스피킹 raw'!$1:$1, 0)), ""), IF(val=0, "", val))</f>
        <v>44</v>
      </c>
      <c r="BI23" s="44">
        <f t="array" ref="BI23">LET(val, IFERROR(INDEX('Daily 스피킹 raw'!$A:$ZZ, MATCH(BI$2, 'Daily 스피킹 raw'!$A:$A, 0), MATCH($B23, 'Daily 스피킹 raw'!$1:$1, 0)), ""), IF(val=0, "", val))</f>
        <v>48</v>
      </c>
      <c r="BJ23" s="44">
        <f t="array" ref="BJ23">LET(val, IFERROR(INDEX('Daily 스피킹 raw'!$A:$ZZ, MATCH(BJ$2, 'Daily 스피킹 raw'!$A:$A, 0), MATCH($B23, 'Daily 스피킹 raw'!$1:$1, 0)), ""), IF(val=0, "", val))</f>
        <v>47</v>
      </c>
      <c r="BK23" s="44">
        <f t="array" ref="BK23">LET(val, IFERROR(INDEX('Daily 스피킹 raw'!$A:$ZZ, MATCH(BK$2, 'Daily 스피킹 raw'!$A:$A, 0), MATCH($B23, 'Daily 스피킹 raw'!$1:$1, 0)), ""), IF(val=0, "", val))</f>
        <v>32</v>
      </c>
      <c r="BL23" s="44">
        <f t="array" ref="BL23">LET(val, IFERROR(INDEX('Daily 스피킹 raw'!$A:$ZZ, MATCH(BL$2, 'Daily 스피킹 raw'!$A:$A, 0), MATCH($B23, 'Daily 스피킹 raw'!$1:$1, 0)), ""), IF(val=0, "", val))</f>
        <v>44</v>
      </c>
      <c r="BM23" s="44" t="str">
        <f t="array" ref="BM23">LET(val, IFERROR(INDEX('Daily 스피킹 raw'!$A:$ZZ, MATCH(BM$2, 'Daily 스피킹 raw'!$A:$A, 0), MATCH($B23, 'Daily 스피킹 raw'!$1:$1, 0)), ""), IF(val=0, "", val))</f>
        <v/>
      </c>
      <c r="BN23" s="44" t="str">
        <f t="array" ref="BN23">LET(val, IFERROR(INDEX('Daily 스피킹 raw'!$A:$ZZ, MATCH(BN$2, 'Daily 스피킹 raw'!$A:$A, 0), MATCH($B23, 'Daily 스피킹 raw'!$1:$1, 0)), ""), IF(val=0, "", val))</f>
        <v/>
      </c>
      <c r="BO23" s="44" t="str">
        <f t="array" ref="BO23">LET(val, IFERROR(INDEX('Daily 스피킹 raw'!$A:$ZZ, MATCH(BO$2, 'Daily 스피킹 raw'!$A:$A, 0), MATCH($B23, 'Daily 스피킹 raw'!$1:$1, 0)), ""), IF(val=0, "", val))</f>
        <v/>
      </c>
      <c r="BP23" s="44" t="str">
        <f t="array" ref="BP23">LET(val, IFERROR(INDEX('Daily 스피킹 raw'!$A:$ZZ, MATCH(BP$2, 'Daily 스피킹 raw'!$A:$A, 0), MATCH($B23, 'Daily 스피킹 raw'!$1:$1, 0)), ""), IF(val=0, "", val))</f>
        <v/>
      </c>
      <c r="BQ23" s="44" t="str">
        <f t="array" ref="BQ23">LET(val, IFERROR(INDEX('Daily 스피킹 raw'!$A:$ZZ, MATCH(BQ$2, 'Daily 스피킹 raw'!$A:$A, 0), MATCH($B23, 'Daily 스피킹 raw'!$1:$1, 0)), ""), IF(val=0, "", val))</f>
        <v/>
      </c>
      <c r="BR23" s="44" t="str">
        <f t="array" ref="BR23">LET(val, IFERROR(INDEX('Daily 스피킹 raw'!$A:$ZZ, MATCH(BR$2, 'Daily 스피킹 raw'!$A:$A, 0), MATCH($B23, 'Daily 스피킹 raw'!$1:$1, 0)), ""), IF(val=0, "", val))</f>
        <v/>
      </c>
      <c r="BS23" s="44" t="str">
        <f t="array" ref="BS23">LET(val, IFERROR(INDEX('Daily 스피킹 raw'!$A:$ZZ, MATCH(BS$2, 'Daily 스피킹 raw'!$A:$A, 0), MATCH($B23, 'Daily 스피킹 raw'!$1:$1, 0)), ""), IF(val=0, "", val))</f>
        <v/>
      </c>
      <c r="BT23" s="44" t="str">
        <f t="array" ref="BT23">LET(val, IFERROR(INDEX('Daily 스피킹 raw'!$A:$ZZ, MATCH(BT$2, 'Daily 스피킹 raw'!$A:$A, 0), MATCH($B23, 'Daily 스피킹 raw'!$1:$1, 0)), ""), IF(val=0, "", val))</f>
        <v/>
      </c>
      <c r="BU23" s="44" t="str">
        <f t="array" ref="BU23">LET(val, IFERROR(INDEX('Daily 스피킹 raw'!$A:$ZZ, MATCH(BU$2, 'Daily 스피킹 raw'!$A:$A, 0), MATCH($B23, 'Daily 스피킹 raw'!$1:$1, 0)), ""), IF(val=0, "", val))</f>
        <v/>
      </c>
      <c r="BV23" s="44" t="str">
        <f t="array" ref="BV23">LET(val, IFERROR(INDEX('Daily 스피킹 raw'!$A:$ZZ, MATCH(BV$2, 'Daily 스피킹 raw'!$A:$A, 0), MATCH($B23, 'Daily 스피킹 raw'!$1:$1, 0)), ""), IF(val=0, "", val))</f>
        <v/>
      </c>
      <c r="BW23" s="44" t="str">
        <f t="array" ref="BW23">LET(val, IFERROR(INDEX('Daily 스피킹 raw'!$A:$ZZ, MATCH(BW$2, 'Daily 스피킹 raw'!$A:$A, 0), MATCH($B23, 'Daily 스피킹 raw'!$1:$1, 0)), ""), IF(val=0, "", val))</f>
        <v/>
      </c>
      <c r="BX23" s="44" t="str">
        <f t="array" ref="BX23">LET(val, IFERROR(INDEX('Daily 스피킹 raw'!$A:$ZZ, MATCH(BX$2, 'Daily 스피킹 raw'!$A:$A, 0), MATCH($B23, 'Daily 스피킹 raw'!$1:$1, 0)), ""), IF(val=0, "", val))</f>
        <v/>
      </c>
      <c r="BY23" s="44" t="str">
        <f t="array" ref="BY23">LET(val, IFERROR(INDEX('Daily 스피킹 raw'!$A:$ZZ, MATCH(BY$2, 'Daily 스피킹 raw'!$A:$A, 0), MATCH($B23, 'Daily 스피킹 raw'!$1:$1, 0)), ""), IF(val=0, "", val))</f>
        <v/>
      </c>
      <c r="BZ23" s="44" t="str">
        <f t="array" ref="BZ23">LET(val, IFERROR(INDEX('Daily 스피킹 raw'!$A:$ZZ, MATCH(BZ$2, 'Daily 스피킹 raw'!$A:$A, 0), MATCH($B23, 'Daily 스피킹 raw'!$1:$1, 0)), ""), IF(val=0, "", val))</f>
        <v/>
      </c>
      <c r="CA23" s="44" t="str">
        <f t="array" ref="CA23">LET(val, IFERROR(INDEX('Daily 스피킹 raw'!$A:$ZZ, MATCH(CA$2, 'Daily 스피킹 raw'!$A:$A, 0), MATCH($B23, 'Daily 스피킹 raw'!$1:$1, 0)), ""), IF(val=0, "", val))</f>
        <v/>
      </c>
      <c r="CB23" s="44" t="str">
        <f t="array" ref="CB23">LET(val, IFERROR(INDEX('Daily 스피킹 raw'!$A:$ZZ, MATCH(CB$2, 'Daily 스피킹 raw'!$A:$A, 0), MATCH($B23, 'Daily 스피킹 raw'!$1:$1, 0)), ""), IF(val=0, "", val))</f>
        <v/>
      </c>
      <c r="CC23" s="44" t="str">
        <f t="array" ref="CC23">LET(val, IFERROR(INDEX('Daily 스피킹 raw'!$A:$ZZ, MATCH(CC$2, 'Daily 스피킹 raw'!$A:$A, 0), MATCH($B23, 'Daily 스피킹 raw'!$1:$1, 0)), ""), IF(val=0, "", val))</f>
        <v/>
      </c>
      <c r="CD23" s="44" t="str">
        <f t="array" ref="CD23">LET(val, IFERROR(INDEX('Daily 스피킹 raw'!$A:$ZZ, MATCH(CD$2, 'Daily 스피킹 raw'!$A:$A, 0), MATCH($B23, 'Daily 스피킹 raw'!$1:$1, 0)), ""), IF(val=0, "", val))</f>
        <v/>
      </c>
      <c r="CE23" s="44" t="str">
        <f t="array" ref="CE23">LET(val, IFERROR(INDEX('Daily 스피킹 raw'!$A:$ZZ, MATCH(CE$2, 'Daily 스피킹 raw'!$A:$A, 0), MATCH($B23, 'Daily 스피킹 raw'!$1:$1, 0)), ""), IF(val=0, "", val))</f>
        <v/>
      </c>
      <c r="CF23" s="44" t="str">
        <f t="array" ref="CF23">LET(val, IFERROR(INDEX('Daily 스피킹 raw'!$A:$ZZ, MATCH(CF$2, 'Daily 스피킹 raw'!$A:$A, 0), MATCH($B23, 'Daily 스피킹 raw'!$1:$1, 0)), ""), IF(val=0, "", val))</f>
        <v/>
      </c>
      <c r="CG23" s="44" t="str">
        <f t="array" ref="CG23">LET(val, IFERROR(INDEX('Daily 스피킹 raw'!$A:$ZZ, MATCH(CG$2, 'Daily 스피킹 raw'!$A:$A, 0), MATCH($B23, 'Daily 스피킹 raw'!$1:$1, 0)), ""), IF(val=0, "", val))</f>
        <v/>
      </c>
      <c r="CH23" s="44" t="str">
        <f t="array" ref="CH23">LET(val, IFERROR(INDEX('Daily 스피킹 raw'!$A:$ZZ, MATCH(CH$2, 'Daily 스피킹 raw'!$A:$A, 0), MATCH($B23, 'Daily 스피킹 raw'!$1:$1, 0)), ""), IF(val=0, "", val))</f>
        <v/>
      </c>
      <c r="CI23" s="44" t="str">
        <f t="array" ref="CI23">LET(val, IFERROR(INDEX('Daily 스피킹 raw'!$A:$ZZ, MATCH(CI$2, 'Daily 스피킹 raw'!$A:$A, 0), MATCH($B23, 'Daily 스피킹 raw'!$1:$1, 0)), ""), IF(val=0, "", val))</f>
        <v/>
      </c>
      <c r="CJ23" s="44" t="str">
        <f t="array" ref="CJ23">LET(val, IFERROR(INDEX('Daily 스피킹 raw'!$A:$ZZ, MATCH(CJ$2, 'Daily 스피킹 raw'!$A:$A, 0), MATCH($B23, 'Daily 스피킹 raw'!$1:$1, 0)), ""), IF(val=0, "", val))</f>
        <v/>
      </c>
      <c r="CK23" s="44" t="str">
        <f t="array" ref="CK23">LET(val, IFERROR(INDEX('Daily 스피킹 raw'!$A:$ZZ, MATCH(CK$2, 'Daily 스피킹 raw'!$A:$A, 0), MATCH($B23, 'Daily 스피킹 raw'!$1:$1, 0)), ""), IF(val=0, "", val))</f>
        <v/>
      </c>
      <c r="CL23" s="44" t="str">
        <f t="array" ref="CL23">LET(val, IFERROR(INDEX('Daily 스피킹 raw'!$A:$ZZ, MATCH(CL$2, 'Daily 스피킹 raw'!$A:$A, 0), MATCH($B23, 'Daily 스피킹 raw'!$1:$1, 0)), ""), IF(val=0, "", val))</f>
        <v/>
      </c>
      <c r="CM23" s="44" t="str">
        <f t="array" ref="CM23">LET(val, IFERROR(INDEX('Daily 스피킹 raw'!$A:$ZZ, MATCH(CM$2, 'Daily 스피킹 raw'!$A:$A, 0), MATCH($B23, 'Daily 스피킹 raw'!$1:$1, 0)), ""), IF(val=0, "", val))</f>
        <v/>
      </c>
      <c r="CN23" s="44" t="str">
        <f t="array" ref="CN23">LET(val, IFERROR(INDEX('Daily 스피킹 raw'!$A:$ZZ, MATCH(CN$2, 'Daily 스피킹 raw'!$A:$A, 0), MATCH($B23, 'Daily 스피킹 raw'!$1:$1, 0)), ""), IF(val=0, "", val))</f>
        <v/>
      </c>
      <c r="CO23" s="44" t="str">
        <f t="array" ref="CO23">LET(val, IFERROR(INDEX('Daily 스피킹 raw'!$A:$ZZ, MATCH(CO$2, 'Daily 스피킹 raw'!$A:$A, 0), MATCH($B23, 'Daily 스피킹 raw'!$1:$1, 0)), ""), IF(val=0, "", val))</f>
        <v/>
      </c>
      <c r="CP23" s="44" t="str">
        <f t="array" ref="CP23">LET(val, IFERROR(INDEX('Daily 스피킹 raw'!$A:$ZZ, MATCH(CP$2, 'Daily 스피킹 raw'!$A:$A, 0), MATCH($B23, 'Daily 스피킹 raw'!$1:$1, 0)), ""), IF(val=0, "", val))</f>
        <v/>
      </c>
      <c r="CQ23" s="44" t="str">
        <f t="array" ref="CQ23">LET(val, IFERROR(INDEX('Daily 스피킹 raw'!$A:$ZZ, MATCH(CQ$2, 'Daily 스피킹 raw'!$A:$A, 0), MATCH($B23, 'Daily 스피킹 raw'!$1:$1, 0)), ""), IF(val=0, "", val))</f>
        <v/>
      </c>
      <c r="CR23" s="44" t="str">
        <f t="array" ref="CR23">LET(val, IFERROR(INDEX('Daily 스피킹 raw'!$A:$ZZ, MATCH(CR$2, 'Daily 스피킹 raw'!$A:$A, 0), MATCH($B23, 'Daily 스피킹 raw'!$1:$1, 0)), ""), IF(val=0, "", val))</f>
        <v/>
      </c>
      <c r="CS23" s="44" t="str">
        <f t="array" ref="CS23">LET(val, IFERROR(INDEX('Daily 스피킹 raw'!$A:$ZZ, MATCH(CS$2, 'Daily 스피킹 raw'!$A:$A, 0), MATCH($B23, 'Daily 스피킹 raw'!$1:$1, 0)), ""), IF(val=0, "", val))</f>
        <v/>
      </c>
      <c r="CT23" s="44" t="str">
        <f t="array" ref="CT23">LET(val, IFERROR(INDEX('Daily 스피킹 raw'!$A:$ZZ, MATCH(CT$2, 'Daily 스피킹 raw'!$A:$A, 0), MATCH($B23, 'Daily 스피킹 raw'!$1:$1, 0)), ""), IF(val=0, "", val))</f>
        <v/>
      </c>
      <c r="CU23" s="44" t="str">
        <f t="array" ref="CU23">LET(val, IFERROR(INDEX('Daily 스피킹 raw'!$A:$ZZ, MATCH(CU$2, 'Daily 스피킹 raw'!$A:$A, 0), MATCH($B23, 'Daily 스피킹 raw'!$1:$1, 0)), ""), IF(val=0, "", val))</f>
        <v/>
      </c>
      <c r="CV23" s="44" t="str">
        <f t="array" ref="CV23">LET(val, IFERROR(INDEX('Daily 스피킹 raw'!$A:$ZZ, MATCH(CV$2, 'Daily 스피킹 raw'!$A:$A, 0), MATCH($B23, 'Daily 스피킹 raw'!$1:$1, 0)), ""), IF(val=0, "", val))</f>
        <v/>
      </c>
      <c r="CW23" s="44" t="str">
        <f t="array" ref="CW23">LET(val, IFERROR(INDEX('Daily 스피킹 raw'!$A:$ZZ, MATCH(CW$2, 'Daily 스피킹 raw'!$A:$A, 0), MATCH($B23, 'Daily 스피킹 raw'!$1:$1, 0)), ""), IF(val=0, "", val))</f>
        <v/>
      </c>
    </row>
    <row r="24" ht="22.5" customHeight="1">
      <c r="A24" s="17"/>
      <c r="B24" s="16" t="s">
        <v>48</v>
      </c>
      <c r="C24" s="17" t="s">
        <v>20</v>
      </c>
      <c r="D24" s="44" t="str">
        <f t="array" ref="D24">LET(val, IFERROR(INDEX('Daily 스피킹 raw'!$A:$ZZ, MATCH(D$2, 'Daily 스피킹 raw'!$A:$A, 0), MATCH($B24, 'Daily 스피킹 raw'!$1:$1, 0)), ""), IF(val=0, "", val))</f>
        <v/>
      </c>
      <c r="E24" s="44" t="str">
        <f t="array" ref="E24">LET(val, IFERROR(INDEX('Daily 스피킹 raw'!$A:$ZZ, MATCH(E$2, 'Daily 스피킹 raw'!$A:$A, 0), MATCH($B24, 'Daily 스피킹 raw'!$1:$1, 0)), ""), IF(val=0, "", val))</f>
        <v/>
      </c>
      <c r="F24" s="44" t="str">
        <f t="array" ref="F24">LET(val, IFERROR(INDEX('Daily 스피킹 raw'!$A:$ZZ, MATCH(F$2, 'Daily 스피킹 raw'!$A:$A, 0), MATCH($B24, 'Daily 스피킹 raw'!$1:$1, 0)), ""), IF(val=0, "", val))</f>
        <v/>
      </c>
      <c r="G24" s="44">
        <f t="array" ref="G24">LET(val, IFERROR(INDEX('Daily 스피킹 raw'!$A:$ZZ, MATCH(G$2, 'Daily 스피킹 raw'!$A:$A, 0), MATCH($B24, 'Daily 스피킹 raw'!$1:$1, 0)), ""), IF(val=0, "", val))</f>
        <v>1</v>
      </c>
      <c r="H24" s="44" t="str">
        <f t="array" ref="H24">LET(val, IFERROR(INDEX('Daily 스피킹 raw'!$A:$ZZ, MATCH(H$2, 'Daily 스피킹 raw'!$A:$A, 0), MATCH($B24, 'Daily 스피킹 raw'!$1:$1, 0)), ""), IF(val=0, "", val))</f>
        <v/>
      </c>
      <c r="I24" s="44">
        <f t="array" ref="I24">LET(val, IFERROR(INDEX('Daily 스피킹 raw'!$A:$ZZ, MATCH(I$2, 'Daily 스피킹 raw'!$A:$A, 0), MATCH($B24, 'Daily 스피킹 raw'!$1:$1, 0)), ""), IF(val=0, "", val))</f>
        <v>1</v>
      </c>
      <c r="J24" s="44">
        <f t="array" ref="J24">LET(val, IFERROR(INDEX('Daily 스피킹 raw'!$A:$ZZ, MATCH(J$2, 'Daily 스피킹 raw'!$A:$A, 0), MATCH($B24, 'Daily 스피킹 raw'!$1:$1, 0)), ""), IF(val=0, "", val))</f>
        <v>2</v>
      </c>
      <c r="K24" s="44">
        <f t="array" ref="K24">LET(val, IFERROR(INDEX('Daily 스피킹 raw'!$A:$ZZ, MATCH(K$2, 'Daily 스피킹 raw'!$A:$A, 0), MATCH($B24, 'Daily 스피킹 raw'!$1:$1, 0)), ""), IF(val=0, "", val))</f>
        <v>1</v>
      </c>
      <c r="L24" s="44" t="str">
        <f t="array" ref="L24">LET(val, IFERROR(INDEX('Daily 스피킹 raw'!$A:$ZZ, MATCH(L$2, 'Daily 스피킹 raw'!$A:$A, 0), MATCH($B24, 'Daily 스피킹 raw'!$1:$1, 0)), ""), IF(val=0, "", val))</f>
        <v/>
      </c>
      <c r="M24" s="44">
        <f t="array" ref="M24">LET(val, IFERROR(INDEX('Daily 스피킹 raw'!$A:$ZZ, MATCH(M$2, 'Daily 스피킹 raw'!$A:$A, 0), MATCH($B24, 'Daily 스피킹 raw'!$1:$1, 0)), ""), IF(val=0, "", val))</f>
        <v>1</v>
      </c>
      <c r="N24" s="44">
        <f t="array" ref="N24">LET(val, IFERROR(INDEX('Daily 스피킹 raw'!$A:$ZZ, MATCH(N$2, 'Daily 스피킹 raw'!$A:$A, 0), MATCH($B24, 'Daily 스피킹 raw'!$1:$1, 0)), ""), IF(val=0, "", val))</f>
        <v>2</v>
      </c>
      <c r="O24" s="44" t="str">
        <f t="array" ref="O24">LET(val, IFERROR(INDEX('Daily 스피킹 raw'!$A:$ZZ, MATCH(O$2, 'Daily 스피킹 raw'!$A:$A, 0), MATCH($B24, 'Daily 스피킹 raw'!$1:$1, 0)), ""), IF(val=0, "", val))</f>
        <v/>
      </c>
      <c r="P24" s="44" t="str">
        <f t="array" ref="P24">LET(val, IFERROR(INDEX('Daily 스피킹 raw'!$A:$ZZ, MATCH(P$2, 'Daily 스피킹 raw'!$A:$A, 0), MATCH($B24, 'Daily 스피킹 raw'!$1:$1, 0)), ""), IF(val=0, "", val))</f>
        <v/>
      </c>
      <c r="Q24" s="44" t="str">
        <f t="array" ref="Q24">LET(val, IFERROR(INDEX('Daily 스피킹 raw'!$A:$ZZ, MATCH(Q$2, 'Daily 스피킹 raw'!$A:$A, 0), MATCH($B24, 'Daily 스피킹 raw'!$1:$1, 0)), ""), IF(val=0, "", val))</f>
        <v/>
      </c>
      <c r="R24" s="44">
        <f t="array" ref="R24">LET(val, IFERROR(INDEX('Daily 스피킹 raw'!$A:$ZZ, MATCH(R$2, 'Daily 스피킹 raw'!$A:$A, 0), MATCH($B24, 'Daily 스피킹 raw'!$1:$1, 0)), ""), IF(val=0, "", val))</f>
        <v>2</v>
      </c>
      <c r="S24" s="44">
        <f t="array" ref="S24">LET(val, IFERROR(INDEX('Daily 스피킹 raw'!$A:$ZZ, MATCH(S$2, 'Daily 스피킹 raw'!$A:$A, 0), MATCH($B24, 'Daily 스피킹 raw'!$1:$1, 0)), ""), IF(val=0, "", val))</f>
        <v>1</v>
      </c>
      <c r="T24" s="44" t="str">
        <f t="array" ref="T24">LET(val, IFERROR(INDEX('Daily 스피킹 raw'!$A:$ZZ, MATCH(T$2, 'Daily 스피킹 raw'!$A:$A, 0), MATCH($B24, 'Daily 스피킹 raw'!$1:$1, 0)), ""), IF(val=0, "", val))</f>
        <v/>
      </c>
      <c r="U24" s="44">
        <f t="array" ref="U24">LET(val, IFERROR(INDEX('Daily 스피킹 raw'!$A:$ZZ, MATCH(U$2, 'Daily 스피킹 raw'!$A:$A, 0), MATCH($B24, 'Daily 스피킹 raw'!$1:$1, 0)), ""), IF(val=0, "", val))</f>
        <v>1</v>
      </c>
      <c r="V24" s="44">
        <f t="array" ref="V24">LET(val, IFERROR(INDEX('Daily 스피킹 raw'!$A:$ZZ, MATCH(V$2, 'Daily 스피킹 raw'!$A:$A, 0), MATCH($B24, 'Daily 스피킹 raw'!$1:$1, 0)), ""), IF(val=0, "", val))</f>
        <v>1</v>
      </c>
      <c r="W24" s="44" t="str">
        <f t="array" ref="W24">LET(val, IFERROR(INDEX('Daily 스피킹 raw'!$A:$ZZ, MATCH(W$2, 'Daily 스피킹 raw'!$A:$A, 0), MATCH($B24, 'Daily 스피킹 raw'!$1:$1, 0)), ""), IF(val=0, "", val))</f>
        <v/>
      </c>
      <c r="X24" s="44">
        <f t="array" ref="X24">LET(val, IFERROR(INDEX('Daily 스피킹 raw'!$A:$ZZ, MATCH(X$2, 'Daily 스피킹 raw'!$A:$A, 0), MATCH($B24, 'Daily 스피킹 raw'!$1:$1, 0)), ""), IF(val=0, "", val))</f>
        <v>2</v>
      </c>
      <c r="Y24" s="44" t="str">
        <f t="array" ref="Y24">LET(val, IFERROR(INDEX('Daily 스피킹 raw'!$A:$ZZ, MATCH(Y$2, 'Daily 스피킹 raw'!$A:$A, 0), MATCH($B24, 'Daily 스피킹 raw'!$1:$1, 0)), ""), IF(val=0, "", val))</f>
        <v/>
      </c>
      <c r="Z24" s="44" t="str">
        <f t="array" ref="Z24">LET(val, IFERROR(INDEX('Daily 스피킹 raw'!$A:$ZZ, MATCH(Z$2, 'Daily 스피킹 raw'!$A:$A, 0), MATCH($B24, 'Daily 스피킹 raw'!$1:$1, 0)), ""), IF(val=0, "", val))</f>
        <v/>
      </c>
      <c r="AA24" s="44">
        <f t="array" ref="AA24">LET(val, IFERROR(INDEX('Daily 스피킹 raw'!$A:$ZZ, MATCH(AA$2, 'Daily 스피킹 raw'!$A:$A, 0), MATCH($B24, 'Daily 스피킹 raw'!$1:$1, 0)), ""), IF(val=0, "", val))</f>
        <v>2</v>
      </c>
      <c r="AB24" s="44">
        <f t="array" ref="AB24">LET(val, IFERROR(INDEX('Daily 스피킹 raw'!$A:$ZZ, MATCH(AB$2, 'Daily 스피킹 raw'!$A:$A, 0), MATCH($B24, 'Daily 스피킹 raw'!$1:$1, 0)), ""), IF(val=0, "", val))</f>
        <v>1</v>
      </c>
      <c r="AC24" s="44">
        <f t="array" ref="AC24">LET(val, IFERROR(INDEX('Daily 스피킹 raw'!$A:$ZZ, MATCH(AC$2, 'Daily 스피킹 raw'!$A:$A, 0), MATCH($B24, 'Daily 스피킹 raw'!$1:$1, 0)), ""), IF(val=0, "", val))</f>
        <v>1</v>
      </c>
      <c r="AD24" s="44">
        <f t="array" ref="AD24">LET(val, IFERROR(INDEX('Daily 스피킹 raw'!$A:$ZZ, MATCH(AD$2, 'Daily 스피킹 raw'!$A:$A, 0), MATCH($B24, 'Daily 스피킹 raw'!$1:$1, 0)), ""), IF(val=0, "", val))</f>
        <v>1</v>
      </c>
      <c r="AE24" s="44">
        <f t="array" ref="AE24">LET(val, IFERROR(INDEX('Daily 스피킹 raw'!$A:$ZZ, MATCH(AE$2, 'Daily 스피킹 raw'!$A:$A, 0), MATCH($B24, 'Daily 스피킹 raw'!$1:$1, 0)), ""), IF(val=0, "", val))</f>
        <v>1</v>
      </c>
      <c r="AF24" s="44" t="str">
        <f t="array" ref="AF24">LET(val, IFERROR(INDEX('Daily 스피킹 raw'!$A:$ZZ, MATCH(AF$2, 'Daily 스피킹 raw'!$A:$A, 0), MATCH($B24, 'Daily 스피킹 raw'!$1:$1, 0)), ""), IF(val=0, "", val))</f>
        <v/>
      </c>
      <c r="AG24" s="44">
        <f t="array" ref="AG24">LET(val, IFERROR(INDEX('Daily 스피킹 raw'!$A:$ZZ, MATCH(AG$2, 'Daily 스피킹 raw'!$A:$A, 0), MATCH($B24, 'Daily 스피킹 raw'!$1:$1, 0)), ""), IF(val=0, "", val))</f>
        <v>2</v>
      </c>
      <c r="AH24" s="44">
        <f t="array" ref="AH24">LET(val, IFERROR(INDEX('Daily 스피킹 raw'!$A:$ZZ, MATCH(AH$2, 'Daily 스피킹 raw'!$A:$A, 0), MATCH($B24, 'Daily 스피킹 raw'!$1:$1, 0)), ""), IF(val=0, "", val))</f>
        <v>2</v>
      </c>
      <c r="AI24" s="44" t="str">
        <f t="array" ref="AI24">LET(val, IFERROR(INDEX('Daily 스피킹 raw'!$A:$ZZ, MATCH(AI$2, 'Daily 스피킹 raw'!$A:$A, 0), MATCH($B24, 'Daily 스피킹 raw'!$1:$1, 0)), ""), IF(val=0, "", val))</f>
        <v/>
      </c>
      <c r="AJ24" s="44">
        <f t="array" ref="AJ24">LET(val, IFERROR(INDEX('Daily 스피킹 raw'!$A:$ZZ, MATCH(AJ$2, 'Daily 스피킹 raw'!$A:$A, 0), MATCH($B24, 'Daily 스피킹 raw'!$1:$1, 0)), ""), IF(val=0, "", val))</f>
        <v>1</v>
      </c>
      <c r="AK24" s="44" t="str">
        <f t="array" ref="AK24">LET(val, IFERROR(INDEX('Daily 스피킹 raw'!$A:$ZZ, MATCH(AK$2, 'Daily 스피킹 raw'!$A:$A, 0), MATCH($B24, 'Daily 스피킹 raw'!$1:$1, 0)), ""), IF(val=0, "", val))</f>
        <v/>
      </c>
      <c r="AL24" s="44">
        <f t="array" ref="AL24">LET(val, IFERROR(INDEX('Daily 스피킹 raw'!$A:$ZZ, MATCH(AL$2, 'Daily 스피킹 raw'!$A:$A, 0), MATCH($B24, 'Daily 스피킹 raw'!$1:$1, 0)), ""), IF(val=0, "", val))</f>
        <v>1</v>
      </c>
      <c r="AM24" s="44">
        <f t="array" ref="AM24">LET(val, IFERROR(INDEX('Daily 스피킹 raw'!$A:$ZZ, MATCH(AM$2, 'Daily 스피킹 raw'!$A:$A, 0), MATCH($B24, 'Daily 스피킹 raw'!$1:$1, 0)), ""), IF(val=0, "", val))</f>
        <v>1</v>
      </c>
      <c r="AN24" s="44">
        <f t="array" ref="AN24">LET(val, IFERROR(INDEX('Daily 스피킹 raw'!$A:$ZZ, MATCH(AN$2, 'Daily 스피킹 raw'!$A:$A, 0), MATCH($B24, 'Daily 스피킹 raw'!$1:$1, 0)), ""), IF(val=0, "", val))</f>
        <v>2</v>
      </c>
      <c r="AO24" s="44" t="str">
        <f t="array" ref="AO24">LET(val, IFERROR(INDEX('Daily 스피킹 raw'!$A:$ZZ, MATCH(AO$2, 'Daily 스피킹 raw'!$A:$A, 0), MATCH($B24, 'Daily 스피킹 raw'!$1:$1, 0)), ""), IF(val=0, "", val))</f>
        <v/>
      </c>
      <c r="AP24" s="44" t="str">
        <f t="array" ref="AP24">LET(val, IFERROR(INDEX('Daily 스피킹 raw'!$A:$ZZ, MATCH(AP$2, 'Daily 스피킹 raw'!$A:$A, 0), MATCH($B24, 'Daily 스피킹 raw'!$1:$1, 0)), ""), IF(val=0, "", val))</f>
        <v/>
      </c>
      <c r="AQ24" s="44" t="str">
        <f t="array" ref="AQ24">LET(val, IFERROR(INDEX('Daily 스피킹 raw'!$A:$ZZ, MATCH(AQ$2, 'Daily 스피킹 raw'!$A:$A, 0), MATCH($B24, 'Daily 스피킹 raw'!$1:$1, 0)), ""), IF(val=0, "", val))</f>
        <v/>
      </c>
      <c r="AR24" s="44" t="str">
        <f t="array" ref="AR24">LET(val, IFERROR(INDEX('Daily 스피킹 raw'!$A:$ZZ, MATCH(AR$2, 'Daily 스피킹 raw'!$A:$A, 0), MATCH($B24, 'Daily 스피킹 raw'!$1:$1, 0)), ""), IF(val=0, "", val))</f>
        <v/>
      </c>
      <c r="AS24" s="44" t="str">
        <f t="array" ref="AS24">LET(val, IFERROR(INDEX('Daily 스피킹 raw'!$A:$ZZ, MATCH(AS$2, 'Daily 스피킹 raw'!$A:$A, 0), MATCH($B24, 'Daily 스피킹 raw'!$1:$1, 0)), ""), IF(val=0, "", val))</f>
        <v/>
      </c>
      <c r="AT24" s="44" t="str">
        <f t="array" ref="AT24">LET(val, IFERROR(INDEX('Daily 스피킹 raw'!$A:$ZZ, MATCH(AT$2, 'Daily 스피킹 raw'!$A:$A, 0), MATCH($B24, 'Daily 스피킹 raw'!$1:$1, 0)), ""), IF(val=0, "", val))</f>
        <v/>
      </c>
      <c r="AU24" s="44">
        <f t="array" ref="AU24">LET(val, IFERROR(INDEX('Daily 스피킹 raw'!$A:$ZZ, MATCH(AU$2, 'Daily 스피킹 raw'!$A:$A, 0), MATCH($B24, 'Daily 스피킹 raw'!$1:$1, 0)), ""), IF(val=0, "", val))</f>
        <v>1</v>
      </c>
      <c r="AV24" s="44">
        <f t="array" ref="AV24">LET(val, IFERROR(INDEX('Daily 스피킹 raw'!$A:$ZZ, MATCH(AV$2, 'Daily 스피킹 raw'!$A:$A, 0), MATCH($B24, 'Daily 스피킹 raw'!$1:$1, 0)), ""), IF(val=0, "", val))</f>
        <v>1</v>
      </c>
      <c r="AW24" s="44" t="str">
        <f t="array" ref="AW24">LET(val, IFERROR(INDEX('Daily 스피킹 raw'!$A:$ZZ, MATCH(AW$2, 'Daily 스피킹 raw'!$A:$A, 0), MATCH($B24, 'Daily 스피킹 raw'!$1:$1, 0)), ""), IF(val=0, "", val))</f>
        <v/>
      </c>
      <c r="AX24" s="44">
        <f t="array" ref="AX24">LET(val, IFERROR(INDEX('Daily 스피킹 raw'!$A:$ZZ, MATCH(AX$2, 'Daily 스피킹 raw'!$A:$A, 0), MATCH($B24, 'Daily 스피킹 raw'!$1:$1, 0)), ""), IF(val=0, "", val))</f>
        <v>2</v>
      </c>
      <c r="AY24" s="44" t="str">
        <f t="array" ref="AY24">LET(val, IFERROR(INDEX('Daily 스피킹 raw'!$A:$ZZ, MATCH(AY$2, 'Daily 스피킹 raw'!$A:$A, 0), MATCH($B24, 'Daily 스피킹 raw'!$1:$1, 0)), ""), IF(val=0, "", val))</f>
        <v/>
      </c>
      <c r="AZ24" s="44" t="str">
        <f t="array" ref="AZ24">LET(val, IFERROR(INDEX('Daily 스피킹 raw'!$A:$ZZ, MATCH(AZ$2, 'Daily 스피킹 raw'!$A:$A, 0), MATCH($B24, 'Daily 스피킹 raw'!$1:$1, 0)), ""), IF(val=0, "", val))</f>
        <v/>
      </c>
      <c r="BA24" s="44" t="str">
        <f t="array" ref="BA24">LET(val, IFERROR(INDEX('Daily 스피킹 raw'!$A:$ZZ, MATCH(BA$2, 'Daily 스피킹 raw'!$A:$A, 0), MATCH($B24, 'Daily 스피킹 raw'!$1:$1, 0)), ""), IF(val=0, "", val))</f>
        <v/>
      </c>
      <c r="BB24" s="44" t="str">
        <f t="array" ref="BB24">LET(val, IFERROR(INDEX('Daily 스피킹 raw'!$A:$ZZ, MATCH(BB$2, 'Daily 스피킹 raw'!$A:$A, 0), MATCH($B24, 'Daily 스피킹 raw'!$1:$1, 0)), ""), IF(val=0, "", val))</f>
        <v/>
      </c>
      <c r="BC24" s="44">
        <f t="array" ref="BC24">LET(val, IFERROR(INDEX('Daily 스피킹 raw'!$A:$ZZ, MATCH(BC$2, 'Daily 스피킹 raw'!$A:$A, 0), MATCH($B24, 'Daily 스피킹 raw'!$1:$1, 0)), ""), IF(val=0, "", val))</f>
        <v>1</v>
      </c>
      <c r="BD24" s="44" t="str">
        <f t="array" ref="BD24">LET(val, IFERROR(INDEX('Daily 스피킹 raw'!$A:$ZZ, MATCH(BD$2, 'Daily 스피킹 raw'!$A:$A, 0), MATCH($B24, 'Daily 스피킹 raw'!$1:$1, 0)), ""), IF(val=0, "", val))</f>
        <v/>
      </c>
      <c r="BE24" s="44">
        <f t="array" ref="BE24">LET(val, IFERROR(INDEX('Daily 스피킹 raw'!$A:$ZZ, MATCH(BE$2, 'Daily 스피킹 raw'!$A:$A, 0), MATCH($B24, 'Daily 스피킹 raw'!$1:$1, 0)), ""), IF(val=0, "", val))</f>
        <v>1</v>
      </c>
      <c r="BF24" s="44">
        <f t="array" ref="BF24">LET(val, IFERROR(INDEX('Daily 스피킹 raw'!$A:$ZZ, MATCH(BF$2, 'Daily 스피킹 raw'!$A:$A, 0), MATCH($B24, 'Daily 스피킹 raw'!$1:$1, 0)), ""), IF(val=0, "", val))</f>
        <v>1</v>
      </c>
      <c r="BG24" s="44">
        <f t="array" ref="BG24">LET(val, IFERROR(INDEX('Daily 스피킹 raw'!$A:$ZZ, MATCH(BG$2, 'Daily 스피킹 raw'!$A:$A, 0), MATCH($B24, 'Daily 스피킹 raw'!$1:$1, 0)), ""), IF(val=0, "", val))</f>
        <v>1</v>
      </c>
      <c r="BH24" s="44" t="str">
        <f t="array" ref="BH24">LET(val, IFERROR(INDEX('Daily 스피킹 raw'!$A:$ZZ, MATCH(BH$2, 'Daily 스피킹 raw'!$A:$A, 0), MATCH($B24, 'Daily 스피킹 raw'!$1:$1, 0)), ""), IF(val=0, "", val))</f>
        <v/>
      </c>
      <c r="BI24" s="44" t="str">
        <f t="array" ref="BI24">LET(val, IFERROR(INDEX('Daily 스피킹 raw'!$A:$ZZ, MATCH(BI$2, 'Daily 스피킹 raw'!$A:$A, 0), MATCH($B24, 'Daily 스피킹 raw'!$1:$1, 0)), ""), IF(val=0, "", val))</f>
        <v/>
      </c>
      <c r="BJ24" s="44" t="str">
        <f t="array" ref="BJ24">LET(val, IFERROR(INDEX('Daily 스피킹 raw'!$A:$ZZ, MATCH(BJ$2, 'Daily 스피킹 raw'!$A:$A, 0), MATCH($B24, 'Daily 스피킹 raw'!$1:$1, 0)), ""), IF(val=0, "", val))</f>
        <v/>
      </c>
      <c r="BK24" s="44" t="str">
        <f t="array" ref="BK24">LET(val, IFERROR(INDEX('Daily 스피킹 raw'!$A:$ZZ, MATCH(BK$2, 'Daily 스피킹 raw'!$A:$A, 0), MATCH($B24, 'Daily 스피킹 raw'!$1:$1, 0)), ""), IF(val=0, "", val))</f>
        <v/>
      </c>
      <c r="BL24" s="44" t="str">
        <f t="array" ref="BL24">LET(val, IFERROR(INDEX('Daily 스피킹 raw'!$A:$ZZ, MATCH(BL$2, 'Daily 스피킹 raw'!$A:$A, 0), MATCH($B24, 'Daily 스피킹 raw'!$1:$1, 0)), ""), IF(val=0, "", val))</f>
        <v/>
      </c>
      <c r="BM24" s="44" t="str">
        <f t="array" ref="BM24">LET(val, IFERROR(INDEX('Daily 스피킹 raw'!$A:$ZZ, MATCH(BM$2, 'Daily 스피킹 raw'!$A:$A, 0), MATCH($B24, 'Daily 스피킹 raw'!$1:$1, 0)), ""), IF(val=0, "", val))</f>
        <v/>
      </c>
      <c r="BN24" s="44" t="str">
        <f t="array" ref="BN24">LET(val, IFERROR(INDEX('Daily 스피킹 raw'!$A:$ZZ, MATCH(BN$2, 'Daily 스피킹 raw'!$A:$A, 0), MATCH($B24, 'Daily 스피킹 raw'!$1:$1, 0)), ""), IF(val=0, "", val))</f>
        <v/>
      </c>
      <c r="BO24" s="44" t="str">
        <f t="array" ref="BO24">LET(val, IFERROR(INDEX('Daily 스피킹 raw'!$A:$ZZ, MATCH(BO$2, 'Daily 스피킹 raw'!$A:$A, 0), MATCH($B24, 'Daily 스피킹 raw'!$1:$1, 0)), ""), IF(val=0, "", val))</f>
        <v/>
      </c>
      <c r="BP24" s="44" t="str">
        <f t="array" ref="BP24">LET(val, IFERROR(INDEX('Daily 스피킹 raw'!$A:$ZZ, MATCH(BP$2, 'Daily 스피킹 raw'!$A:$A, 0), MATCH($B24, 'Daily 스피킹 raw'!$1:$1, 0)), ""), IF(val=0, "", val))</f>
        <v/>
      </c>
      <c r="BQ24" s="44" t="str">
        <f t="array" ref="BQ24">LET(val, IFERROR(INDEX('Daily 스피킹 raw'!$A:$ZZ, MATCH(BQ$2, 'Daily 스피킹 raw'!$A:$A, 0), MATCH($B24, 'Daily 스피킹 raw'!$1:$1, 0)), ""), IF(val=0, "", val))</f>
        <v/>
      </c>
      <c r="BR24" s="44" t="str">
        <f t="array" ref="BR24">LET(val, IFERROR(INDEX('Daily 스피킹 raw'!$A:$ZZ, MATCH(BR$2, 'Daily 스피킹 raw'!$A:$A, 0), MATCH($B24, 'Daily 스피킹 raw'!$1:$1, 0)), ""), IF(val=0, "", val))</f>
        <v/>
      </c>
      <c r="BS24" s="44" t="str">
        <f t="array" ref="BS24">LET(val, IFERROR(INDEX('Daily 스피킹 raw'!$A:$ZZ, MATCH(BS$2, 'Daily 스피킹 raw'!$A:$A, 0), MATCH($B24, 'Daily 스피킹 raw'!$1:$1, 0)), ""), IF(val=0, "", val))</f>
        <v/>
      </c>
      <c r="BT24" s="44" t="str">
        <f t="array" ref="BT24">LET(val, IFERROR(INDEX('Daily 스피킹 raw'!$A:$ZZ, MATCH(BT$2, 'Daily 스피킹 raw'!$A:$A, 0), MATCH($B24, 'Daily 스피킹 raw'!$1:$1, 0)), ""), IF(val=0, "", val))</f>
        <v/>
      </c>
      <c r="BU24" s="44" t="str">
        <f t="array" ref="BU24">LET(val, IFERROR(INDEX('Daily 스피킹 raw'!$A:$ZZ, MATCH(BU$2, 'Daily 스피킹 raw'!$A:$A, 0), MATCH($B24, 'Daily 스피킹 raw'!$1:$1, 0)), ""), IF(val=0, "", val))</f>
        <v/>
      </c>
      <c r="BV24" s="44" t="str">
        <f t="array" ref="BV24">LET(val, IFERROR(INDEX('Daily 스피킹 raw'!$A:$ZZ, MATCH(BV$2, 'Daily 스피킹 raw'!$A:$A, 0), MATCH($B24, 'Daily 스피킹 raw'!$1:$1, 0)), ""), IF(val=0, "", val))</f>
        <v/>
      </c>
      <c r="BW24" s="44" t="str">
        <f t="array" ref="BW24">LET(val, IFERROR(INDEX('Daily 스피킹 raw'!$A:$ZZ, MATCH(BW$2, 'Daily 스피킹 raw'!$A:$A, 0), MATCH($B24, 'Daily 스피킹 raw'!$1:$1, 0)), ""), IF(val=0, "", val))</f>
        <v/>
      </c>
      <c r="BX24" s="44" t="str">
        <f t="array" ref="BX24">LET(val, IFERROR(INDEX('Daily 스피킹 raw'!$A:$ZZ, MATCH(BX$2, 'Daily 스피킹 raw'!$A:$A, 0), MATCH($B24, 'Daily 스피킹 raw'!$1:$1, 0)), ""), IF(val=0, "", val))</f>
        <v/>
      </c>
      <c r="BY24" s="44" t="str">
        <f t="array" ref="BY24">LET(val, IFERROR(INDEX('Daily 스피킹 raw'!$A:$ZZ, MATCH(BY$2, 'Daily 스피킹 raw'!$A:$A, 0), MATCH($B24, 'Daily 스피킹 raw'!$1:$1, 0)), ""), IF(val=0, "", val))</f>
        <v/>
      </c>
      <c r="BZ24" s="44" t="str">
        <f t="array" ref="BZ24">LET(val, IFERROR(INDEX('Daily 스피킹 raw'!$A:$ZZ, MATCH(BZ$2, 'Daily 스피킹 raw'!$A:$A, 0), MATCH($B24, 'Daily 스피킹 raw'!$1:$1, 0)), ""), IF(val=0, "", val))</f>
        <v/>
      </c>
      <c r="CA24" s="44" t="str">
        <f t="array" ref="CA24">LET(val, IFERROR(INDEX('Daily 스피킹 raw'!$A:$ZZ, MATCH(CA$2, 'Daily 스피킹 raw'!$A:$A, 0), MATCH($B24, 'Daily 스피킹 raw'!$1:$1, 0)), ""), IF(val=0, "", val))</f>
        <v/>
      </c>
      <c r="CB24" s="44" t="str">
        <f t="array" ref="CB24">LET(val, IFERROR(INDEX('Daily 스피킹 raw'!$A:$ZZ, MATCH(CB$2, 'Daily 스피킹 raw'!$A:$A, 0), MATCH($B24, 'Daily 스피킹 raw'!$1:$1, 0)), ""), IF(val=0, "", val))</f>
        <v/>
      </c>
      <c r="CC24" s="44" t="str">
        <f t="array" ref="CC24">LET(val, IFERROR(INDEX('Daily 스피킹 raw'!$A:$ZZ, MATCH(CC$2, 'Daily 스피킹 raw'!$A:$A, 0), MATCH($B24, 'Daily 스피킹 raw'!$1:$1, 0)), ""), IF(val=0, "", val))</f>
        <v/>
      </c>
      <c r="CD24" s="44" t="str">
        <f t="array" ref="CD24">LET(val, IFERROR(INDEX('Daily 스피킹 raw'!$A:$ZZ, MATCH(CD$2, 'Daily 스피킹 raw'!$A:$A, 0), MATCH($B24, 'Daily 스피킹 raw'!$1:$1, 0)), ""), IF(val=0, "", val))</f>
        <v/>
      </c>
      <c r="CE24" s="44" t="str">
        <f t="array" ref="CE24">LET(val, IFERROR(INDEX('Daily 스피킹 raw'!$A:$ZZ, MATCH(CE$2, 'Daily 스피킹 raw'!$A:$A, 0), MATCH($B24, 'Daily 스피킹 raw'!$1:$1, 0)), ""), IF(val=0, "", val))</f>
        <v/>
      </c>
      <c r="CF24" s="44" t="str">
        <f t="array" ref="CF24">LET(val, IFERROR(INDEX('Daily 스피킹 raw'!$A:$ZZ, MATCH(CF$2, 'Daily 스피킹 raw'!$A:$A, 0), MATCH($B24, 'Daily 스피킹 raw'!$1:$1, 0)), ""), IF(val=0, "", val))</f>
        <v/>
      </c>
      <c r="CG24" s="44" t="str">
        <f t="array" ref="CG24">LET(val, IFERROR(INDEX('Daily 스피킹 raw'!$A:$ZZ, MATCH(CG$2, 'Daily 스피킹 raw'!$A:$A, 0), MATCH($B24, 'Daily 스피킹 raw'!$1:$1, 0)), ""), IF(val=0, "", val))</f>
        <v/>
      </c>
      <c r="CH24" s="44" t="str">
        <f t="array" ref="CH24">LET(val, IFERROR(INDEX('Daily 스피킹 raw'!$A:$ZZ, MATCH(CH$2, 'Daily 스피킹 raw'!$A:$A, 0), MATCH($B24, 'Daily 스피킹 raw'!$1:$1, 0)), ""), IF(val=0, "", val))</f>
        <v/>
      </c>
      <c r="CI24" s="44" t="str">
        <f t="array" ref="CI24">LET(val, IFERROR(INDEX('Daily 스피킹 raw'!$A:$ZZ, MATCH(CI$2, 'Daily 스피킹 raw'!$A:$A, 0), MATCH($B24, 'Daily 스피킹 raw'!$1:$1, 0)), ""), IF(val=0, "", val))</f>
        <v/>
      </c>
      <c r="CJ24" s="44" t="str">
        <f t="array" ref="CJ24">LET(val, IFERROR(INDEX('Daily 스피킹 raw'!$A:$ZZ, MATCH(CJ$2, 'Daily 스피킹 raw'!$A:$A, 0), MATCH($B24, 'Daily 스피킹 raw'!$1:$1, 0)), ""), IF(val=0, "", val))</f>
        <v/>
      </c>
      <c r="CK24" s="44" t="str">
        <f t="array" ref="CK24">LET(val, IFERROR(INDEX('Daily 스피킹 raw'!$A:$ZZ, MATCH(CK$2, 'Daily 스피킹 raw'!$A:$A, 0), MATCH($B24, 'Daily 스피킹 raw'!$1:$1, 0)), ""), IF(val=0, "", val))</f>
        <v/>
      </c>
      <c r="CL24" s="44" t="str">
        <f t="array" ref="CL24">LET(val, IFERROR(INDEX('Daily 스피킹 raw'!$A:$ZZ, MATCH(CL$2, 'Daily 스피킹 raw'!$A:$A, 0), MATCH($B24, 'Daily 스피킹 raw'!$1:$1, 0)), ""), IF(val=0, "", val))</f>
        <v/>
      </c>
      <c r="CM24" s="44" t="str">
        <f t="array" ref="CM24">LET(val, IFERROR(INDEX('Daily 스피킹 raw'!$A:$ZZ, MATCH(CM$2, 'Daily 스피킹 raw'!$A:$A, 0), MATCH($B24, 'Daily 스피킹 raw'!$1:$1, 0)), ""), IF(val=0, "", val))</f>
        <v/>
      </c>
      <c r="CN24" s="44" t="str">
        <f t="array" ref="CN24">LET(val, IFERROR(INDEX('Daily 스피킹 raw'!$A:$ZZ, MATCH(CN$2, 'Daily 스피킹 raw'!$A:$A, 0), MATCH($B24, 'Daily 스피킹 raw'!$1:$1, 0)), ""), IF(val=0, "", val))</f>
        <v/>
      </c>
      <c r="CO24" s="44" t="str">
        <f t="array" ref="CO24">LET(val, IFERROR(INDEX('Daily 스피킹 raw'!$A:$ZZ, MATCH(CO$2, 'Daily 스피킹 raw'!$A:$A, 0), MATCH($B24, 'Daily 스피킹 raw'!$1:$1, 0)), ""), IF(val=0, "", val))</f>
        <v/>
      </c>
      <c r="CP24" s="44" t="str">
        <f t="array" ref="CP24">LET(val, IFERROR(INDEX('Daily 스피킹 raw'!$A:$ZZ, MATCH(CP$2, 'Daily 스피킹 raw'!$A:$A, 0), MATCH($B24, 'Daily 스피킹 raw'!$1:$1, 0)), ""), IF(val=0, "", val))</f>
        <v/>
      </c>
      <c r="CQ24" s="44" t="str">
        <f t="array" ref="CQ24">LET(val, IFERROR(INDEX('Daily 스피킹 raw'!$A:$ZZ, MATCH(CQ$2, 'Daily 스피킹 raw'!$A:$A, 0), MATCH($B24, 'Daily 스피킹 raw'!$1:$1, 0)), ""), IF(val=0, "", val))</f>
        <v/>
      </c>
      <c r="CR24" s="44" t="str">
        <f t="array" ref="CR24">LET(val, IFERROR(INDEX('Daily 스피킹 raw'!$A:$ZZ, MATCH(CR$2, 'Daily 스피킹 raw'!$A:$A, 0), MATCH($B24, 'Daily 스피킹 raw'!$1:$1, 0)), ""), IF(val=0, "", val))</f>
        <v/>
      </c>
      <c r="CS24" s="44" t="str">
        <f t="array" ref="CS24">LET(val, IFERROR(INDEX('Daily 스피킹 raw'!$A:$ZZ, MATCH(CS$2, 'Daily 스피킹 raw'!$A:$A, 0), MATCH($B24, 'Daily 스피킹 raw'!$1:$1, 0)), ""), IF(val=0, "", val))</f>
        <v/>
      </c>
      <c r="CT24" s="44" t="str">
        <f t="array" ref="CT24">LET(val, IFERROR(INDEX('Daily 스피킹 raw'!$A:$ZZ, MATCH(CT$2, 'Daily 스피킹 raw'!$A:$A, 0), MATCH($B24, 'Daily 스피킹 raw'!$1:$1, 0)), ""), IF(val=0, "", val))</f>
        <v/>
      </c>
      <c r="CU24" s="44" t="str">
        <f t="array" ref="CU24">LET(val, IFERROR(INDEX('Daily 스피킹 raw'!$A:$ZZ, MATCH(CU$2, 'Daily 스피킹 raw'!$A:$A, 0), MATCH($B24, 'Daily 스피킹 raw'!$1:$1, 0)), ""), IF(val=0, "", val))</f>
        <v/>
      </c>
      <c r="CV24" s="44" t="str">
        <f t="array" ref="CV24">LET(val, IFERROR(INDEX('Daily 스피킹 raw'!$A:$ZZ, MATCH(CV$2, 'Daily 스피킹 raw'!$A:$A, 0), MATCH($B24, 'Daily 스피킹 raw'!$1:$1, 0)), ""), IF(val=0, "", val))</f>
        <v/>
      </c>
      <c r="CW24" s="44" t="str">
        <f t="array" ref="CW24">LET(val, IFERROR(INDEX('Daily 스피킹 raw'!$A:$ZZ, MATCH(CW$2, 'Daily 스피킹 raw'!$A:$A, 0), MATCH($B24, 'Daily 스피킹 raw'!$1:$1, 0)), ""), IF(val=0, "", val))</f>
        <v/>
      </c>
    </row>
    <row r="25" ht="22.5" customHeight="1">
      <c r="A25" s="17"/>
      <c r="B25" s="16"/>
      <c r="C25" s="30" t="s">
        <v>49</v>
      </c>
      <c r="D25" s="44" t="str">
        <f t="array" ref="D25">LET(val, IFERROR(INDEX('Daily 스피킹 raw'!$A:$ZZ, MATCH(D$2, 'Daily 스피킹 raw'!$A:$A, 0), MATCH($B25, 'Daily 스피킹 raw'!$1:$1, 0)), ""), IF(val=0, "", val))</f>
        <v/>
      </c>
      <c r="E25" s="44" t="str">
        <f t="array" ref="E25">LET(val, IFERROR(INDEX('Daily 스피킹 raw'!$A:$ZZ, MATCH(E$2, 'Daily 스피킹 raw'!$A:$A, 0), MATCH($B25, 'Daily 스피킹 raw'!$1:$1, 0)), ""), IF(val=0, "", val))</f>
        <v/>
      </c>
      <c r="F25" s="44" t="str">
        <f t="array" ref="F25">LET(val, IFERROR(INDEX('Daily 스피킹 raw'!$A:$ZZ, MATCH(F$2, 'Daily 스피킹 raw'!$A:$A, 0), MATCH($B25, 'Daily 스피킹 raw'!$1:$1, 0)), ""), IF(val=0, "", val))</f>
        <v/>
      </c>
      <c r="G25" s="44" t="str">
        <f t="array" ref="G25">LET(val, IFERROR(INDEX('Daily 스피킹 raw'!$A:$ZZ, MATCH(G$2, 'Daily 스피킹 raw'!$A:$A, 0), MATCH($B25, 'Daily 스피킹 raw'!$1:$1, 0)), ""), IF(val=0, "", val))</f>
        <v/>
      </c>
      <c r="H25" s="44" t="str">
        <f t="array" ref="H25">LET(val, IFERROR(INDEX('Daily 스피킹 raw'!$A:$ZZ, MATCH(H$2, 'Daily 스피킹 raw'!$A:$A, 0), MATCH($B25, 'Daily 스피킹 raw'!$1:$1, 0)), ""), IF(val=0, "", val))</f>
        <v/>
      </c>
      <c r="I25" s="44" t="str">
        <f t="array" ref="I25">LET(val, IFERROR(INDEX('Daily 스피킹 raw'!$A:$ZZ, MATCH(I$2, 'Daily 스피킹 raw'!$A:$A, 0), MATCH($B25, 'Daily 스피킹 raw'!$1:$1, 0)), ""), IF(val=0, "", val))</f>
        <v/>
      </c>
      <c r="J25" s="44" t="str">
        <f t="array" ref="J25">LET(val, IFERROR(INDEX('Daily 스피킹 raw'!$A:$ZZ, MATCH(J$2, 'Daily 스피킹 raw'!$A:$A, 0), MATCH($B25, 'Daily 스피킹 raw'!$1:$1, 0)), ""), IF(val=0, "", val))</f>
        <v/>
      </c>
      <c r="K25" s="44" t="str">
        <f t="array" ref="K25">LET(val, IFERROR(INDEX('Daily 스피킹 raw'!$A:$ZZ, MATCH(K$2, 'Daily 스피킹 raw'!$A:$A, 0), MATCH($B25, 'Daily 스피킹 raw'!$1:$1, 0)), ""), IF(val=0, "", val))</f>
        <v/>
      </c>
      <c r="L25" s="44" t="str">
        <f t="array" ref="L25">LET(val, IFERROR(INDEX('Daily 스피킹 raw'!$A:$ZZ, MATCH(L$2, 'Daily 스피킹 raw'!$A:$A, 0), MATCH($B25, 'Daily 스피킹 raw'!$1:$1, 0)), ""), IF(val=0, "", val))</f>
        <v/>
      </c>
      <c r="M25" s="44" t="str">
        <f t="array" ref="M25">LET(val, IFERROR(INDEX('Daily 스피킹 raw'!$A:$ZZ, MATCH(M$2, 'Daily 스피킹 raw'!$A:$A, 0), MATCH($B25, 'Daily 스피킹 raw'!$1:$1, 0)), ""), IF(val=0, "", val))</f>
        <v/>
      </c>
      <c r="N25" s="44" t="str">
        <f t="array" ref="N25">LET(val, IFERROR(INDEX('Daily 스피킹 raw'!$A:$ZZ, MATCH(N$2, 'Daily 스피킹 raw'!$A:$A, 0), MATCH($B25, 'Daily 스피킹 raw'!$1:$1, 0)), ""), IF(val=0, "", val))</f>
        <v/>
      </c>
      <c r="O25" s="44" t="str">
        <f t="array" ref="O25">LET(val, IFERROR(INDEX('Daily 스피킹 raw'!$A:$ZZ, MATCH(O$2, 'Daily 스피킹 raw'!$A:$A, 0), MATCH($B25, 'Daily 스피킹 raw'!$1:$1, 0)), ""), IF(val=0, "", val))</f>
        <v/>
      </c>
      <c r="P25" s="44" t="str">
        <f t="array" ref="P25">LET(val, IFERROR(INDEX('Daily 스피킹 raw'!$A:$ZZ, MATCH(P$2, 'Daily 스피킹 raw'!$A:$A, 0), MATCH($B25, 'Daily 스피킹 raw'!$1:$1, 0)), ""), IF(val=0, "", val))</f>
        <v/>
      </c>
      <c r="Q25" s="44" t="str">
        <f t="array" ref="Q25">LET(val, IFERROR(INDEX('Daily 스피킹 raw'!$A:$ZZ, MATCH(Q$2, 'Daily 스피킹 raw'!$A:$A, 0), MATCH($B25, 'Daily 스피킹 raw'!$1:$1, 0)), ""), IF(val=0, "", val))</f>
        <v/>
      </c>
      <c r="R25" s="44" t="str">
        <f t="array" ref="R25">LET(val, IFERROR(INDEX('Daily 스피킹 raw'!$A:$ZZ, MATCH(R$2, 'Daily 스피킹 raw'!$A:$A, 0), MATCH($B25, 'Daily 스피킹 raw'!$1:$1, 0)), ""), IF(val=0, "", val))</f>
        <v/>
      </c>
      <c r="S25" s="44" t="str">
        <f t="array" ref="S25">LET(val, IFERROR(INDEX('Daily 스피킹 raw'!$A:$ZZ, MATCH(S$2, 'Daily 스피킹 raw'!$A:$A, 0), MATCH($B25, 'Daily 스피킹 raw'!$1:$1, 0)), ""), IF(val=0, "", val))</f>
        <v/>
      </c>
      <c r="T25" s="44" t="str">
        <f t="array" ref="T25">LET(val, IFERROR(INDEX('Daily 스피킹 raw'!$A:$ZZ, MATCH(T$2, 'Daily 스피킹 raw'!$A:$A, 0), MATCH($B25, 'Daily 스피킹 raw'!$1:$1, 0)), ""), IF(val=0, "", val))</f>
        <v/>
      </c>
      <c r="U25" s="44" t="str">
        <f t="array" ref="U25">LET(val, IFERROR(INDEX('Daily 스피킹 raw'!$A:$ZZ, MATCH(U$2, 'Daily 스피킹 raw'!$A:$A, 0), MATCH($B25, 'Daily 스피킹 raw'!$1:$1, 0)), ""), IF(val=0, "", val))</f>
        <v/>
      </c>
      <c r="V25" s="44" t="str">
        <f t="array" ref="V25">LET(val, IFERROR(INDEX('Daily 스피킹 raw'!$A:$ZZ, MATCH(V$2, 'Daily 스피킹 raw'!$A:$A, 0), MATCH($B25, 'Daily 스피킹 raw'!$1:$1, 0)), ""), IF(val=0, "", val))</f>
        <v/>
      </c>
      <c r="W25" s="44" t="str">
        <f t="array" ref="W25">LET(val, IFERROR(INDEX('Daily 스피킹 raw'!$A:$ZZ, MATCH(W$2, 'Daily 스피킹 raw'!$A:$A, 0), MATCH($B25, 'Daily 스피킹 raw'!$1:$1, 0)), ""), IF(val=0, "", val))</f>
        <v/>
      </c>
      <c r="X25" s="44" t="str">
        <f t="array" ref="X25">LET(val, IFERROR(INDEX('Daily 스피킹 raw'!$A:$ZZ, MATCH(X$2, 'Daily 스피킹 raw'!$A:$A, 0), MATCH($B25, 'Daily 스피킹 raw'!$1:$1, 0)), ""), IF(val=0, "", val))</f>
        <v/>
      </c>
      <c r="Y25" s="44" t="str">
        <f t="array" ref="Y25">LET(val, IFERROR(INDEX('Daily 스피킹 raw'!$A:$ZZ, MATCH(Y$2, 'Daily 스피킹 raw'!$A:$A, 0), MATCH($B25, 'Daily 스피킹 raw'!$1:$1, 0)), ""), IF(val=0, "", val))</f>
        <v/>
      </c>
      <c r="Z25" s="44" t="str">
        <f t="array" ref="Z25">LET(val, IFERROR(INDEX('Daily 스피킹 raw'!$A:$ZZ, MATCH(Z$2, 'Daily 스피킹 raw'!$A:$A, 0), MATCH($B25, 'Daily 스피킹 raw'!$1:$1, 0)), ""), IF(val=0, "", val))</f>
        <v/>
      </c>
      <c r="AA25" s="44" t="str">
        <f t="array" ref="AA25">LET(val, IFERROR(INDEX('Daily 스피킹 raw'!$A:$ZZ, MATCH(AA$2, 'Daily 스피킹 raw'!$A:$A, 0), MATCH($B25, 'Daily 스피킹 raw'!$1:$1, 0)), ""), IF(val=0, "", val))</f>
        <v/>
      </c>
      <c r="AB25" s="44" t="str">
        <f t="array" ref="AB25">LET(val, IFERROR(INDEX('Daily 스피킹 raw'!$A:$ZZ, MATCH(AB$2, 'Daily 스피킹 raw'!$A:$A, 0), MATCH($B25, 'Daily 스피킹 raw'!$1:$1, 0)), ""), IF(val=0, "", val))</f>
        <v/>
      </c>
      <c r="AC25" s="44" t="str">
        <f t="array" ref="AC25">LET(val, IFERROR(INDEX('Daily 스피킹 raw'!$A:$ZZ, MATCH(AC$2, 'Daily 스피킹 raw'!$A:$A, 0), MATCH($B25, 'Daily 스피킹 raw'!$1:$1, 0)), ""), IF(val=0, "", val))</f>
        <v/>
      </c>
      <c r="AD25" s="44" t="str">
        <f t="array" ref="AD25">LET(val, IFERROR(INDEX('Daily 스피킹 raw'!$A:$ZZ, MATCH(AD$2, 'Daily 스피킹 raw'!$A:$A, 0), MATCH($B25, 'Daily 스피킹 raw'!$1:$1, 0)), ""), IF(val=0, "", val))</f>
        <v/>
      </c>
      <c r="AE25" s="44" t="str">
        <f t="array" ref="AE25">LET(val, IFERROR(INDEX('Daily 스피킹 raw'!$A:$ZZ, MATCH(AE$2, 'Daily 스피킹 raw'!$A:$A, 0), MATCH($B25, 'Daily 스피킹 raw'!$1:$1, 0)), ""), IF(val=0, "", val))</f>
        <v/>
      </c>
      <c r="AF25" s="44" t="str">
        <f t="array" ref="AF25">LET(val, IFERROR(INDEX('Daily 스피킹 raw'!$A:$ZZ, MATCH(AF$2, 'Daily 스피킹 raw'!$A:$A, 0), MATCH($B25, 'Daily 스피킹 raw'!$1:$1, 0)), ""), IF(val=0, "", val))</f>
        <v/>
      </c>
      <c r="AG25" s="44" t="str">
        <f t="array" ref="AG25">LET(val, IFERROR(INDEX('Daily 스피킹 raw'!$A:$ZZ, MATCH(AG$2, 'Daily 스피킹 raw'!$A:$A, 0), MATCH($B25, 'Daily 스피킹 raw'!$1:$1, 0)), ""), IF(val=0, "", val))</f>
        <v/>
      </c>
      <c r="AH25" s="44" t="str">
        <f t="array" ref="AH25">LET(val, IFERROR(INDEX('Daily 스피킹 raw'!$A:$ZZ, MATCH(AH$2, 'Daily 스피킹 raw'!$A:$A, 0), MATCH($B25, 'Daily 스피킹 raw'!$1:$1, 0)), ""), IF(val=0, "", val))</f>
        <v/>
      </c>
      <c r="AI25" s="44" t="str">
        <f t="array" ref="AI25">LET(val, IFERROR(INDEX('Daily 스피킹 raw'!$A:$ZZ, MATCH(AI$2, 'Daily 스피킹 raw'!$A:$A, 0), MATCH($B25, 'Daily 스피킹 raw'!$1:$1, 0)), ""), IF(val=0, "", val))</f>
        <v/>
      </c>
      <c r="AJ25" s="44" t="str">
        <f t="array" ref="AJ25">LET(val, IFERROR(INDEX('Daily 스피킹 raw'!$A:$ZZ, MATCH(AJ$2, 'Daily 스피킹 raw'!$A:$A, 0), MATCH($B25, 'Daily 스피킹 raw'!$1:$1, 0)), ""), IF(val=0, "", val))</f>
        <v/>
      </c>
      <c r="AK25" s="44" t="str">
        <f t="array" ref="AK25">LET(val, IFERROR(INDEX('Daily 스피킹 raw'!$A:$ZZ, MATCH(AK$2, 'Daily 스피킹 raw'!$A:$A, 0), MATCH($B25, 'Daily 스피킹 raw'!$1:$1, 0)), ""), IF(val=0, "", val))</f>
        <v/>
      </c>
      <c r="AL25" s="44" t="str">
        <f t="array" ref="AL25">LET(val, IFERROR(INDEX('Daily 스피킹 raw'!$A:$ZZ, MATCH(AL$2, 'Daily 스피킹 raw'!$A:$A, 0), MATCH($B25, 'Daily 스피킹 raw'!$1:$1, 0)), ""), IF(val=0, "", val))</f>
        <v/>
      </c>
      <c r="AM25" s="44" t="str">
        <f t="array" ref="AM25">LET(val, IFERROR(INDEX('Daily 스피킹 raw'!$A:$ZZ, MATCH(AM$2, 'Daily 스피킹 raw'!$A:$A, 0), MATCH($B25, 'Daily 스피킹 raw'!$1:$1, 0)), ""), IF(val=0, "", val))</f>
        <v/>
      </c>
      <c r="AN25" s="44" t="str">
        <f t="array" ref="AN25">LET(val, IFERROR(INDEX('Daily 스피킹 raw'!$A:$ZZ, MATCH(AN$2, 'Daily 스피킹 raw'!$A:$A, 0), MATCH($B25, 'Daily 스피킹 raw'!$1:$1, 0)), ""), IF(val=0, "", val))</f>
        <v/>
      </c>
      <c r="AO25" s="44" t="str">
        <f t="array" ref="AO25">LET(val, IFERROR(INDEX('Daily 스피킹 raw'!$A:$ZZ, MATCH(AO$2, 'Daily 스피킹 raw'!$A:$A, 0), MATCH($B25, 'Daily 스피킹 raw'!$1:$1, 0)), ""), IF(val=0, "", val))</f>
        <v/>
      </c>
      <c r="AP25" s="44" t="str">
        <f t="array" ref="AP25">LET(val, IFERROR(INDEX('Daily 스피킹 raw'!$A:$ZZ, MATCH(AP$2, 'Daily 스피킹 raw'!$A:$A, 0), MATCH($B25, 'Daily 스피킹 raw'!$1:$1, 0)), ""), IF(val=0, "", val))</f>
        <v/>
      </c>
      <c r="AQ25" s="44" t="str">
        <f t="array" ref="AQ25">LET(val, IFERROR(INDEX('Daily 스피킹 raw'!$A:$ZZ, MATCH(AQ$2, 'Daily 스피킹 raw'!$A:$A, 0), MATCH($B25, 'Daily 스피킹 raw'!$1:$1, 0)), ""), IF(val=0, "", val))</f>
        <v/>
      </c>
      <c r="AR25" s="44" t="str">
        <f t="array" ref="AR25">LET(val, IFERROR(INDEX('Daily 스피킹 raw'!$A:$ZZ, MATCH(AR$2, 'Daily 스피킹 raw'!$A:$A, 0), MATCH($B25, 'Daily 스피킹 raw'!$1:$1, 0)), ""), IF(val=0, "", val))</f>
        <v/>
      </c>
      <c r="AS25" s="44" t="str">
        <f t="array" ref="AS25">LET(val, IFERROR(INDEX('Daily 스피킹 raw'!$A:$ZZ, MATCH(AS$2, 'Daily 스피킹 raw'!$A:$A, 0), MATCH($B25, 'Daily 스피킹 raw'!$1:$1, 0)), ""), IF(val=0, "", val))</f>
        <v/>
      </c>
      <c r="AT25" s="44" t="str">
        <f t="array" ref="AT25">LET(val, IFERROR(INDEX('Daily 스피킹 raw'!$A:$ZZ, MATCH(AT$2, 'Daily 스피킹 raw'!$A:$A, 0), MATCH($B25, 'Daily 스피킹 raw'!$1:$1, 0)), ""), IF(val=0, "", val))</f>
        <v/>
      </c>
      <c r="AU25" s="44" t="str">
        <f t="array" ref="AU25">LET(val, IFERROR(INDEX('Daily 스피킹 raw'!$A:$ZZ, MATCH(AU$2, 'Daily 스피킹 raw'!$A:$A, 0), MATCH($B25, 'Daily 스피킹 raw'!$1:$1, 0)), ""), IF(val=0, "", val))</f>
        <v/>
      </c>
      <c r="AV25" s="44" t="str">
        <f t="array" ref="AV25">LET(val, IFERROR(INDEX('Daily 스피킹 raw'!$A:$ZZ, MATCH(AV$2, 'Daily 스피킹 raw'!$A:$A, 0), MATCH($B25, 'Daily 스피킹 raw'!$1:$1, 0)), ""), IF(val=0, "", val))</f>
        <v/>
      </c>
      <c r="AW25" s="44" t="str">
        <f t="array" ref="AW25">LET(val, IFERROR(INDEX('Daily 스피킹 raw'!$A:$ZZ, MATCH(AW$2, 'Daily 스피킹 raw'!$A:$A, 0), MATCH($B25, 'Daily 스피킹 raw'!$1:$1, 0)), ""), IF(val=0, "", val))</f>
        <v/>
      </c>
      <c r="AX25" s="44" t="str">
        <f t="array" ref="AX25">LET(val, IFERROR(INDEX('Daily 스피킹 raw'!$A:$ZZ, MATCH(AX$2, 'Daily 스피킹 raw'!$A:$A, 0), MATCH($B25, 'Daily 스피킹 raw'!$1:$1, 0)), ""), IF(val=0, "", val))</f>
        <v/>
      </c>
      <c r="AY25" s="44" t="str">
        <f t="array" ref="AY25">LET(val, IFERROR(INDEX('Daily 스피킹 raw'!$A:$ZZ, MATCH(AY$2, 'Daily 스피킹 raw'!$A:$A, 0), MATCH($B25, 'Daily 스피킹 raw'!$1:$1, 0)), ""), IF(val=0, "", val))</f>
        <v/>
      </c>
      <c r="AZ25" s="44" t="str">
        <f t="array" ref="AZ25">LET(val, IFERROR(INDEX('Daily 스피킹 raw'!$A:$ZZ, MATCH(AZ$2, 'Daily 스피킹 raw'!$A:$A, 0), MATCH($B25, 'Daily 스피킹 raw'!$1:$1, 0)), ""), IF(val=0, "", val))</f>
        <v/>
      </c>
      <c r="BA25" s="44" t="str">
        <f t="array" ref="BA25">LET(val, IFERROR(INDEX('Daily 스피킹 raw'!$A:$ZZ, MATCH(BA$2, 'Daily 스피킹 raw'!$A:$A, 0), MATCH($B25, 'Daily 스피킹 raw'!$1:$1, 0)), ""), IF(val=0, "", val))</f>
        <v/>
      </c>
      <c r="BB25" s="44" t="str">
        <f t="array" ref="BB25">LET(val, IFERROR(INDEX('Daily 스피킹 raw'!$A:$ZZ, MATCH(BB$2, 'Daily 스피킹 raw'!$A:$A, 0), MATCH($B25, 'Daily 스피킹 raw'!$1:$1, 0)), ""), IF(val=0, "", val))</f>
        <v/>
      </c>
      <c r="BC25" s="44" t="str">
        <f t="array" ref="BC25">LET(val, IFERROR(INDEX('Daily 스피킹 raw'!$A:$ZZ, MATCH(BC$2, 'Daily 스피킹 raw'!$A:$A, 0), MATCH($B25, 'Daily 스피킹 raw'!$1:$1, 0)), ""), IF(val=0, "", val))</f>
        <v/>
      </c>
      <c r="BD25" s="44" t="str">
        <f t="array" ref="BD25">LET(val, IFERROR(INDEX('Daily 스피킹 raw'!$A:$ZZ, MATCH(BD$2, 'Daily 스피킹 raw'!$A:$A, 0), MATCH($B25, 'Daily 스피킹 raw'!$1:$1, 0)), ""), IF(val=0, "", val))</f>
        <v/>
      </c>
      <c r="BE25" s="44" t="str">
        <f t="array" ref="BE25">LET(val, IFERROR(INDEX('Daily 스피킹 raw'!$A:$ZZ, MATCH(BE$2, 'Daily 스피킹 raw'!$A:$A, 0), MATCH($B25, 'Daily 스피킹 raw'!$1:$1, 0)), ""), IF(val=0, "", val))</f>
        <v/>
      </c>
      <c r="BF25" s="44" t="str">
        <f t="array" ref="BF25">LET(val, IFERROR(INDEX('Daily 스피킹 raw'!$A:$ZZ, MATCH(BF$2, 'Daily 스피킹 raw'!$A:$A, 0), MATCH($B25, 'Daily 스피킹 raw'!$1:$1, 0)), ""), IF(val=0, "", val))</f>
        <v/>
      </c>
      <c r="BG25" s="44" t="str">
        <f t="array" ref="BG25">LET(val, IFERROR(INDEX('Daily 스피킹 raw'!$A:$ZZ, MATCH(BG$2, 'Daily 스피킹 raw'!$A:$A, 0), MATCH($B25, 'Daily 스피킹 raw'!$1:$1, 0)), ""), IF(val=0, "", val))</f>
        <v/>
      </c>
      <c r="BH25" s="44" t="str">
        <f t="array" ref="BH25">LET(val, IFERROR(INDEX('Daily 스피킹 raw'!$A:$ZZ, MATCH(BH$2, 'Daily 스피킹 raw'!$A:$A, 0), MATCH($B25, 'Daily 스피킹 raw'!$1:$1, 0)), ""), IF(val=0, "", val))</f>
        <v/>
      </c>
      <c r="BI25" s="44" t="str">
        <f t="array" ref="BI25">LET(val, IFERROR(INDEX('Daily 스피킹 raw'!$A:$ZZ, MATCH(BI$2, 'Daily 스피킹 raw'!$A:$A, 0), MATCH($B25, 'Daily 스피킹 raw'!$1:$1, 0)), ""), IF(val=0, "", val))</f>
        <v/>
      </c>
      <c r="BJ25" s="44" t="str">
        <f t="array" ref="BJ25">LET(val, IFERROR(INDEX('Daily 스피킹 raw'!$A:$ZZ, MATCH(BJ$2, 'Daily 스피킹 raw'!$A:$A, 0), MATCH($B25, 'Daily 스피킹 raw'!$1:$1, 0)), ""), IF(val=0, "", val))</f>
        <v/>
      </c>
      <c r="BK25" s="44" t="str">
        <f t="array" ref="BK25">LET(val, IFERROR(INDEX('Daily 스피킹 raw'!$A:$ZZ, MATCH(BK$2, 'Daily 스피킹 raw'!$A:$A, 0), MATCH($B25, 'Daily 스피킹 raw'!$1:$1, 0)), ""), IF(val=0, "", val))</f>
        <v/>
      </c>
      <c r="BL25" s="44" t="str">
        <f t="array" ref="BL25">LET(val, IFERROR(INDEX('Daily 스피킹 raw'!$A:$ZZ, MATCH(BL$2, 'Daily 스피킹 raw'!$A:$A, 0), MATCH($B25, 'Daily 스피킹 raw'!$1:$1, 0)), ""), IF(val=0, "", val))</f>
        <v/>
      </c>
      <c r="BM25" s="44" t="str">
        <f t="array" ref="BM25">LET(val, IFERROR(INDEX('Daily 스피킹 raw'!$A:$ZZ, MATCH(BM$2, 'Daily 스피킹 raw'!$A:$A, 0), MATCH($B25, 'Daily 스피킹 raw'!$1:$1, 0)), ""), IF(val=0, "", val))</f>
        <v/>
      </c>
      <c r="BN25" s="44" t="str">
        <f t="array" ref="BN25">LET(val, IFERROR(INDEX('Daily 스피킹 raw'!$A:$ZZ, MATCH(BN$2, 'Daily 스피킹 raw'!$A:$A, 0), MATCH($B25, 'Daily 스피킹 raw'!$1:$1, 0)), ""), IF(val=0, "", val))</f>
        <v/>
      </c>
      <c r="BO25" s="44" t="str">
        <f t="array" ref="BO25">LET(val, IFERROR(INDEX('Daily 스피킹 raw'!$A:$ZZ, MATCH(BO$2, 'Daily 스피킹 raw'!$A:$A, 0), MATCH($B25, 'Daily 스피킹 raw'!$1:$1, 0)), ""), IF(val=0, "", val))</f>
        <v/>
      </c>
      <c r="BP25" s="44" t="str">
        <f t="array" ref="BP25">LET(val, IFERROR(INDEX('Daily 스피킹 raw'!$A:$ZZ, MATCH(BP$2, 'Daily 스피킹 raw'!$A:$A, 0), MATCH($B25, 'Daily 스피킹 raw'!$1:$1, 0)), ""), IF(val=0, "", val))</f>
        <v/>
      </c>
      <c r="BQ25" s="44" t="str">
        <f t="array" ref="BQ25">LET(val, IFERROR(INDEX('Daily 스피킹 raw'!$A:$ZZ, MATCH(BQ$2, 'Daily 스피킹 raw'!$A:$A, 0), MATCH($B25, 'Daily 스피킹 raw'!$1:$1, 0)), ""), IF(val=0, "", val))</f>
        <v/>
      </c>
      <c r="BR25" s="44" t="str">
        <f t="array" ref="BR25">LET(val, IFERROR(INDEX('Daily 스피킹 raw'!$A:$ZZ, MATCH(BR$2, 'Daily 스피킹 raw'!$A:$A, 0), MATCH($B25, 'Daily 스피킹 raw'!$1:$1, 0)), ""), IF(val=0, "", val))</f>
        <v/>
      </c>
      <c r="BS25" s="44" t="str">
        <f t="array" ref="BS25">LET(val, IFERROR(INDEX('Daily 스피킹 raw'!$A:$ZZ, MATCH(BS$2, 'Daily 스피킹 raw'!$A:$A, 0), MATCH($B25, 'Daily 스피킹 raw'!$1:$1, 0)), ""), IF(val=0, "", val))</f>
        <v/>
      </c>
      <c r="BT25" s="44" t="str">
        <f t="array" ref="BT25">LET(val, IFERROR(INDEX('Daily 스피킹 raw'!$A:$ZZ, MATCH(BT$2, 'Daily 스피킹 raw'!$A:$A, 0), MATCH($B25, 'Daily 스피킹 raw'!$1:$1, 0)), ""), IF(val=0, "", val))</f>
        <v/>
      </c>
      <c r="BU25" s="44" t="str">
        <f t="array" ref="BU25">LET(val, IFERROR(INDEX('Daily 스피킹 raw'!$A:$ZZ, MATCH(BU$2, 'Daily 스피킹 raw'!$A:$A, 0), MATCH($B25, 'Daily 스피킹 raw'!$1:$1, 0)), ""), IF(val=0, "", val))</f>
        <v/>
      </c>
      <c r="BV25" s="44" t="str">
        <f t="array" ref="BV25">LET(val, IFERROR(INDEX('Daily 스피킹 raw'!$A:$ZZ, MATCH(BV$2, 'Daily 스피킹 raw'!$A:$A, 0), MATCH($B25, 'Daily 스피킹 raw'!$1:$1, 0)), ""), IF(val=0, "", val))</f>
        <v/>
      </c>
      <c r="BW25" s="44" t="str">
        <f t="array" ref="BW25">LET(val, IFERROR(INDEX('Daily 스피킹 raw'!$A:$ZZ, MATCH(BW$2, 'Daily 스피킹 raw'!$A:$A, 0), MATCH($B25, 'Daily 스피킹 raw'!$1:$1, 0)), ""), IF(val=0, "", val))</f>
        <v/>
      </c>
      <c r="BX25" s="44" t="str">
        <f t="array" ref="BX25">LET(val, IFERROR(INDEX('Daily 스피킹 raw'!$A:$ZZ, MATCH(BX$2, 'Daily 스피킹 raw'!$A:$A, 0), MATCH($B25, 'Daily 스피킹 raw'!$1:$1, 0)), ""), IF(val=0, "", val))</f>
        <v/>
      </c>
      <c r="BY25" s="44" t="str">
        <f t="array" ref="BY25">LET(val, IFERROR(INDEX('Daily 스피킹 raw'!$A:$ZZ, MATCH(BY$2, 'Daily 스피킹 raw'!$A:$A, 0), MATCH($B25, 'Daily 스피킹 raw'!$1:$1, 0)), ""), IF(val=0, "", val))</f>
        <v/>
      </c>
      <c r="BZ25" s="44" t="str">
        <f t="array" ref="BZ25">LET(val, IFERROR(INDEX('Daily 스피킹 raw'!$A:$ZZ, MATCH(BZ$2, 'Daily 스피킹 raw'!$A:$A, 0), MATCH($B25, 'Daily 스피킹 raw'!$1:$1, 0)), ""), IF(val=0, "", val))</f>
        <v/>
      </c>
      <c r="CA25" s="44" t="str">
        <f t="array" ref="CA25">LET(val, IFERROR(INDEX('Daily 스피킹 raw'!$A:$ZZ, MATCH(CA$2, 'Daily 스피킹 raw'!$A:$A, 0), MATCH($B25, 'Daily 스피킹 raw'!$1:$1, 0)), ""), IF(val=0, "", val))</f>
        <v/>
      </c>
      <c r="CB25" s="44" t="str">
        <f t="array" ref="CB25">LET(val, IFERROR(INDEX('Daily 스피킹 raw'!$A:$ZZ, MATCH(CB$2, 'Daily 스피킹 raw'!$A:$A, 0), MATCH($B25, 'Daily 스피킹 raw'!$1:$1, 0)), ""), IF(val=0, "", val))</f>
        <v/>
      </c>
      <c r="CC25" s="44" t="str">
        <f t="array" ref="CC25">LET(val, IFERROR(INDEX('Daily 스피킹 raw'!$A:$ZZ, MATCH(CC$2, 'Daily 스피킹 raw'!$A:$A, 0), MATCH($B25, 'Daily 스피킹 raw'!$1:$1, 0)), ""), IF(val=0, "", val))</f>
        <v/>
      </c>
      <c r="CD25" s="44" t="str">
        <f t="array" ref="CD25">LET(val, IFERROR(INDEX('Daily 스피킹 raw'!$A:$ZZ, MATCH(CD$2, 'Daily 스피킹 raw'!$A:$A, 0), MATCH($B25, 'Daily 스피킹 raw'!$1:$1, 0)), ""), IF(val=0, "", val))</f>
        <v/>
      </c>
      <c r="CE25" s="44" t="str">
        <f t="array" ref="CE25">LET(val, IFERROR(INDEX('Daily 스피킹 raw'!$A:$ZZ, MATCH(CE$2, 'Daily 스피킹 raw'!$A:$A, 0), MATCH($B25, 'Daily 스피킹 raw'!$1:$1, 0)), ""), IF(val=0, "", val))</f>
        <v/>
      </c>
      <c r="CF25" s="44" t="str">
        <f t="array" ref="CF25">LET(val, IFERROR(INDEX('Daily 스피킹 raw'!$A:$ZZ, MATCH(CF$2, 'Daily 스피킹 raw'!$A:$A, 0), MATCH($B25, 'Daily 스피킹 raw'!$1:$1, 0)), ""), IF(val=0, "", val))</f>
        <v/>
      </c>
      <c r="CG25" s="44" t="str">
        <f t="array" ref="CG25">LET(val, IFERROR(INDEX('Daily 스피킹 raw'!$A:$ZZ, MATCH(CG$2, 'Daily 스피킹 raw'!$A:$A, 0), MATCH($B25, 'Daily 스피킹 raw'!$1:$1, 0)), ""), IF(val=0, "", val))</f>
        <v/>
      </c>
      <c r="CH25" s="44" t="str">
        <f t="array" ref="CH25">LET(val, IFERROR(INDEX('Daily 스피킹 raw'!$A:$ZZ, MATCH(CH$2, 'Daily 스피킹 raw'!$A:$A, 0), MATCH($B25, 'Daily 스피킹 raw'!$1:$1, 0)), ""), IF(val=0, "", val))</f>
        <v/>
      </c>
      <c r="CI25" s="44" t="str">
        <f t="array" ref="CI25">LET(val, IFERROR(INDEX('Daily 스피킹 raw'!$A:$ZZ, MATCH(CI$2, 'Daily 스피킹 raw'!$A:$A, 0), MATCH($B25, 'Daily 스피킹 raw'!$1:$1, 0)), ""), IF(val=0, "", val))</f>
        <v/>
      </c>
      <c r="CJ25" s="44" t="str">
        <f t="array" ref="CJ25">LET(val, IFERROR(INDEX('Daily 스피킹 raw'!$A:$ZZ, MATCH(CJ$2, 'Daily 스피킹 raw'!$A:$A, 0), MATCH($B25, 'Daily 스피킹 raw'!$1:$1, 0)), ""), IF(val=0, "", val))</f>
        <v/>
      </c>
      <c r="CK25" s="44" t="str">
        <f t="array" ref="CK25">LET(val, IFERROR(INDEX('Daily 스피킹 raw'!$A:$ZZ, MATCH(CK$2, 'Daily 스피킹 raw'!$A:$A, 0), MATCH($B25, 'Daily 스피킹 raw'!$1:$1, 0)), ""), IF(val=0, "", val))</f>
        <v/>
      </c>
      <c r="CL25" s="44" t="str">
        <f t="array" ref="CL25">LET(val, IFERROR(INDEX('Daily 스피킹 raw'!$A:$ZZ, MATCH(CL$2, 'Daily 스피킹 raw'!$A:$A, 0), MATCH($B25, 'Daily 스피킹 raw'!$1:$1, 0)), ""), IF(val=0, "", val))</f>
        <v/>
      </c>
      <c r="CM25" s="44" t="str">
        <f t="array" ref="CM25">LET(val, IFERROR(INDEX('Daily 스피킹 raw'!$A:$ZZ, MATCH(CM$2, 'Daily 스피킹 raw'!$A:$A, 0), MATCH($B25, 'Daily 스피킹 raw'!$1:$1, 0)), ""), IF(val=0, "", val))</f>
        <v/>
      </c>
      <c r="CN25" s="44" t="str">
        <f t="array" ref="CN25">LET(val, IFERROR(INDEX('Daily 스피킹 raw'!$A:$ZZ, MATCH(CN$2, 'Daily 스피킹 raw'!$A:$A, 0), MATCH($B25, 'Daily 스피킹 raw'!$1:$1, 0)), ""), IF(val=0, "", val))</f>
        <v/>
      </c>
      <c r="CO25" s="44" t="str">
        <f t="array" ref="CO25">LET(val, IFERROR(INDEX('Daily 스피킹 raw'!$A:$ZZ, MATCH(CO$2, 'Daily 스피킹 raw'!$A:$A, 0), MATCH($B25, 'Daily 스피킹 raw'!$1:$1, 0)), ""), IF(val=0, "", val))</f>
        <v/>
      </c>
      <c r="CP25" s="44" t="str">
        <f t="array" ref="CP25">LET(val, IFERROR(INDEX('Daily 스피킹 raw'!$A:$ZZ, MATCH(CP$2, 'Daily 스피킹 raw'!$A:$A, 0), MATCH($B25, 'Daily 스피킹 raw'!$1:$1, 0)), ""), IF(val=0, "", val))</f>
        <v/>
      </c>
      <c r="CQ25" s="44" t="str">
        <f t="array" ref="CQ25">LET(val, IFERROR(INDEX('Daily 스피킹 raw'!$A:$ZZ, MATCH(CQ$2, 'Daily 스피킹 raw'!$A:$A, 0), MATCH($B25, 'Daily 스피킹 raw'!$1:$1, 0)), ""), IF(val=0, "", val))</f>
        <v/>
      </c>
      <c r="CR25" s="44" t="str">
        <f t="array" ref="CR25">LET(val, IFERROR(INDEX('Daily 스피킹 raw'!$A:$ZZ, MATCH(CR$2, 'Daily 스피킹 raw'!$A:$A, 0), MATCH($B25, 'Daily 스피킹 raw'!$1:$1, 0)), ""), IF(val=0, "", val))</f>
        <v/>
      </c>
      <c r="CS25" s="44" t="str">
        <f t="array" ref="CS25">LET(val, IFERROR(INDEX('Daily 스피킹 raw'!$A:$ZZ, MATCH(CS$2, 'Daily 스피킹 raw'!$A:$A, 0), MATCH($B25, 'Daily 스피킹 raw'!$1:$1, 0)), ""), IF(val=0, "", val))</f>
        <v/>
      </c>
      <c r="CT25" s="44" t="str">
        <f t="array" ref="CT25">LET(val, IFERROR(INDEX('Daily 스피킹 raw'!$A:$ZZ, MATCH(CT$2, 'Daily 스피킹 raw'!$A:$A, 0), MATCH($B25, 'Daily 스피킹 raw'!$1:$1, 0)), ""), IF(val=0, "", val))</f>
        <v/>
      </c>
      <c r="CU25" s="44" t="str">
        <f t="array" ref="CU25">LET(val, IFERROR(INDEX('Daily 스피킹 raw'!$A:$ZZ, MATCH(CU$2, 'Daily 스피킹 raw'!$A:$A, 0), MATCH($B25, 'Daily 스피킹 raw'!$1:$1, 0)), ""), IF(val=0, "", val))</f>
        <v/>
      </c>
      <c r="CV25" s="44" t="str">
        <f t="array" ref="CV25">LET(val, IFERROR(INDEX('Daily 스피킹 raw'!$A:$ZZ, MATCH(CV$2, 'Daily 스피킹 raw'!$A:$A, 0), MATCH($B25, 'Daily 스피킹 raw'!$1:$1, 0)), ""), IF(val=0, "", val))</f>
        <v/>
      </c>
      <c r="CW25" s="44" t="str">
        <f t="array" ref="CW25">LET(val, IFERROR(INDEX('Daily 스피킹 raw'!$A:$ZZ, MATCH(CW$2, 'Daily 스피킹 raw'!$A:$A, 0), MATCH($B25, 'Daily 스피킹 raw'!$1:$1, 0)), ""), IF(val=0, "", val))</f>
        <v/>
      </c>
    </row>
    <row r="26" ht="22.5" customHeight="1">
      <c r="A26" s="17"/>
      <c r="B26" s="16" t="s">
        <v>50</v>
      </c>
      <c r="C26" s="17" t="s">
        <v>42</v>
      </c>
      <c r="D26" s="44">
        <f t="array" ref="D26">LET(val, IFERROR(INDEX('Daily 스피킹 raw'!$A:$ZZ, MATCH(D$2, 'Daily 스피킹 raw'!$A:$A, 0), MATCH($B26, 'Daily 스피킹 raw'!$1:$1, 0)), ""), IF(val=0, "", val))</f>
        <v>5669</v>
      </c>
      <c r="E26" s="44">
        <f t="array" ref="E26">LET(val, IFERROR(INDEX('Daily 스피킹 raw'!$A:$ZZ, MATCH(E$2, 'Daily 스피킹 raw'!$A:$A, 0), MATCH($B26, 'Daily 스피킹 raw'!$1:$1, 0)), ""), IF(val=0, "", val))</f>
        <v>4157</v>
      </c>
      <c r="F26" s="44">
        <f t="array" ref="F26">LET(val, IFERROR(INDEX('Daily 스피킹 raw'!$A:$ZZ, MATCH(F$2, 'Daily 스피킹 raw'!$A:$A, 0), MATCH($B26, 'Daily 스피킹 raw'!$1:$1, 0)), ""), IF(val=0, "", val))</f>
        <v>5203</v>
      </c>
      <c r="G26" s="44">
        <f t="array" ref="G26">LET(val, IFERROR(INDEX('Daily 스피킹 raw'!$A:$ZZ, MATCH(G$2, 'Daily 스피킹 raw'!$A:$A, 0), MATCH($B26, 'Daily 스피킹 raw'!$1:$1, 0)), ""), IF(val=0, "", val))</f>
        <v>3760</v>
      </c>
      <c r="H26" s="44">
        <f t="array" ref="H26">LET(val, IFERROR(INDEX('Daily 스피킹 raw'!$A:$ZZ, MATCH(H$2, 'Daily 스피킹 raw'!$A:$A, 0), MATCH($B26, 'Daily 스피킹 raw'!$1:$1, 0)), ""), IF(val=0, "", val))</f>
        <v>3943</v>
      </c>
      <c r="I26" s="44">
        <f t="array" ref="I26">LET(val, IFERROR(INDEX('Daily 스피킹 raw'!$A:$ZZ, MATCH(I$2, 'Daily 스피킹 raw'!$A:$A, 0), MATCH($B26, 'Daily 스피킹 raw'!$1:$1, 0)), ""), IF(val=0, "", val))</f>
        <v>5716</v>
      </c>
      <c r="J26" s="44">
        <f t="array" ref="J26">LET(val, IFERROR(INDEX('Daily 스피킹 raw'!$A:$ZZ, MATCH(J$2, 'Daily 스피킹 raw'!$A:$A, 0), MATCH($B26, 'Daily 스피킹 raw'!$1:$1, 0)), ""), IF(val=0, "", val))</f>
        <v>4340</v>
      </c>
      <c r="K26" s="44">
        <f t="array" ref="K26">LET(val, IFERROR(INDEX('Daily 스피킹 raw'!$A:$ZZ, MATCH(K$2, 'Daily 스피킹 raw'!$A:$A, 0), MATCH($B26, 'Daily 스피킹 raw'!$1:$1, 0)), ""), IF(val=0, "", val))</f>
        <v>8187</v>
      </c>
      <c r="L26" s="44">
        <f t="array" ref="L26">LET(val, IFERROR(INDEX('Daily 스피킹 raw'!$A:$ZZ, MATCH(L$2, 'Daily 스피킹 raw'!$A:$A, 0), MATCH($B26, 'Daily 스피킹 raw'!$1:$1, 0)), ""), IF(val=0, "", val))</f>
        <v>13191</v>
      </c>
      <c r="M26" s="44">
        <f t="array" ref="M26">LET(val, IFERROR(INDEX('Daily 스피킹 raw'!$A:$ZZ, MATCH(M$2, 'Daily 스피킹 raw'!$A:$A, 0), MATCH($B26, 'Daily 스피킹 raw'!$1:$1, 0)), ""), IF(val=0, "", val))</f>
        <v>8529</v>
      </c>
      <c r="N26" s="44">
        <f t="array" ref="N26">LET(val, IFERROR(INDEX('Daily 스피킹 raw'!$A:$ZZ, MATCH(N$2, 'Daily 스피킹 raw'!$A:$A, 0), MATCH($B26, 'Daily 스피킹 raw'!$1:$1, 0)), ""), IF(val=0, "", val))</f>
        <v>5049</v>
      </c>
      <c r="O26" s="44">
        <f t="array" ref="O26">LET(val, IFERROR(INDEX('Daily 스피킹 raw'!$A:$ZZ, MATCH(O$2, 'Daily 스피킹 raw'!$A:$A, 0), MATCH($B26, 'Daily 스피킹 raw'!$1:$1, 0)), ""), IF(val=0, "", val))</f>
        <v>4470</v>
      </c>
      <c r="P26" s="44">
        <f t="array" ref="P26">LET(val, IFERROR(INDEX('Daily 스피킹 raw'!$A:$ZZ, MATCH(P$2, 'Daily 스피킹 raw'!$A:$A, 0), MATCH($B26, 'Daily 스피킹 raw'!$1:$1, 0)), ""), IF(val=0, "", val))</f>
        <v>6764</v>
      </c>
      <c r="Q26" s="44">
        <f t="array" ref="Q26">LET(val, IFERROR(INDEX('Daily 스피킹 raw'!$A:$ZZ, MATCH(Q$2, 'Daily 스피킹 raw'!$A:$A, 0), MATCH($B26, 'Daily 스피킹 raw'!$1:$1, 0)), ""), IF(val=0, "", val))</f>
        <v>4777</v>
      </c>
      <c r="R26" s="44">
        <f t="array" ref="R26">LET(val, IFERROR(INDEX('Daily 스피킹 raw'!$A:$ZZ, MATCH(R$2, 'Daily 스피킹 raw'!$A:$A, 0), MATCH($B26, 'Daily 스피킹 raw'!$1:$1, 0)), ""), IF(val=0, "", val))</f>
        <v>6344</v>
      </c>
      <c r="S26" s="44">
        <f t="array" ref="S26">LET(val, IFERROR(INDEX('Daily 스피킹 raw'!$A:$ZZ, MATCH(S$2, 'Daily 스피킹 raw'!$A:$A, 0), MATCH($B26, 'Daily 스피킹 raw'!$1:$1, 0)), ""), IF(val=0, "", val))</f>
        <v>3966</v>
      </c>
      <c r="T26" s="44">
        <f t="array" ref="T26">LET(val, IFERROR(INDEX('Daily 스피킹 raw'!$A:$ZZ, MATCH(T$2, 'Daily 스피킹 raw'!$A:$A, 0), MATCH($B26, 'Daily 스피킹 raw'!$1:$1, 0)), ""), IF(val=0, "", val))</f>
        <v>4815</v>
      </c>
      <c r="U26" s="44">
        <f t="array" ref="U26">LET(val, IFERROR(INDEX('Daily 스피킹 raw'!$A:$ZZ, MATCH(U$2, 'Daily 스피킹 raw'!$A:$A, 0), MATCH($B26, 'Daily 스피킹 raw'!$1:$1, 0)), ""), IF(val=0, "", val))</f>
        <v>3630</v>
      </c>
      <c r="V26" s="44">
        <f t="array" ref="V26">LET(val, IFERROR(INDEX('Daily 스피킹 raw'!$A:$ZZ, MATCH(V$2, 'Daily 스피킹 raw'!$A:$A, 0), MATCH($B26, 'Daily 스피킹 raw'!$1:$1, 0)), ""), IF(val=0, "", val))</f>
        <v>3567</v>
      </c>
      <c r="W26" s="44">
        <f t="array" ref="W26">LET(val, IFERROR(INDEX('Daily 스피킹 raw'!$A:$ZZ, MATCH(W$2, 'Daily 스피킹 raw'!$A:$A, 0), MATCH($B26, 'Daily 스피킹 raw'!$1:$1, 0)), ""), IF(val=0, "", val))</f>
        <v>6372</v>
      </c>
      <c r="X26" s="44">
        <f t="array" ref="X26">LET(val, IFERROR(INDEX('Daily 스피킹 raw'!$A:$ZZ, MATCH(X$2, 'Daily 스피킹 raw'!$A:$A, 0), MATCH($B26, 'Daily 스피킹 raw'!$1:$1, 0)), ""), IF(val=0, "", val))</f>
        <v>4808</v>
      </c>
      <c r="Y26" s="44">
        <f t="array" ref="Y26">LET(val, IFERROR(INDEX('Daily 스피킹 raw'!$A:$ZZ, MATCH(Y$2, 'Daily 스피킹 raw'!$A:$A, 0), MATCH($B26, 'Daily 스피킹 raw'!$1:$1, 0)), ""), IF(val=0, "", val))</f>
        <v>5971</v>
      </c>
      <c r="Z26" s="44">
        <f t="array" ref="Z26">LET(val, IFERROR(INDEX('Daily 스피킹 raw'!$A:$ZZ, MATCH(Z$2, 'Daily 스피킹 raw'!$A:$A, 0), MATCH($B26, 'Daily 스피킹 raw'!$1:$1, 0)), ""), IF(val=0, "", val))</f>
        <v>4345</v>
      </c>
      <c r="AA26" s="44">
        <f t="array" ref="AA26">LET(val, IFERROR(INDEX('Daily 스피킹 raw'!$A:$ZZ, MATCH(AA$2, 'Daily 스피킹 raw'!$A:$A, 0), MATCH($B26, 'Daily 스피킹 raw'!$1:$1, 0)), ""), IF(val=0, "", val))</f>
        <v>5954</v>
      </c>
      <c r="AB26" s="44">
        <f t="array" ref="AB26">LET(val, IFERROR(INDEX('Daily 스피킹 raw'!$A:$ZZ, MATCH(AB$2, 'Daily 스피킹 raw'!$A:$A, 0), MATCH($B26, 'Daily 스피킹 raw'!$1:$1, 0)), ""), IF(val=0, "", val))</f>
        <v>4243</v>
      </c>
      <c r="AC26" s="44">
        <f t="array" ref="AC26">LET(val, IFERROR(INDEX('Daily 스피킹 raw'!$A:$ZZ, MATCH(AC$2, 'Daily 스피킹 raw'!$A:$A, 0), MATCH($B26, 'Daily 스피킹 raw'!$1:$1, 0)), ""), IF(val=0, "", val))</f>
        <v>3723</v>
      </c>
      <c r="AD26" s="44">
        <f t="array" ref="AD26">LET(val, IFERROR(INDEX('Daily 스피킹 raw'!$A:$ZZ, MATCH(AD$2, 'Daily 스피킹 raw'!$A:$A, 0), MATCH($B26, 'Daily 스피킹 raw'!$1:$1, 0)), ""), IF(val=0, "", val))</f>
        <v>5931</v>
      </c>
      <c r="AE26" s="44">
        <f t="array" ref="AE26">LET(val, IFERROR(INDEX('Daily 스피킹 raw'!$A:$ZZ, MATCH(AE$2, 'Daily 스피킹 raw'!$A:$A, 0), MATCH($B26, 'Daily 스피킹 raw'!$1:$1, 0)), ""), IF(val=0, "", val))</f>
        <v>4169</v>
      </c>
      <c r="AF26" s="44">
        <f t="array" ref="AF26">LET(val, IFERROR(INDEX('Daily 스피킹 raw'!$A:$ZZ, MATCH(AF$2, 'Daily 스피킹 raw'!$A:$A, 0), MATCH($B26, 'Daily 스피킹 raw'!$1:$1, 0)), ""), IF(val=0, "", val))</f>
        <v>5615</v>
      </c>
      <c r="AG26" s="44">
        <f t="array" ref="AG26">LET(val, IFERROR(INDEX('Daily 스피킹 raw'!$A:$ZZ, MATCH(AG$2, 'Daily 스피킹 raw'!$A:$A, 0), MATCH($B26, 'Daily 스피킹 raw'!$1:$1, 0)), ""), IF(val=0, "", val))</f>
        <v>3803</v>
      </c>
      <c r="AH26" s="44">
        <f t="array" ref="AH26">LET(val, IFERROR(INDEX('Daily 스피킹 raw'!$A:$ZZ, MATCH(AH$2, 'Daily 스피킹 raw'!$A:$A, 0), MATCH($B26, 'Daily 스피킹 raw'!$1:$1, 0)), ""), IF(val=0, "", val))</f>
        <v>4757</v>
      </c>
      <c r="AI26" s="44">
        <f t="array" ref="AI26">LET(val, IFERROR(INDEX('Daily 스피킹 raw'!$A:$ZZ, MATCH(AI$2, 'Daily 스피킹 raw'!$A:$A, 0), MATCH($B26, 'Daily 스피킹 raw'!$1:$1, 0)), ""), IF(val=0, "", val))</f>
        <v>3350</v>
      </c>
      <c r="AJ26" s="44">
        <f t="array" ref="AJ26">LET(val, IFERROR(INDEX('Daily 스피킹 raw'!$A:$ZZ, MATCH(AJ$2, 'Daily 스피킹 raw'!$A:$A, 0), MATCH($B26, 'Daily 스피킹 raw'!$1:$1, 0)), ""), IF(val=0, "", val))</f>
        <v>3194</v>
      </c>
      <c r="AK26" s="44">
        <f t="array" ref="AK26">LET(val, IFERROR(INDEX('Daily 스피킹 raw'!$A:$ZZ, MATCH(AK$2, 'Daily 스피킹 raw'!$A:$A, 0), MATCH($B26, 'Daily 스피킹 raw'!$1:$1, 0)), ""), IF(val=0, "", val))</f>
        <v>4815</v>
      </c>
      <c r="AL26" s="44">
        <f t="array" ref="AL26">LET(val, IFERROR(INDEX('Daily 스피킹 raw'!$A:$ZZ, MATCH(AL$2, 'Daily 스피킹 raw'!$A:$A, 0), MATCH($B26, 'Daily 스피킹 raw'!$1:$1, 0)), ""), IF(val=0, "", val))</f>
        <v>3623</v>
      </c>
      <c r="AM26" s="44">
        <f t="array" ref="AM26">LET(val, IFERROR(INDEX('Daily 스피킹 raw'!$A:$ZZ, MATCH(AM$2, 'Daily 스피킹 raw'!$A:$A, 0), MATCH($B26, 'Daily 스피킹 raw'!$1:$1, 0)), ""), IF(val=0, "", val))</f>
        <v>5077</v>
      </c>
      <c r="AN26" s="44">
        <f t="array" ref="AN26">LET(val, IFERROR(INDEX('Daily 스피킹 raw'!$A:$ZZ, MATCH(AN$2, 'Daily 스피킹 raw'!$A:$A, 0), MATCH($B26, 'Daily 스피킹 raw'!$1:$1, 0)), ""), IF(val=0, "", val))</f>
        <v>3551</v>
      </c>
      <c r="AO26" s="44">
        <f t="array" ref="AO26">LET(val, IFERROR(INDEX('Daily 스피킹 raw'!$A:$ZZ, MATCH(AO$2, 'Daily 스피킹 raw'!$A:$A, 0), MATCH($B26, 'Daily 스피킹 raw'!$1:$1, 0)), ""), IF(val=0, "", val))</f>
        <v>4698</v>
      </c>
      <c r="AP26" s="44">
        <f t="array" ref="AP26">LET(val, IFERROR(INDEX('Daily 스피킹 raw'!$A:$ZZ, MATCH(AP$2, 'Daily 스피킹 raw'!$A:$A, 0), MATCH($B26, 'Daily 스피킹 raw'!$1:$1, 0)), ""), IF(val=0, "", val))</f>
        <v>3400</v>
      </c>
      <c r="AQ26" s="44">
        <f t="array" ref="AQ26">LET(val, IFERROR(INDEX('Daily 스피킹 raw'!$A:$ZZ, MATCH(AQ$2, 'Daily 스피킹 raw'!$A:$A, 0), MATCH($B26, 'Daily 스피킹 raw'!$1:$1, 0)), ""), IF(val=0, "", val))</f>
        <v>3151</v>
      </c>
      <c r="AR26" s="44">
        <f t="array" ref="AR26">LET(val, IFERROR(INDEX('Daily 스피킹 raw'!$A:$ZZ, MATCH(AR$2, 'Daily 스피킹 raw'!$A:$A, 0), MATCH($B26, 'Daily 스피킹 raw'!$1:$1, 0)), ""), IF(val=0, "", val))</f>
        <v>4925</v>
      </c>
      <c r="AS26" s="44">
        <f t="array" ref="AS26">LET(val, IFERROR(INDEX('Daily 스피킹 raw'!$A:$ZZ, MATCH(AS$2, 'Daily 스피킹 raw'!$A:$A, 0), MATCH($B26, 'Daily 스피킹 raw'!$1:$1, 0)), ""), IF(val=0, "", val))</f>
        <v>3301</v>
      </c>
      <c r="AT26" s="44">
        <f t="array" ref="AT26">LET(val, IFERROR(INDEX('Daily 스피킹 raw'!$A:$ZZ, MATCH(AT$2, 'Daily 스피킹 raw'!$A:$A, 0), MATCH($B26, 'Daily 스피킹 raw'!$1:$1, 0)), ""), IF(val=0, "", val))</f>
        <v>4104</v>
      </c>
      <c r="AU26" s="44">
        <f t="array" ref="AU26">LET(val, IFERROR(INDEX('Daily 스피킹 raw'!$A:$ZZ, MATCH(AU$2, 'Daily 스피킹 raw'!$A:$A, 0), MATCH($B26, 'Daily 스피킹 raw'!$1:$1, 0)), ""), IF(val=0, "", val))</f>
        <v>3097</v>
      </c>
      <c r="AV26" s="44">
        <f t="array" ref="AV26">LET(val, IFERROR(INDEX('Daily 스피킹 raw'!$A:$ZZ, MATCH(AV$2, 'Daily 스피킹 raw'!$A:$A, 0), MATCH($B26, 'Daily 스피킹 raw'!$1:$1, 0)), ""), IF(val=0, "", val))</f>
        <v>3952</v>
      </c>
      <c r="AW26" s="44">
        <f t="array" ref="AW26">LET(val, IFERROR(INDEX('Daily 스피킹 raw'!$A:$ZZ, MATCH(AW$2, 'Daily 스피킹 raw'!$A:$A, 0), MATCH($B26, 'Daily 스피킹 raw'!$1:$1, 0)), ""), IF(val=0, "", val))</f>
        <v>2871</v>
      </c>
      <c r="AX26" s="44">
        <f t="array" ref="AX26">LET(val, IFERROR(INDEX('Daily 스피킹 raw'!$A:$ZZ, MATCH(AX$2, 'Daily 스피킹 raw'!$A:$A, 0), MATCH($B26, 'Daily 스피킹 raw'!$1:$1, 0)), ""), IF(val=0, "", val))</f>
        <v>2833</v>
      </c>
      <c r="AY26" s="44">
        <f t="array" ref="AY26">LET(val, IFERROR(INDEX('Daily 스피킹 raw'!$A:$ZZ, MATCH(AY$2, 'Daily 스피킹 raw'!$A:$A, 0), MATCH($B26, 'Daily 스피킹 raw'!$1:$1, 0)), ""), IF(val=0, "", val))</f>
        <v>4352</v>
      </c>
      <c r="AZ26" s="44">
        <f t="array" ref="AZ26">LET(val, IFERROR(INDEX('Daily 스피킹 raw'!$A:$ZZ, MATCH(AZ$2, 'Daily 스피킹 raw'!$A:$A, 0), MATCH($B26, 'Daily 스피킹 raw'!$1:$1, 0)), ""), IF(val=0, "", val))</f>
        <v>3150</v>
      </c>
      <c r="BA26" s="44">
        <f t="array" ref="BA26">LET(val, IFERROR(INDEX('Daily 스피킹 raw'!$A:$ZZ, MATCH(BA$2, 'Daily 스피킹 raw'!$A:$A, 0), MATCH($B26, 'Daily 스피킹 raw'!$1:$1, 0)), ""), IF(val=0, "", val))</f>
        <v>4055</v>
      </c>
      <c r="BB26" s="44">
        <f t="array" ref="BB26">LET(val, IFERROR(INDEX('Daily 스피킹 raw'!$A:$ZZ, MATCH(BB$2, 'Daily 스피킹 raw'!$A:$A, 0), MATCH($B26, 'Daily 스피킹 raw'!$1:$1, 0)), ""), IF(val=0, "", val))</f>
        <v>2944</v>
      </c>
      <c r="BC26" s="44">
        <f t="array" ref="BC26">LET(val, IFERROR(INDEX('Daily 스피킹 raw'!$A:$ZZ, MATCH(BC$2, 'Daily 스피킹 raw'!$A:$A, 0), MATCH($B26, 'Daily 스피킹 raw'!$1:$1, 0)), ""), IF(val=0, "", val))</f>
        <v>3464</v>
      </c>
      <c r="BD26" s="44">
        <f t="array" ref="BD26">LET(val, IFERROR(INDEX('Daily 스피킹 raw'!$A:$ZZ, MATCH(BD$2, 'Daily 스피킹 raw'!$A:$A, 0), MATCH($B26, 'Daily 스피킹 raw'!$1:$1, 0)), ""), IF(val=0, "", val))</f>
        <v>2513</v>
      </c>
      <c r="BE26" s="44">
        <f t="array" ref="BE26">LET(val, IFERROR(INDEX('Daily 스피킹 raw'!$A:$ZZ, MATCH(BE$2, 'Daily 스피킹 raw'!$A:$A, 0), MATCH($B26, 'Daily 스피킹 raw'!$1:$1, 0)), ""), IF(val=0, "", val))</f>
        <v>2271</v>
      </c>
      <c r="BF26" s="44">
        <f t="array" ref="BF26">LET(val, IFERROR(INDEX('Daily 스피킹 raw'!$A:$ZZ, MATCH(BF$2, 'Daily 스피킹 raw'!$A:$A, 0), MATCH($B26, 'Daily 스피킹 raw'!$1:$1, 0)), ""), IF(val=0, "", val))</f>
        <v>3328</v>
      </c>
      <c r="BG26" s="44">
        <f t="array" ref="BG26">LET(val, IFERROR(INDEX('Daily 스피킹 raw'!$A:$ZZ, MATCH(BG$2, 'Daily 스피킹 raw'!$A:$A, 0), MATCH($B26, 'Daily 스피킹 raw'!$1:$1, 0)), ""), IF(val=0, "", val))</f>
        <v>2412</v>
      </c>
      <c r="BH26" s="44">
        <f t="array" ref="BH26">LET(val, IFERROR(INDEX('Daily 스피킹 raw'!$A:$ZZ, MATCH(BH$2, 'Daily 스피킹 raw'!$A:$A, 0), MATCH($B26, 'Daily 스피킹 raw'!$1:$1, 0)), ""), IF(val=0, "", val))</f>
        <v>3441</v>
      </c>
      <c r="BI26" s="44">
        <f t="array" ref="BI26">LET(val, IFERROR(INDEX('Daily 스피킹 raw'!$A:$ZZ, MATCH(BI$2, 'Daily 스피킹 raw'!$A:$A, 0), MATCH($B26, 'Daily 스피킹 raw'!$1:$1, 0)), ""), IF(val=0, "", val))</f>
        <v>2427</v>
      </c>
      <c r="BJ26" s="44">
        <f t="array" ref="BJ26">LET(val, IFERROR(INDEX('Daily 스피킹 raw'!$A:$ZZ, MATCH(BJ$2, 'Daily 스피킹 raw'!$A:$A, 0), MATCH($B26, 'Daily 스피킹 raw'!$1:$1, 0)), ""), IF(val=0, "", val))</f>
        <v>3272</v>
      </c>
      <c r="BK26" s="44">
        <f t="array" ref="BK26">LET(val, IFERROR(INDEX('Daily 스피킹 raw'!$A:$ZZ, MATCH(BK$2, 'Daily 스피킹 raw'!$A:$A, 0), MATCH($B26, 'Daily 스피킹 raw'!$1:$1, 0)), ""), IF(val=0, "", val))</f>
        <v>2257</v>
      </c>
      <c r="BL26" s="44">
        <f t="array" ref="BL26">LET(val, IFERROR(INDEX('Daily 스피킹 raw'!$A:$ZZ, MATCH(BL$2, 'Daily 스피킹 raw'!$A:$A, 0), MATCH($B26, 'Daily 스피킹 raw'!$1:$1, 0)), ""), IF(val=0, "", val))</f>
        <v>2031</v>
      </c>
      <c r="BM26" s="44" t="str">
        <f t="array" ref="BM26">LET(val, IFERROR(INDEX('Daily 스피킹 raw'!$A:$ZZ, MATCH(BM$2, 'Daily 스피킹 raw'!$A:$A, 0), MATCH($B26, 'Daily 스피킹 raw'!$1:$1, 0)), ""), IF(val=0, "", val))</f>
        <v/>
      </c>
      <c r="BN26" s="44" t="str">
        <f t="array" ref="BN26">LET(val, IFERROR(INDEX('Daily 스피킹 raw'!$A:$ZZ, MATCH(BN$2, 'Daily 스피킹 raw'!$A:$A, 0), MATCH($B26, 'Daily 스피킹 raw'!$1:$1, 0)), ""), IF(val=0, "", val))</f>
        <v/>
      </c>
      <c r="BO26" s="44" t="str">
        <f t="array" ref="BO26">LET(val, IFERROR(INDEX('Daily 스피킹 raw'!$A:$ZZ, MATCH(BO$2, 'Daily 스피킹 raw'!$A:$A, 0), MATCH($B26, 'Daily 스피킹 raw'!$1:$1, 0)), ""), IF(val=0, "", val))</f>
        <v/>
      </c>
      <c r="BP26" s="44" t="str">
        <f t="array" ref="BP26">LET(val, IFERROR(INDEX('Daily 스피킹 raw'!$A:$ZZ, MATCH(BP$2, 'Daily 스피킹 raw'!$A:$A, 0), MATCH($B26, 'Daily 스피킹 raw'!$1:$1, 0)), ""), IF(val=0, "", val))</f>
        <v/>
      </c>
      <c r="BQ26" s="44" t="str">
        <f t="array" ref="BQ26">LET(val, IFERROR(INDEX('Daily 스피킹 raw'!$A:$ZZ, MATCH(BQ$2, 'Daily 스피킹 raw'!$A:$A, 0), MATCH($B26, 'Daily 스피킹 raw'!$1:$1, 0)), ""), IF(val=0, "", val))</f>
        <v/>
      </c>
      <c r="BR26" s="44" t="str">
        <f t="array" ref="BR26">LET(val, IFERROR(INDEX('Daily 스피킹 raw'!$A:$ZZ, MATCH(BR$2, 'Daily 스피킹 raw'!$A:$A, 0), MATCH($B26, 'Daily 스피킹 raw'!$1:$1, 0)), ""), IF(val=0, "", val))</f>
        <v/>
      </c>
      <c r="BS26" s="44" t="str">
        <f t="array" ref="BS26">LET(val, IFERROR(INDEX('Daily 스피킹 raw'!$A:$ZZ, MATCH(BS$2, 'Daily 스피킹 raw'!$A:$A, 0), MATCH($B26, 'Daily 스피킹 raw'!$1:$1, 0)), ""), IF(val=0, "", val))</f>
        <v/>
      </c>
      <c r="BT26" s="44" t="str">
        <f t="array" ref="BT26">LET(val, IFERROR(INDEX('Daily 스피킹 raw'!$A:$ZZ, MATCH(BT$2, 'Daily 스피킹 raw'!$A:$A, 0), MATCH($B26, 'Daily 스피킹 raw'!$1:$1, 0)), ""), IF(val=0, "", val))</f>
        <v/>
      </c>
      <c r="BU26" s="44" t="str">
        <f t="array" ref="BU26">LET(val, IFERROR(INDEX('Daily 스피킹 raw'!$A:$ZZ, MATCH(BU$2, 'Daily 스피킹 raw'!$A:$A, 0), MATCH($B26, 'Daily 스피킹 raw'!$1:$1, 0)), ""), IF(val=0, "", val))</f>
        <v/>
      </c>
      <c r="BV26" s="44" t="str">
        <f t="array" ref="BV26">LET(val, IFERROR(INDEX('Daily 스피킹 raw'!$A:$ZZ, MATCH(BV$2, 'Daily 스피킹 raw'!$A:$A, 0), MATCH($B26, 'Daily 스피킹 raw'!$1:$1, 0)), ""), IF(val=0, "", val))</f>
        <v/>
      </c>
      <c r="BW26" s="44" t="str">
        <f t="array" ref="BW26">LET(val, IFERROR(INDEX('Daily 스피킹 raw'!$A:$ZZ, MATCH(BW$2, 'Daily 스피킹 raw'!$A:$A, 0), MATCH($B26, 'Daily 스피킹 raw'!$1:$1, 0)), ""), IF(val=0, "", val))</f>
        <v/>
      </c>
      <c r="BX26" s="44" t="str">
        <f t="array" ref="BX26">LET(val, IFERROR(INDEX('Daily 스피킹 raw'!$A:$ZZ, MATCH(BX$2, 'Daily 스피킹 raw'!$A:$A, 0), MATCH($B26, 'Daily 스피킹 raw'!$1:$1, 0)), ""), IF(val=0, "", val))</f>
        <v/>
      </c>
      <c r="BY26" s="44" t="str">
        <f t="array" ref="BY26">LET(val, IFERROR(INDEX('Daily 스피킹 raw'!$A:$ZZ, MATCH(BY$2, 'Daily 스피킹 raw'!$A:$A, 0), MATCH($B26, 'Daily 스피킹 raw'!$1:$1, 0)), ""), IF(val=0, "", val))</f>
        <v/>
      </c>
      <c r="BZ26" s="44" t="str">
        <f t="array" ref="BZ26">LET(val, IFERROR(INDEX('Daily 스피킹 raw'!$A:$ZZ, MATCH(BZ$2, 'Daily 스피킹 raw'!$A:$A, 0), MATCH($B26, 'Daily 스피킹 raw'!$1:$1, 0)), ""), IF(val=0, "", val))</f>
        <v/>
      </c>
      <c r="CA26" s="44" t="str">
        <f t="array" ref="CA26">LET(val, IFERROR(INDEX('Daily 스피킹 raw'!$A:$ZZ, MATCH(CA$2, 'Daily 스피킹 raw'!$A:$A, 0), MATCH($B26, 'Daily 스피킹 raw'!$1:$1, 0)), ""), IF(val=0, "", val))</f>
        <v/>
      </c>
      <c r="CB26" s="44" t="str">
        <f t="array" ref="CB26">LET(val, IFERROR(INDEX('Daily 스피킹 raw'!$A:$ZZ, MATCH(CB$2, 'Daily 스피킹 raw'!$A:$A, 0), MATCH($B26, 'Daily 스피킹 raw'!$1:$1, 0)), ""), IF(val=0, "", val))</f>
        <v/>
      </c>
      <c r="CC26" s="44" t="str">
        <f t="array" ref="CC26">LET(val, IFERROR(INDEX('Daily 스피킹 raw'!$A:$ZZ, MATCH(CC$2, 'Daily 스피킹 raw'!$A:$A, 0), MATCH($B26, 'Daily 스피킹 raw'!$1:$1, 0)), ""), IF(val=0, "", val))</f>
        <v/>
      </c>
      <c r="CD26" s="44" t="str">
        <f t="array" ref="CD26">LET(val, IFERROR(INDEX('Daily 스피킹 raw'!$A:$ZZ, MATCH(CD$2, 'Daily 스피킹 raw'!$A:$A, 0), MATCH($B26, 'Daily 스피킹 raw'!$1:$1, 0)), ""), IF(val=0, "", val))</f>
        <v/>
      </c>
      <c r="CE26" s="44" t="str">
        <f t="array" ref="CE26">LET(val, IFERROR(INDEX('Daily 스피킹 raw'!$A:$ZZ, MATCH(CE$2, 'Daily 스피킹 raw'!$A:$A, 0), MATCH($B26, 'Daily 스피킹 raw'!$1:$1, 0)), ""), IF(val=0, "", val))</f>
        <v/>
      </c>
      <c r="CF26" s="44" t="str">
        <f t="array" ref="CF26">LET(val, IFERROR(INDEX('Daily 스피킹 raw'!$A:$ZZ, MATCH(CF$2, 'Daily 스피킹 raw'!$A:$A, 0), MATCH($B26, 'Daily 스피킹 raw'!$1:$1, 0)), ""), IF(val=0, "", val))</f>
        <v/>
      </c>
      <c r="CG26" s="44" t="str">
        <f t="array" ref="CG26">LET(val, IFERROR(INDEX('Daily 스피킹 raw'!$A:$ZZ, MATCH(CG$2, 'Daily 스피킹 raw'!$A:$A, 0), MATCH($B26, 'Daily 스피킹 raw'!$1:$1, 0)), ""), IF(val=0, "", val))</f>
        <v/>
      </c>
      <c r="CH26" s="44" t="str">
        <f t="array" ref="CH26">LET(val, IFERROR(INDEX('Daily 스피킹 raw'!$A:$ZZ, MATCH(CH$2, 'Daily 스피킹 raw'!$A:$A, 0), MATCH($B26, 'Daily 스피킹 raw'!$1:$1, 0)), ""), IF(val=0, "", val))</f>
        <v/>
      </c>
      <c r="CI26" s="44" t="str">
        <f t="array" ref="CI26">LET(val, IFERROR(INDEX('Daily 스피킹 raw'!$A:$ZZ, MATCH(CI$2, 'Daily 스피킹 raw'!$A:$A, 0), MATCH($B26, 'Daily 스피킹 raw'!$1:$1, 0)), ""), IF(val=0, "", val))</f>
        <v/>
      </c>
      <c r="CJ26" s="44" t="str">
        <f t="array" ref="CJ26">LET(val, IFERROR(INDEX('Daily 스피킹 raw'!$A:$ZZ, MATCH(CJ$2, 'Daily 스피킹 raw'!$A:$A, 0), MATCH($B26, 'Daily 스피킹 raw'!$1:$1, 0)), ""), IF(val=0, "", val))</f>
        <v/>
      </c>
      <c r="CK26" s="44" t="str">
        <f t="array" ref="CK26">LET(val, IFERROR(INDEX('Daily 스피킹 raw'!$A:$ZZ, MATCH(CK$2, 'Daily 스피킹 raw'!$A:$A, 0), MATCH($B26, 'Daily 스피킹 raw'!$1:$1, 0)), ""), IF(val=0, "", val))</f>
        <v/>
      </c>
      <c r="CL26" s="44" t="str">
        <f t="array" ref="CL26">LET(val, IFERROR(INDEX('Daily 스피킹 raw'!$A:$ZZ, MATCH(CL$2, 'Daily 스피킹 raw'!$A:$A, 0), MATCH($B26, 'Daily 스피킹 raw'!$1:$1, 0)), ""), IF(val=0, "", val))</f>
        <v/>
      </c>
      <c r="CM26" s="44" t="str">
        <f t="array" ref="CM26">LET(val, IFERROR(INDEX('Daily 스피킹 raw'!$A:$ZZ, MATCH(CM$2, 'Daily 스피킹 raw'!$A:$A, 0), MATCH($B26, 'Daily 스피킹 raw'!$1:$1, 0)), ""), IF(val=0, "", val))</f>
        <v/>
      </c>
      <c r="CN26" s="44" t="str">
        <f t="array" ref="CN26">LET(val, IFERROR(INDEX('Daily 스피킹 raw'!$A:$ZZ, MATCH(CN$2, 'Daily 스피킹 raw'!$A:$A, 0), MATCH($B26, 'Daily 스피킹 raw'!$1:$1, 0)), ""), IF(val=0, "", val))</f>
        <v/>
      </c>
      <c r="CO26" s="44" t="str">
        <f t="array" ref="CO26">LET(val, IFERROR(INDEX('Daily 스피킹 raw'!$A:$ZZ, MATCH(CO$2, 'Daily 스피킹 raw'!$A:$A, 0), MATCH($B26, 'Daily 스피킹 raw'!$1:$1, 0)), ""), IF(val=0, "", val))</f>
        <v/>
      </c>
      <c r="CP26" s="44" t="str">
        <f t="array" ref="CP26">LET(val, IFERROR(INDEX('Daily 스피킹 raw'!$A:$ZZ, MATCH(CP$2, 'Daily 스피킹 raw'!$A:$A, 0), MATCH($B26, 'Daily 스피킹 raw'!$1:$1, 0)), ""), IF(val=0, "", val))</f>
        <v/>
      </c>
      <c r="CQ26" s="44" t="str">
        <f t="array" ref="CQ26">LET(val, IFERROR(INDEX('Daily 스피킹 raw'!$A:$ZZ, MATCH(CQ$2, 'Daily 스피킹 raw'!$A:$A, 0), MATCH($B26, 'Daily 스피킹 raw'!$1:$1, 0)), ""), IF(val=0, "", val))</f>
        <v/>
      </c>
      <c r="CR26" s="44" t="str">
        <f t="array" ref="CR26">LET(val, IFERROR(INDEX('Daily 스피킹 raw'!$A:$ZZ, MATCH(CR$2, 'Daily 스피킹 raw'!$A:$A, 0), MATCH($B26, 'Daily 스피킹 raw'!$1:$1, 0)), ""), IF(val=0, "", val))</f>
        <v/>
      </c>
      <c r="CS26" s="44" t="str">
        <f t="array" ref="CS26">LET(val, IFERROR(INDEX('Daily 스피킹 raw'!$A:$ZZ, MATCH(CS$2, 'Daily 스피킹 raw'!$A:$A, 0), MATCH($B26, 'Daily 스피킹 raw'!$1:$1, 0)), ""), IF(val=0, "", val))</f>
        <v/>
      </c>
      <c r="CT26" s="44" t="str">
        <f t="array" ref="CT26">LET(val, IFERROR(INDEX('Daily 스피킹 raw'!$A:$ZZ, MATCH(CT$2, 'Daily 스피킹 raw'!$A:$A, 0), MATCH($B26, 'Daily 스피킹 raw'!$1:$1, 0)), ""), IF(val=0, "", val))</f>
        <v/>
      </c>
      <c r="CU26" s="44" t="str">
        <f t="array" ref="CU26">LET(val, IFERROR(INDEX('Daily 스피킹 raw'!$A:$ZZ, MATCH(CU$2, 'Daily 스피킹 raw'!$A:$A, 0), MATCH($B26, 'Daily 스피킹 raw'!$1:$1, 0)), ""), IF(val=0, "", val))</f>
        <v/>
      </c>
      <c r="CV26" s="44" t="str">
        <f t="array" ref="CV26">LET(val, IFERROR(INDEX('Daily 스피킹 raw'!$A:$ZZ, MATCH(CV$2, 'Daily 스피킹 raw'!$A:$A, 0), MATCH($B26, 'Daily 스피킹 raw'!$1:$1, 0)), ""), IF(val=0, "", val))</f>
        <v/>
      </c>
      <c r="CW26" s="44" t="str">
        <f t="array" ref="CW26">LET(val, IFERROR(INDEX('Daily 스피킹 raw'!$A:$ZZ, MATCH(CW$2, 'Daily 스피킹 raw'!$A:$A, 0), MATCH($B26, 'Daily 스피킹 raw'!$1:$1, 0)), ""), IF(val=0, "", val))</f>
        <v/>
      </c>
    </row>
    <row r="27" ht="22.5" customHeight="1">
      <c r="A27" s="17"/>
      <c r="B27" s="16" t="s">
        <v>51</v>
      </c>
      <c r="C27" s="17" t="s">
        <v>44</v>
      </c>
      <c r="D27" s="44">
        <f t="array" ref="D27">LET(val, IFERROR(INDEX('Daily 스피킹 raw'!$A:$ZZ, MATCH(D$2, 'Daily 스피킹 raw'!$A:$A, 0), MATCH($B27, 'Daily 스피킹 raw'!$1:$1, 0)), ""), IF(val=0, "", val))</f>
        <v>4183</v>
      </c>
      <c r="E27" s="44">
        <f t="array" ref="E27">LET(val, IFERROR(INDEX('Daily 스피킹 raw'!$A:$ZZ, MATCH(E$2, 'Daily 스피킹 raw'!$A:$A, 0), MATCH($B27, 'Daily 스피킹 raw'!$1:$1, 0)), ""), IF(val=0, "", val))</f>
        <v>2902</v>
      </c>
      <c r="F27" s="44">
        <f t="array" ref="F27">LET(val, IFERROR(INDEX('Daily 스피킹 raw'!$A:$ZZ, MATCH(F$2, 'Daily 스피킹 raw'!$A:$A, 0), MATCH($B27, 'Daily 스피킹 raw'!$1:$1, 0)), ""), IF(val=0, "", val))</f>
        <v>4248</v>
      </c>
      <c r="G27" s="44">
        <f t="array" ref="G27">LET(val, IFERROR(INDEX('Daily 스피킹 raw'!$A:$ZZ, MATCH(G$2, 'Daily 스피킹 raw'!$A:$A, 0), MATCH($B27, 'Daily 스피킹 raw'!$1:$1, 0)), ""), IF(val=0, "", val))</f>
        <v>2821</v>
      </c>
      <c r="H27" s="44">
        <f t="array" ref="H27">LET(val, IFERROR(INDEX('Daily 스피킹 raw'!$A:$ZZ, MATCH(H$2, 'Daily 스피킹 raw'!$A:$A, 0), MATCH($B27, 'Daily 스피킹 raw'!$1:$1, 0)), ""), IF(val=0, "", val))</f>
        <v>2714</v>
      </c>
      <c r="I27" s="44">
        <f t="array" ref="I27">LET(val, IFERROR(INDEX('Daily 스피킹 raw'!$A:$ZZ, MATCH(I$2, 'Daily 스피킹 raw'!$A:$A, 0), MATCH($B27, 'Daily 스피킹 raw'!$1:$1, 0)), ""), IF(val=0, "", val))</f>
        <v>4725</v>
      </c>
      <c r="J27" s="44">
        <f t="array" ref="J27">LET(val, IFERROR(INDEX('Daily 스피킹 raw'!$A:$ZZ, MATCH(J$2, 'Daily 스피킹 raw'!$A:$A, 0), MATCH($B27, 'Daily 스피킹 raw'!$1:$1, 0)), ""), IF(val=0, "", val))</f>
        <v>3097</v>
      </c>
      <c r="K27" s="44">
        <f t="array" ref="K27">LET(val, IFERROR(INDEX('Daily 스피킹 raw'!$A:$ZZ, MATCH(K$2, 'Daily 스피킹 raw'!$A:$A, 0), MATCH($B27, 'Daily 스피킹 raw'!$1:$1, 0)), ""), IF(val=0, "", val))</f>
        <v>4438</v>
      </c>
      <c r="L27" s="44">
        <f t="array" ref="L27">LET(val, IFERROR(INDEX('Daily 스피킹 raw'!$A:$ZZ, MATCH(L$2, 'Daily 스피킹 raw'!$A:$A, 0), MATCH($B27, 'Daily 스피킹 raw'!$1:$1, 0)), ""), IF(val=0, "", val))</f>
        <v>5918</v>
      </c>
      <c r="M27" s="44">
        <f t="array" ref="M27">LET(val, IFERROR(INDEX('Daily 스피킹 raw'!$A:$ZZ, MATCH(M$2, 'Daily 스피킹 raw'!$A:$A, 0), MATCH($B27, 'Daily 스피킹 raw'!$1:$1, 0)), ""), IF(val=0, "", val))</f>
        <v>5693</v>
      </c>
      <c r="N27" s="44">
        <f t="array" ref="N27">LET(val, IFERROR(INDEX('Daily 스피킹 raw'!$A:$ZZ, MATCH(N$2, 'Daily 스피킹 raw'!$A:$A, 0), MATCH($B27, 'Daily 스피킹 raw'!$1:$1, 0)), ""), IF(val=0, "", val))</f>
        <v>3309</v>
      </c>
      <c r="O27" s="44">
        <f t="array" ref="O27">LET(val, IFERROR(INDEX('Daily 스피킹 raw'!$A:$ZZ, MATCH(O$2, 'Daily 스피킹 raw'!$A:$A, 0), MATCH($B27, 'Daily 스피킹 raw'!$1:$1, 0)), ""), IF(val=0, "", val))</f>
        <v>2996</v>
      </c>
      <c r="P27" s="44">
        <f t="array" ref="P27">LET(val, IFERROR(INDEX('Daily 스피킹 raw'!$A:$ZZ, MATCH(P$2, 'Daily 스피킹 raw'!$A:$A, 0), MATCH($B27, 'Daily 스피킹 raw'!$1:$1, 0)), ""), IF(val=0, "", val))</f>
        <v>5553</v>
      </c>
      <c r="Q27" s="44">
        <f t="array" ref="Q27">LET(val, IFERROR(INDEX('Daily 스피킹 raw'!$A:$ZZ, MATCH(Q$2, 'Daily 스피킹 raw'!$A:$A, 0), MATCH($B27, 'Daily 스피킹 raw'!$1:$1, 0)), ""), IF(val=0, "", val))</f>
        <v>3707</v>
      </c>
      <c r="R27" s="44">
        <f t="array" ref="R27">LET(val, IFERROR(INDEX('Daily 스피킹 raw'!$A:$ZZ, MATCH(R$2, 'Daily 스피킹 raw'!$A:$A, 0), MATCH($B27, 'Daily 스피킹 raw'!$1:$1, 0)), ""), IF(val=0, "", val))</f>
        <v>5290</v>
      </c>
      <c r="S27" s="44">
        <f t="array" ref="S27">LET(val, IFERROR(INDEX('Daily 스피킹 raw'!$A:$ZZ, MATCH(S$2, 'Daily 스피킹 raw'!$A:$A, 0), MATCH($B27, 'Daily 스피킹 raw'!$1:$1, 0)), ""), IF(val=0, "", val))</f>
        <v>2866</v>
      </c>
      <c r="T27" s="44">
        <f t="array" ref="T27">LET(val, IFERROR(INDEX('Daily 스피킹 raw'!$A:$ZZ, MATCH(T$2, 'Daily 스피킹 raw'!$A:$A, 0), MATCH($B27, 'Daily 스피킹 raw'!$1:$1, 0)), ""), IF(val=0, "", val))</f>
        <v>3577</v>
      </c>
      <c r="U27" s="44">
        <f t="array" ref="U27">LET(val, IFERROR(INDEX('Daily 스피킹 raw'!$A:$ZZ, MATCH(U$2, 'Daily 스피킹 raw'!$A:$A, 0), MATCH($B27, 'Daily 스피킹 raw'!$1:$1, 0)), ""), IF(val=0, "", val))</f>
        <v>2617</v>
      </c>
      <c r="V27" s="44">
        <f t="array" ref="V27">LET(val, IFERROR(INDEX('Daily 스피킹 raw'!$A:$ZZ, MATCH(V$2, 'Daily 스피킹 raw'!$A:$A, 0), MATCH($B27, 'Daily 스피킹 raw'!$1:$1, 0)), ""), IF(val=0, "", val))</f>
        <v>2594</v>
      </c>
      <c r="W27" s="44">
        <f t="array" ref="W27">LET(val, IFERROR(INDEX('Daily 스피킹 raw'!$A:$ZZ, MATCH(W$2, 'Daily 스피킹 raw'!$A:$A, 0), MATCH($B27, 'Daily 스피킹 raw'!$1:$1, 0)), ""), IF(val=0, "", val))</f>
        <v>4991</v>
      </c>
      <c r="X27" s="44">
        <f t="array" ref="X27">LET(val, IFERROR(INDEX('Daily 스피킹 raw'!$A:$ZZ, MATCH(X$2, 'Daily 스피킹 raw'!$A:$A, 0), MATCH($B27, 'Daily 스피킹 raw'!$1:$1, 0)), ""), IF(val=0, "", val))</f>
        <v>3254</v>
      </c>
      <c r="Y27" s="44">
        <f t="array" ref="Y27">LET(val, IFERROR(INDEX('Daily 스피킹 raw'!$A:$ZZ, MATCH(Y$2, 'Daily 스피킹 raw'!$A:$A, 0), MATCH($B27, 'Daily 스피킹 raw'!$1:$1, 0)), ""), IF(val=0, "", val))</f>
        <v>4707</v>
      </c>
      <c r="Z27" s="44">
        <f t="array" ref="Z27">LET(val, IFERROR(INDEX('Daily 스피킹 raw'!$A:$ZZ, MATCH(Z$2, 'Daily 스피킹 raw'!$A:$A, 0), MATCH($B27, 'Daily 스피킹 raw'!$1:$1, 0)), ""), IF(val=0, "", val))</f>
        <v>3115</v>
      </c>
      <c r="AA27" s="44">
        <f t="array" ref="AA27">LET(val, IFERROR(INDEX('Daily 스피킹 raw'!$A:$ZZ, MATCH(AA$2, 'Daily 스피킹 raw'!$A:$A, 0), MATCH($B27, 'Daily 스피킹 raw'!$1:$1, 0)), ""), IF(val=0, "", val))</f>
        <v>4480</v>
      </c>
      <c r="AB27" s="44">
        <f t="array" ref="AB27">LET(val, IFERROR(INDEX('Daily 스피킹 raw'!$A:$ZZ, MATCH(AB$2, 'Daily 스피킹 raw'!$A:$A, 0), MATCH($B27, 'Daily 스피킹 raw'!$1:$1, 0)), ""), IF(val=0, "", val))</f>
        <v>2889</v>
      </c>
      <c r="AC27" s="44">
        <f t="array" ref="AC27">LET(val, IFERROR(INDEX('Daily 스피킹 raw'!$A:$ZZ, MATCH(AC$2, 'Daily 스피킹 raw'!$A:$A, 0), MATCH($B27, 'Daily 스피킹 raw'!$1:$1, 0)), ""), IF(val=0, "", val))</f>
        <v>2519</v>
      </c>
      <c r="AD27" s="44">
        <f t="array" ref="AD27">LET(val, IFERROR(INDEX('Daily 스피킹 raw'!$A:$ZZ, MATCH(AD$2, 'Daily 스피킹 raw'!$A:$A, 0), MATCH($B27, 'Daily 스피킹 raw'!$1:$1, 0)), ""), IF(val=0, "", val))</f>
        <v>4544</v>
      </c>
      <c r="AE27" s="44">
        <f t="array" ref="AE27">LET(val, IFERROR(INDEX('Daily 스피킹 raw'!$A:$ZZ, MATCH(AE$2, 'Daily 스피킹 raw'!$A:$A, 0), MATCH($B27, 'Daily 스피킹 raw'!$1:$1, 0)), ""), IF(val=0, "", val))</f>
        <v>2929</v>
      </c>
      <c r="AF27" s="44">
        <f t="array" ref="AF27">LET(val, IFERROR(INDEX('Daily 스피킹 raw'!$A:$ZZ, MATCH(AF$2, 'Daily 스피킹 raw'!$A:$A, 0), MATCH($B27, 'Daily 스피킹 raw'!$1:$1, 0)), ""), IF(val=0, "", val))</f>
        <v>4084</v>
      </c>
      <c r="AG27" s="44">
        <f t="array" ref="AG27">LET(val, IFERROR(INDEX('Daily 스피킹 raw'!$A:$ZZ, MATCH(AG$2, 'Daily 스피킹 raw'!$A:$A, 0), MATCH($B27, 'Daily 스피킹 raw'!$1:$1, 0)), ""), IF(val=0, "", val))</f>
        <v>2684</v>
      </c>
      <c r="AH27" s="44">
        <f t="array" ref="AH27">LET(val, IFERROR(INDEX('Daily 스피킹 raw'!$A:$ZZ, MATCH(AH$2, 'Daily 스피킹 raw'!$A:$A, 0), MATCH($B27, 'Daily 스피킹 raw'!$1:$1, 0)), ""), IF(val=0, "", val))</f>
        <v>3541</v>
      </c>
      <c r="AI27" s="44">
        <f t="array" ref="AI27">LET(val, IFERROR(INDEX('Daily 스피킹 raw'!$A:$ZZ, MATCH(AI$2, 'Daily 스피킹 raw'!$A:$A, 0), MATCH($B27, 'Daily 스피킹 raw'!$1:$1, 0)), ""), IF(val=0, "", val))</f>
        <v>2258</v>
      </c>
      <c r="AJ27" s="44">
        <f t="array" ref="AJ27">LET(val, IFERROR(INDEX('Daily 스피킹 raw'!$A:$ZZ, MATCH(AJ$2, 'Daily 스피킹 raw'!$A:$A, 0), MATCH($B27, 'Daily 스피킹 raw'!$1:$1, 0)), ""), IF(val=0, "", val))</f>
        <v>2111</v>
      </c>
      <c r="AK27" s="44">
        <f t="array" ref="AK27">LET(val, IFERROR(INDEX('Daily 스피킹 raw'!$A:$ZZ, MATCH(AK$2, 'Daily 스피킹 raw'!$A:$A, 0), MATCH($B27, 'Daily 스피킹 raw'!$1:$1, 0)), ""), IF(val=0, "", val))</f>
        <v>3446</v>
      </c>
      <c r="AL27" s="44">
        <f t="array" ref="AL27">LET(val, IFERROR(INDEX('Daily 스피킹 raw'!$A:$ZZ, MATCH(AL$2, 'Daily 스피킹 raw'!$A:$A, 0), MATCH($B27, 'Daily 스피킹 raw'!$1:$1, 0)), ""), IF(val=0, "", val))</f>
        <v>2253</v>
      </c>
      <c r="AM27" s="44">
        <f t="array" ref="AM27">LET(val, IFERROR(INDEX('Daily 스피킹 raw'!$A:$ZZ, MATCH(AM$2, 'Daily 스피킹 raw'!$A:$A, 0), MATCH($B27, 'Daily 스피킹 raw'!$1:$1, 0)), ""), IF(val=0, "", val))</f>
        <v>3366</v>
      </c>
      <c r="AN27" s="44">
        <f t="array" ref="AN27">LET(val, IFERROR(INDEX('Daily 스피킹 raw'!$A:$ZZ, MATCH(AN$2, 'Daily 스피킹 raw'!$A:$A, 0), MATCH($B27, 'Daily 스피킹 raw'!$1:$1, 0)), ""), IF(val=0, "", val))</f>
        <v>2229</v>
      </c>
      <c r="AO27" s="44">
        <f t="array" ref="AO27">LET(val, IFERROR(INDEX('Daily 스피킹 raw'!$A:$ZZ, MATCH(AO$2, 'Daily 스피킹 raw'!$A:$A, 0), MATCH($B27, 'Daily 스피킹 raw'!$1:$1, 0)), ""), IF(val=0, "", val))</f>
        <v>2892</v>
      </c>
      <c r="AP27" s="44">
        <f t="array" ref="AP27">LET(val, IFERROR(INDEX('Daily 스피킹 raw'!$A:$ZZ, MATCH(AP$2, 'Daily 스피킹 raw'!$A:$A, 0), MATCH($B27, 'Daily 스피킹 raw'!$1:$1, 0)), ""), IF(val=0, "", val))</f>
        <v>1975</v>
      </c>
      <c r="AQ27" s="44">
        <f t="array" ref="AQ27">LET(val, IFERROR(INDEX('Daily 스피킹 raw'!$A:$ZZ, MATCH(AQ$2, 'Daily 스피킹 raw'!$A:$A, 0), MATCH($B27, 'Daily 스피킹 raw'!$1:$1, 0)), ""), IF(val=0, "", val))</f>
        <v>1830</v>
      </c>
      <c r="AR27" s="44">
        <f t="array" ref="AR27">LET(val, IFERROR(INDEX('Daily 스피킹 raw'!$A:$ZZ, MATCH(AR$2, 'Daily 스피킹 raw'!$A:$A, 0), MATCH($B27, 'Daily 스피킹 raw'!$1:$1, 0)), ""), IF(val=0, "", val))</f>
        <v>2963</v>
      </c>
      <c r="AS27" s="44">
        <f t="array" ref="AS27">LET(val, IFERROR(INDEX('Daily 스피킹 raw'!$A:$ZZ, MATCH(AS$2, 'Daily 스피킹 raw'!$A:$A, 0), MATCH($B27, 'Daily 스피킹 raw'!$1:$1, 0)), ""), IF(val=0, "", val))</f>
        <v>2180</v>
      </c>
      <c r="AT27" s="44">
        <f t="array" ref="AT27">LET(val, IFERROR(INDEX('Daily 스피킹 raw'!$A:$ZZ, MATCH(AT$2, 'Daily 스피킹 raw'!$A:$A, 0), MATCH($B27, 'Daily 스피킹 raw'!$1:$1, 0)), ""), IF(val=0, "", val))</f>
        <v>3152</v>
      </c>
      <c r="AU27" s="44">
        <f t="array" ref="AU27">LET(val, IFERROR(INDEX('Daily 스피킹 raw'!$A:$ZZ, MATCH(AU$2, 'Daily 스피킹 raw'!$A:$A, 0), MATCH($B27, 'Daily 스피킹 raw'!$1:$1, 0)), ""), IF(val=0, "", val))</f>
        <v>2183</v>
      </c>
      <c r="AV27" s="44">
        <f t="array" ref="AV27">LET(val, IFERROR(INDEX('Daily 스피킹 raw'!$A:$ZZ, MATCH(AV$2, 'Daily 스피킹 raw'!$A:$A, 0), MATCH($B27, 'Daily 스피킹 raw'!$1:$1, 0)), ""), IF(val=0, "", val))</f>
        <v>3123</v>
      </c>
      <c r="AW27" s="44">
        <f t="array" ref="AW27">LET(val, IFERROR(INDEX('Daily 스피킹 raw'!$A:$ZZ, MATCH(AW$2, 'Daily 스피킹 raw'!$A:$A, 0), MATCH($B27, 'Daily 스피킹 raw'!$1:$1, 0)), ""), IF(val=0, "", val))</f>
        <v>1960</v>
      </c>
      <c r="AX27" s="44">
        <f t="array" ref="AX27">LET(val, IFERROR(INDEX('Daily 스피킹 raw'!$A:$ZZ, MATCH(AX$2, 'Daily 스피킹 raw'!$A:$A, 0), MATCH($B27, 'Daily 스피킹 raw'!$1:$1, 0)), ""), IF(val=0, "", val))</f>
        <v>1814</v>
      </c>
      <c r="AY27" s="44">
        <f t="array" ref="AY27">LET(val, IFERROR(INDEX('Daily 스피킹 raw'!$A:$ZZ, MATCH(AY$2, 'Daily 스피킹 raw'!$A:$A, 0), MATCH($B27, 'Daily 스피킹 raw'!$1:$1, 0)), ""), IF(val=0, "", val))</f>
        <v>3346</v>
      </c>
      <c r="AZ27" s="44">
        <f t="array" ref="AZ27">LET(val, IFERROR(INDEX('Daily 스피킹 raw'!$A:$ZZ, MATCH(AZ$2, 'Daily 스피킹 raw'!$A:$A, 0), MATCH($B27, 'Daily 스피킹 raw'!$1:$1, 0)), ""), IF(val=0, "", val))</f>
        <v>2212</v>
      </c>
      <c r="BA27" s="44">
        <f t="array" ref="BA27">LET(val, IFERROR(INDEX('Daily 스피킹 raw'!$A:$ZZ, MATCH(BA$2, 'Daily 스피킹 raw'!$A:$A, 0), MATCH($B27, 'Daily 스피킹 raw'!$1:$1, 0)), ""), IF(val=0, "", val))</f>
        <v>3101</v>
      </c>
      <c r="BB27" s="44">
        <f t="array" ref="BB27">LET(val, IFERROR(INDEX('Daily 스피킹 raw'!$A:$ZZ, MATCH(BB$2, 'Daily 스피킹 raw'!$A:$A, 0), MATCH($B27, 'Daily 스피킹 raw'!$1:$1, 0)), ""), IF(val=0, "", val))</f>
        <v>2031</v>
      </c>
      <c r="BC27" s="44">
        <f t="array" ref="BC27">LET(val, IFERROR(INDEX('Daily 스피킹 raw'!$A:$ZZ, MATCH(BC$2, 'Daily 스피킹 raw'!$A:$A, 0), MATCH($B27, 'Daily 스피킹 raw'!$1:$1, 0)), ""), IF(val=0, "", val))</f>
        <v>2584</v>
      </c>
      <c r="BD27" s="44">
        <f t="array" ref="BD27">LET(val, IFERROR(INDEX('Daily 스피킹 raw'!$A:$ZZ, MATCH(BD$2, 'Daily 스피킹 raw'!$A:$A, 0), MATCH($B27, 'Daily 스피킹 raw'!$1:$1, 0)), ""), IF(val=0, "", val))</f>
        <v>1552</v>
      </c>
      <c r="BE27" s="44">
        <f t="array" ref="BE27">LET(val, IFERROR(INDEX('Daily 스피킹 raw'!$A:$ZZ, MATCH(BE$2, 'Daily 스피킹 raw'!$A:$A, 0), MATCH($B27, 'Daily 스피킹 raw'!$1:$1, 0)), ""), IF(val=0, "", val))</f>
        <v>1363</v>
      </c>
      <c r="BF27" s="44">
        <f t="array" ref="BF27">LET(val, IFERROR(INDEX('Daily 스피킹 raw'!$A:$ZZ, MATCH(BF$2, 'Daily 스피킹 raw'!$A:$A, 0), MATCH($B27, 'Daily 스피킹 raw'!$1:$1, 0)), ""), IF(val=0, "", val))</f>
        <v>2524</v>
      </c>
      <c r="BG27" s="44">
        <f t="array" ref="BG27">LET(val, IFERROR(INDEX('Daily 스피킹 raw'!$A:$ZZ, MATCH(BG$2, 'Daily 스피킹 raw'!$A:$A, 0), MATCH($B27, 'Daily 스피킹 raw'!$1:$1, 0)), ""), IF(val=0, "", val))</f>
        <v>1662</v>
      </c>
      <c r="BH27" s="44">
        <f t="array" ref="BH27">LET(val, IFERROR(INDEX('Daily 스피킹 raw'!$A:$ZZ, MATCH(BH$2, 'Daily 스피킹 raw'!$A:$A, 0), MATCH($B27, 'Daily 스피킹 raw'!$1:$1, 0)), ""), IF(val=0, "", val))</f>
        <v>2668</v>
      </c>
      <c r="BI27" s="44">
        <f t="array" ref="BI27">LET(val, IFERROR(INDEX('Daily 스피킹 raw'!$A:$ZZ, MATCH(BI$2, 'Daily 스피킹 raw'!$A:$A, 0), MATCH($B27, 'Daily 스피킹 raw'!$1:$1, 0)), ""), IF(val=0, "", val))</f>
        <v>1767</v>
      </c>
      <c r="BJ27" s="44">
        <f t="array" ref="BJ27">LET(val, IFERROR(INDEX('Daily 스피킹 raw'!$A:$ZZ, MATCH(BJ$2, 'Daily 스피킹 raw'!$A:$A, 0), MATCH($B27, 'Daily 스피킹 raw'!$1:$1, 0)), ""), IF(val=0, "", val))</f>
        <v>2594</v>
      </c>
      <c r="BK27" s="44">
        <f t="array" ref="BK27">LET(val, IFERROR(INDEX('Daily 스피킹 raw'!$A:$ZZ, MATCH(BK$2, 'Daily 스피킹 raw'!$A:$A, 0), MATCH($B27, 'Daily 스피킹 raw'!$1:$1, 0)), ""), IF(val=0, "", val))</f>
        <v>1609</v>
      </c>
      <c r="BL27" s="44">
        <f t="array" ref="BL27">LET(val, IFERROR(INDEX('Daily 스피킹 raw'!$A:$ZZ, MATCH(BL$2, 'Daily 스피킹 raw'!$A:$A, 0), MATCH($B27, 'Daily 스피킹 raw'!$1:$1, 0)), ""), IF(val=0, "", val))</f>
        <v>1396</v>
      </c>
      <c r="BM27" s="44" t="str">
        <f t="array" ref="BM27">LET(val, IFERROR(INDEX('Daily 스피킹 raw'!$A:$ZZ, MATCH(BM$2, 'Daily 스피킹 raw'!$A:$A, 0), MATCH($B27, 'Daily 스피킹 raw'!$1:$1, 0)), ""), IF(val=0, "", val))</f>
        <v/>
      </c>
      <c r="BN27" s="44" t="str">
        <f t="array" ref="BN27">LET(val, IFERROR(INDEX('Daily 스피킹 raw'!$A:$ZZ, MATCH(BN$2, 'Daily 스피킹 raw'!$A:$A, 0), MATCH($B27, 'Daily 스피킹 raw'!$1:$1, 0)), ""), IF(val=0, "", val))</f>
        <v/>
      </c>
      <c r="BO27" s="44" t="str">
        <f t="array" ref="BO27">LET(val, IFERROR(INDEX('Daily 스피킹 raw'!$A:$ZZ, MATCH(BO$2, 'Daily 스피킹 raw'!$A:$A, 0), MATCH($B27, 'Daily 스피킹 raw'!$1:$1, 0)), ""), IF(val=0, "", val))</f>
        <v/>
      </c>
      <c r="BP27" s="44" t="str">
        <f t="array" ref="BP27">LET(val, IFERROR(INDEX('Daily 스피킹 raw'!$A:$ZZ, MATCH(BP$2, 'Daily 스피킹 raw'!$A:$A, 0), MATCH($B27, 'Daily 스피킹 raw'!$1:$1, 0)), ""), IF(val=0, "", val))</f>
        <v/>
      </c>
      <c r="BQ27" s="44" t="str">
        <f t="array" ref="BQ27">LET(val, IFERROR(INDEX('Daily 스피킹 raw'!$A:$ZZ, MATCH(BQ$2, 'Daily 스피킹 raw'!$A:$A, 0), MATCH($B27, 'Daily 스피킹 raw'!$1:$1, 0)), ""), IF(val=0, "", val))</f>
        <v/>
      </c>
      <c r="BR27" s="44" t="str">
        <f t="array" ref="BR27">LET(val, IFERROR(INDEX('Daily 스피킹 raw'!$A:$ZZ, MATCH(BR$2, 'Daily 스피킹 raw'!$A:$A, 0), MATCH($B27, 'Daily 스피킹 raw'!$1:$1, 0)), ""), IF(val=0, "", val))</f>
        <v/>
      </c>
      <c r="BS27" s="44" t="str">
        <f t="array" ref="BS27">LET(val, IFERROR(INDEX('Daily 스피킹 raw'!$A:$ZZ, MATCH(BS$2, 'Daily 스피킹 raw'!$A:$A, 0), MATCH($B27, 'Daily 스피킹 raw'!$1:$1, 0)), ""), IF(val=0, "", val))</f>
        <v/>
      </c>
      <c r="BT27" s="44" t="str">
        <f t="array" ref="BT27">LET(val, IFERROR(INDEX('Daily 스피킹 raw'!$A:$ZZ, MATCH(BT$2, 'Daily 스피킹 raw'!$A:$A, 0), MATCH($B27, 'Daily 스피킹 raw'!$1:$1, 0)), ""), IF(val=0, "", val))</f>
        <v/>
      </c>
      <c r="BU27" s="44" t="str">
        <f t="array" ref="BU27">LET(val, IFERROR(INDEX('Daily 스피킹 raw'!$A:$ZZ, MATCH(BU$2, 'Daily 스피킹 raw'!$A:$A, 0), MATCH($B27, 'Daily 스피킹 raw'!$1:$1, 0)), ""), IF(val=0, "", val))</f>
        <v/>
      </c>
      <c r="BV27" s="44" t="str">
        <f t="array" ref="BV27">LET(val, IFERROR(INDEX('Daily 스피킹 raw'!$A:$ZZ, MATCH(BV$2, 'Daily 스피킹 raw'!$A:$A, 0), MATCH($B27, 'Daily 스피킹 raw'!$1:$1, 0)), ""), IF(val=0, "", val))</f>
        <v/>
      </c>
      <c r="BW27" s="44" t="str">
        <f t="array" ref="BW27">LET(val, IFERROR(INDEX('Daily 스피킹 raw'!$A:$ZZ, MATCH(BW$2, 'Daily 스피킹 raw'!$A:$A, 0), MATCH($B27, 'Daily 스피킹 raw'!$1:$1, 0)), ""), IF(val=0, "", val))</f>
        <v/>
      </c>
      <c r="BX27" s="44" t="str">
        <f t="array" ref="BX27">LET(val, IFERROR(INDEX('Daily 스피킹 raw'!$A:$ZZ, MATCH(BX$2, 'Daily 스피킹 raw'!$A:$A, 0), MATCH($B27, 'Daily 스피킹 raw'!$1:$1, 0)), ""), IF(val=0, "", val))</f>
        <v/>
      </c>
      <c r="BY27" s="44" t="str">
        <f t="array" ref="BY27">LET(val, IFERROR(INDEX('Daily 스피킹 raw'!$A:$ZZ, MATCH(BY$2, 'Daily 스피킹 raw'!$A:$A, 0), MATCH($B27, 'Daily 스피킹 raw'!$1:$1, 0)), ""), IF(val=0, "", val))</f>
        <v/>
      </c>
      <c r="BZ27" s="44" t="str">
        <f t="array" ref="BZ27">LET(val, IFERROR(INDEX('Daily 스피킹 raw'!$A:$ZZ, MATCH(BZ$2, 'Daily 스피킹 raw'!$A:$A, 0), MATCH($B27, 'Daily 스피킹 raw'!$1:$1, 0)), ""), IF(val=0, "", val))</f>
        <v/>
      </c>
      <c r="CA27" s="44" t="str">
        <f t="array" ref="CA27">LET(val, IFERROR(INDEX('Daily 스피킹 raw'!$A:$ZZ, MATCH(CA$2, 'Daily 스피킹 raw'!$A:$A, 0), MATCH($B27, 'Daily 스피킹 raw'!$1:$1, 0)), ""), IF(val=0, "", val))</f>
        <v/>
      </c>
      <c r="CB27" s="44" t="str">
        <f t="array" ref="CB27">LET(val, IFERROR(INDEX('Daily 스피킹 raw'!$A:$ZZ, MATCH(CB$2, 'Daily 스피킹 raw'!$A:$A, 0), MATCH($B27, 'Daily 스피킹 raw'!$1:$1, 0)), ""), IF(val=0, "", val))</f>
        <v/>
      </c>
      <c r="CC27" s="44" t="str">
        <f t="array" ref="CC27">LET(val, IFERROR(INDEX('Daily 스피킹 raw'!$A:$ZZ, MATCH(CC$2, 'Daily 스피킹 raw'!$A:$A, 0), MATCH($B27, 'Daily 스피킹 raw'!$1:$1, 0)), ""), IF(val=0, "", val))</f>
        <v/>
      </c>
      <c r="CD27" s="44" t="str">
        <f t="array" ref="CD27">LET(val, IFERROR(INDEX('Daily 스피킹 raw'!$A:$ZZ, MATCH(CD$2, 'Daily 스피킹 raw'!$A:$A, 0), MATCH($B27, 'Daily 스피킹 raw'!$1:$1, 0)), ""), IF(val=0, "", val))</f>
        <v/>
      </c>
      <c r="CE27" s="44" t="str">
        <f t="array" ref="CE27">LET(val, IFERROR(INDEX('Daily 스피킹 raw'!$A:$ZZ, MATCH(CE$2, 'Daily 스피킹 raw'!$A:$A, 0), MATCH($B27, 'Daily 스피킹 raw'!$1:$1, 0)), ""), IF(val=0, "", val))</f>
        <v/>
      </c>
      <c r="CF27" s="44" t="str">
        <f t="array" ref="CF27">LET(val, IFERROR(INDEX('Daily 스피킹 raw'!$A:$ZZ, MATCH(CF$2, 'Daily 스피킹 raw'!$A:$A, 0), MATCH($B27, 'Daily 스피킹 raw'!$1:$1, 0)), ""), IF(val=0, "", val))</f>
        <v/>
      </c>
      <c r="CG27" s="44" t="str">
        <f t="array" ref="CG27">LET(val, IFERROR(INDEX('Daily 스피킹 raw'!$A:$ZZ, MATCH(CG$2, 'Daily 스피킹 raw'!$A:$A, 0), MATCH($B27, 'Daily 스피킹 raw'!$1:$1, 0)), ""), IF(val=0, "", val))</f>
        <v/>
      </c>
      <c r="CH27" s="44" t="str">
        <f t="array" ref="CH27">LET(val, IFERROR(INDEX('Daily 스피킹 raw'!$A:$ZZ, MATCH(CH$2, 'Daily 스피킹 raw'!$A:$A, 0), MATCH($B27, 'Daily 스피킹 raw'!$1:$1, 0)), ""), IF(val=0, "", val))</f>
        <v/>
      </c>
      <c r="CI27" s="44" t="str">
        <f t="array" ref="CI27">LET(val, IFERROR(INDEX('Daily 스피킹 raw'!$A:$ZZ, MATCH(CI$2, 'Daily 스피킹 raw'!$A:$A, 0), MATCH($B27, 'Daily 스피킹 raw'!$1:$1, 0)), ""), IF(val=0, "", val))</f>
        <v/>
      </c>
      <c r="CJ27" s="44" t="str">
        <f t="array" ref="CJ27">LET(val, IFERROR(INDEX('Daily 스피킹 raw'!$A:$ZZ, MATCH(CJ$2, 'Daily 스피킹 raw'!$A:$A, 0), MATCH($B27, 'Daily 스피킹 raw'!$1:$1, 0)), ""), IF(val=0, "", val))</f>
        <v/>
      </c>
      <c r="CK27" s="44" t="str">
        <f t="array" ref="CK27">LET(val, IFERROR(INDEX('Daily 스피킹 raw'!$A:$ZZ, MATCH(CK$2, 'Daily 스피킹 raw'!$A:$A, 0), MATCH($B27, 'Daily 스피킹 raw'!$1:$1, 0)), ""), IF(val=0, "", val))</f>
        <v/>
      </c>
      <c r="CL27" s="44" t="str">
        <f t="array" ref="CL27">LET(val, IFERROR(INDEX('Daily 스피킹 raw'!$A:$ZZ, MATCH(CL$2, 'Daily 스피킹 raw'!$A:$A, 0), MATCH($B27, 'Daily 스피킹 raw'!$1:$1, 0)), ""), IF(val=0, "", val))</f>
        <v/>
      </c>
      <c r="CM27" s="44" t="str">
        <f t="array" ref="CM27">LET(val, IFERROR(INDEX('Daily 스피킹 raw'!$A:$ZZ, MATCH(CM$2, 'Daily 스피킹 raw'!$A:$A, 0), MATCH($B27, 'Daily 스피킹 raw'!$1:$1, 0)), ""), IF(val=0, "", val))</f>
        <v/>
      </c>
      <c r="CN27" s="44" t="str">
        <f t="array" ref="CN27">LET(val, IFERROR(INDEX('Daily 스피킹 raw'!$A:$ZZ, MATCH(CN$2, 'Daily 스피킹 raw'!$A:$A, 0), MATCH($B27, 'Daily 스피킹 raw'!$1:$1, 0)), ""), IF(val=0, "", val))</f>
        <v/>
      </c>
      <c r="CO27" s="44" t="str">
        <f t="array" ref="CO27">LET(val, IFERROR(INDEX('Daily 스피킹 raw'!$A:$ZZ, MATCH(CO$2, 'Daily 스피킹 raw'!$A:$A, 0), MATCH($B27, 'Daily 스피킹 raw'!$1:$1, 0)), ""), IF(val=0, "", val))</f>
        <v/>
      </c>
      <c r="CP27" s="44" t="str">
        <f t="array" ref="CP27">LET(val, IFERROR(INDEX('Daily 스피킹 raw'!$A:$ZZ, MATCH(CP$2, 'Daily 스피킹 raw'!$A:$A, 0), MATCH($B27, 'Daily 스피킹 raw'!$1:$1, 0)), ""), IF(val=0, "", val))</f>
        <v/>
      </c>
      <c r="CQ27" s="44" t="str">
        <f t="array" ref="CQ27">LET(val, IFERROR(INDEX('Daily 스피킹 raw'!$A:$ZZ, MATCH(CQ$2, 'Daily 스피킹 raw'!$A:$A, 0), MATCH($B27, 'Daily 스피킹 raw'!$1:$1, 0)), ""), IF(val=0, "", val))</f>
        <v/>
      </c>
      <c r="CR27" s="44" t="str">
        <f t="array" ref="CR27">LET(val, IFERROR(INDEX('Daily 스피킹 raw'!$A:$ZZ, MATCH(CR$2, 'Daily 스피킹 raw'!$A:$A, 0), MATCH($B27, 'Daily 스피킹 raw'!$1:$1, 0)), ""), IF(val=0, "", val))</f>
        <v/>
      </c>
      <c r="CS27" s="44" t="str">
        <f t="array" ref="CS27">LET(val, IFERROR(INDEX('Daily 스피킹 raw'!$A:$ZZ, MATCH(CS$2, 'Daily 스피킹 raw'!$A:$A, 0), MATCH($B27, 'Daily 스피킹 raw'!$1:$1, 0)), ""), IF(val=0, "", val))</f>
        <v/>
      </c>
      <c r="CT27" s="44" t="str">
        <f t="array" ref="CT27">LET(val, IFERROR(INDEX('Daily 스피킹 raw'!$A:$ZZ, MATCH(CT$2, 'Daily 스피킹 raw'!$A:$A, 0), MATCH($B27, 'Daily 스피킹 raw'!$1:$1, 0)), ""), IF(val=0, "", val))</f>
        <v/>
      </c>
      <c r="CU27" s="44" t="str">
        <f t="array" ref="CU27">LET(val, IFERROR(INDEX('Daily 스피킹 raw'!$A:$ZZ, MATCH(CU$2, 'Daily 스피킹 raw'!$A:$A, 0), MATCH($B27, 'Daily 스피킹 raw'!$1:$1, 0)), ""), IF(val=0, "", val))</f>
        <v/>
      </c>
      <c r="CV27" s="44" t="str">
        <f t="array" ref="CV27">LET(val, IFERROR(INDEX('Daily 스피킹 raw'!$A:$ZZ, MATCH(CV$2, 'Daily 스피킹 raw'!$A:$A, 0), MATCH($B27, 'Daily 스피킹 raw'!$1:$1, 0)), ""), IF(val=0, "", val))</f>
        <v/>
      </c>
      <c r="CW27" s="44" t="str">
        <f t="array" ref="CW27">LET(val, IFERROR(INDEX('Daily 스피킹 raw'!$A:$ZZ, MATCH(CW$2, 'Daily 스피킹 raw'!$A:$A, 0), MATCH($B27, 'Daily 스피킹 raw'!$1:$1, 0)), ""), IF(val=0, "", val))</f>
        <v/>
      </c>
    </row>
    <row r="28" ht="22.5" customHeight="1">
      <c r="A28" s="17"/>
      <c r="B28" s="16" t="s">
        <v>52</v>
      </c>
      <c r="C28" s="17" t="s">
        <v>22</v>
      </c>
      <c r="D28" s="44">
        <f t="array" ref="D28">LET(val, IFERROR(INDEX('Daily 스피킹 raw'!$A:$ZZ, MATCH(D$2, 'Daily 스피킹 raw'!$A:$A, 0), MATCH($B28, 'Daily 스피킹 raw'!$1:$1, 0)), ""), IF(val=0, "", val))</f>
        <v>3246</v>
      </c>
      <c r="E28" s="44">
        <f t="array" ref="E28">LET(val, IFERROR(INDEX('Daily 스피킹 raw'!$A:$ZZ, MATCH(E$2, 'Daily 스피킹 raw'!$A:$A, 0), MATCH($B28, 'Daily 스피킹 raw'!$1:$1, 0)), ""), IF(val=0, "", val))</f>
        <v>2146</v>
      </c>
      <c r="F28" s="44">
        <f t="array" ref="F28">LET(val, IFERROR(INDEX('Daily 스피킹 raw'!$A:$ZZ, MATCH(F$2, 'Daily 스피킹 raw'!$A:$A, 0), MATCH($B28, 'Daily 스피킹 raw'!$1:$1, 0)), ""), IF(val=0, "", val))</f>
        <v>3304</v>
      </c>
      <c r="G28" s="44">
        <f t="array" ref="G28">LET(val, IFERROR(INDEX('Daily 스피킹 raw'!$A:$ZZ, MATCH(G$2, 'Daily 스피킹 raw'!$A:$A, 0), MATCH($B28, 'Daily 스피킹 raw'!$1:$1, 0)), ""), IF(val=0, "", val))</f>
        <v>2211</v>
      </c>
      <c r="H28" s="44">
        <f t="array" ref="H28">LET(val, IFERROR(INDEX('Daily 스피킹 raw'!$A:$ZZ, MATCH(H$2, 'Daily 스피킹 raw'!$A:$A, 0), MATCH($B28, 'Daily 스피킹 raw'!$1:$1, 0)), ""), IF(val=0, "", val))</f>
        <v>2194</v>
      </c>
      <c r="I28" s="44">
        <f t="array" ref="I28">LET(val, IFERROR(INDEX('Daily 스피킹 raw'!$A:$ZZ, MATCH(I$2, 'Daily 스피킹 raw'!$A:$A, 0), MATCH($B28, 'Daily 스피킹 raw'!$1:$1, 0)), ""), IF(val=0, "", val))</f>
        <v>3649</v>
      </c>
      <c r="J28" s="44">
        <f t="array" ref="J28">LET(val, IFERROR(INDEX('Daily 스피킹 raw'!$A:$ZZ, MATCH(J$2, 'Daily 스피킹 raw'!$A:$A, 0), MATCH($B28, 'Daily 스피킹 raw'!$1:$1, 0)), ""), IF(val=0, "", val))</f>
        <v>2402</v>
      </c>
      <c r="K28" s="44">
        <f t="array" ref="K28">LET(val, IFERROR(INDEX('Daily 스피킹 raw'!$A:$ZZ, MATCH(K$2, 'Daily 스피킹 raw'!$A:$A, 0), MATCH($B28, 'Daily 스피킹 raw'!$1:$1, 0)), ""), IF(val=0, "", val))</f>
        <v>3477</v>
      </c>
      <c r="L28" s="44">
        <f t="array" ref="L28">LET(val, IFERROR(INDEX('Daily 스피킹 raw'!$A:$ZZ, MATCH(L$2, 'Daily 스피킹 raw'!$A:$A, 0), MATCH($B28, 'Daily 스피킹 raw'!$1:$1, 0)), ""), IF(val=0, "", val))</f>
        <v>4559</v>
      </c>
      <c r="M28" s="44">
        <f t="array" ref="M28">LET(val, IFERROR(INDEX('Daily 스피킹 raw'!$A:$ZZ, MATCH(M$2, 'Daily 스피킹 raw'!$A:$A, 0), MATCH($B28, 'Daily 스피킹 raw'!$1:$1, 0)), ""), IF(val=0, "", val))</f>
        <v>4628</v>
      </c>
      <c r="N28" s="44">
        <f t="array" ref="N28">LET(val, IFERROR(INDEX('Daily 스피킹 raw'!$A:$ZZ, MATCH(N$2, 'Daily 스피킹 raw'!$A:$A, 0), MATCH($B28, 'Daily 스피킹 raw'!$1:$1, 0)), ""), IF(val=0, "", val))</f>
        <v>2699</v>
      </c>
      <c r="O28" s="44">
        <f t="array" ref="O28">LET(val, IFERROR(INDEX('Daily 스피킹 raw'!$A:$ZZ, MATCH(O$2, 'Daily 스피킹 raw'!$A:$A, 0), MATCH($B28, 'Daily 스피킹 raw'!$1:$1, 0)), ""), IF(val=0, "", val))</f>
        <v>2427</v>
      </c>
      <c r="P28" s="44">
        <f t="array" ref="P28">LET(val, IFERROR(INDEX('Daily 스피킹 raw'!$A:$ZZ, MATCH(P$2, 'Daily 스피킹 raw'!$A:$A, 0), MATCH($B28, 'Daily 스피킹 raw'!$1:$1, 0)), ""), IF(val=0, "", val))</f>
        <v>4534</v>
      </c>
      <c r="Q28" s="44">
        <f t="array" ref="Q28">LET(val, IFERROR(INDEX('Daily 스피킹 raw'!$A:$ZZ, MATCH(Q$2, 'Daily 스피킹 raw'!$A:$A, 0), MATCH($B28, 'Daily 스피킹 raw'!$1:$1, 0)), ""), IF(val=0, "", val))</f>
        <v>3038</v>
      </c>
      <c r="R28" s="44">
        <f t="array" ref="R28">LET(val, IFERROR(INDEX('Daily 스피킹 raw'!$A:$ZZ, MATCH(R$2, 'Daily 스피킹 raw'!$A:$A, 0), MATCH($B28, 'Daily 스피킹 raw'!$1:$1, 0)), ""), IF(val=0, "", val))</f>
        <v>4375</v>
      </c>
      <c r="S28" s="44">
        <f t="array" ref="S28">LET(val, IFERROR(INDEX('Daily 스피킹 raw'!$A:$ZZ, MATCH(S$2, 'Daily 스피킹 raw'!$A:$A, 0), MATCH($B28, 'Daily 스피킹 raw'!$1:$1, 0)), ""), IF(val=0, "", val))</f>
        <v>2717</v>
      </c>
      <c r="T28" s="44">
        <f t="array" ref="T28">LET(val, IFERROR(INDEX('Daily 스피킹 raw'!$A:$ZZ, MATCH(T$2, 'Daily 스피킹 raw'!$A:$A, 0), MATCH($B28, 'Daily 스피킹 raw'!$1:$1, 0)), ""), IF(val=0, "", val))</f>
        <v>3930</v>
      </c>
      <c r="U28" s="44">
        <f t="array" ref="U28">LET(val, IFERROR(INDEX('Daily 스피킹 raw'!$A:$ZZ, MATCH(U$2, 'Daily 스피킹 raw'!$A:$A, 0), MATCH($B28, 'Daily 스피킹 raw'!$1:$1, 0)), ""), IF(val=0, "", val))</f>
        <v>2366</v>
      </c>
      <c r="V28" s="44">
        <f t="array" ref="V28">LET(val, IFERROR(INDEX('Daily 스피킹 raw'!$A:$ZZ, MATCH(V$2, 'Daily 스피킹 raw'!$A:$A, 0), MATCH($B28, 'Daily 스피킹 raw'!$1:$1, 0)), ""), IF(val=0, "", val))</f>
        <v>2237</v>
      </c>
      <c r="W28" s="44">
        <f t="array" ref="W28">LET(val, IFERROR(INDEX('Daily 스피킹 raw'!$A:$ZZ, MATCH(W$2, 'Daily 스피킹 raw'!$A:$A, 0), MATCH($B28, 'Daily 스피킹 raw'!$1:$1, 0)), ""), IF(val=0, "", val))</f>
        <v>4268</v>
      </c>
      <c r="X28" s="44">
        <f t="array" ref="X28">LET(val, IFERROR(INDEX('Daily 스피킹 raw'!$A:$ZZ, MATCH(X$2, 'Daily 스피킹 raw'!$A:$A, 0), MATCH($B28, 'Daily 스피킹 raw'!$1:$1, 0)), ""), IF(val=0, "", val))</f>
        <v>2676</v>
      </c>
      <c r="Y28" s="44">
        <f t="array" ref="Y28">LET(val, IFERROR(INDEX('Daily 스피킹 raw'!$A:$ZZ, MATCH(Y$2, 'Daily 스피킹 raw'!$A:$A, 0), MATCH($B28, 'Daily 스피킹 raw'!$1:$1, 0)), ""), IF(val=0, "", val))</f>
        <v>3952</v>
      </c>
      <c r="Z28" s="44">
        <f t="array" ref="Z28">LET(val, IFERROR(INDEX('Daily 스피킹 raw'!$A:$ZZ, MATCH(Z$2, 'Daily 스피킹 raw'!$A:$A, 0), MATCH($B28, 'Daily 스피킹 raw'!$1:$1, 0)), ""), IF(val=0, "", val))</f>
        <v>2552</v>
      </c>
      <c r="AA28" s="44">
        <f t="array" ref="AA28">LET(val, IFERROR(INDEX('Daily 스피킹 raw'!$A:$ZZ, MATCH(AA$2, 'Daily 스피킹 raw'!$A:$A, 0), MATCH($B28, 'Daily 스피킹 raw'!$1:$1, 0)), ""), IF(val=0, "", val))</f>
        <v>3658</v>
      </c>
      <c r="AB28" s="44">
        <f t="array" ref="AB28">LET(val, IFERROR(INDEX('Daily 스피킹 raw'!$A:$ZZ, MATCH(AB$2, 'Daily 스피킹 raw'!$A:$A, 0), MATCH($B28, 'Daily 스피킹 raw'!$1:$1, 0)), ""), IF(val=0, "", val))</f>
        <v>2391</v>
      </c>
      <c r="AC28" s="44">
        <f t="array" ref="AC28">LET(val, IFERROR(INDEX('Daily 스피킹 raw'!$A:$ZZ, MATCH(AC$2, 'Daily 스피킹 raw'!$A:$A, 0), MATCH($B28, 'Daily 스피킹 raw'!$1:$1, 0)), ""), IF(val=0, "", val))</f>
        <v>2059</v>
      </c>
      <c r="AD28" s="44">
        <f t="array" ref="AD28">LET(val, IFERROR(INDEX('Daily 스피킹 raw'!$A:$ZZ, MATCH(AD$2, 'Daily 스피킹 raw'!$A:$A, 0), MATCH($B28, 'Daily 스피킹 raw'!$1:$1, 0)), ""), IF(val=0, "", val))</f>
        <v>3844</v>
      </c>
      <c r="AE28" s="44">
        <f t="array" ref="AE28">LET(val, IFERROR(INDEX('Daily 스피킹 raw'!$A:$ZZ, MATCH(AE$2, 'Daily 스피킹 raw'!$A:$A, 0), MATCH($B28, 'Daily 스피킹 raw'!$1:$1, 0)), ""), IF(val=0, "", val))</f>
        <v>2441</v>
      </c>
      <c r="AF28" s="44">
        <f t="array" ref="AF28">LET(val, IFERROR(INDEX('Daily 스피킹 raw'!$A:$ZZ, MATCH(AF$2, 'Daily 스피킹 raw'!$A:$A, 0), MATCH($B28, 'Daily 스피킹 raw'!$1:$1, 0)), ""), IF(val=0, "", val))</f>
        <v>3616</v>
      </c>
      <c r="AG28" s="44">
        <f t="array" ref="AG28">LET(val, IFERROR(INDEX('Daily 스피킹 raw'!$A:$ZZ, MATCH(AG$2, 'Daily 스피킹 raw'!$A:$A, 0), MATCH($B28, 'Daily 스피킹 raw'!$1:$1, 0)), ""), IF(val=0, "", val))</f>
        <v>2313</v>
      </c>
      <c r="AH28" s="44">
        <f t="array" ref="AH28">LET(val, IFERROR(INDEX('Daily 스피킹 raw'!$A:$ZZ, MATCH(AH$2, 'Daily 스피킹 raw'!$A:$A, 0), MATCH($B28, 'Daily 스피킹 raw'!$1:$1, 0)), ""), IF(val=0, "", val))</f>
        <v>3332</v>
      </c>
      <c r="AI28" s="44">
        <f t="array" ref="AI28">LET(val, IFERROR(INDEX('Daily 스피킹 raw'!$A:$ZZ, MATCH(AI$2, 'Daily 스피킹 raw'!$A:$A, 0), MATCH($B28, 'Daily 스피킹 raw'!$1:$1, 0)), ""), IF(val=0, "", val))</f>
        <v>2023</v>
      </c>
      <c r="AJ28" s="44">
        <f t="array" ref="AJ28">LET(val, IFERROR(INDEX('Daily 스피킹 raw'!$A:$ZZ, MATCH(AJ$2, 'Daily 스피킹 raw'!$A:$A, 0), MATCH($B28, 'Daily 스피킹 raw'!$1:$1, 0)), ""), IF(val=0, "", val))</f>
        <v>1827</v>
      </c>
      <c r="AK28" s="44">
        <f t="array" ref="AK28">LET(val, IFERROR(INDEX('Daily 스피킹 raw'!$A:$ZZ, MATCH(AK$2, 'Daily 스피킹 raw'!$A:$A, 0), MATCH($B28, 'Daily 스피킹 raw'!$1:$1, 0)), ""), IF(val=0, "", val))</f>
        <v>3523</v>
      </c>
      <c r="AL28" s="44">
        <f t="array" ref="AL28">LET(val, IFERROR(INDEX('Daily 스피킹 raw'!$A:$ZZ, MATCH(AL$2, 'Daily 스피킹 raw'!$A:$A, 0), MATCH($B28, 'Daily 스피킹 raw'!$1:$1, 0)), ""), IF(val=0, "", val))</f>
        <v>2253</v>
      </c>
      <c r="AM28" s="44">
        <f t="array" ref="AM28">LET(val, IFERROR(INDEX('Daily 스피킹 raw'!$A:$ZZ, MATCH(AM$2, 'Daily 스피킹 raw'!$A:$A, 0), MATCH($B28, 'Daily 스피킹 raw'!$1:$1, 0)), ""), IF(val=0, "", val))</f>
        <v>3452</v>
      </c>
      <c r="AN28" s="44">
        <f t="array" ref="AN28">LET(val, IFERROR(INDEX('Daily 스피킹 raw'!$A:$ZZ, MATCH(AN$2, 'Daily 스피킹 raw'!$A:$A, 0), MATCH($B28, 'Daily 스피킹 raw'!$1:$1, 0)), ""), IF(val=0, "", val))</f>
        <v>2157</v>
      </c>
      <c r="AO28" s="44">
        <f t="array" ref="AO28">LET(val, IFERROR(INDEX('Daily 스피킹 raw'!$A:$ZZ, MATCH(AO$2, 'Daily 스피킹 raw'!$A:$A, 0), MATCH($B28, 'Daily 스피킹 raw'!$1:$1, 0)), ""), IF(val=0, "", val))</f>
        <v>3133</v>
      </c>
      <c r="AP28" s="44">
        <f t="array" ref="AP28">LET(val, IFERROR(INDEX('Daily 스피킹 raw'!$A:$ZZ, MATCH(AP$2, 'Daily 스피킹 raw'!$A:$A, 0), MATCH($B28, 'Daily 스피킹 raw'!$1:$1, 0)), ""), IF(val=0, "", val))</f>
        <v>1951</v>
      </c>
      <c r="AQ28" s="44">
        <f t="array" ref="AQ28">LET(val, IFERROR(INDEX('Daily 스피킹 raw'!$A:$ZZ, MATCH(AQ$2, 'Daily 스피킹 raw'!$A:$A, 0), MATCH($B28, 'Daily 스피킹 raw'!$1:$1, 0)), ""), IF(val=0, "", val))</f>
        <v>1748</v>
      </c>
      <c r="AR28" s="44">
        <f t="array" ref="AR28">LET(val, IFERROR(INDEX('Daily 스피킹 raw'!$A:$ZZ, MATCH(AR$2, 'Daily 스피킹 raw'!$A:$A, 0), MATCH($B28, 'Daily 스피킹 raw'!$1:$1, 0)), ""), IF(val=0, "", val))</f>
        <v>3240</v>
      </c>
      <c r="AS28" s="44">
        <f t="array" ref="AS28">LET(val, IFERROR(INDEX('Daily 스피킹 raw'!$A:$ZZ, MATCH(AS$2, 'Daily 스피킹 raw'!$A:$A, 0), MATCH($B28, 'Daily 스피킹 raw'!$1:$1, 0)), ""), IF(val=0, "", val))</f>
        <v>2191</v>
      </c>
      <c r="AT28" s="44">
        <f t="array" ref="AT28">LET(val, IFERROR(INDEX('Daily 스피킹 raw'!$A:$ZZ, MATCH(AT$2, 'Daily 스피킹 raw'!$A:$A, 0), MATCH($B28, 'Daily 스피킹 raw'!$1:$1, 0)), ""), IF(val=0, "", val))</f>
        <v>3202</v>
      </c>
      <c r="AU28" s="44">
        <f t="array" ref="AU28">LET(val, IFERROR(INDEX('Daily 스피킹 raw'!$A:$ZZ, MATCH(AU$2, 'Daily 스피킹 raw'!$A:$A, 0), MATCH($B28, 'Daily 스피킹 raw'!$1:$1, 0)), ""), IF(val=0, "", val))</f>
        <v>2035</v>
      </c>
      <c r="AV28" s="44">
        <f t="array" ref="AV28">LET(val, IFERROR(INDEX('Daily 스피킹 raw'!$A:$ZZ, MATCH(AV$2, 'Daily 스피킹 raw'!$A:$A, 0), MATCH($B28, 'Daily 스피킹 raw'!$1:$1, 0)), ""), IF(val=0, "", val))</f>
        <v>3024</v>
      </c>
      <c r="AW28" s="44">
        <f t="array" ref="AW28">LET(val, IFERROR(INDEX('Daily 스피킹 raw'!$A:$ZZ, MATCH(AW$2, 'Daily 스피킹 raw'!$A:$A, 0), MATCH($B28, 'Daily 스피킹 raw'!$1:$1, 0)), ""), IF(val=0, "", val))</f>
        <v>1856</v>
      </c>
      <c r="AX28" s="44">
        <f t="array" ref="AX28">LET(val, IFERROR(INDEX('Daily 스피킹 raw'!$A:$ZZ, MATCH(AX$2, 'Daily 스피킹 raw'!$A:$A, 0), MATCH($B28, 'Daily 스피킹 raw'!$1:$1, 0)), ""), IF(val=0, "", val))</f>
        <v>1671</v>
      </c>
      <c r="AY28" s="44">
        <f t="array" ref="AY28">LET(val, IFERROR(INDEX('Daily 스피킹 raw'!$A:$ZZ, MATCH(AY$2, 'Daily 스피킹 raw'!$A:$A, 0), MATCH($B28, 'Daily 스피킹 raw'!$1:$1, 0)), ""), IF(val=0, "", val))</f>
        <v>3191</v>
      </c>
      <c r="AZ28" s="44">
        <f t="array" ref="AZ28">LET(val, IFERROR(INDEX('Daily 스피킹 raw'!$A:$ZZ, MATCH(AZ$2, 'Daily 스피킹 raw'!$A:$A, 0), MATCH($B28, 'Daily 스피킹 raw'!$1:$1, 0)), ""), IF(val=0, "", val))</f>
        <v>2026</v>
      </c>
      <c r="BA28" s="44">
        <f t="array" ref="BA28">LET(val, IFERROR(INDEX('Daily 스피킹 raw'!$A:$ZZ, MATCH(BA$2, 'Daily 스피킹 raw'!$A:$A, 0), MATCH($B28, 'Daily 스피킹 raw'!$1:$1, 0)), ""), IF(val=0, "", val))</f>
        <v>2898</v>
      </c>
      <c r="BB28" s="44">
        <f t="array" ref="BB28">LET(val, IFERROR(INDEX('Daily 스피킹 raw'!$A:$ZZ, MATCH(BB$2, 'Daily 스피킹 raw'!$A:$A, 0), MATCH($B28, 'Daily 스피킹 raw'!$1:$1, 0)), ""), IF(val=0, "", val))</f>
        <v>1805</v>
      </c>
      <c r="BC28" s="44">
        <f t="array" ref="BC28">LET(val, IFERROR(INDEX('Daily 스피킹 raw'!$A:$ZZ, MATCH(BC$2, 'Daily 스피킹 raw'!$A:$A, 0), MATCH($B28, 'Daily 스피킹 raw'!$1:$1, 0)), ""), IF(val=0, "", val))</f>
        <v>2728</v>
      </c>
      <c r="BD28" s="44">
        <f t="array" ref="BD28">LET(val, IFERROR(INDEX('Daily 스피킹 raw'!$A:$ZZ, MATCH(BD$2, 'Daily 스피킹 raw'!$A:$A, 0), MATCH($B28, 'Daily 스피킹 raw'!$1:$1, 0)), ""), IF(val=0, "", val))</f>
        <v>1648</v>
      </c>
      <c r="BE28" s="44">
        <f t="array" ref="BE28">LET(val, IFERROR(INDEX('Daily 스피킹 raw'!$A:$ZZ, MATCH(BE$2, 'Daily 스피킹 raw'!$A:$A, 0), MATCH($B28, 'Daily 스피킹 raw'!$1:$1, 0)), ""), IF(val=0, "", val))</f>
        <v>1370</v>
      </c>
      <c r="BF28" s="44">
        <f t="array" ref="BF28">LET(val, IFERROR(INDEX('Daily 스피킹 raw'!$A:$ZZ, MATCH(BF$2, 'Daily 스피킹 raw'!$A:$A, 0), MATCH($B28, 'Daily 스피킹 raw'!$1:$1, 0)), ""), IF(val=0, "", val))</f>
        <v>2667</v>
      </c>
      <c r="BG28" s="44">
        <f t="array" ref="BG28">LET(val, IFERROR(INDEX('Daily 스피킹 raw'!$A:$ZZ, MATCH(BG$2, 'Daily 스피킹 raw'!$A:$A, 0), MATCH($B28, 'Daily 스피킹 raw'!$1:$1, 0)), ""), IF(val=0, "", val))</f>
        <v>1518</v>
      </c>
      <c r="BH28" s="44">
        <f t="array" ref="BH28">LET(val, IFERROR(INDEX('Daily 스피킹 raw'!$A:$ZZ, MATCH(BH$2, 'Daily 스피킹 raw'!$A:$A, 0), MATCH($B28, 'Daily 스피킹 raw'!$1:$1, 0)), ""), IF(val=0, "", val))</f>
        <v>2553</v>
      </c>
      <c r="BI28" s="44">
        <f t="array" ref="BI28">LET(val, IFERROR(INDEX('Daily 스피킹 raw'!$A:$ZZ, MATCH(BI$2, 'Daily 스피킹 raw'!$A:$A, 0), MATCH($B28, 'Daily 스피킹 raw'!$1:$1, 0)), ""), IF(val=0, "", val))</f>
        <v>1639</v>
      </c>
      <c r="BJ28" s="44">
        <f t="array" ref="BJ28">LET(val, IFERROR(INDEX('Daily 스피킹 raw'!$A:$ZZ, MATCH(BJ$2, 'Daily 스피킹 raw'!$A:$A, 0), MATCH($B28, 'Daily 스피킹 raw'!$1:$1, 0)), ""), IF(val=0, "", val))</f>
        <v>2559</v>
      </c>
      <c r="BK28" s="44">
        <f t="array" ref="BK28">LET(val, IFERROR(INDEX('Daily 스피킹 raw'!$A:$ZZ, MATCH(BK$2, 'Daily 스피킹 raw'!$A:$A, 0), MATCH($B28, 'Daily 스피킹 raw'!$1:$1, 0)), ""), IF(val=0, "", val))</f>
        <v>1472</v>
      </c>
      <c r="BL28" s="44">
        <f t="array" ref="BL28">LET(val, IFERROR(INDEX('Daily 스피킹 raw'!$A:$ZZ, MATCH(BL$2, 'Daily 스피킹 raw'!$A:$A, 0), MATCH($B28, 'Daily 스피킹 raw'!$1:$1, 0)), ""), IF(val=0, "", val))</f>
        <v>1345</v>
      </c>
      <c r="BM28" s="44" t="str">
        <f t="array" ref="BM28">LET(val, IFERROR(INDEX('Daily 스피킹 raw'!$A:$ZZ, MATCH(BM$2, 'Daily 스피킹 raw'!$A:$A, 0), MATCH($B28, 'Daily 스피킹 raw'!$1:$1, 0)), ""), IF(val=0, "", val))</f>
        <v/>
      </c>
      <c r="BN28" s="44" t="str">
        <f t="array" ref="BN28">LET(val, IFERROR(INDEX('Daily 스피킹 raw'!$A:$ZZ, MATCH(BN$2, 'Daily 스피킹 raw'!$A:$A, 0), MATCH($B28, 'Daily 스피킹 raw'!$1:$1, 0)), ""), IF(val=0, "", val))</f>
        <v/>
      </c>
      <c r="BO28" s="44" t="str">
        <f t="array" ref="BO28">LET(val, IFERROR(INDEX('Daily 스피킹 raw'!$A:$ZZ, MATCH(BO$2, 'Daily 스피킹 raw'!$A:$A, 0), MATCH($B28, 'Daily 스피킹 raw'!$1:$1, 0)), ""), IF(val=0, "", val))</f>
        <v/>
      </c>
      <c r="BP28" s="44" t="str">
        <f t="array" ref="BP28">LET(val, IFERROR(INDEX('Daily 스피킹 raw'!$A:$ZZ, MATCH(BP$2, 'Daily 스피킹 raw'!$A:$A, 0), MATCH($B28, 'Daily 스피킹 raw'!$1:$1, 0)), ""), IF(val=0, "", val))</f>
        <v/>
      </c>
      <c r="BQ28" s="44" t="str">
        <f t="array" ref="BQ28">LET(val, IFERROR(INDEX('Daily 스피킹 raw'!$A:$ZZ, MATCH(BQ$2, 'Daily 스피킹 raw'!$A:$A, 0), MATCH($B28, 'Daily 스피킹 raw'!$1:$1, 0)), ""), IF(val=0, "", val))</f>
        <v/>
      </c>
      <c r="BR28" s="44" t="str">
        <f t="array" ref="BR28">LET(val, IFERROR(INDEX('Daily 스피킹 raw'!$A:$ZZ, MATCH(BR$2, 'Daily 스피킹 raw'!$A:$A, 0), MATCH($B28, 'Daily 스피킹 raw'!$1:$1, 0)), ""), IF(val=0, "", val))</f>
        <v/>
      </c>
      <c r="BS28" s="44" t="str">
        <f t="array" ref="BS28">LET(val, IFERROR(INDEX('Daily 스피킹 raw'!$A:$ZZ, MATCH(BS$2, 'Daily 스피킹 raw'!$A:$A, 0), MATCH($B28, 'Daily 스피킹 raw'!$1:$1, 0)), ""), IF(val=0, "", val))</f>
        <v/>
      </c>
      <c r="BT28" s="44" t="str">
        <f t="array" ref="BT28">LET(val, IFERROR(INDEX('Daily 스피킹 raw'!$A:$ZZ, MATCH(BT$2, 'Daily 스피킹 raw'!$A:$A, 0), MATCH($B28, 'Daily 스피킹 raw'!$1:$1, 0)), ""), IF(val=0, "", val))</f>
        <v/>
      </c>
      <c r="BU28" s="44" t="str">
        <f t="array" ref="BU28">LET(val, IFERROR(INDEX('Daily 스피킹 raw'!$A:$ZZ, MATCH(BU$2, 'Daily 스피킹 raw'!$A:$A, 0), MATCH($B28, 'Daily 스피킹 raw'!$1:$1, 0)), ""), IF(val=0, "", val))</f>
        <v/>
      </c>
      <c r="BV28" s="44" t="str">
        <f t="array" ref="BV28">LET(val, IFERROR(INDEX('Daily 스피킹 raw'!$A:$ZZ, MATCH(BV$2, 'Daily 스피킹 raw'!$A:$A, 0), MATCH($B28, 'Daily 스피킹 raw'!$1:$1, 0)), ""), IF(val=0, "", val))</f>
        <v/>
      </c>
      <c r="BW28" s="44" t="str">
        <f t="array" ref="BW28">LET(val, IFERROR(INDEX('Daily 스피킹 raw'!$A:$ZZ, MATCH(BW$2, 'Daily 스피킹 raw'!$A:$A, 0), MATCH($B28, 'Daily 스피킹 raw'!$1:$1, 0)), ""), IF(val=0, "", val))</f>
        <v/>
      </c>
      <c r="BX28" s="44" t="str">
        <f t="array" ref="BX28">LET(val, IFERROR(INDEX('Daily 스피킹 raw'!$A:$ZZ, MATCH(BX$2, 'Daily 스피킹 raw'!$A:$A, 0), MATCH($B28, 'Daily 스피킹 raw'!$1:$1, 0)), ""), IF(val=0, "", val))</f>
        <v/>
      </c>
      <c r="BY28" s="44" t="str">
        <f t="array" ref="BY28">LET(val, IFERROR(INDEX('Daily 스피킹 raw'!$A:$ZZ, MATCH(BY$2, 'Daily 스피킹 raw'!$A:$A, 0), MATCH($B28, 'Daily 스피킹 raw'!$1:$1, 0)), ""), IF(val=0, "", val))</f>
        <v/>
      </c>
      <c r="BZ28" s="44" t="str">
        <f t="array" ref="BZ28">LET(val, IFERROR(INDEX('Daily 스피킹 raw'!$A:$ZZ, MATCH(BZ$2, 'Daily 스피킹 raw'!$A:$A, 0), MATCH($B28, 'Daily 스피킹 raw'!$1:$1, 0)), ""), IF(val=0, "", val))</f>
        <v/>
      </c>
      <c r="CA28" s="44" t="str">
        <f t="array" ref="CA28">LET(val, IFERROR(INDEX('Daily 스피킹 raw'!$A:$ZZ, MATCH(CA$2, 'Daily 스피킹 raw'!$A:$A, 0), MATCH($B28, 'Daily 스피킹 raw'!$1:$1, 0)), ""), IF(val=0, "", val))</f>
        <v/>
      </c>
      <c r="CB28" s="44" t="str">
        <f t="array" ref="CB28">LET(val, IFERROR(INDEX('Daily 스피킹 raw'!$A:$ZZ, MATCH(CB$2, 'Daily 스피킹 raw'!$A:$A, 0), MATCH($B28, 'Daily 스피킹 raw'!$1:$1, 0)), ""), IF(val=0, "", val))</f>
        <v/>
      </c>
      <c r="CC28" s="44" t="str">
        <f t="array" ref="CC28">LET(val, IFERROR(INDEX('Daily 스피킹 raw'!$A:$ZZ, MATCH(CC$2, 'Daily 스피킹 raw'!$A:$A, 0), MATCH($B28, 'Daily 스피킹 raw'!$1:$1, 0)), ""), IF(val=0, "", val))</f>
        <v/>
      </c>
      <c r="CD28" s="44" t="str">
        <f t="array" ref="CD28">LET(val, IFERROR(INDEX('Daily 스피킹 raw'!$A:$ZZ, MATCH(CD$2, 'Daily 스피킹 raw'!$A:$A, 0), MATCH($B28, 'Daily 스피킹 raw'!$1:$1, 0)), ""), IF(val=0, "", val))</f>
        <v/>
      </c>
      <c r="CE28" s="44" t="str">
        <f t="array" ref="CE28">LET(val, IFERROR(INDEX('Daily 스피킹 raw'!$A:$ZZ, MATCH(CE$2, 'Daily 스피킹 raw'!$A:$A, 0), MATCH($B28, 'Daily 스피킹 raw'!$1:$1, 0)), ""), IF(val=0, "", val))</f>
        <v/>
      </c>
      <c r="CF28" s="44" t="str">
        <f t="array" ref="CF28">LET(val, IFERROR(INDEX('Daily 스피킹 raw'!$A:$ZZ, MATCH(CF$2, 'Daily 스피킹 raw'!$A:$A, 0), MATCH($B28, 'Daily 스피킹 raw'!$1:$1, 0)), ""), IF(val=0, "", val))</f>
        <v/>
      </c>
      <c r="CG28" s="44" t="str">
        <f t="array" ref="CG28">LET(val, IFERROR(INDEX('Daily 스피킹 raw'!$A:$ZZ, MATCH(CG$2, 'Daily 스피킹 raw'!$A:$A, 0), MATCH($B28, 'Daily 스피킹 raw'!$1:$1, 0)), ""), IF(val=0, "", val))</f>
        <v/>
      </c>
      <c r="CH28" s="44" t="str">
        <f t="array" ref="CH28">LET(val, IFERROR(INDEX('Daily 스피킹 raw'!$A:$ZZ, MATCH(CH$2, 'Daily 스피킹 raw'!$A:$A, 0), MATCH($B28, 'Daily 스피킹 raw'!$1:$1, 0)), ""), IF(val=0, "", val))</f>
        <v/>
      </c>
      <c r="CI28" s="44" t="str">
        <f t="array" ref="CI28">LET(val, IFERROR(INDEX('Daily 스피킹 raw'!$A:$ZZ, MATCH(CI$2, 'Daily 스피킹 raw'!$A:$A, 0), MATCH($B28, 'Daily 스피킹 raw'!$1:$1, 0)), ""), IF(val=0, "", val))</f>
        <v/>
      </c>
      <c r="CJ28" s="44" t="str">
        <f t="array" ref="CJ28">LET(val, IFERROR(INDEX('Daily 스피킹 raw'!$A:$ZZ, MATCH(CJ$2, 'Daily 스피킹 raw'!$A:$A, 0), MATCH($B28, 'Daily 스피킹 raw'!$1:$1, 0)), ""), IF(val=0, "", val))</f>
        <v/>
      </c>
      <c r="CK28" s="44" t="str">
        <f t="array" ref="CK28">LET(val, IFERROR(INDEX('Daily 스피킹 raw'!$A:$ZZ, MATCH(CK$2, 'Daily 스피킹 raw'!$A:$A, 0), MATCH($B28, 'Daily 스피킹 raw'!$1:$1, 0)), ""), IF(val=0, "", val))</f>
        <v/>
      </c>
      <c r="CL28" s="44" t="str">
        <f t="array" ref="CL28">LET(val, IFERROR(INDEX('Daily 스피킹 raw'!$A:$ZZ, MATCH(CL$2, 'Daily 스피킹 raw'!$A:$A, 0), MATCH($B28, 'Daily 스피킹 raw'!$1:$1, 0)), ""), IF(val=0, "", val))</f>
        <v/>
      </c>
      <c r="CM28" s="44" t="str">
        <f t="array" ref="CM28">LET(val, IFERROR(INDEX('Daily 스피킹 raw'!$A:$ZZ, MATCH(CM$2, 'Daily 스피킹 raw'!$A:$A, 0), MATCH($B28, 'Daily 스피킹 raw'!$1:$1, 0)), ""), IF(val=0, "", val))</f>
        <v/>
      </c>
      <c r="CN28" s="44" t="str">
        <f t="array" ref="CN28">LET(val, IFERROR(INDEX('Daily 스피킹 raw'!$A:$ZZ, MATCH(CN$2, 'Daily 스피킹 raw'!$A:$A, 0), MATCH($B28, 'Daily 스피킹 raw'!$1:$1, 0)), ""), IF(val=0, "", val))</f>
        <v/>
      </c>
      <c r="CO28" s="44" t="str">
        <f t="array" ref="CO28">LET(val, IFERROR(INDEX('Daily 스피킹 raw'!$A:$ZZ, MATCH(CO$2, 'Daily 스피킹 raw'!$A:$A, 0), MATCH($B28, 'Daily 스피킹 raw'!$1:$1, 0)), ""), IF(val=0, "", val))</f>
        <v/>
      </c>
      <c r="CP28" s="44" t="str">
        <f t="array" ref="CP28">LET(val, IFERROR(INDEX('Daily 스피킹 raw'!$A:$ZZ, MATCH(CP$2, 'Daily 스피킹 raw'!$A:$A, 0), MATCH($B28, 'Daily 스피킹 raw'!$1:$1, 0)), ""), IF(val=0, "", val))</f>
        <v/>
      </c>
      <c r="CQ28" s="44" t="str">
        <f t="array" ref="CQ28">LET(val, IFERROR(INDEX('Daily 스피킹 raw'!$A:$ZZ, MATCH(CQ$2, 'Daily 스피킹 raw'!$A:$A, 0), MATCH($B28, 'Daily 스피킹 raw'!$1:$1, 0)), ""), IF(val=0, "", val))</f>
        <v/>
      </c>
      <c r="CR28" s="44" t="str">
        <f t="array" ref="CR28">LET(val, IFERROR(INDEX('Daily 스피킹 raw'!$A:$ZZ, MATCH(CR$2, 'Daily 스피킹 raw'!$A:$A, 0), MATCH($B28, 'Daily 스피킹 raw'!$1:$1, 0)), ""), IF(val=0, "", val))</f>
        <v/>
      </c>
      <c r="CS28" s="44" t="str">
        <f t="array" ref="CS28">LET(val, IFERROR(INDEX('Daily 스피킹 raw'!$A:$ZZ, MATCH(CS$2, 'Daily 스피킹 raw'!$A:$A, 0), MATCH($B28, 'Daily 스피킹 raw'!$1:$1, 0)), ""), IF(val=0, "", val))</f>
        <v/>
      </c>
      <c r="CT28" s="44" t="str">
        <f t="array" ref="CT28">LET(val, IFERROR(INDEX('Daily 스피킹 raw'!$A:$ZZ, MATCH(CT$2, 'Daily 스피킹 raw'!$A:$A, 0), MATCH($B28, 'Daily 스피킹 raw'!$1:$1, 0)), ""), IF(val=0, "", val))</f>
        <v/>
      </c>
      <c r="CU28" s="44" t="str">
        <f t="array" ref="CU28">LET(val, IFERROR(INDEX('Daily 스피킹 raw'!$A:$ZZ, MATCH(CU$2, 'Daily 스피킹 raw'!$A:$A, 0), MATCH($B28, 'Daily 스피킹 raw'!$1:$1, 0)), ""), IF(val=0, "", val))</f>
        <v/>
      </c>
      <c r="CV28" s="44" t="str">
        <f t="array" ref="CV28">LET(val, IFERROR(INDEX('Daily 스피킹 raw'!$A:$ZZ, MATCH(CV$2, 'Daily 스피킹 raw'!$A:$A, 0), MATCH($B28, 'Daily 스피킹 raw'!$1:$1, 0)), ""), IF(val=0, "", val))</f>
        <v/>
      </c>
      <c r="CW28" s="44" t="str">
        <f t="array" ref="CW28">LET(val, IFERROR(INDEX('Daily 스피킹 raw'!$A:$ZZ, MATCH(CW$2, 'Daily 스피킹 raw'!$A:$A, 0), MATCH($B28, 'Daily 스피킹 raw'!$1:$1, 0)), ""), IF(val=0, "", val))</f>
        <v/>
      </c>
    </row>
    <row r="29" ht="22.5" customHeight="1">
      <c r="A29" s="17"/>
      <c r="B29" s="16" t="s">
        <v>53</v>
      </c>
      <c r="C29" s="17" t="s">
        <v>47</v>
      </c>
      <c r="D29" s="44">
        <f t="array" ref="D29">LET(val, IFERROR(INDEX('Daily 스피킹 raw'!$A:$ZZ, MATCH(D$2, 'Daily 스피킹 raw'!$A:$A, 0), MATCH($B29, 'Daily 스피킹 raw'!$1:$1, 0)), ""), IF(val=0, "", val))</f>
        <v>861</v>
      </c>
      <c r="E29" s="44">
        <f t="array" ref="E29">LET(val, IFERROR(INDEX('Daily 스피킹 raw'!$A:$ZZ, MATCH(E$2, 'Daily 스피킹 raw'!$A:$A, 0), MATCH($B29, 'Daily 스피킹 raw'!$1:$1, 0)), ""), IF(val=0, "", val))</f>
        <v>699</v>
      </c>
      <c r="F29" s="44">
        <f t="array" ref="F29">LET(val, IFERROR(INDEX('Daily 스피킹 raw'!$A:$ZZ, MATCH(F$2, 'Daily 스피킹 raw'!$A:$A, 0), MATCH($B29, 'Daily 스피킹 raw'!$1:$1, 0)), ""), IF(val=0, "", val))</f>
        <v>892</v>
      </c>
      <c r="G29" s="44">
        <f t="array" ref="G29">LET(val, IFERROR(INDEX('Daily 스피킹 raw'!$A:$ZZ, MATCH(G$2, 'Daily 스피킹 raw'!$A:$A, 0), MATCH($B29, 'Daily 스피킹 raw'!$1:$1, 0)), ""), IF(val=0, "", val))</f>
        <v>709</v>
      </c>
      <c r="H29" s="44">
        <f t="array" ref="H29">LET(val, IFERROR(INDEX('Daily 스피킹 raw'!$A:$ZZ, MATCH(H$2, 'Daily 스피킹 raw'!$A:$A, 0), MATCH($B29, 'Daily 스피킹 raw'!$1:$1, 0)), ""), IF(val=0, "", val))</f>
        <v>748</v>
      </c>
      <c r="I29" s="44">
        <f t="array" ref="I29">LET(val, IFERROR(INDEX('Daily 스피킹 raw'!$A:$ZZ, MATCH(I$2, 'Daily 스피킹 raw'!$A:$A, 0), MATCH($B29, 'Daily 스피킹 raw'!$1:$1, 0)), ""), IF(val=0, "", val))</f>
        <v>1062</v>
      </c>
      <c r="J29" s="44">
        <f t="array" ref="J29">LET(val, IFERROR(INDEX('Daily 스피킹 raw'!$A:$ZZ, MATCH(J$2, 'Daily 스피킹 raw'!$A:$A, 0), MATCH($B29, 'Daily 스피킹 raw'!$1:$1, 0)), ""), IF(val=0, "", val))</f>
        <v>916</v>
      </c>
      <c r="K29" s="44">
        <f t="array" ref="K29">LET(val, IFERROR(INDEX('Daily 스피킹 raw'!$A:$ZZ, MATCH(K$2, 'Daily 스피킹 raw'!$A:$A, 0), MATCH($B29, 'Daily 스피킹 raw'!$1:$1, 0)), ""), IF(val=0, "", val))</f>
        <v>1024</v>
      </c>
      <c r="L29" s="44">
        <f t="array" ref="L29">LET(val, IFERROR(INDEX('Daily 스피킹 raw'!$A:$ZZ, MATCH(L$2, 'Daily 스피킹 raw'!$A:$A, 0), MATCH($B29, 'Daily 스피킹 raw'!$1:$1, 0)), ""), IF(val=0, "", val))</f>
        <v>2406</v>
      </c>
      <c r="M29" s="44">
        <f t="array" ref="M29">LET(val, IFERROR(INDEX('Daily 스피킹 raw'!$A:$ZZ, MATCH(M$2, 'Daily 스피킹 raw'!$A:$A, 0), MATCH($B29, 'Daily 스피킹 raw'!$1:$1, 0)), ""), IF(val=0, "", val))</f>
        <v>1551</v>
      </c>
      <c r="N29" s="44">
        <f t="array" ref="N29">LET(val, IFERROR(INDEX('Daily 스피킹 raw'!$A:$ZZ, MATCH(N$2, 'Daily 스피킹 raw'!$A:$A, 0), MATCH($B29, 'Daily 스피킹 raw'!$1:$1, 0)), ""), IF(val=0, "", val))</f>
        <v>1005</v>
      </c>
      <c r="O29" s="44">
        <f t="array" ref="O29">LET(val, IFERROR(INDEX('Daily 스피킹 raw'!$A:$ZZ, MATCH(O$2, 'Daily 스피킹 raw'!$A:$A, 0), MATCH($B29, 'Daily 스피킹 raw'!$1:$1, 0)), ""), IF(val=0, "", val))</f>
        <v>978</v>
      </c>
      <c r="P29" s="44">
        <f t="array" ref="P29">LET(val, IFERROR(INDEX('Daily 스피킹 raw'!$A:$ZZ, MATCH(P$2, 'Daily 스피킹 raw'!$A:$A, 0), MATCH($B29, 'Daily 스피킹 raw'!$1:$1, 0)), ""), IF(val=0, "", val))</f>
        <v>1320</v>
      </c>
      <c r="Q29" s="44">
        <f t="array" ref="Q29">LET(val, IFERROR(INDEX('Daily 스피킹 raw'!$A:$ZZ, MATCH(Q$2, 'Daily 스피킹 raw'!$A:$A, 0), MATCH($B29, 'Daily 스피킹 raw'!$1:$1, 0)), ""), IF(val=0, "", val))</f>
        <v>1023</v>
      </c>
      <c r="R29" s="44">
        <f t="array" ref="R29">LET(val, IFERROR(INDEX('Daily 스피킹 raw'!$A:$ZZ, MATCH(R$2, 'Daily 스피킹 raw'!$A:$A, 0), MATCH($B29, 'Daily 스피킹 raw'!$1:$1, 0)), ""), IF(val=0, "", val))</f>
        <v>1190</v>
      </c>
      <c r="S29" s="44">
        <f t="array" ref="S29">LET(val, IFERROR(INDEX('Daily 스피킹 raw'!$A:$ZZ, MATCH(S$2, 'Daily 스피킹 raw'!$A:$A, 0), MATCH($B29, 'Daily 스피킹 raw'!$1:$1, 0)), ""), IF(val=0, "", val))</f>
        <v>736</v>
      </c>
      <c r="T29" s="44">
        <f t="array" ref="T29">LET(val, IFERROR(INDEX('Daily 스피킹 raw'!$A:$ZZ, MATCH(T$2, 'Daily 스피킹 raw'!$A:$A, 0), MATCH($B29, 'Daily 스피킹 raw'!$1:$1, 0)), ""), IF(val=0, "", val))</f>
        <v>728</v>
      </c>
      <c r="U29" s="44">
        <f t="array" ref="U29">LET(val, IFERROR(INDEX('Daily 스피킹 raw'!$A:$ZZ, MATCH(U$2, 'Daily 스피킹 raw'!$A:$A, 0), MATCH($B29, 'Daily 스피킹 raw'!$1:$1, 0)), ""), IF(val=0, "", val))</f>
        <v>673</v>
      </c>
      <c r="V29" s="44">
        <f t="array" ref="V29">LET(val, IFERROR(INDEX('Daily 스피킹 raw'!$A:$ZZ, MATCH(V$2, 'Daily 스피킹 raw'!$A:$A, 0), MATCH($B29, 'Daily 스피킹 raw'!$1:$1, 0)), ""), IF(val=0, "", val))</f>
        <v>716</v>
      </c>
      <c r="W29" s="44">
        <f t="array" ref="W29">LET(val, IFERROR(INDEX('Daily 스피킹 raw'!$A:$ZZ, MATCH(W$2, 'Daily 스피킹 raw'!$A:$A, 0), MATCH($B29, 'Daily 스피킹 raw'!$1:$1, 0)), ""), IF(val=0, "", val))</f>
        <v>1042</v>
      </c>
      <c r="X29" s="44">
        <f t="array" ref="X29">LET(val, IFERROR(INDEX('Daily 스피킹 raw'!$A:$ZZ, MATCH(X$2, 'Daily 스피킹 raw'!$A:$A, 0), MATCH($B29, 'Daily 스피킹 raw'!$1:$1, 0)), ""), IF(val=0, "", val))</f>
        <v>803</v>
      </c>
      <c r="Y29" s="44">
        <f t="array" ref="Y29">LET(val, IFERROR(INDEX('Daily 스피킹 raw'!$A:$ZZ, MATCH(Y$2, 'Daily 스피킹 raw'!$A:$A, 0), MATCH($B29, 'Daily 스피킹 raw'!$1:$1, 0)), ""), IF(val=0, "", val))</f>
        <v>935</v>
      </c>
      <c r="Z29" s="44">
        <f t="array" ref="Z29">LET(val, IFERROR(INDEX('Daily 스피킹 raw'!$A:$ZZ, MATCH(Z$2, 'Daily 스피킹 raw'!$A:$A, 0), MATCH($B29, 'Daily 스피킹 raw'!$1:$1, 0)), ""), IF(val=0, "", val))</f>
        <v>729</v>
      </c>
      <c r="AA29" s="44">
        <f t="array" ref="AA29">LET(val, IFERROR(INDEX('Daily 스피킹 raw'!$A:$ZZ, MATCH(AA$2, 'Daily 스피킹 raw'!$A:$A, 0), MATCH($B29, 'Daily 스피킹 raw'!$1:$1, 0)), ""), IF(val=0, "", val))</f>
        <v>1050</v>
      </c>
      <c r="AB29" s="44">
        <f t="array" ref="AB29">LET(val, IFERROR(INDEX('Daily 스피킹 raw'!$A:$ZZ, MATCH(AB$2, 'Daily 스피킹 raw'!$A:$A, 0), MATCH($B29, 'Daily 스피킹 raw'!$1:$1, 0)), ""), IF(val=0, "", val))</f>
        <v>887</v>
      </c>
      <c r="AC29" s="44">
        <f t="array" ref="AC29">LET(val, IFERROR(INDEX('Daily 스피킹 raw'!$A:$ZZ, MATCH(AC$2, 'Daily 스피킹 raw'!$A:$A, 0), MATCH($B29, 'Daily 스피킹 raw'!$1:$1, 0)), ""), IF(val=0, "", val))</f>
        <v>788</v>
      </c>
      <c r="AD29" s="44">
        <f t="array" ref="AD29">LET(val, IFERROR(INDEX('Daily 스피킹 raw'!$A:$ZZ, MATCH(AD$2, 'Daily 스피킹 raw'!$A:$A, 0), MATCH($B29, 'Daily 스피킹 raw'!$1:$1, 0)), ""), IF(val=0, "", val))</f>
        <v>1085</v>
      </c>
      <c r="AE29" s="44">
        <f t="array" ref="AE29">LET(val, IFERROR(INDEX('Daily 스피킹 raw'!$A:$ZZ, MATCH(AE$2, 'Daily 스피킹 raw'!$A:$A, 0), MATCH($B29, 'Daily 스피킹 raw'!$1:$1, 0)), ""), IF(val=0, "", val))</f>
        <v>811</v>
      </c>
      <c r="AF29" s="44">
        <f t="array" ref="AF29">LET(val, IFERROR(INDEX('Daily 스피킹 raw'!$A:$ZZ, MATCH(AF$2, 'Daily 스피킹 raw'!$A:$A, 0), MATCH($B29, 'Daily 스피킹 raw'!$1:$1, 0)), ""), IF(val=0, "", val))</f>
        <v>989</v>
      </c>
      <c r="AG29" s="44">
        <f t="array" ref="AG29">LET(val, IFERROR(INDEX('Daily 스피킹 raw'!$A:$ZZ, MATCH(AG$2, 'Daily 스피킹 raw'!$A:$A, 0), MATCH($B29, 'Daily 스피킹 raw'!$1:$1, 0)), ""), IF(val=0, "", val))</f>
        <v>747</v>
      </c>
      <c r="AH29" s="44">
        <f t="array" ref="AH29">LET(val, IFERROR(INDEX('Daily 스피킹 raw'!$A:$ZZ, MATCH(AH$2, 'Daily 스피킹 raw'!$A:$A, 0), MATCH($B29, 'Daily 스피킹 raw'!$1:$1, 0)), ""), IF(val=0, "", val))</f>
        <v>850</v>
      </c>
      <c r="AI29" s="44">
        <f t="array" ref="AI29">LET(val, IFERROR(INDEX('Daily 스피킹 raw'!$A:$ZZ, MATCH(AI$2, 'Daily 스피킹 raw'!$A:$A, 0), MATCH($B29, 'Daily 스피킹 raw'!$1:$1, 0)), ""), IF(val=0, "", val))</f>
        <v>656</v>
      </c>
      <c r="AJ29" s="44">
        <f t="array" ref="AJ29">LET(val, IFERROR(INDEX('Daily 스피킹 raw'!$A:$ZZ, MATCH(AJ$2, 'Daily 스피킹 raw'!$A:$A, 0), MATCH($B29, 'Daily 스피킹 raw'!$1:$1, 0)), ""), IF(val=0, "", val))</f>
        <v>666</v>
      </c>
      <c r="AK29" s="44">
        <f t="array" ref="AK29">LET(val, IFERROR(INDEX('Daily 스피킹 raw'!$A:$ZZ, MATCH(AK$2, 'Daily 스피킹 raw'!$A:$A, 0), MATCH($B29, 'Daily 스피킹 raw'!$1:$1, 0)), ""), IF(val=0, "", val))</f>
        <v>957</v>
      </c>
      <c r="AL29" s="44">
        <f t="array" ref="AL29">LET(val, IFERROR(INDEX('Daily 스피킹 raw'!$A:$ZZ, MATCH(AL$2, 'Daily 스피킹 raw'!$A:$A, 0), MATCH($B29, 'Daily 스피킹 raw'!$1:$1, 0)), ""), IF(val=0, "", val))</f>
        <v>720</v>
      </c>
      <c r="AM29" s="44">
        <f t="array" ref="AM29">LET(val, IFERROR(INDEX('Daily 스피킹 raw'!$A:$ZZ, MATCH(AM$2, 'Daily 스피킹 raw'!$A:$A, 0), MATCH($B29, 'Daily 스피킹 raw'!$1:$1, 0)), ""), IF(val=0, "", val))</f>
        <v>913</v>
      </c>
      <c r="AN29" s="44">
        <f t="array" ref="AN29">LET(val, IFERROR(INDEX('Daily 스피킹 raw'!$A:$ZZ, MATCH(AN$2, 'Daily 스피킹 raw'!$A:$A, 0), MATCH($B29, 'Daily 스피킹 raw'!$1:$1, 0)), ""), IF(val=0, "", val))</f>
        <v>741</v>
      </c>
      <c r="AO29" s="44">
        <f t="array" ref="AO29">LET(val, IFERROR(INDEX('Daily 스피킹 raw'!$A:$ZZ, MATCH(AO$2, 'Daily 스피킹 raw'!$A:$A, 0), MATCH($B29, 'Daily 스피킹 raw'!$1:$1, 0)), ""), IF(val=0, "", val))</f>
        <v>797</v>
      </c>
      <c r="AP29" s="44">
        <f t="array" ref="AP29">LET(val, IFERROR(INDEX('Daily 스피킹 raw'!$A:$ZZ, MATCH(AP$2, 'Daily 스피킹 raw'!$A:$A, 0), MATCH($B29, 'Daily 스피킹 raw'!$1:$1, 0)), ""), IF(val=0, "", val))</f>
        <v>620</v>
      </c>
      <c r="AQ29" s="44">
        <f t="array" ref="AQ29">LET(val, IFERROR(INDEX('Daily 스피킹 raw'!$A:$ZZ, MATCH(AQ$2, 'Daily 스피킹 raw'!$A:$A, 0), MATCH($B29, 'Daily 스피킹 raw'!$1:$1, 0)), ""), IF(val=0, "", val))</f>
        <v>588</v>
      </c>
      <c r="AR29" s="44">
        <f t="array" ref="AR29">LET(val, IFERROR(INDEX('Daily 스피킹 raw'!$A:$ZZ, MATCH(AR$2, 'Daily 스피킹 raw'!$A:$A, 0), MATCH($B29, 'Daily 스피킹 raw'!$1:$1, 0)), ""), IF(val=0, "", val))</f>
        <v>897</v>
      </c>
      <c r="AS29" s="44">
        <f t="array" ref="AS29">LET(val, IFERROR(INDEX('Daily 스피킹 raw'!$A:$ZZ, MATCH(AS$2, 'Daily 스피킹 raw'!$A:$A, 0), MATCH($B29, 'Daily 스피킹 raw'!$1:$1, 0)), ""), IF(val=0, "", val))</f>
        <v>651</v>
      </c>
      <c r="AT29" s="44">
        <f t="array" ref="AT29">LET(val, IFERROR(INDEX('Daily 스피킹 raw'!$A:$ZZ, MATCH(AT$2, 'Daily 스피킹 raw'!$A:$A, 0), MATCH($B29, 'Daily 스피킹 raw'!$1:$1, 0)), ""), IF(val=0, "", val))</f>
        <v>989</v>
      </c>
      <c r="AU29" s="44">
        <f t="array" ref="AU29">LET(val, IFERROR(INDEX('Daily 스피킹 raw'!$A:$ZZ, MATCH(AU$2, 'Daily 스피킹 raw'!$A:$A, 0), MATCH($B29, 'Daily 스피킹 raw'!$1:$1, 0)), ""), IF(val=0, "", val))</f>
        <v>768</v>
      </c>
      <c r="AV29" s="44">
        <f t="array" ref="AV29">LET(val, IFERROR(INDEX('Daily 스피킹 raw'!$A:$ZZ, MATCH(AV$2, 'Daily 스피킹 raw'!$A:$A, 0), MATCH($B29, 'Daily 스피킹 raw'!$1:$1, 0)), ""), IF(val=0, "", val))</f>
        <v>836</v>
      </c>
      <c r="AW29" s="44">
        <f t="array" ref="AW29">LET(val, IFERROR(INDEX('Daily 스피킹 raw'!$A:$ZZ, MATCH(AW$2, 'Daily 스피킹 raw'!$A:$A, 0), MATCH($B29, 'Daily 스피킹 raw'!$1:$1, 0)), ""), IF(val=0, "", val))</f>
        <v>620</v>
      </c>
      <c r="AX29" s="44">
        <f t="array" ref="AX29">LET(val, IFERROR(INDEX('Daily 스피킹 raw'!$A:$ZZ, MATCH(AX$2, 'Daily 스피킹 raw'!$A:$A, 0), MATCH($B29, 'Daily 스피킹 raw'!$1:$1, 0)), ""), IF(val=0, "", val))</f>
        <v>610</v>
      </c>
      <c r="AY29" s="44">
        <f t="array" ref="AY29">LET(val, IFERROR(INDEX('Daily 스피킹 raw'!$A:$ZZ, MATCH(AY$2, 'Daily 스피킹 raw'!$A:$A, 0), MATCH($B29, 'Daily 스피킹 raw'!$1:$1, 0)), ""), IF(val=0, "", val))</f>
        <v>912</v>
      </c>
      <c r="AZ29" s="44">
        <f t="array" ref="AZ29">LET(val, IFERROR(INDEX('Daily 스피킹 raw'!$A:$ZZ, MATCH(AZ$2, 'Daily 스피킹 raw'!$A:$A, 0), MATCH($B29, 'Daily 스피킹 raw'!$1:$1, 0)), ""), IF(val=0, "", val))</f>
        <v>703</v>
      </c>
      <c r="BA29" s="44">
        <f t="array" ref="BA29">LET(val, IFERROR(INDEX('Daily 스피킹 raw'!$A:$ZZ, MATCH(BA$2, 'Daily 스피킹 raw'!$A:$A, 0), MATCH($B29, 'Daily 스피킹 raw'!$1:$1, 0)), ""), IF(val=0, "", val))</f>
        <v>799</v>
      </c>
      <c r="BB29" s="44">
        <f t="array" ref="BB29">LET(val, IFERROR(INDEX('Daily 스피킹 raw'!$A:$ZZ, MATCH(BB$2, 'Daily 스피킹 raw'!$A:$A, 0), MATCH($B29, 'Daily 스피킹 raw'!$1:$1, 0)), ""), IF(val=0, "", val))</f>
        <v>561</v>
      </c>
      <c r="BC29" s="44">
        <f t="array" ref="BC29">LET(val, IFERROR(INDEX('Daily 스피킹 raw'!$A:$ZZ, MATCH(BC$2, 'Daily 스피킹 raw'!$A:$A, 0), MATCH($B29, 'Daily 스피킹 raw'!$1:$1, 0)), ""), IF(val=0, "", val))</f>
        <v>649</v>
      </c>
      <c r="BD29" s="44">
        <f t="array" ref="BD29">LET(val, IFERROR(INDEX('Daily 스피킹 raw'!$A:$ZZ, MATCH(BD$2, 'Daily 스피킹 raw'!$A:$A, 0), MATCH($B29, 'Daily 스피킹 raw'!$1:$1, 0)), ""), IF(val=0, "", val))</f>
        <v>467</v>
      </c>
      <c r="BE29" s="44">
        <f t="array" ref="BE29">LET(val, IFERROR(INDEX('Daily 스피킹 raw'!$A:$ZZ, MATCH(BE$2, 'Daily 스피킹 raw'!$A:$A, 0), MATCH($B29, 'Daily 스피킹 raw'!$1:$1, 0)), ""), IF(val=0, "", val))</f>
        <v>380</v>
      </c>
      <c r="BF29" s="44">
        <f t="array" ref="BF29">LET(val, IFERROR(INDEX('Daily 스피킹 raw'!$A:$ZZ, MATCH(BF$2, 'Daily 스피킹 raw'!$A:$A, 0), MATCH($B29, 'Daily 스피킹 raw'!$1:$1, 0)), ""), IF(val=0, "", val))</f>
        <v>565</v>
      </c>
      <c r="BG29" s="44">
        <f t="array" ref="BG29">LET(val, IFERROR(INDEX('Daily 스피킹 raw'!$A:$ZZ, MATCH(BG$2, 'Daily 스피킹 raw'!$A:$A, 0), MATCH($B29, 'Daily 스피킹 raw'!$1:$1, 0)), ""), IF(val=0, "", val))</f>
        <v>423</v>
      </c>
      <c r="BH29" s="44">
        <f t="array" ref="BH29">LET(val, IFERROR(INDEX('Daily 스피킹 raw'!$A:$ZZ, MATCH(BH$2, 'Daily 스피킹 raw'!$A:$A, 0), MATCH($B29, 'Daily 스피킹 raw'!$1:$1, 0)), ""), IF(val=0, "", val))</f>
        <v>669</v>
      </c>
      <c r="BI29" s="44">
        <f t="array" ref="BI29">LET(val, IFERROR(INDEX('Daily 스피킹 raw'!$A:$ZZ, MATCH(BI$2, 'Daily 스피킹 raw'!$A:$A, 0), MATCH($B29, 'Daily 스피킹 raw'!$1:$1, 0)), ""), IF(val=0, "", val))</f>
        <v>524</v>
      </c>
      <c r="BJ29" s="44">
        <f t="array" ref="BJ29">LET(val, IFERROR(INDEX('Daily 스피킹 raw'!$A:$ZZ, MATCH(BJ$2, 'Daily 스피킹 raw'!$A:$A, 0), MATCH($B29, 'Daily 스피킹 raw'!$1:$1, 0)), ""), IF(val=0, "", val))</f>
        <v>622</v>
      </c>
      <c r="BK29" s="44">
        <f t="array" ref="BK29">LET(val, IFERROR(INDEX('Daily 스피킹 raw'!$A:$ZZ, MATCH(BK$2, 'Daily 스피킹 raw'!$A:$A, 0), MATCH($B29, 'Daily 스피킹 raw'!$1:$1, 0)), ""), IF(val=0, "", val))</f>
        <v>446</v>
      </c>
      <c r="BL29" s="44">
        <f t="array" ref="BL29">LET(val, IFERROR(INDEX('Daily 스피킹 raw'!$A:$ZZ, MATCH(BL$2, 'Daily 스피킹 raw'!$A:$A, 0), MATCH($B29, 'Daily 스피킹 raw'!$1:$1, 0)), ""), IF(val=0, "", val))</f>
        <v>417</v>
      </c>
      <c r="BM29" s="44" t="str">
        <f t="array" ref="BM29">LET(val, IFERROR(INDEX('Daily 스피킹 raw'!$A:$ZZ, MATCH(BM$2, 'Daily 스피킹 raw'!$A:$A, 0), MATCH($B29, 'Daily 스피킹 raw'!$1:$1, 0)), ""), IF(val=0, "", val))</f>
        <v/>
      </c>
      <c r="BN29" s="44" t="str">
        <f t="array" ref="BN29">LET(val, IFERROR(INDEX('Daily 스피킹 raw'!$A:$ZZ, MATCH(BN$2, 'Daily 스피킹 raw'!$A:$A, 0), MATCH($B29, 'Daily 스피킹 raw'!$1:$1, 0)), ""), IF(val=0, "", val))</f>
        <v/>
      </c>
      <c r="BO29" s="44" t="str">
        <f t="array" ref="BO29">LET(val, IFERROR(INDEX('Daily 스피킹 raw'!$A:$ZZ, MATCH(BO$2, 'Daily 스피킹 raw'!$A:$A, 0), MATCH($B29, 'Daily 스피킹 raw'!$1:$1, 0)), ""), IF(val=0, "", val))</f>
        <v/>
      </c>
      <c r="BP29" s="44" t="str">
        <f t="array" ref="BP29">LET(val, IFERROR(INDEX('Daily 스피킹 raw'!$A:$ZZ, MATCH(BP$2, 'Daily 스피킹 raw'!$A:$A, 0), MATCH($B29, 'Daily 스피킹 raw'!$1:$1, 0)), ""), IF(val=0, "", val))</f>
        <v/>
      </c>
      <c r="BQ29" s="44" t="str">
        <f t="array" ref="BQ29">LET(val, IFERROR(INDEX('Daily 스피킹 raw'!$A:$ZZ, MATCH(BQ$2, 'Daily 스피킹 raw'!$A:$A, 0), MATCH($B29, 'Daily 스피킹 raw'!$1:$1, 0)), ""), IF(val=0, "", val))</f>
        <v/>
      </c>
      <c r="BR29" s="44" t="str">
        <f t="array" ref="BR29">LET(val, IFERROR(INDEX('Daily 스피킹 raw'!$A:$ZZ, MATCH(BR$2, 'Daily 스피킹 raw'!$A:$A, 0), MATCH($B29, 'Daily 스피킹 raw'!$1:$1, 0)), ""), IF(val=0, "", val))</f>
        <v/>
      </c>
      <c r="BS29" s="44" t="str">
        <f t="array" ref="BS29">LET(val, IFERROR(INDEX('Daily 스피킹 raw'!$A:$ZZ, MATCH(BS$2, 'Daily 스피킹 raw'!$A:$A, 0), MATCH($B29, 'Daily 스피킹 raw'!$1:$1, 0)), ""), IF(val=0, "", val))</f>
        <v/>
      </c>
      <c r="BT29" s="44" t="str">
        <f t="array" ref="BT29">LET(val, IFERROR(INDEX('Daily 스피킹 raw'!$A:$ZZ, MATCH(BT$2, 'Daily 스피킹 raw'!$A:$A, 0), MATCH($B29, 'Daily 스피킹 raw'!$1:$1, 0)), ""), IF(val=0, "", val))</f>
        <v/>
      </c>
      <c r="BU29" s="44" t="str">
        <f t="array" ref="BU29">LET(val, IFERROR(INDEX('Daily 스피킹 raw'!$A:$ZZ, MATCH(BU$2, 'Daily 스피킹 raw'!$A:$A, 0), MATCH($B29, 'Daily 스피킹 raw'!$1:$1, 0)), ""), IF(val=0, "", val))</f>
        <v/>
      </c>
      <c r="BV29" s="44" t="str">
        <f t="array" ref="BV29">LET(val, IFERROR(INDEX('Daily 스피킹 raw'!$A:$ZZ, MATCH(BV$2, 'Daily 스피킹 raw'!$A:$A, 0), MATCH($B29, 'Daily 스피킹 raw'!$1:$1, 0)), ""), IF(val=0, "", val))</f>
        <v/>
      </c>
      <c r="BW29" s="44" t="str">
        <f t="array" ref="BW29">LET(val, IFERROR(INDEX('Daily 스피킹 raw'!$A:$ZZ, MATCH(BW$2, 'Daily 스피킹 raw'!$A:$A, 0), MATCH($B29, 'Daily 스피킹 raw'!$1:$1, 0)), ""), IF(val=0, "", val))</f>
        <v/>
      </c>
      <c r="BX29" s="44" t="str">
        <f t="array" ref="BX29">LET(val, IFERROR(INDEX('Daily 스피킹 raw'!$A:$ZZ, MATCH(BX$2, 'Daily 스피킹 raw'!$A:$A, 0), MATCH($B29, 'Daily 스피킹 raw'!$1:$1, 0)), ""), IF(val=0, "", val))</f>
        <v/>
      </c>
      <c r="BY29" s="44" t="str">
        <f t="array" ref="BY29">LET(val, IFERROR(INDEX('Daily 스피킹 raw'!$A:$ZZ, MATCH(BY$2, 'Daily 스피킹 raw'!$A:$A, 0), MATCH($B29, 'Daily 스피킹 raw'!$1:$1, 0)), ""), IF(val=0, "", val))</f>
        <v/>
      </c>
      <c r="BZ29" s="44" t="str">
        <f t="array" ref="BZ29">LET(val, IFERROR(INDEX('Daily 스피킹 raw'!$A:$ZZ, MATCH(BZ$2, 'Daily 스피킹 raw'!$A:$A, 0), MATCH($B29, 'Daily 스피킹 raw'!$1:$1, 0)), ""), IF(val=0, "", val))</f>
        <v/>
      </c>
      <c r="CA29" s="44" t="str">
        <f t="array" ref="CA29">LET(val, IFERROR(INDEX('Daily 스피킹 raw'!$A:$ZZ, MATCH(CA$2, 'Daily 스피킹 raw'!$A:$A, 0), MATCH($B29, 'Daily 스피킹 raw'!$1:$1, 0)), ""), IF(val=0, "", val))</f>
        <v/>
      </c>
      <c r="CB29" s="44" t="str">
        <f t="array" ref="CB29">LET(val, IFERROR(INDEX('Daily 스피킹 raw'!$A:$ZZ, MATCH(CB$2, 'Daily 스피킹 raw'!$A:$A, 0), MATCH($B29, 'Daily 스피킹 raw'!$1:$1, 0)), ""), IF(val=0, "", val))</f>
        <v/>
      </c>
      <c r="CC29" s="44" t="str">
        <f t="array" ref="CC29">LET(val, IFERROR(INDEX('Daily 스피킹 raw'!$A:$ZZ, MATCH(CC$2, 'Daily 스피킹 raw'!$A:$A, 0), MATCH($B29, 'Daily 스피킹 raw'!$1:$1, 0)), ""), IF(val=0, "", val))</f>
        <v/>
      </c>
      <c r="CD29" s="44" t="str">
        <f t="array" ref="CD29">LET(val, IFERROR(INDEX('Daily 스피킹 raw'!$A:$ZZ, MATCH(CD$2, 'Daily 스피킹 raw'!$A:$A, 0), MATCH($B29, 'Daily 스피킹 raw'!$1:$1, 0)), ""), IF(val=0, "", val))</f>
        <v/>
      </c>
      <c r="CE29" s="44" t="str">
        <f t="array" ref="CE29">LET(val, IFERROR(INDEX('Daily 스피킹 raw'!$A:$ZZ, MATCH(CE$2, 'Daily 스피킹 raw'!$A:$A, 0), MATCH($B29, 'Daily 스피킹 raw'!$1:$1, 0)), ""), IF(val=0, "", val))</f>
        <v/>
      </c>
      <c r="CF29" s="44" t="str">
        <f t="array" ref="CF29">LET(val, IFERROR(INDEX('Daily 스피킹 raw'!$A:$ZZ, MATCH(CF$2, 'Daily 스피킹 raw'!$A:$A, 0), MATCH($B29, 'Daily 스피킹 raw'!$1:$1, 0)), ""), IF(val=0, "", val))</f>
        <v/>
      </c>
      <c r="CG29" s="44" t="str">
        <f t="array" ref="CG29">LET(val, IFERROR(INDEX('Daily 스피킹 raw'!$A:$ZZ, MATCH(CG$2, 'Daily 스피킹 raw'!$A:$A, 0), MATCH($B29, 'Daily 스피킹 raw'!$1:$1, 0)), ""), IF(val=0, "", val))</f>
        <v/>
      </c>
      <c r="CH29" s="44" t="str">
        <f t="array" ref="CH29">LET(val, IFERROR(INDEX('Daily 스피킹 raw'!$A:$ZZ, MATCH(CH$2, 'Daily 스피킹 raw'!$A:$A, 0), MATCH($B29, 'Daily 스피킹 raw'!$1:$1, 0)), ""), IF(val=0, "", val))</f>
        <v/>
      </c>
      <c r="CI29" s="44" t="str">
        <f t="array" ref="CI29">LET(val, IFERROR(INDEX('Daily 스피킹 raw'!$A:$ZZ, MATCH(CI$2, 'Daily 스피킹 raw'!$A:$A, 0), MATCH($B29, 'Daily 스피킹 raw'!$1:$1, 0)), ""), IF(val=0, "", val))</f>
        <v/>
      </c>
      <c r="CJ29" s="44" t="str">
        <f t="array" ref="CJ29">LET(val, IFERROR(INDEX('Daily 스피킹 raw'!$A:$ZZ, MATCH(CJ$2, 'Daily 스피킹 raw'!$A:$A, 0), MATCH($B29, 'Daily 스피킹 raw'!$1:$1, 0)), ""), IF(val=0, "", val))</f>
        <v/>
      </c>
      <c r="CK29" s="44" t="str">
        <f t="array" ref="CK29">LET(val, IFERROR(INDEX('Daily 스피킹 raw'!$A:$ZZ, MATCH(CK$2, 'Daily 스피킹 raw'!$A:$A, 0), MATCH($B29, 'Daily 스피킹 raw'!$1:$1, 0)), ""), IF(val=0, "", val))</f>
        <v/>
      </c>
      <c r="CL29" s="44" t="str">
        <f t="array" ref="CL29">LET(val, IFERROR(INDEX('Daily 스피킹 raw'!$A:$ZZ, MATCH(CL$2, 'Daily 스피킹 raw'!$A:$A, 0), MATCH($B29, 'Daily 스피킹 raw'!$1:$1, 0)), ""), IF(val=0, "", val))</f>
        <v/>
      </c>
      <c r="CM29" s="44" t="str">
        <f t="array" ref="CM29">LET(val, IFERROR(INDEX('Daily 스피킹 raw'!$A:$ZZ, MATCH(CM$2, 'Daily 스피킹 raw'!$A:$A, 0), MATCH($B29, 'Daily 스피킹 raw'!$1:$1, 0)), ""), IF(val=0, "", val))</f>
        <v/>
      </c>
      <c r="CN29" s="44" t="str">
        <f t="array" ref="CN29">LET(val, IFERROR(INDEX('Daily 스피킹 raw'!$A:$ZZ, MATCH(CN$2, 'Daily 스피킹 raw'!$A:$A, 0), MATCH($B29, 'Daily 스피킹 raw'!$1:$1, 0)), ""), IF(val=0, "", val))</f>
        <v/>
      </c>
      <c r="CO29" s="44" t="str">
        <f t="array" ref="CO29">LET(val, IFERROR(INDEX('Daily 스피킹 raw'!$A:$ZZ, MATCH(CO$2, 'Daily 스피킹 raw'!$A:$A, 0), MATCH($B29, 'Daily 스피킹 raw'!$1:$1, 0)), ""), IF(val=0, "", val))</f>
        <v/>
      </c>
      <c r="CP29" s="44" t="str">
        <f t="array" ref="CP29">LET(val, IFERROR(INDEX('Daily 스피킹 raw'!$A:$ZZ, MATCH(CP$2, 'Daily 스피킹 raw'!$A:$A, 0), MATCH($B29, 'Daily 스피킹 raw'!$1:$1, 0)), ""), IF(val=0, "", val))</f>
        <v/>
      </c>
      <c r="CQ29" s="44" t="str">
        <f t="array" ref="CQ29">LET(val, IFERROR(INDEX('Daily 스피킹 raw'!$A:$ZZ, MATCH(CQ$2, 'Daily 스피킹 raw'!$A:$A, 0), MATCH($B29, 'Daily 스피킹 raw'!$1:$1, 0)), ""), IF(val=0, "", val))</f>
        <v/>
      </c>
      <c r="CR29" s="44" t="str">
        <f t="array" ref="CR29">LET(val, IFERROR(INDEX('Daily 스피킹 raw'!$A:$ZZ, MATCH(CR$2, 'Daily 스피킹 raw'!$A:$A, 0), MATCH($B29, 'Daily 스피킹 raw'!$1:$1, 0)), ""), IF(val=0, "", val))</f>
        <v/>
      </c>
      <c r="CS29" s="44" t="str">
        <f t="array" ref="CS29">LET(val, IFERROR(INDEX('Daily 스피킹 raw'!$A:$ZZ, MATCH(CS$2, 'Daily 스피킹 raw'!$A:$A, 0), MATCH($B29, 'Daily 스피킹 raw'!$1:$1, 0)), ""), IF(val=0, "", val))</f>
        <v/>
      </c>
      <c r="CT29" s="44" t="str">
        <f t="array" ref="CT29">LET(val, IFERROR(INDEX('Daily 스피킹 raw'!$A:$ZZ, MATCH(CT$2, 'Daily 스피킹 raw'!$A:$A, 0), MATCH($B29, 'Daily 스피킹 raw'!$1:$1, 0)), ""), IF(val=0, "", val))</f>
        <v/>
      </c>
      <c r="CU29" s="44" t="str">
        <f t="array" ref="CU29">LET(val, IFERROR(INDEX('Daily 스피킹 raw'!$A:$ZZ, MATCH(CU$2, 'Daily 스피킹 raw'!$A:$A, 0), MATCH($B29, 'Daily 스피킹 raw'!$1:$1, 0)), ""), IF(val=0, "", val))</f>
        <v/>
      </c>
      <c r="CV29" s="44" t="str">
        <f t="array" ref="CV29">LET(val, IFERROR(INDEX('Daily 스피킹 raw'!$A:$ZZ, MATCH(CV$2, 'Daily 스피킹 raw'!$A:$A, 0), MATCH($B29, 'Daily 스피킹 raw'!$1:$1, 0)), ""), IF(val=0, "", val))</f>
        <v/>
      </c>
      <c r="CW29" s="44" t="str">
        <f t="array" ref="CW29">LET(val, IFERROR(INDEX('Daily 스피킹 raw'!$A:$ZZ, MATCH(CW$2, 'Daily 스피킹 raw'!$A:$A, 0), MATCH($B29, 'Daily 스피킹 raw'!$1:$1, 0)), ""), IF(val=0, "", val))</f>
        <v/>
      </c>
    </row>
    <row r="30" ht="22.5" customHeight="1">
      <c r="A30" s="17"/>
      <c r="B30" s="16" t="s">
        <v>54</v>
      </c>
      <c r="C30" s="17" t="s">
        <v>20</v>
      </c>
      <c r="D30" s="44">
        <f t="array" ref="D30">LET(val, IFERROR(INDEX('Daily 스피킹 raw'!$A:$ZZ, MATCH(D$2, 'Daily 스피킹 raw'!$A:$A, 0), MATCH($B30, 'Daily 스피킹 raw'!$1:$1, 0)), ""), IF(val=0, "", val))</f>
        <v>3</v>
      </c>
      <c r="E30" s="44">
        <f t="array" ref="E30">LET(val, IFERROR(INDEX('Daily 스피킹 raw'!$A:$ZZ, MATCH(E$2, 'Daily 스피킹 raw'!$A:$A, 0), MATCH($B30, 'Daily 스피킹 raw'!$1:$1, 0)), ""), IF(val=0, "", val))</f>
        <v>1</v>
      </c>
      <c r="F30" s="44">
        <f t="array" ref="F30">LET(val, IFERROR(INDEX('Daily 스피킹 raw'!$A:$ZZ, MATCH(F$2, 'Daily 스피킹 raw'!$A:$A, 0), MATCH($B30, 'Daily 스피킹 raw'!$1:$1, 0)), ""), IF(val=0, "", val))</f>
        <v>6</v>
      </c>
      <c r="G30" s="44">
        <f t="array" ref="G30">LET(val, IFERROR(INDEX('Daily 스피킹 raw'!$A:$ZZ, MATCH(G$2, 'Daily 스피킹 raw'!$A:$A, 0), MATCH($B30, 'Daily 스피킹 raw'!$1:$1, 0)), ""), IF(val=0, "", val))</f>
        <v>1</v>
      </c>
      <c r="H30" s="44">
        <f t="array" ref="H30">LET(val, IFERROR(INDEX('Daily 스피킹 raw'!$A:$ZZ, MATCH(H$2, 'Daily 스피킹 raw'!$A:$A, 0), MATCH($B30, 'Daily 스피킹 raw'!$1:$1, 0)), ""), IF(val=0, "", val))</f>
        <v>3</v>
      </c>
      <c r="I30" s="44">
        <f t="array" ref="I30">LET(val, IFERROR(INDEX('Daily 스피킹 raw'!$A:$ZZ, MATCH(I$2, 'Daily 스피킹 raw'!$A:$A, 0), MATCH($B30, 'Daily 스피킹 raw'!$1:$1, 0)), ""), IF(val=0, "", val))</f>
        <v>6</v>
      </c>
      <c r="J30" s="44">
        <f t="array" ref="J30">LET(val, IFERROR(INDEX('Daily 스피킹 raw'!$A:$ZZ, MATCH(J$2, 'Daily 스피킹 raw'!$A:$A, 0), MATCH($B30, 'Daily 스피킹 raw'!$1:$1, 0)), ""), IF(val=0, "", val))</f>
        <v>10</v>
      </c>
      <c r="K30" s="44">
        <f t="array" ref="K30">LET(val, IFERROR(INDEX('Daily 스피킹 raw'!$A:$ZZ, MATCH(K$2, 'Daily 스피킹 raw'!$A:$A, 0), MATCH($B30, 'Daily 스피킹 raw'!$1:$1, 0)), ""), IF(val=0, "", val))</f>
        <v>5</v>
      </c>
      <c r="L30" s="44">
        <f t="array" ref="L30">LET(val, IFERROR(INDEX('Daily 스피킹 raw'!$A:$ZZ, MATCH(L$2, 'Daily 스피킹 raw'!$A:$A, 0), MATCH($B30, 'Daily 스피킹 raw'!$1:$1, 0)), ""), IF(val=0, "", val))</f>
        <v>12</v>
      </c>
      <c r="M30" s="44">
        <f t="array" ref="M30">LET(val, IFERROR(INDEX('Daily 스피킹 raw'!$A:$ZZ, MATCH(M$2, 'Daily 스피킹 raw'!$A:$A, 0), MATCH($B30, 'Daily 스피킹 raw'!$1:$1, 0)), ""), IF(val=0, "", val))</f>
        <v>18</v>
      </c>
      <c r="N30" s="44">
        <f t="array" ref="N30">LET(val, IFERROR(INDEX('Daily 스피킹 raw'!$A:$ZZ, MATCH(N$2, 'Daily 스피킹 raw'!$A:$A, 0), MATCH($B30, 'Daily 스피킹 raw'!$1:$1, 0)), ""), IF(val=0, "", val))</f>
        <v>11</v>
      </c>
      <c r="O30" s="44">
        <f t="array" ref="O30">LET(val, IFERROR(INDEX('Daily 스피킹 raw'!$A:$ZZ, MATCH(O$2, 'Daily 스피킹 raw'!$A:$A, 0), MATCH($B30, 'Daily 스피킹 raw'!$1:$1, 0)), ""), IF(val=0, "", val))</f>
        <v>5</v>
      </c>
      <c r="P30" s="44">
        <f t="array" ref="P30">LET(val, IFERROR(INDEX('Daily 스피킹 raw'!$A:$ZZ, MATCH(P$2, 'Daily 스피킹 raw'!$A:$A, 0), MATCH($B30, 'Daily 스피킹 raw'!$1:$1, 0)), ""), IF(val=0, "", val))</f>
        <v>8</v>
      </c>
      <c r="Q30" s="44">
        <f t="array" ref="Q30">LET(val, IFERROR(INDEX('Daily 스피킹 raw'!$A:$ZZ, MATCH(Q$2, 'Daily 스피킹 raw'!$A:$A, 0), MATCH($B30, 'Daily 스피킹 raw'!$1:$1, 0)), ""), IF(val=0, "", val))</f>
        <v>5</v>
      </c>
      <c r="R30" s="44">
        <f t="array" ref="R30">LET(val, IFERROR(INDEX('Daily 스피킹 raw'!$A:$ZZ, MATCH(R$2, 'Daily 스피킹 raw'!$A:$A, 0), MATCH($B30, 'Daily 스피킹 raw'!$1:$1, 0)), ""), IF(val=0, "", val))</f>
        <v>7</v>
      </c>
      <c r="S30" s="44">
        <f t="array" ref="S30">LET(val, IFERROR(INDEX('Daily 스피킹 raw'!$A:$ZZ, MATCH(S$2, 'Daily 스피킹 raw'!$A:$A, 0), MATCH($B30, 'Daily 스피킹 raw'!$1:$1, 0)), ""), IF(val=0, "", val))</f>
        <v>5</v>
      </c>
      <c r="T30" s="44">
        <f t="array" ref="T30">LET(val, IFERROR(INDEX('Daily 스피킹 raw'!$A:$ZZ, MATCH(T$2, 'Daily 스피킹 raw'!$A:$A, 0), MATCH($B30, 'Daily 스피킹 raw'!$1:$1, 0)), ""), IF(val=0, "", val))</f>
        <v>5</v>
      </c>
      <c r="U30" s="44">
        <f t="array" ref="U30">LET(val, IFERROR(INDEX('Daily 스피킹 raw'!$A:$ZZ, MATCH(U$2, 'Daily 스피킹 raw'!$A:$A, 0), MATCH($B30, 'Daily 스피킹 raw'!$1:$1, 0)), ""), IF(val=0, "", val))</f>
        <v>2</v>
      </c>
      <c r="V30" s="44">
        <f t="array" ref="V30">LET(val, IFERROR(INDEX('Daily 스피킹 raw'!$A:$ZZ, MATCH(V$2, 'Daily 스피킹 raw'!$A:$A, 0), MATCH($B30, 'Daily 스피킹 raw'!$1:$1, 0)), ""), IF(val=0, "", val))</f>
        <v>6</v>
      </c>
      <c r="W30" s="44">
        <f t="array" ref="W30">LET(val, IFERROR(INDEX('Daily 스피킹 raw'!$A:$ZZ, MATCH(W$2, 'Daily 스피킹 raw'!$A:$A, 0), MATCH($B30, 'Daily 스피킹 raw'!$1:$1, 0)), ""), IF(val=0, "", val))</f>
        <v>8</v>
      </c>
      <c r="X30" s="44">
        <f t="array" ref="X30">LET(val, IFERROR(INDEX('Daily 스피킹 raw'!$A:$ZZ, MATCH(X$2, 'Daily 스피킹 raw'!$A:$A, 0), MATCH($B30, 'Daily 스피킹 raw'!$1:$1, 0)), ""), IF(val=0, "", val))</f>
        <v>4</v>
      </c>
      <c r="Y30" s="44">
        <f t="array" ref="Y30">LET(val, IFERROR(INDEX('Daily 스피킹 raw'!$A:$ZZ, MATCH(Y$2, 'Daily 스피킹 raw'!$A:$A, 0), MATCH($B30, 'Daily 스피킹 raw'!$1:$1, 0)), ""), IF(val=0, "", val))</f>
        <v>4</v>
      </c>
      <c r="Z30" s="44">
        <f t="array" ref="Z30">LET(val, IFERROR(INDEX('Daily 스피킹 raw'!$A:$ZZ, MATCH(Z$2, 'Daily 스피킹 raw'!$A:$A, 0), MATCH($B30, 'Daily 스피킹 raw'!$1:$1, 0)), ""), IF(val=0, "", val))</f>
        <v>2</v>
      </c>
      <c r="AA30" s="44">
        <f t="array" ref="AA30">LET(val, IFERROR(INDEX('Daily 스피킹 raw'!$A:$ZZ, MATCH(AA$2, 'Daily 스피킹 raw'!$A:$A, 0), MATCH($B30, 'Daily 스피킹 raw'!$1:$1, 0)), ""), IF(val=0, "", val))</f>
        <v>8</v>
      </c>
      <c r="AB30" s="44">
        <f t="array" ref="AB30">LET(val, IFERROR(INDEX('Daily 스피킹 raw'!$A:$ZZ, MATCH(AB$2, 'Daily 스피킹 raw'!$A:$A, 0), MATCH($B30, 'Daily 스피킹 raw'!$1:$1, 0)), ""), IF(val=0, "", val))</f>
        <v>5</v>
      </c>
      <c r="AC30" s="44">
        <f t="array" ref="AC30">LET(val, IFERROR(INDEX('Daily 스피킹 raw'!$A:$ZZ, MATCH(AC$2, 'Daily 스피킹 raw'!$A:$A, 0), MATCH($B30, 'Daily 스피킹 raw'!$1:$1, 0)), ""), IF(val=0, "", val))</f>
        <v>6</v>
      </c>
      <c r="AD30" s="44">
        <f t="array" ref="AD30">LET(val, IFERROR(INDEX('Daily 스피킹 raw'!$A:$ZZ, MATCH(AD$2, 'Daily 스피킹 raw'!$A:$A, 0), MATCH($B30, 'Daily 스피킹 raw'!$1:$1, 0)), ""), IF(val=0, "", val))</f>
        <v>7</v>
      </c>
      <c r="AE30" s="44">
        <f t="array" ref="AE30">LET(val, IFERROR(INDEX('Daily 스피킹 raw'!$A:$ZZ, MATCH(AE$2, 'Daily 스피킹 raw'!$A:$A, 0), MATCH($B30, 'Daily 스피킹 raw'!$1:$1, 0)), ""), IF(val=0, "", val))</f>
        <v>8</v>
      </c>
      <c r="AF30" s="44">
        <f t="array" ref="AF30">LET(val, IFERROR(INDEX('Daily 스피킹 raw'!$A:$ZZ, MATCH(AF$2, 'Daily 스피킹 raw'!$A:$A, 0), MATCH($B30, 'Daily 스피킹 raw'!$1:$1, 0)), ""), IF(val=0, "", val))</f>
        <v>4</v>
      </c>
      <c r="AG30" s="44">
        <f t="array" ref="AG30">LET(val, IFERROR(INDEX('Daily 스피킹 raw'!$A:$ZZ, MATCH(AG$2, 'Daily 스피킹 raw'!$A:$A, 0), MATCH($B30, 'Daily 스피킹 raw'!$1:$1, 0)), ""), IF(val=0, "", val))</f>
        <v>4</v>
      </c>
      <c r="AH30" s="44">
        <f t="array" ref="AH30">LET(val, IFERROR(INDEX('Daily 스피킹 raw'!$A:$ZZ, MATCH(AH$2, 'Daily 스피킹 raw'!$A:$A, 0), MATCH($B30, 'Daily 스피킹 raw'!$1:$1, 0)), ""), IF(val=0, "", val))</f>
        <v>3</v>
      </c>
      <c r="AI30" s="44">
        <f t="array" ref="AI30">LET(val, IFERROR(INDEX('Daily 스피킹 raw'!$A:$ZZ, MATCH(AI$2, 'Daily 스피킹 raw'!$A:$A, 0), MATCH($B30, 'Daily 스피킹 raw'!$1:$1, 0)), ""), IF(val=0, "", val))</f>
        <v>6</v>
      </c>
      <c r="AJ30" s="44">
        <f t="array" ref="AJ30">LET(val, IFERROR(INDEX('Daily 스피킹 raw'!$A:$ZZ, MATCH(AJ$2, 'Daily 스피킹 raw'!$A:$A, 0), MATCH($B30, 'Daily 스피킹 raw'!$1:$1, 0)), ""), IF(val=0, "", val))</f>
        <v>4</v>
      </c>
      <c r="AK30" s="44">
        <f t="array" ref="AK30">LET(val, IFERROR(INDEX('Daily 스피킹 raw'!$A:$ZZ, MATCH(AK$2, 'Daily 스피킹 raw'!$A:$A, 0), MATCH($B30, 'Daily 스피킹 raw'!$1:$1, 0)), ""), IF(val=0, "", val))</f>
        <v>4</v>
      </c>
      <c r="AL30" s="44">
        <f t="array" ref="AL30">LET(val, IFERROR(INDEX('Daily 스피킹 raw'!$A:$ZZ, MATCH(AL$2, 'Daily 스피킹 raw'!$A:$A, 0), MATCH($B30, 'Daily 스피킹 raw'!$1:$1, 0)), ""), IF(val=0, "", val))</f>
        <v>3</v>
      </c>
      <c r="AM30" s="44">
        <f t="array" ref="AM30">LET(val, IFERROR(INDEX('Daily 스피킹 raw'!$A:$ZZ, MATCH(AM$2, 'Daily 스피킹 raw'!$A:$A, 0), MATCH($B30, 'Daily 스피킹 raw'!$1:$1, 0)), ""), IF(val=0, "", val))</f>
        <v>3</v>
      </c>
      <c r="AN30" s="44">
        <f t="array" ref="AN30">LET(val, IFERROR(INDEX('Daily 스피킹 raw'!$A:$ZZ, MATCH(AN$2, 'Daily 스피킹 raw'!$A:$A, 0), MATCH($B30, 'Daily 스피킹 raw'!$1:$1, 0)), ""), IF(val=0, "", val))</f>
        <v>4</v>
      </c>
      <c r="AO30" s="44">
        <f t="array" ref="AO30">LET(val, IFERROR(INDEX('Daily 스피킹 raw'!$A:$ZZ, MATCH(AO$2, 'Daily 스피킹 raw'!$A:$A, 0), MATCH($B30, 'Daily 스피킹 raw'!$1:$1, 0)), ""), IF(val=0, "", val))</f>
        <v>9</v>
      </c>
      <c r="AP30" s="44">
        <f t="array" ref="AP30">LET(val, IFERROR(INDEX('Daily 스피킹 raw'!$A:$ZZ, MATCH(AP$2, 'Daily 스피킹 raw'!$A:$A, 0), MATCH($B30, 'Daily 스피킹 raw'!$1:$1, 0)), ""), IF(val=0, "", val))</f>
        <v>1</v>
      </c>
      <c r="AQ30" s="44">
        <f t="array" ref="AQ30">LET(val, IFERROR(INDEX('Daily 스피킹 raw'!$A:$ZZ, MATCH(AQ$2, 'Daily 스피킹 raw'!$A:$A, 0), MATCH($B30, 'Daily 스피킹 raw'!$1:$1, 0)), ""), IF(val=0, "", val))</f>
        <v>4</v>
      </c>
      <c r="AR30" s="44">
        <f t="array" ref="AR30">LET(val, IFERROR(INDEX('Daily 스피킹 raw'!$A:$ZZ, MATCH(AR$2, 'Daily 스피킹 raw'!$A:$A, 0), MATCH($B30, 'Daily 스피킹 raw'!$1:$1, 0)), ""), IF(val=0, "", val))</f>
        <v>8</v>
      </c>
      <c r="AS30" s="44">
        <f t="array" ref="AS30">LET(val, IFERROR(INDEX('Daily 스피킹 raw'!$A:$ZZ, MATCH(AS$2, 'Daily 스피킹 raw'!$A:$A, 0), MATCH($B30, 'Daily 스피킹 raw'!$1:$1, 0)), ""), IF(val=0, "", val))</f>
        <v>8</v>
      </c>
      <c r="AT30" s="44">
        <f t="array" ref="AT30">LET(val, IFERROR(INDEX('Daily 스피킹 raw'!$A:$ZZ, MATCH(AT$2, 'Daily 스피킹 raw'!$A:$A, 0), MATCH($B30, 'Daily 스피킹 raw'!$1:$1, 0)), ""), IF(val=0, "", val))</f>
        <v>5</v>
      </c>
      <c r="AU30" s="44">
        <f t="array" ref="AU30">LET(val, IFERROR(INDEX('Daily 스피킹 raw'!$A:$ZZ, MATCH(AU$2, 'Daily 스피킹 raw'!$A:$A, 0), MATCH($B30, 'Daily 스피킹 raw'!$1:$1, 0)), ""), IF(val=0, "", val))</f>
        <v>8</v>
      </c>
      <c r="AV30" s="44">
        <f t="array" ref="AV30">LET(val, IFERROR(INDEX('Daily 스피킹 raw'!$A:$ZZ, MATCH(AV$2, 'Daily 스피킹 raw'!$A:$A, 0), MATCH($B30, 'Daily 스피킹 raw'!$1:$1, 0)), ""), IF(val=0, "", val))</f>
        <v>5</v>
      </c>
      <c r="AW30" s="44">
        <f t="array" ref="AW30">LET(val, IFERROR(INDEX('Daily 스피킹 raw'!$A:$ZZ, MATCH(AW$2, 'Daily 스피킹 raw'!$A:$A, 0), MATCH($B30, 'Daily 스피킹 raw'!$1:$1, 0)), ""), IF(val=0, "", val))</f>
        <v>6</v>
      </c>
      <c r="AX30" s="44">
        <f t="array" ref="AX30">LET(val, IFERROR(INDEX('Daily 스피킹 raw'!$A:$ZZ, MATCH(AX$2, 'Daily 스피킹 raw'!$A:$A, 0), MATCH($B30, 'Daily 스피킹 raw'!$1:$1, 0)), ""), IF(val=0, "", val))</f>
        <v>9</v>
      </c>
      <c r="AY30" s="44">
        <f t="array" ref="AY30">LET(val, IFERROR(INDEX('Daily 스피킹 raw'!$A:$ZZ, MATCH(AY$2, 'Daily 스피킹 raw'!$A:$A, 0), MATCH($B30, 'Daily 스피킹 raw'!$1:$1, 0)), ""), IF(val=0, "", val))</f>
        <v>5</v>
      </c>
      <c r="AZ30" s="44">
        <f t="array" ref="AZ30">LET(val, IFERROR(INDEX('Daily 스피킹 raw'!$A:$ZZ, MATCH(AZ$2, 'Daily 스피킹 raw'!$A:$A, 0), MATCH($B30, 'Daily 스피킹 raw'!$1:$1, 0)), ""), IF(val=0, "", val))</f>
        <v>1</v>
      </c>
      <c r="BA30" s="44">
        <f t="array" ref="BA30">LET(val, IFERROR(INDEX('Daily 스피킹 raw'!$A:$ZZ, MATCH(BA$2, 'Daily 스피킹 raw'!$A:$A, 0), MATCH($B30, 'Daily 스피킹 raw'!$1:$1, 0)), ""), IF(val=0, "", val))</f>
        <v>5</v>
      </c>
      <c r="BB30" s="44">
        <f t="array" ref="BB30">LET(val, IFERROR(INDEX('Daily 스피킹 raw'!$A:$ZZ, MATCH(BB$2, 'Daily 스피킹 raw'!$A:$A, 0), MATCH($B30, 'Daily 스피킹 raw'!$1:$1, 0)), ""), IF(val=0, "", val))</f>
        <v>6</v>
      </c>
      <c r="BC30" s="44">
        <f t="array" ref="BC30">LET(val, IFERROR(INDEX('Daily 스피킹 raw'!$A:$ZZ, MATCH(BC$2, 'Daily 스피킹 raw'!$A:$A, 0), MATCH($B30, 'Daily 스피킹 raw'!$1:$1, 0)), ""), IF(val=0, "", val))</f>
        <v>5</v>
      </c>
      <c r="BD30" s="44">
        <f t="array" ref="BD30">LET(val, IFERROR(INDEX('Daily 스피킹 raw'!$A:$ZZ, MATCH(BD$2, 'Daily 스피킹 raw'!$A:$A, 0), MATCH($B30, 'Daily 스피킹 raw'!$1:$1, 0)), ""), IF(val=0, "", val))</f>
        <v>4</v>
      </c>
      <c r="BE30" s="44">
        <f t="array" ref="BE30">LET(val, IFERROR(INDEX('Daily 스피킹 raw'!$A:$ZZ, MATCH(BE$2, 'Daily 스피킹 raw'!$A:$A, 0), MATCH($B30, 'Daily 스피킹 raw'!$1:$1, 0)), ""), IF(val=0, "", val))</f>
        <v>1</v>
      </c>
      <c r="BF30" s="44">
        <f t="array" ref="BF30">LET(val, IFERROR(INDEX('Daily 스피킹 raw'!$A:$ZZ, MATCH(BF$2, 'Daily 스피킹 raw'!$A:$A, 0), MATCH($B30, 'Daily 스피킹 raw'!$1:$1, 0)), ""), IF(val=0, "", val))</f>
        <v>2</v>
      </c>
      <c r="BG30" s="44">
        <f t="array" ref="BG30">LET(val, IFERROR(INDEX('Daily 스피킹 raw'!$A:$ZZ, MATCH(BG$2, 'Daily 스피킹 raw'!$A:$A, 0), MATCH($B30, 'Daily 스피킹 raw'!$1:$1, 0)), ""), IF(val=0, "", val))</f>
        <v>1</v>
      </c>
      <c r="BH30" s="44">
        <f t="array" ref="BH30">LET(val, IFERROR(INDEX('Daily 스피킹 raw'!$A:$ZZ, MATCH(BH$2, 'Daily 스피킹 raw'!$A:$A, 0), MATCH($B30, 'Daily 스피킹 raw'!$1:$1, 0)), ""), IF(val=0, "", val))</f>
        <v>6</v>
      </c>
      <c r="BI30" s="44">
        <f t="array" ref="BI30">LET(val, IFERROR(INDEX('Daily 스피킹 raw'!$A:$ZZ, MATCH(BI$2, 'Daily 스피킹 raw'!$A:$A, 0), MATCH($B30, 'Daily 스피킹 raw'!$1:$1, 0)), ""), IF(val=0, "", val))</f>
        <v>5</v>
      </c>
      <c r="BJ30" s="44">
        <f t="array" ref="BJ30">LET(val, IFERROR(INDEX('Daily 스피킹 raw'!$A:$ZZ, MATCH(BJ$2, 'Daily 스피킹 raw'!$A:$A, 0), MATCH($B30, 'Daily 스피킹 raw'!$1:$1, 0)), ""), IF(val=0, "", val))</f>
        <v>4</v>
      </c>
      <c r="BK30" s="44">
        <f t="array" ref="BK30">LET(val, IFERROR(INDEX('Daily 스피킹 raw'!$A:$ZZ, MATCH(BK$2, 'Daily 스피킹 raw'!$A:$A, 0), MATCH($B30, 'Daily 스피킹 raw'!$1:$1, 0)), ""), IF(val=0, "", val))</f>
        <v>4</v>
      </c>
      <c r="BL30" s="44">
        <f t="array" ref="BL30">LET(val, IFERROR(INDEX('Daily 스피킹 raw'!$A:$ZZ, MATCH(BL$2, 'Daily 스피킹 raw'!$A:$A, 0), MATCH($B30, 'Daily 스피킹 raw'!$1:$1, 0)), ""), IF(val=0, "", val))</f>
        <v>5</v>
      </c>
      <c r="BM30" s="44" t="str">
        <f t="array" ref="BM30">LET(val, IFERROR(INDEX('Daily 스피킹 raw'!$A:$ZZ, MATCH(BM$2, 'Daily 스피킹 raw'!$A:$A, 0), MATCH($B30, 'Daily 스피킹 raw'!$1:$1, 0)), ""), IF(val=0, "", val))</f>
        <v/>
      </c>
      <c r="BN30" s="44" t="str">
        <f t="array" ref="BN30">LET(val, IFERROR(INDEX('Daily 스피킹 raw'!$A:$ZZ, MATCH(BN$2, 'Daily 스피킹 raw'!$A:$A, 0), MATCH($B30, 'Daily 스피킹 raw'!$1:$1, 0)), ""), IF(val=0, "", val))</f>
        <v/>
      </c>
      <c r="BO30" s="44" t="str">
        <f t="array" ref="BO30">LET(val, IFERROR(INDEX('Daily 스피킹 raw'!$A:$ZZ, MATCH(BO$2, 'Daily 스피킹 raw'!$A:$A, 0), MATCH($B30, 'Daily 스피킹 raw'!$1:$1, 0)), ""), IF(val=0, "", val))</f>
        <v/>
      </c>
      <c r="BP30" s="44" t="str">
        <f t="array" ref="BP30">LET(val, IFERROR(INDEX('Daily 스피킹 raw'!$A:$ZZ, MATCH(BP$2, 'Daily 스피킹 raw'!$A:$A, 0), MATCH($B30, 'Daily 스피킹 raw'!$1:$1, 0)), ""), IF(val=0, "", val))</f>
        <v/>
      </c>
      <c r="BQ30" s="44" t="str">
        <f t="array" ref="BQ30">LET(val, IFERROR(INDEX('Daily 스피킹 raw'!$A:$ZZ, MATCH(BQ$2, 'Daily 스피킹 raw'!$A:$A, 0), MATCH($B30, 'Daily 스피킹 raw'!$1:$1, 0)), ""), IF(val=0, "", val))</f>
        <v/>
      </c>
      <c r="BR30" s="44" t="str">
        <f t="array" ref="BR30">LET(val, IFERROR(INDEX('Daily 스피킹 raw'!$A:$ZZ, MATCH(BR$2, 'Daily 스피킹 raw'!$A:$A, 0), MATCH($B30, 'Daily 스피킹 raw'!$1:$1, 0)), ""), IF(val=0, "", val))</f>
        <v/>
      </c>
      <c r="BS30" s="44" t="str">
        <f t="array" ref="BS30">LET(val, IFERROR(INDEX('Daily 스피킹 raw'!$A:$ZZ, MATCH(BS$2, 'Daily 스피킹 raw'!$A:$A, 0), MATCH($B30, 'Daily 스피킹 raw'!$1:$1, 0)), ""), IF(val=0, "", val))</f>
        <v/>
      </c>
      <c r="BT30" s="44" t="str">
        <f t="array" ref="BT30">LET(val, IFERROR(INDEX('Daily 스피킹 raw'!$A:$ZZ, MATCH(BT$2, 'Daily 스피킹 raw'!$A:$A, 0), MATCH($B30, 'Daily 스피킹 raw'!$1:$1, 0)), ""), IF(val=0, "", val))</f>
        <v/>
      </c>
      <c r="BU30" s="44" t="str">
        <f t="array" ref="BU30">LET(val, IFERROR(INDEX('Daily 스피킹 raw'!$A:$ZZ, MATCH(BU$2, 'Daily 스피킹 raw'!$A:$A, 0), MATCH($B30, 'Daily 스피킹 raw'!$1:$1, 0)), ""), IF(val=0, "", val))</f>
        <v/>
      </c>
      <c r="BV30" s="44" t="str">
        <f t="array" ref="BV30">LET(val, IFERROR(INDEX('Daily 스피킹 raw'!$A:$ZZ, MATCH(BV$2, 'Daily 스피킹 raw'!$A:$A, 0), MATCH($B30, 'Daily 스피킹 raw'!$1:$1, 0)), ""), IF(val=0, "", val))</f>
        <v/>
      </c>
      <c r="BW30" s="44" t="str">
        <f t="array" ref="BW30">LET(val, IFERROR(INDEX('Daily 스피킹 raw'!$A:$ZZ, MATCH(BW$2, 'Daily 스피킹 raw'!$A:$A, 0), MATCH($B30, 'Daily 스피킹 raw'!$1:$1, 0)), ""), IF(val=0, "", val))</f>
        <v/>
      </c>
      <c r="BX30" s="44" t="str">
        <f t="array" ref="BX30">LET(val, IFERROR(INDEX('Daily 스피킹 raw'!$A:$ZZ, MATCH(BX$2, 'Daily 스피킹 raw'!$A:$A, 0), MATCH($B30, 'Daily 스피킹 raw'!$1:$1, 0)), ""), IF(val=0, "", val))</f>
        <v/>
      </c>
      <c r="BY30" s="44" t="str">
        <f t="array" ref="BY30">LET(val, IFERROR(INDEX('Daily 스피킹 raw'!$A:$ZZ, MATCH(BY$2, 'Daily 스피킹 raw'!$A:$A, 0), MATCH($B30, 'Daily 스피킹 raw'!$1:$1, 0)), ""), IF(val=0, "", val))</f>
        <v/>
      </c>
      <c r="BZ30" s="44" t="str">
        <f t="array" ref="BZ30">LET(val, IFERROR(INDEX('Daily 스피킹 raw'!$A:$ZZ, MATCH(BZ$2, 'Daily 스피킹 raw'!$A:$A, 0), MATCH($B30, 'Daily 스피킹 raw'!$1:$1, 0)), ""), IF(val=0, "", val))</f>
        <v/>
      </c>
      <c r="CA30" s="44" t="str">
        <f t="array" ref="CA30">LET(val, IFERROR(INDEX('Daily 스피킹 raw'!$A:$ZZ, MATCH(CA$2, 'Daily 스피킹 raw'!$A:$A, 0), MATCH($B30, 'Daily 스피킹 raw'!$1:$1, 0)), ""), IF(val=0, "", val))</f>
        <v/>
      </c>
      <c r="CB30" s="44" t="str">
        <f t="array" ref="CB30">LET(val, IFERROR(INDEX('Daily 스피킹 raw'!$A:$ZZ, MATCH(CB$2, 'Daily 스피킹 raw'!$A:$A, 0), MATCH($B30, 'Daily 스피킹 raw'!$1:$1, 0)), ""), IF(val=0, "", val))</f>
        <v/>
      </c>
      <c r="CC30" s="44" t="str">
        <f t="array" ref="CC30">LET(val, IFERROR(INDEX('Daily 스피킹 raw'!$A:$ZZ, MATCH(CC$2, 'Daily 스피킹 raw'!$A:$A, 0), MATCH($B30, 'Daily 스피킹 raw'!$1:$1, 0)), ""), IF(val=0, "", val))</f>
        <v/>
      </c>
      <c r="CD30" s="44" t="str">
        <f t="array" ref="CD30">LET(val, IFERROR(INDEX('Daily 스피킹 raw'!$A:$ZZ, MATCH(CD$2, 'Daily 스피킹 raw'!$A:$A, 0), MATCH($B30, 'Daily 스피킹 raw'!$1:$1, 0)), ""), IF(val=0, "", val))</f>
        <v/>
      </c>
      <c r="CE30" s="44" t="str">
        <f t="array" ref="CE30">LET(val, IFERROR(INDEX('Daily 스피킹 raw'!$A:$ZZ, MATCH(CE$2, 'Daily 스피킹 raw'!$A:$A, 0), MATCH($B30, 'Daily 스피킹 raw'!$1:$1, 0)), ""), IF(val=0, "", val))</f>
        <v/>
      </c>
      <c r="CF30" s="44" t="str">
        <f t="array" ref="CF30">LET(val, IFERROR(INDEX('Daily 스피킹 raw'!$A:$ZZ, MATCH(CF$2, 'Daily 스피킹 raw'!$A:$A, 0), MATCH($B30, 'Daily 스피킹 raw'!$1:$1, 0)), ""), IF(val=0, "", val))</f>
        <v/>
      </c>
      <c r="CG30" s="44" t="str">
        <f t="array" ref="CG30">LET(val, IFERROR(INDEX('Daily 스피킹 raw'!$A:$ZZ, MATCH(CG$2, 'Daily 스피킹 raw'!$A:$A, 0), MATCH($B30, 'Daily 스피킹 raw'!$1:$1, 0)), ""), IF(val=0, "", val))</f>
        <v/>
      </c>
      <c r="CH30" s="44" t="str">
        <f t="array" ref="CH30">LET(val, IFERROR(INDEX('Daily 스피킹 raw'!$A:$ZZ, MATCH(CH$2, 'Daily 스피킹 raw'!$A:$A, 0), MATCH($B30, 'Daily 스피킹 raw'!$1:$1, 0)), ""), IF(val=0, "", val))</f>
        <v/>
      </c>
      <c r="CI30" s="44" t="str">
        <f t="array" ref="CI30">LET(val, IFERROR(INDEX('Daily 스피킹 raw'!$A:$ZZ, MATCH(CI$2, 'Daily 스피킹 raw'!$A:$A, 0), MATCH($B30, 'Daily 스피킹 raw'!$1:$1, 0)), ""), IF(val=0, "", val))</f>
        <v/>
      </c>
      <c r="CJ30" s="44" t="str">
        <f t="array" ref="CJ30">LET(val, IFERROR(INDEX('Daily 스피킹 raw'!$A:$ZZ, MATCH(CJ$2, 'Daily 스피킹 raw'!$A:$A, 0), MATCH($B30, 'Daily 스피킹 raw'!$1:$1, 0)), ""), IF(val=0, "", val))</f>
        <v/>
      </c>
      <c r="CK30" s="44" t="str">
        <f t="array" ref="CK30">LET(val, IFERROR(INDEX('Daily 스피킹 raw'!$A:$ZZ, MATCH(CK$2, 'Daily 스피킹 raw'!$A:$A, 0), MATCH($B30, 'Daily 스피킹 raw'!$1:$1, 0)), ""), IF(val=0, "", val))</f>
        <v/>
      </c>
      <c r="CL30" s="44" t="str">
        <f t="array" ref="CL30">LET(val, IFERROR(INDEX('Daily 스피킹 raw'!$A:$ZZ, MATCH(CL$2, 'Daily 스피킹 raw'!$A:$A, 0), MATCH($B30, 'Daily 스피킹 raw'!$1:$1, 0)), ""), IF(val=0, "", val))</f>
        <v/>
      </c>
      <c r="CM30" s="44" t="str">
        <f t="array" ref="CM30">LET(val, IFERROR(INDEX('Daily 스피킹 raw'!$A:$ZZ, MATCH(CM$2, 'Daily 스피킹 raw'!$A:$A, 0), MATCH($B30, 'Daily 스피킹 raw'!$1:$1, 0)), ""), IF(val=0, "", val))</f>
        <v/>
      </c>
      <c r="CN30" s="44" t="str">
        <f t="array" ref="CN30">LET(val, IFERROR(INDEX('Daily 스피킹 raw'!$A:$ZZ, MATCH(CN$2, 'Daily 스피킹 raw'!$A:$A, 0), MATCH($B30, 'Daily 스피킹 raw'!$1:$1, 0)), ""), IF(val=0, "", val))</f>
        <v/>
      </c>
      <c r="CO30" s="44" t="str">
        <f t="array" ref="CO30">LET(val, IFERROR(INDEX('Daily 스피킹 raw'!$A:$ZZ, MATCH(CO$2, 'Daily 스피킹 raw'!$A:$A, 0), MATCH($B30, 'Daily 스피킹 raw'!$1:$1, 0)), ""), IF(val=0, "", val))</f>
        <v/>
      </c>
      <c r="CP30" s="44" t="str">
        <f t="array" ref="CP30">LET(val, IFERROR(INDEX('Daily 스피킹 raw'!$A:$ZZ, MATCH(CP$2, 'Daily 스피킹 raw'!$A:$A, 0), MATCH($B30, 'Daily 스피킹 raw'!$1:$1, 0)), ""), IF(val=0, "", val))</f>
        <v/>
      </c>
      <c r="CQ30" s="44" t="str">
        <f t="array" ref="CQ30">LET(val, IFERROR(INDEX('Daily 스피킹 raw'!$A:$ZZ, MATCH(CQ$2, 'Daily 스피킹 raw'!$A:$A, 0), MATCH($B30, 'Daily 스피킹 raw'!$1:$1, 0)), ""), IF(val=0, "", val))</f>
        <v/>
      </c>
      <c r="CR30" s="44" t="str">
        <f t="array" ref="CR30">LET(val, IFERROR(INDEX('Daily 스피킹 raw'!$A:$ZZ, MATCH(CR$2, 'Daily 스피킹 raw'!$A:$A, 0), MATCH($B30, 'Daily 스피킹 raw'!$1:$1, 0)), ""), IF(val=0, "", val))</f>
        <v/>
      </c>
      <c r="CS30" s="44" t="str">
        <f t="array" ref="CS30">LET(val, IFERROR(INDEX('Daily 스피킹 raw'!$A:$ZZ, MATCH(CS$2, 'Daily 스피킹 raw'!$A:$A, 0), MATCH($B30, 'Daily 스피킹 raw'!$1:$1, 0)), ""), IF(val=0, "", val))</f>
        <v/>
      </c>
      <c r="CT30" s="44" t="str">
        <f t="array" ref="CT30">LET(val, IFERROR(INDEX('Daily 스피킹 raw'!$A:$ZZ, MATCH(CT$2, 'Daily 스피킹 raw'!$A:$A, 0), MATCH($B30, 'Daily 스피킹 raw'!$1:$1, 0)), ""), IF(val=0, "", val))</f>
        <v/>
      </c>
      <c r="CU30" s="44" t="str">
        <f t="array" ref="CU30">LET(val, IFERROR(INDEX('Daily 스피킹 raw'!$A:$ZZ, MATCH(CU$2, 'Daily 스피킹 raw'!$A:$A, 0), MATCH($B30, 'Daily 스피킹 raw'!$1:$1, 0)), ""), IF(val=0, "", val))</f>
        <v/>
      </c>
      <c r="CV30" s="44" t="str">
        <f t="array" ref="CV30">LET(val, IFERROR(INDEX('Daily 스피킹 raw'!$A:$ZZ, MATCH(CV$2, 'Daily 스피킹 raw'!$A:$A, 0), MATCH($B30, 'Daily 스피킹 raw'!$1:$1, 0)), ""), IF(val=0, "", val))</f>
        <v/>
      </c>
      <c r="CW30" s="44" t="str">
        <f t="array" ref="CW30">LET(val, IFERROR(INDEX('Daily 스피킹 raw'!$A:$ZZ, MATCH(CW$2, 'Daily 스피킹 raw'!$A:$A, 0), MATCH($B30, 'Daily 스피킹 raw'!$1:$1, 0)), ""), IF(val=0, "", val))</f>
        <v/>
      </c>
    </row>
    <row r="31" ht="18.75" customHeight="1">
      <c r="A31" s="17"/>
      <c r="C31" s="17"/>
      <c r="D31" s="44"/>
      <c r="E31" s="44"/>
      <c r="F31" s="44"/>
      <c r="G31" s="44"/>
      <c r="H31" s="44"/>
      <c r="I31" s="44"/>
      <c r="J31" s="44"/>
      <c r="K31" s="44"/>
      <c r="L31" s="44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</row>
    <row r="32" ht="18.75" customHeight="1">
      <c r="A32" s="17"/>
      <c r="C32" s="17"/>
      <c r="D32" s="44"/>
      <c r="E32" s="44"/>
      <c r="F32" s="44"/>
      <c r="G32" s="44"/>
      <c r="H32" s="44"/>
      <c r="I32" s="44"/>
      <c r="J32" s="44"/>
      <c r="K32" s="44"/>
      <c r="L32" s="44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</row>
    <row r="33">
      <c r="A33" s="30"/>
      <c r="B33" s="30"/>
      <c r="C33" s="30"/>
      <c r="D33" s="44"/>
      <c r="E33" s="44"/>
      <c r="F33" s="44"/>
      <c r="G33" s="44"/>
      <c r="H33" s="44"/>
      <c r="I33" s="44"/>
      <c r="J33" s="44"/>
      <c r="K33" s="44"/>
      <c r="L33" s="44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</row>
    <row r="34">
      <c r="A34" s="30"/>
      <c r="B34" s="30"/>
      <c r="C34" s="30"/>
      <c r="D34" s="44"/>
      <c r="E34" s="44"/>
      <c r="F34" s="44"/>
      <c r="G34" s="44"/>
      <c r="H34" s="44"/>
      <c r="I34" s="44"/>
      <c r="J34" s="44"/>
      <c r="K34" s="44"/>
      <c r="L34" s="44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</row>
  </sheetData>
  <conditionalFormatting sqref="D1:CW1">
    <cfRule type="containsText" dxfId="2" priority="1" operator="containsText" text="토">
      <formula>NOT(ISERROR(SEARCH(("토"),(D1))))</formula>
    </cfRule>
  </conditionalFormatting>
  <conditionalFormatting sqref="D1:CW1">
    <cfRule type="containsText" dxfId="2" priority="2" operator="containsText" text="일">
      <formula>NOT(ISERROR(SEARCH(("일"),(D1))))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6.25"/>
  </cols>
  <sheetData>
    <row r="1">
      <c r="A1" s="125" t="s">
        <v>129</v>
      </c>
      <c r="B1" s="125" t="s">
        <v>10</v>
      </c>
      <c r="C1" s="125" t="s">
        <v>62</v>
      </c>
      <c r="D1" s="125" t="s">
        <v>64</v>
      </c>
      <c r="E1" s="125" t="s">
        <v>18</v>
      </c>
      <c r="F1" s="125" t="s">
        <v>19</v>
      </c>
      <c r="G1" s="125" t="s">
        <v>21</v>
      </c>
      <c r="H1" s="125" t="s">
        <v>68</v>
      </c>
      <c r="I1" s="125" t="s">
        <v>70</v>
      </c>
      <c r="J1" s="125" t="s">
        <v>23</v>
      </c>
      <c r="K1" s="125" t="s">
        <v>74</v>
      </c>
      <c r="L1" s="125" t="s">
        <v>76</v>
      </c>
      <c r="M1" s="125" t="s">
        <v>79</v>
      </c>
      <c r="N1" s="125" t="s">
        <v>81</v>
      </c>
      <c r="O1" s="125" t="s">
        <v>83</v>
      </c>
      <c r="P1" s="125" t="s">
        <v>25</v>
      </c>
      <c r="Q1" s="125" t="s">
        <v>26</v>
      </c>
      <c r="R1" s="125" t="s">
        <v>28</v>
      </c>
      <c r="S1" s="125" t="s">
        <v>29</v>
      </c>
      <c r="T1" s="125" t="s">
        <v>31</v>
      </c>
      <c r="U1" s="125" t="s">
        <v>33</v>
      </c>
      <c r="V1" s="125" t="s">
        <v>35</v>
      </c>
      <c r="W1" s="125" t="s">
        <v>123</v>
      </c>
      <c r="X1" s="125" t="s">
        <v>125</v>
      </c>
      <c r="Y1" s="125" t="s">
        <v>126</v>
      </c>
      <c r="Z1" s="125" t="s">
        <v>127</v>
      </c>
      <c r="AA1" s="125" t="s">
        <v>130</v>
      </c>
      <c r="AB1" s="125" t="s">
        <v>37</v>
      </c>
      <c r="AC1" s="125" t="s">
        <v>39</v>
      </c>
      <c r="AD1" s="125" t="s">
        <v>41</v>
      </c>
      <c r="AE1" s="125" t="s">
        <v>43</v>
      </c>
      <c r="AF1" s="125" t="s">
        <v>45</v>
      </c>
      <c r="AG1" s="125" t="s">
        <v>46</v>
      </c>
      <c r="AH1" s="125" t="s">
        <v>48</v>
      </c>
      <c r="AI1" s="125" t="s">
        <v>131</v>
      </c>
      <c r="AJ1" s="125" t="s">
        <v>50</v>
      </c>
      <c r="AK1" s="125" t="s">
        <v>51</v>
      </c>
      <c r="AL1" s="125" t="s">
        <v>52</v>
      </c>
      <c r="AM1" s="125" t="s">
        <v>53</v>
      </c>
      <c r="AN1" s="125" t="s">
        <v>54</v>
      </c>
    </row>
    <row r="2">
      <c r="A2" s="126">
        <v>45985.0</v>
      </c>
      <c r="B2" s="127">
        <v>0.59375</v>
      </c>
      <c r="C2" s="127">
        <v>38.0</v>
      </c>
      <c r="D2" s="127">
        <v>64.0</v>
      </c>
      <c r="E2" s="127">
        <v>0.019494364910143162</v>
      </c>
      <c r="F2" s="127">
        <v>64.0</v>
      </c>
      <c r="G2" s="127">
        <v>3283.0</v>
      </c>
      <c r="H2" s="127">
        <v>3283.0</v>
      </c>
      <c r="I2" s="127">
        <v>0.0</v>
      </c>
      <c r="J2" s="127">
        <v>4286.0</v>
      </c>
      <c r="K2" s="127">
        <v>4286.0</v>
      </c>
      <c r="L2" s="127"/>
      <c r="M2" s="127">
        <v>1.30551325007615</v>
      </c>
      <c r="N2" s="127">
        <v>1.30551325007615</v>
      </c>
      <c r="O2" s="127"/>
      <c r="P2" s="127">
        <v>5637.5</v>
      </c>
      <c r="Q2" s="127">
        <v>360800.0</v>
      </c>
      <c r="R2" s="127">
        <v>64.0</v>
      </c>
      <c r="S2" s="127">
        <v>65.0</v>
      </c>
      <c r="T2" s="127">
        <v>-0.5557821507760194</v>
      </c>
      <c r="U2" s="127">
        <v>561326.1999999878</v>
      </c>
      <c r="V2" s="127">
        <v>360800.0</v>
      </c>
      <c r="W2" s="127"/>
      <c r="X2" s="127"/>
      <c r="Y2" s="127"/>
      <c r="Z2" s="127"/>
      <c r="AA2" s="127"/>
      <c r="AB2" s="127">
        <v>0.0</v>
      </c>
      <c r="AC2" s="127">
        <v>0.0</v>
      </c>
      <c r="AD2" s="127">
        <v>362.0</v>
      </c>
      <c r="AE2" s="127">
        <v>161.0</v>
      </c>
      <c r="AF2" s="127">
        <v>91.0</v>
      </c>
      <c r="AG2" s="127">
        <v>32.0</v>
      </c>
      <c r="AH2" s="127">
        <v>3.0</v>
      </c>
      <c r="AI2" s="127"/>
      <c r="AJ2" s="127">
        <v>7263.0</v>
      </c>
      <c r="AK2" s="127">
        <v>5558.0</v>
      </c>
      <c r="AL2" s="127">
        <v>3192.0</v>
      </c>
      <c r="AM2" s="127">
        <v>539.0</v>
      </c>
      <c r="AN2" s="127">
        <v>61.0</v>
      </c>
    </row>
    <row r="3">
      <c r="A3" s="126">
        <v>45986.0</v>
      </c>
      <c r="B3" s="127">
        <v>0.7922077922077922</v>
      </c>
      <c r="C3" s="127">
        <v>61.0</v>
      </c>
      <c r="D3" s="127">
        <v>77.0</v>
      </c>
      <c r="E3" s="127">
        <v>0.024188790560471976</v>
      </c>
      <c r="F3" s="127">
        <v>82.0</v>
      </c>
      <c r="G3" s="127">
        <v>3390.0</v>
      </c>
      <c r="H3" s="127">
        <v>3390.0</v>
      </c>
      <c r="I3" s="127">
        <v>0.0</v>
      </c>
      <c r="J3" s="127">
        <v>4843.0</v>
      </c>
      <c r="K3" s="127">
        <v>4843.0</v>
      </c>
      <c r="L3" s="127"/>
      <c r="M3" s="127">
        <v>1.4286135693215338</v>
      </c>
      <c r="N3" s="127">
        <v>1.4286135693215338</v>
      </c>
      <c r="O3" s="127"/>
      <c r="P3" s="127">
        <v>6452.4390243902435</v>
      </c>
      <c r="Q3" s="127">
        <v>529100.0</v>
      </c>
      <c r="R3" s="127">
        <v>82.0</v>
      </c>
      <c r="S3" s="127">
        <v>86.0</v>
      </c>
      <c r="T3" s="127">
        <v>-0.2547200907200673</v>
      </c>
      <c r="U3" s="127">
        <v>663872.3999999876</v>
      </c>
      <c r="V3" s="127">
        <v>529100.0</v>
      </c>
      <c r="W3" s="127"/>
      <c r="X3" s="127"/>
      <c r="Y3" s="127"/>
      <c r="Z3" s="127"/>
      <c r="AA3" s="127"/>
      <c r="AB3" s="127">
        <v>0.0</v>
      </c>
      <c r="AC3" s="127">
        <v>0.0</v>
      </c>
      <c r="AD3" s="127">
        <v>474.0</v>
      </c>
      <c r="AE3" s="127">
        <v>245.0</v>
      </c>
      <c r="AF3" s="127">
        <v>155.0</v>
      </c>
      <c r="AG3" s="127">
        <v>59.0</v>
      </c>
      <c r="AH3" s="127">
        <v>5.0</v>
      </c>
      <c r="AI3" s="127"/>
      <c r="AJ3" s="127">
        <v>7706.0</v>
      </c>
      <c r="AK3" s="127">
        <v>5780.0</v>
      </c>
      <c r="AL3" s="127">
        <v>3235.0</v>
      </c>
      <c r="AM3" s="127">
        <v>749.0</v>
      </c>
      <c r="AN3" s="127">
        <v>77.0</v>
      </c>
    </row>
    <row r="4">
      <c r="A4" s="126">
        <v>45987.0</v>
      </c>
      <c r="B4" s="127">
        <v>0.5660377358490566</v>
      </c>
      <c r="C4" s="127">
        <v>30.0</v>
      </c>
      <c r="D4" s="127">
        <v>53.0</v>
      </c>
      <c r="E4" s="127">
        <v>0.016817190906259733</v>
      </c>
      <c r="F4" s="127">
        <v>54.0</v>
      </c>
      <c r="G4" s="127">
        <v>3211.0</v>
      </c>
      <c r="H4" s="127">
        <v>3211.0</v>
      </c>
      <c r="I4" s="127">
        <v>0.0</v>
      </c>
      <c r="J4" s="127">
        <v>4329.0</v>
      </c>
      <c r="K4" s="127">
        <v>4329.0</v>
      </c>
      <c r="L4" s="127"/>
      <c r="M4" s="127">
        <v>1.3481781376518218</v>
      </c>
      <c r="N4" s="127">
        <v>1.3481781376518218</v>
      </c>
      <c r="O4" s="127"/>
      <c r="P4" s="127">
        <v>6172.222222222223</v>
      </c>
      <c r="Q4" s="127">
        <v>333300.0</v>
      </c>
      <c r="R4" s="127">
        <v>54.0</v>
      </c>
      <c r="S4" s="127">
        <v>55.0</v>
      </c>
      <c r="T4" s="127">
        <v>-0.7288295829582645</v>
      </c>
      <c r="U4" s="127">
        <v>576218.8999999895</v>
      </c>
      <c r="V4" s="127">
        <v>333300.0</v>
      </c>
      <c r="W4" s="127"/>
      <c r="X4" s="127"/>
      <c r="Y4" s="127"/>
      <c r="Z4" s="127"/>
      <c r="AA4" s="127"/>
      <c r="AB4" s="127">
        <v>0.0</v>
      </c>
      <c r="AC4" s="127">
        <v>0.0</v>
      </c>
      <c r="AD4" s="127">
        <v>396.0</v>
      </c>
      <c r="AE4" s="127">
        <v>162.0</v>
      </c>
      <c r="AF4" s="127">
        <v>87.0</v>
      </c>
      <c r="AG4" s="127">
        <v>38.0</v>
      </c>
      <c r="AH4" s="127">
        <v>8.0</v>
      </c>
      <c r="AI4" s="127"/>
      <c r="AJ4" s="127">
        <v>7440.0</v>
      </c>
      <c r="AK4" s="127">
        <v>5594.0</v>
      </c>
      <c r="AL4" s="127">
        <v>3124.0</v>
      </c>
      <c r="AM4" s="127">
        <v>594.0</v>
      </c>
      <c r="AN4" s="127">
        <v>46.0</v>
      </c>
    </row>
    <row r="5">
      <c r="A5" s="126">
        <v>45988.0</v>
      </c>
      <c r="B5" s="127">
        <v>0.5384615384615384</v>
      </c>
      <c r="C5" s="127">
        <v>21.0</v>
      </c>
      <c r="D5" s="127">
        <v>39.0</v>
      </c>
      <c r="E5" s="127">
        <v>0.016232668244842745</v>
      </c>
      <c r="F5" s="127">
        <v>48.0</v>
      </c>
      <c r="G5" s="127">
        <v>2957.0</v>
      </c>
      <c r="H5" s="127">
        <v>2957.0</v>
      </c>
      <c r="I5" s="127">
        <v>0.0</v>
      </c>
      <c r="J5" s="127">
        <v>4289.0</v>
      </c>
      <c r="K5" s="127">
        <v>4289.0</v>
      </c>
      <c r="L5" s="127"/>
      <c r="M5" s="127">
        <v>1.4504565437943862</v>
      </c>
      <c r="N5" s="127">
        <v>1.4504565437943862</v>
      </c>
      <c r="O5" s="127"/>
      <c r="P5" s="127">
        <v>5683.333333333333</v>
      </c>
      <c r="Q5" s="127">
        <v>272800.0</v>
      </c>
      <c r="R5" s="127">
        <v>48.0</v>
      </c>
      <c r="S5" s="127">
        <v>50.0</v>
      </c>
      <c r="T5" s="127">
        <v>-0.9137027126099249</v>
      </c>
      <c r="U5" s="127">
        <v>522058.0999999875</v>
      </c>
      <c r="V5" s="127">
        <v>272800.0</v>
      </c>
      <c r="W5" s="127"/>
      <c r="X5" s="127"/>
      <c r="Y5" s="127"/>
      <c r="Z5" s="127"/>
      <c r="AA5" s="127"/>
      <c r="AB5" s="127">
        <v>0.0</v>
      </c>
      <c r="AC5" s="127">
        <v>0.0</v>
      </c>
      <c r="AD5" s="127">
        <v>459.0</v>
      </c>
      <c r="AE5" s="127">
        <v>212.0</v>
      </c>
      <c r="AF5" s="127">
        <v>116.0</v>
      </c>
      <c r="AG5" s="127">
        <v>40.0</v>
      </c>
      <c r="AH5" s="127">
        <v>5.0</v>
      </c>
      <c r="AI5" s="127"/>
      <c r="AJ5" s="127">
        <v>6612.0</v>
      </c>
      <c r="AK5" s="127">
        <v>4514.0</v>
      </c>
      <c r="AL5" s="127">
        <v>2841.0</v>
      </c>
      <c r="AM5" s="127">
        <v>586.0</v>
      </c>
      <c r="AN5" s="127">
        <v>43.0</v>
      </c>
    </row>
    <row r="6">
      <c r="A6" s="126">
        <v>45989.0</v>
      </c>
      <c r="B6" s="127">
        <v>0.4857142857142857</v>
      </c>
      <c r="C6" s="127">
        <v>17.0</v>
      </c>
      <c r="D6" s="127">
        <v>35.0</v>
      </c>
      <c r="E6" s="127">
        <v>0.015785861358956762</v>
      </c>
      <c r="F6" s="127">
        <v>46.0</v>
      </c>
      <c r="G6" s="127">
        <v>2914.0</v>
      </c>
      <c r="H6" s="127">
        <v>2914.0</v>
      </c>
      <c r="I6" s="127">
        <v>0.0</v>
      </c>
      <c r="J6" s="127">
        <v>4324.0</v>
      </c>
      <c r="K6" s="127">
        <v>4324.0</v>
      </c>
      <c r="L6" s="127"/>
      <c r="M6" s="127">
        <v>1.4838709677419355</v>
      </c>
      <c r="N6" s="127">
        <v>1.4838709677419355</v>
      </c>
      <c r="O6" s="127"/>
      <c r="P6" s="127">
        <v>6313.04347826087</v>
      </c>
      <c r="Q6" s="127">
        <v>290400.0</v>
      </c>
      <c r="R6" s="127">
        <v>46.0</v>
      </c>
      <c r="S6" s="127">
        <v>48.0</v>
      </c>
      <c r="T6" s="127">
        <v>-0.8082396694214558</v>
      </c>
      <c r="U6" s="127">
        <v>525112.7999999907</v>
      </c>
      <c r="V6" s="127">
        <v>290400.0</v>
      </c>
      <c r="W6" s="127"/>
      <c r="X6" s="127"/>
      <c r="Y6" s="127"/>
      <c r="Z6" s="127"/>
      <c r="AA6" s="127"/>
      <c r="AB6" s="127">
        <v>0.0</v>
      </c>
      <c r="AC6" s="127">
        <v>0.0</v>
      </c>
      <c r="AD6" s="127">
        <v>393.0</v>
      </c>
      <c r="AE6" s="127">
        <v>175.0</v>
      </c>
      <c r="AF6" s="127">
        <v>106.0</v>
      </c>
      <c r="AG6" s="127">
        <v>47.0</v>
      </c>
      <c r="AH6" s="127">
        <v>7.0</v>
      </c>
      <c r="AI6" s="127"/>
      <c r="AJ6" s="127">
        <v>7268.0</v>
      </c>
      <c r="AK6" s="127">
        <v>5119.0</v>
      </c>
      <c r="AL6" s="127">
        <v>2808.0</v>
      </c>
      <c r="AM6" s="127">
        <v>539.0</v>
      </c>
      <c r="AN6" s="127">
        <v>39.0</v>
      </c>
    </row>
    <row r="7">
      <c r="A7" s="126">
        <v>45990.0</v>
      </c>
      <c r="B7" s="127">
        <v>0.5903614457831325</v>
      </c>
      <c r="C7" s="127">
        <v>49.0</v>
      </c>
      <c r="D7" s="127">
        <v>83.0</v>
      </c>
      <c r="E7" s="127">
        <v>0.04754186925985954</v>
      </c>
      <c r="F7" s="127">
        <v>88.0</v>
      </c>
      <c r="G7" s="127">
        <v>1851.0</v>
      </c>
      <c r="H7" s="127">
        <v>1851.0</v>
      </c>
      <c r="I7" s="127">
        <v>0.0</v>
      </c>
      <c r="J7" s="127">
        <v>3556.0</v>
      </c>
      <c r="K7" s="127">
        <v>3556.0</v>
      </c>
      <c r="L7" s="127"/>
      <c r="M7" s="127">
        <v>1.9211237169097786</v>
      </c>
      <c r="N7" s="127">
        <v>1.9211237169097786</v>
      </c>
      <c r="O7" s="127"/>
      <c r="P7" s="127">
        <v>6037.5</v>
      </c>
      <c r="Q7" s="127">
        <v>531300.0</v>
      </c>
      <c r="R7" s="127">
        <v>88.0</v>
      </c>
      <c r="S7" s="127">
        <v>95.0</v>
      </c>
      <c r="T7" s="127">
        <v>0.0771686429512638</v>
      </c>
      <c r="U7" s="127">
        <v>490300.2999999935</v>
      </c>
      <c r="V7" s="127">
        <v>531300.0</v>
      </c>
      <c r="W7" s="127"/>
      <c r="X7" s="127"/>
      <c r="Y7" s="127"/>
      <c r="Z7" s="127"/>
      <c r="AA7" s="127"/>
      <c r="AB7" s="127">
        <v>0.0</v>
      </c>
      <c r="AC7" s="127">
        <v>0.0</v>
      </c>
      <c r="AD7" s="127">
        <v>382.0</v>
      </c>
      <c r="AE7" s="127">
        <v>132.0</v>
      </c>
      <c r="AF7" s="127">
        <v>50.0</v>
      </c>
      <c r="AG7" s="127">
        <v>43.0</v>
      </c>
      <c r="AH7" s="127">
        <v>8.0</v>
      </c>
      <c r="AI7" s="127"/>
      <c r="AJ7" s="127">
        <v>7292.0</v>
      </c>
      <c r="AK7" s="127">
        <v>5373.0</v>
      </c>
      <c r="AL7" s="127">
        <v>1801.0</v>
      </c>
      <c r="AM7" s="127">
        <v>1140.0</v>
      </c>
      <c r="AN7" s="127">
        <v>80.0</v>
      </c>
    </row>
    <row r="8">
      <c r="A8" s="126">
        <v>45991.0</v>
      </c>
      <c r="B8" s="127">
        <v>0.546875</v>
      </c>
      <c r="C8" s="127">
        <v>35.0</v>
      </c>
      <c r="D8" s="127">
        <v>64.0</v>
      </c>
      <c r="E8" s="127">
        <v>0.03171806167400881</v>
      </c>
      <c r="F8" s="127">
        <v>72.0</v>
      </c>
      <c r="G8" s="127">
        <v>2270.0</v>
      </c>
      <c r="H8" s="127">
        <v>2270.0</v>
      </c>
      <c r="I8" s="127">
        <v>0.0</v>
      </c>
      <c r="J8" s="127">
        <v>4113.0</v>
      </c>
      <c r="K8" s="127">
        <v>4113.0</v>
      </c>
      <c r="L8" s="127"/>
      <c r="M8" s="127">
        <v>1.8118942731277532</v>
      </c>
      <c r="N8" s="127">
        <v>1.8118942731277532</v>
      </c>
      <c r="O8" s="127"/>
      <c r="P8" s="127">
        <v>6279.166666666667</v>
      </c>
      <c r="Q8" s="127">
        <v>452100.0</v>
      </c>
      <c r="R8" s="127">
        <v>72.0</v>
      </c>
      <c r="S8" s="127">
        <v>76.0</v>
      </c>
      <c r="T8" s="127">
        <v>-0.29140499889403304</v>
      </c>
      <c r="U8" s="127">
        <v>583844.1999999924</v>
      </c>
      <c r="V8" s="127">
        <v>452100.0</v>
      </c>
      <c r="W8" s="127"/>
      <c r="X8" s="127"/>
      <c r="Y8" s="127"/>
      <c r="Z8" s="127"/>
      <c r="AA8" s="127"/>
      <c r="AB8" s="127">
        <v>0.0</v>
      </c>
      <c r="AC8" s="127">
        <v>0.0</v>
      </c>
      <c r="AD8" s="127">
        <v>410.0</v>
      </c>
      <c r="AE8" s="127">
        <v>140.0</v>
      </c>
      <c r="AF8" s="127">
        <v>57.0</v>
      </c>
      <c r="AG8" s="127">
        <v>43.0</v>
      </c>
      <c r="AH8" s="127">
        <v>3.0</v>
      </c>
      <c r="AI8" s="127"/>
      <c r="AJ8" s="127">
        <v>7323.0</v>
      </c>
      <c r="AK8" s="127">
        <v>5425.0</v>
      </c>
      <c r="AL8" s="127">
        <v>2213.0</v>
      </c>
      <c r="AM8" s="127">
        <v>1067.0</v>
      </c>
      <c r="AN8" s="127">
        <v>69.0</v>
      </c>
    </row>
    <row r="9">
      <c r="A9" s="126">
        <v>45992.0</v>
      </c>
      <c r="B9" s="127">
        <v>0.5208333333333334</v>
      </c>
      <c r="C9" s="127">
        <v>25.0</v>
      </c>
      <c r="D9" s="127">
        <v>48.0</v>
      </c>
      <c r="E9" s="127">
        <v>0.029396596183599792</v>
      </c>
      <c r="F9" s="127">
        <v>57.0</v>
      </c>
      <c r="G9" s="127">
        <v>1939.0</v>
      </c>
      <c r="H9" s="127">
        <v>1939.0</v>
      </c>
      <c r="I9" s="127">
        <v>0.0</v>
      </c>
      <c r="J9" s="127">
        <v>3398.0</v>
      </c>
      <c r="K9" s="127">
        <v>3398.0</v>
      </c>
      <c r="L9" s="127"/>
      <c r="M9" s="127">
        <v>1.7524497163486332</v>
      </c>
      <c r="N9" s="127">
        <v>1.7524497163486332</v>
      </c>
      <c r="O9" s="127"/>
      <c r="P9" s="127">
        <v>6464.912280701755</v>
      </c>
      <c r="Q9" s="127">
        <v>368500.0</v>
      </c>
      <c r="R9" s="127">
        <v>57.0</v>
      </c>
      <c r="S9" s="127">
        <v>60.0</v>
      </c>
      <c r="T9" s="127">
        <v>-0.2332130257801759</v>
      </c>
      <c r="U9" s="127">
        <v>454438.9999999948</v>
      </c>
      <c r="V9" s="127">
        <v>368500.0</v>
      </c>
      <c r="W9" s="127"/>
      <c r="X9" s="127"/>
      <c r="Y9" s="127"/>
      <c r="Z9" s="127"/>
      <c r="AA9" s="127"/>
      <c r="AB9" s="127">
        <v>0.0</v>
      </c>
      <c r="AC9" s="127">
        <v>0.0</v>
      </c>
      <c r="AD9" s="127">
        <v>372.0</v>
      </c>
      <c r="AE9" s="127">
        <v>141.0</v>
      </c>
      <c r="AF9" s="127">
        <v>54.0</v>
      </c>
      <c r="AG9" s="127">
        <v>35.0</v>
      </c>
      <c r="AH9" s="127">
        <v>3.0</v>
      </c>
      <c r="AI9" s="127"/>
      <c r="AJ9" s="127">
        <v>6822.0</v>
      </c>
      <c r="AK9" s="127">
        <v>4899.0</v>
      </c>
      <c r="AL9" s="127">
        <v>1885.0</v>
      </c>
      <c r="AM9" s="127">
        <v>897.0</v>
      </c>
      <c r="AN9" s="127">
        <v>54.0</v>
      </c>
    </row>
    <row r="10">
      <c r="A10" s="126">
        <v>45993.0</v>
      </c>
      <c r="B10" s="127">
        <v>0.4823529411764706</v>
      </c>
      <c r="C10" s="127">
        <v>41.0</v>
      </c>
      <c r="D10" s="127">
        <v>85.0</v>
      </c>
      <c r="E10" s="127">
        <v>0.08989805375347544</v>
      </c>
      <c r="F10" s="127">
        <v>97.0</v>
      </c>
      <c r="G10" s="127">
        <v>1079.0</v>
      </c>
      <c r="H10" s="127">
        <v>1079.0</v>
      </c>
      <c r="I10" s="127">
        <v>0.0</v>
      </c>
      <c r="J10" s="127">
        <v>3436.0</v>
      </c>
      <c r="K10" s="127">
        <v>3436.0</v>
      </c>
      <c r="L10" s="127"/>
      <c r="M10" s="127">
        <v>3.1844300278035216</v>
      </c>
      <c r="N10" s="127">
        <v>3.1844300278035216</v>
      </c>
      <c r="O10" s="127"/>
      <c r="P10" s="127">
        <v>5964.948453608247</v>
      </c>
      <c r="Q10" s="127">
        <v>578600.0</v>
      </c>
      <c r="R10" s="127">
        <v>97.0</v>
      </c>
      <c r="S10" s="127">
        <v>102.0</v>
      </c>
      <c r="T10" s="127">
        <v>0.16088385758728607</v>
      </c>
      <c r="U10" s="127">
        <v>485512.5999999963</v>
      </c>
      <c r="V10" s="127">
        <v>578600.0</v>
      </c>
      <c r="W10" s="127"/>
      <c r="X10" s="127"/>
      <c r="Y10" s="127"/>
      <c r="Z10" s="127"/>
      <c r="AA10" s="127"/>
      <c r="AB10" s="127">
        <v>0.0</v>
      </c>
      <c r="AC10" s="127">
        <v>0.0</v>
      </c>
      <c r="AD10" s="127">
        <v>502.0</v>
      </c>
      <c r="AE10" s="127">
        <v>244.0</v>
      </c>
      <c r="AF10" s="127">
        <v>91.0</v>
      </c>
      <c r="AG10" s="127">
        <v>95.0</v>
      </c>
      <c r="AH10" s="127">
        <v>15.0</v>
      </c>
      <c r="AI10" s="127"/>
      <c r="AJ10" s="127">
        <v>6838.0</v>
      </c>
      <c r="AK10" s="127">
        <v>4638.0</v>
      </c>
      <c r="AL10" s="127">
        <v>988.0</v>
      </c>
      <c r="AM10" s="127">
        <v>1249.0</v>
      </c>
      <c r="AN10" s="127">
        <v>82.0</v>
      </c>
    </row>
    <row r="11">
      <c r="A11" s="126">
        <v>45994.0</v>
      </c>
      <c r="B11" s="127">
        <v>0.4835164835164835</v>
      </c>
      <c r="C11" s="127">
        <v>44.0</v>
      </c>
      <c r="D11" s="127">
        <v>91.0</v>
      </c>
      <c r="E11" s="127">
        <v>0.10960334029227557</v>
      </c>
      <c r="F11" s="127">
        <v>105.0</v>
      </c>
      <c r="G11" s="127">
        <v>958.0</v>
      </c>
      <c r="H11" s="127">
        <v>958.0</v>
      </c>
      <c r="I11" s="127">
        <v>0.0</v>
      </c>
      <c r="J11" s="127">
        <v>3025.0</v>
      </c>
      <c r="K11" s="127">
        <v>3025.0</v>
      </c>
      <c r="L11" s="127"/>
      <c r="M11" s="127">
        <v>3.1576200417536535</v>
      </c>
      <c r="N11" s="127">
        <v>3.1576200417536535</v>
      </c>
      <c r="O11" s="127"/>
      <c r="P11" s="127">
        <v>6956.190476190476</v>
      </c>
      <c r="Q11" s="127">
        <v>730400.0</v>
      </c>
      <c r="R11" s="127">
        <v>105.0</v>
      </c>
      <c r="S11" s="127">
        <v>108.0</v>
      </c>
      <c r="T11" s="127">
        <v>0.3485921412924464</v>
      </c>
      <c r="U11" s="127">
        <v>475788.29999999714</v>
      </c>
      <c r="V11" s="127">
        <v>730400.0</v>
      </c>
      <c r="W11" s="127"/>
      <c r="X11" s="127"/>
      <c r="Y11" s="127"/>
      <c r="Z11" s="127"/>
      <c r="AA11" s="127"/>
      <c r="AB11" s="127">
        <v>0.0</v>
      </c>
      <c r="AC11" s="127">
        <v>0.0</v>
      </c>
      <c r="AD11" s="127">
        <v>447.0</v>
      </c>
      <c r="AE11" s="127">
        <v>181.0</v>
      </c>
      <c r="AF11" s="127">
        <v>78.0</v>
      </c>
      <c r="AG11" s="127">
        <v>75.0</v>
      </c>
      <c r="AH11" s="127">
        <v>21.0</v>
      </c>
      <c r="AI11" s="127"/>
      <c r="AJ11" s="127">
        <v>6209.0</v>
      </c>
      <c r="AK11" s="127">
        <v>4231.0</v>
      </c>
      <c r="AL11" s="127">
        <v>880.0</v>
      </c>
      <c r="AM11" s="127">
        <v>1125.0</v>
      </c>
      <c r="AN11" s="127">
        <v>84.0</v>
      </c>
    </row>
    <row r="12">
      <c r="A12" s="126">
        <v>45995.0</v>
      </c>
      <c r="B12" s="127">
        <v>0.39705882352941174</v>
      </c>
      <c r="C12" s="127">
        <v>27.0</v>
      </c>
      <c r="D12" s="127">
        <v>68.0</v>
      </c>
      <c r="E12" s="127">
        <v>0.08152173913043478</v>
      </c>
      <c r="F12" s="127">
        <v>75.0</v>
      </c>
      <c r="G12" s="127">
        <v>920.0</v>
      </c>
      <c r="H12" s="127">
        <v>920.0</v>
      </c>
      <c r="I12" s="127">
        <v>0.0</v>
      </c>
      <c r="J12" s="127">
        <v>2642.0</v>
      </c>
      <c r="K12" s="127">
        <v>2642.0</v>
      </c>
      <c r="L12" s="127"/>
      <c r="M12" s="127">
        <v>2.871739130434783</v>
      </c>
      <c r="N12" s="127">
        <v>2.871739130434783</v>
      </c>
      <c r="O12" s="127"/>
      <c r="P12" s="127">
        <v>6365.333333333333</v>
      </c>
      <c r="Q12" s="127">
        <v>477400.0</v>
      </c>
      <c r="R12" s="127">
        <v>75.0</v>
      </c>
      <c r="S12" s="127">
        <v>76.0</v>
      </c>
      <c r="T12" s="127">
        <v>0.16638416422287805</v>
      </c>
      <c r="U12" s="127">
        <v>397968.19999999803</v>
      </c>
      <c r="V12" s="127">
        <v>477400.0</v>
      </c>
      <c r="W12" s="127"/>
      <c r="X12" s="127"/>
      <c r="Y12" s="127"/>
      <c r="Z12" s="127"/>
      <c r="AA12" s="127"/>
      <c r="AB12" s="127">
        <v>0.0</v>
      </c>
      <c r="AC12" s="127">
        <v>0.0</v>
      </c>
      <c r="AD12" s="127">
        <v>568.0</v>
      </c>
      <c r="AE12" s="127">
        <v>260.0</v>
      </c>
      <c r="AF12" s="127">
        <v>87.0</v>
      </c>
      <c r="AG12" s="127">
        <v>86.0</v>
      </c>
      <c r="AH12" s="127">
        <v>11.0</v>
      </c>
      <c r="AI12" s="127"/>
      <c r="AJ12" s="127">
        <v>6174.0</v>
      </c>
      <c r="AK12" s="127">
        <v>4416.0</v>
      </c>
      <c r="AL12" s="127">
        <v>833.0</v>
      </c>
      <c r="AM12" s="127">
        <v>982.0</v>
      </c>
      <c r="AN12" s="127">
        <v>64.0</v>
      </c>
    </row>
    <row r="13">
      <c r="A13" s="126">
        <v>45996.0</v>
      </c>
      <c r="B13" s="127">
        <v>0.5230769230769231</v>
      </c>
      <c r="C13" s="127">
        <v>34.0</v>
      </c>
      <c r="D13" s="127">
        <v>65.0</v>
      </c>
      <c r="E13" s="127">
        <v>0.0936374549819928</v>
      </c>
      <c r="F13" s="127">
        <v>78.0</v>
      </c>
      <c r="G13" s="127">
        <v>833.0</v>
      </c>
      <c r="H13" s="127">
        <v>833.0</v>
      </c>
      <c r="I13" s="127">
        <v>0.0</v>
      </c>
      <c r="J13" s="127">
        <v>2609.0</v>
      </c>
      <c r="K13" s="127">
        <v>2609.0</v>
      </c>
      <c r="L13" s="127"/>
      <c r="M13" s="127">
        <v>3.1320528211284513</v>
      </c>
      <c r="N13" s="127">
        <v>3.1320528211284513</v>
      </c>
      <c r="O13" s="127"/>
      <c r="P13" s="127">
        <v>6233.333333333333</v>
      </c>
      <c r="Q13" s="127">
        <v>486200.0</v>
      </c>
      <c r="R13" s="127">
        <v>78.0</v>
      </c>
      <c r="S13" s="127">
        <v>85.0</v>
      </c>
      <c r="T13" s="127">
        <v>0.3628280542986404</v>
      </c>
      <c r="U13" s="127">
        <v>309793.00000000105</v>
      </c>
      <c r="V13" s="127">
        <v>486200.0</v>
      </c>
      <c r="W13" s="127"/>
      <c r="X13" s="127"/>
      <c r="Y13" s="127"/>
      <c r="Z13" s="127"/>
      <c r="AA13" s="127"/>
      <c r="AB13" s="127">
        <v>0.0</v>
      </c>
      <c r="AC13" s="127">
        <v>0.0</v>
      </c>
      <c r="AD13" s="127">
        <v>469.0</v>
      </c>
      <c r="AE13" s="127">
        <v>242.0</v>
      </c>
      <c r="AF13" s="127">
        <v>62.0</v>
      </c>
      <c r="AG13" s="127">
        <v>87.0</v>
      </c>
      <c r="AH13" s="127">
        <v>18.0</v>
      </c>
      <c r="AI13" s="127"/>
      <c r="AJ13" s="127">
        <v>6936.0</v>
      </c>
      <c r="AK13" s="127">
        <v>4702.0</v>
      </c>
      <c r="AL13" s="127">
        <v>771.0</v>
      </c>
      <c r="AM13" s="127">
        <v>890.0</v>
      </c>
      <c r="AN13" s="127">
        <v>60.0</v>
      </c>
    </row>
    <row r="14">
      <c r="A14" s="126">
        <v>45997.0</v>
      </c>
      <c r="B14" s="127">
        <v>0.4246575342465753</v>
      </c>
      <c r="C14" s="127">
        <v>31.0</v>
      </c>
      <c r="D14" s="127">
        <v>73.0</v>
      </c>
      <c r="E14" s="127">
        <v>0.12609970674486803</v>
      </c>
      <c r="F14" s="127">
        <v>86.0</v>
      </c>
      <c r="G14" s="127">
        <v>682.0</v>
      </c>
      <c r="H14" s="127">
        <v>682.0</v>
      </c>
      <c r="I14" s="127">
        <v>0.0</v>
      </c>
      <c r="J14" s="127">
        <v>2298.0</v>
      </c>
      <c r="K14" s="127">
        <v>2298.0</v>
      </c>
      <c r="L14" s="127"/>
      <c r="M14" s="127">
        <v>3.36950146627566</v>
      </c>
      <c r="N14" s="127">
        <v>3.36950146627566</v>
      </c>
      <c r="O14" s="127"/>
      <c r="P14" s="127">
        <v>6433.720930232558</v>
      </c>
      <c r="Q14" s="127">
        <v>553300.0</v>
      </c>
      <c r="R14" s="127">
        <v>86.0</v>
      </c>
      <c r="S14" s="127">
        <v>91.0</v>
      </c>
      <c r="T14" s="127">
        <v>0.342725465389484</v>
      </c>
      <c r="U14" s="127">
        <v>363669.9999999985</v>
      </c>
      <c r="V14" s="127">
        <v>553300.0</v>
      </c>
      <c r="W14" s="127"/>
      <c r="X14" s="127"/>
      <c r="Y14" s="127"/>
      <c r="Z14" s="127"/>
      <c r="AA14" s="127"/>
      <c r="AB14" s="127">
        <v>0.0</v>
      </c>
      <c r="AC14" s="127">
        <v>0.0</v>
      </c>
      <c r="AD14" s="127">
        <v>423.0</v>
      </c>
      <c r="AE14" s="127">
        <v>171.0</v>
      </c>
      <c r="AF14" s="127">
        <v>41.0</v>
      </c>
      <c r="AG14" s="127">
        <v>60.0</v>
      </c>
      <c r="AH14" s="127">
        <v>15.0</v>
      </c>
      <c r="AI14" s="127"/>
      <c r="AJ14" s="127">
        <v>6362.0</v>
      </c>
      <c r="AK14" s="127">
        <v>4578.0</v>
      </c>
      <c r="AL14" s="127">
        <v>641.0</v>
      </c>
      <c r="AM14" s="127">
        <v>958.0</v>
      </c>
      <c r="AN14" s="127">
        <v>71.0</v>
      </c>
    </row>
    <row r="15">
      <c r="A15" s="126">
        <v>45998.0</v>
      </c>
      <c r="B15" s="127">
        <v>0.323943661971831</v>
      </c>
      <c r="C15" s="127">
        <v>23.0</v>
      </c>
      <c r="D15" s="127">
        <v>71.0</v>
      </c>
      <c r="E15" s="127">
        <v>0.1297709923664122</v>
      </c>
      <c r="F15" s="127">
        <v>85.0</v>
      </c>
      <c r="G15" s="127">
        <v>655.0</v>
      </c>
      <c r="H15" s="127">
        <v>655.0</v>
      </c>
      <c r="I15" s="127">
        <v>0.0</v>
      </c>
      <c r="J15" s="127">
        <v>2552.0</v>
      </c>
      <c r="K15" s="127">
        <v>2552.0</v>
      </c>
      <c r="L15" s="127"/>
      <c r="M15" s="127">
        <v>3.8961832061068704</v>
      </c>
      <c r="N15" s="127">
        <v>3.8961832061068704</v>
      </c>
      <c r="O15" s="127"/>
      <c r="P15" s="127">
        <v>6444.705882352941</v>
      </c>
      <c r="Q15" s="127">
        <v>547800.0</v>
      </c>
      <c r="R15" s="127">
        <v>85.0</v>
      </c>
      <c r="S15" s="127">
        <v>96.0</v>
      </c>
      <c r="T15" s="127">
        <v>0.3027915297553826</v>
      </c>
      <c r="U15" s="127">
        <v>381930.80000000144</v>
      </c>
      <c r="V15" s="127">
        <v>547800.0</v>
      </c>
      <c r="W15" s="127"/>
      <c r="X15" s="127"/>
      <c r="Y15" s="127"/>
      <c r="Z15" s="127"/>
      <c r="AA15" s="127"/>
      <c r="AB15" s="127">
        <v>0.0</v>
      </c>
      <c r="AC15" s="127">
        <v>0.0</v>
      </c>
      <c r="AD15" s="127">
        <v>477.0</v>
      </c>
      <c r="AE15" s="127">
        <v>191.0</v>
      </c>
      <c r="AF15" s="127">
        <v>36.0</v>
      </c>
      <c r="AG15" s="127">
        <v>75.0</v>
      </c>
      <c r="AH15" s="127">
        <v>13.0</v>
      </c>
      <c r="AI15" s="127"/>
      <c r="AJ15" s="127">
        <v>6048.0</v>
      </c>
      <c r="AK15" s="127">
        <v>4254.0</v>
      </c>
      <c r="AL15" s="127">
        <v>619.0</v>
      </c>
      <c r="AM15" s="127">
        <v>906.0</v>
      </c>
      <c r="AN15" s="127">
        <v>72.0</v>
      </c>
    </row>
    <row r="16">
      <c r="A16" s="126">
        <v>45999.0</v>
      </c>
      <c r="B16" s="127">
        <v>0.5087719298245614</v>
      </c>
      <c r="C16" s="127">
        <v>29.0</v>
      </c>
      <c r="D16" s="127">
        <v>57.0</v>
      </c>
      <c r="E16" s="127">
        <v>0.11375212224108659</v>
      </c>
      <c r="F16" s="127">
        <v>67.0</v>
      </c>
      <c r="G16" s="127">
        <v>589.0</v>
      </c>
      <c r="H16" s="127">
        <v>589.0</v>
      </c>
      <c r="I16" s="127">
        <v>0.0</v>
      </c>
      <c r="J16" s="127">
        <v>1921.0</v>
      </c>
      <c r="K16" s="127">
        <v>1921.0</v>
      </c>
      <c r="L16" s="127"/>
      <c r="M16" s="127">
        <v>3.261460101867572</v>
      </c>
      <c r="N16" s="127">
        <v>3.261460101867572</v>
      </c>
      <c r="O16" s="127"/>
      <c r="P16" s="127">
        <v>5811.940298507463</v>
      </c>
      <c r="Q16" s="127">
        <v>389400.0</v>
      </c>
      <c r="R16" s="127">
        <v>67.0</v>
      </c>
      <c r="S16" s="127">
        <v>68.0</v>
      </c>
      <c r="T16" s="127">
        <v>0.251360041088857</v>
      </c>
      <c r="U16" s="127">
        <v>291520.3999999991</v>
      </c>
      <c r="V16" s="127">
        <v>389400.0</v>
      </c>
      <c r="W16" s="127"/>
      <c r="X16" s="127"/>
      <c r="Y16" s="127"/>
      <c r="Z16" s="127"/>
      <c r="AA16" s="127"/>
      <c r="AB16" s="127">
        <v>0.0</v>
      </c>
      <c r="AC16" s="127">
        <v>0.0</v>
      </c>
      <c r="AD16" s="127">
        <v>385.0</v>
      </c>
      <c r="AE16" s="127">
        <v>150.0</v>
      </c>
      <c r="AF16" s="127">
        <v>20.0</v>
      </c>
      <c r="AG16" s="127">
        <v>51.0</v>
      </c>
      <c r="AH16" s="127">
        <v>5.0</v>
      </c>
      <c r="AI16" s="127"/>
      <c r="AJ16" s="127">
        <v>5647.0</v>
      </c>
      <c r="AK16" s="127">
        <v>3985.0</v>
      </c>
      <c r="AL16" s="127">
        <v>569.0</v>
      </c>
      <c r="AM16" s="127">
        <v>732.0</v>
      </c>
      <c r="AN16" s="127">
        <v>62.0</v>
      </c>
    </row>
    <row r="17">
      <c r="A17" s="126">
        <v>46000.0</v>
      </c>
      <c r="B17" s="127">
        <v>0.38</v>
      </c>
      <c r="C17" s="127">
        <v>19.0</v>
      </c>
      <c r="D17" s="127">
        <v>50.0</v>
      </c>
      <c r="E17" s="127">
        <v>0.08804204993429698</v>
      </c>
      <c r="F17" s="127">
        <v>67.0</v>
      </c>
      <c r="G17" s="127">
        <v>761.0</v>
      </c>
      <c r="H17" s="127">
        <v>761.0</v>
      </c>
      <c r="I17" s="127">
        <v>0.0</v>
      </c>
      <c r="J17" s="127">
        <v>2516.0</v>
      </c>
      <c r="K17" s="127">
        <v>2516.0</v>
      </c>
      <c r="L17" s="127"/>
      <c r="M17" s="127">
        <v>3.3061760840998686</v>
      </c>
      <c r="N17" s="127">
        <v>3.3061760840998686</v>
      </c>
      <c r="O17" s="127"/>
      <c r="P17" s="127">
        <v>6156.7164179104475</v>
      </c>
      <c r="Q17" s="127">
        <v>412500.0</v>
      </c>
      <c r="R17" s="127">
        <v>67.0</v>
      </c>
      <c r="S17" s="127">
        <v>70.0</v>
      </c>
      <c r="T17" s="127">
        <v>0.24769987878788124</v>
      </c>
      <c r="U17" s="127">
        <v>310323.799999999</v>
      </c>
      <c r="V17" s="127">
        <v>412500.0</v>
      </c>
      <c r="W17" s="127"/>
      <c r="X17" s="127"/>
      <c r="Y17" s="127"/>
      <c r="Z17" s="127"/>
      <c r="AA17" s="127"/>
      <c r="AB17" s="127">
        <v>0.0</v>
      </c>
      <c r="AC17" s="127">
        <v>0.0</v>
      </c>
      <c r="AD17" s="127">
        <v>420.0</v>
      </c>
      <c r="AE17" s="127">
        <v>158.0</v>
      </c>
      <c r="AF17" s="127">
        <v>49.0</v>
      </c>
      <c r="AG17" s="127">
        <v>53.0</v>
      </c>
      <c r="AH17" s="127">
        <v>12.0</v>
      </c>
      <c r="AI17" s="127"/>
      <c r="AJ17" s="127">
        <v>5292.0</v>
      </c>
      <c r="AK17" s="127">
        <v>3620.0</v>
      </c>
      <c r="AL17" s="127">
        <v>712.0</v>
      </c>
      <c r="AM17" s="127">
        <v>637.0</v>
      </c>
      <c r="AN17" s="127">
        <v>55.0</v>
      </c>
    </row>
    <row r="18">
      <c r="A18" s="126">
        <v>46001.0</v>
      </c>
      <c r="B18" s="127">
        <v>0.4418604651162791</v>
      </c>
      <c r="C18" s="127">
        <v>19.0</v>
      </c>
      <c r="D18" s="127">
        <v>43.0</v>
      </c>
      <c r="E18" s="127">
        <v>0.06375838926174497</v>
      </c>
      <c r="F18" s="127">
        <v>57.0</v>
      </c>
      <c r="G18" s="127">
        <v>894.0</v>
      </c>
      <c r="H18" s="127">
        <v>894.0</v>
      </c>
      <c r="I18" s="127">
        <v>0.0</v>
      </c>
      <c r="J18" s="127">
        <v>2452.0</v>
      </c>
      <c r="K18" s="127">
        <v>2452.0</v>
      </c>
      <c r="L18" s="127"/>
      <c r="M18" s="127">
        <v>2.742729306487696</v>
      </c>
      <c r="N18" s="127">
        <v>2.742729306487696</v>
      </c>
      <c r="O18" s="127"/>
      <c r="P18" s="127">
        <v>5885.964912280701</v>
      </c>
      <c r="Q18" s="127">
        <v>335500.0</v>
      </c>
      <c r="R18" s="127">
        <v>57.0</v>
      </c>
      <c r="S18" s="127">
        <v>64.0</v>
      </c>
      <c r="T18" s="127">
        <v>-0.14100357675111264</v>
      </c>
      <c r="U18" s="127">
        <v>382806.69999999827</v>
      </c>
      <c r="V18" s="127">
        <v>335500.0</v>
      </c>
      <c r="W18" s="127"/>
      <c r="X18" s="127"/>
      <c r="Y18" s="127"/>
      <c r="Z18" s="127"/>
      <c r="AA18" s="127"/>
      <c r="AB18" s="127">
        <v>0.0</v>
      </c>
      <c r="AC18" s="127">
        <v>0.0</v>
      </c>
      <c r="AD18" s="127">
        <v>556.0</v>
      </c>
      <c r="AE18" s="127">
        <v>245.0</v>
      </c>
      <c r="AF18" s="127">
        <v>124.0</v>
      </c>
      <c r="AG18" s="127">
        <v>68.0</v>
      </c>
      <c r="AH18" s="127">
        <v>15.0</v>
      </c>
      <c r="AI18" s="127"/>
      <c r="AJ18" s="127">
        <v>5047.0</v>
      </c>
      <c r="AK18" s="127">
        <v>3514.0</v>
      </c>
      <c r="AL18" s="127">
        <v>770.0</v>
      </c>
      <c r="AM18" s="127">
        <v>612.0</v>
      </c>
      <c r="AN18" s="127">
        <v>42.0</v>
      </c>
    </row>
    <row r="19">
      <c r="A19" s="126">
        <v>46002.0</v>
      </c>
      <c r="B19" s="127">
        <v>0.52</v>
      </c>
      <c r="C19" s="127">
        <v>26.0</v>
      </c>
      <c r="D19" s="127">
        <v>50.0</v>
      </c>
      <c r="E19" s="127">
        <v>0.09681881051175657</v>
      </c>
      <c r="F19" s="127">
        <v>70.0</v>
      </c>
      <c r="G19" s="127">
        <v>723.0</v>
      </c>
      <c r="H19" s="127">
        <v>723.0</v>
      </c>
      <c r="I19" s="127">
        <v>0.0</v>
      </c>
      <c r="J19" s="127">
        <v>2202.0</v>
      </c>
      <c r="K19" s="127">
        <v>2202.0</v>
      </c>
      <c r="L19" s="127"/>
      <c r="M19" s="127">
        <v>3.045643153526971</v>
      </c>
      <c r="N19" s="127">
        <v>3.045643153526971</v>
      </c>
      <c r="O19" s="127"/>
      <c r="P19" s="127">
        <v>5421.428571428572</v>
      </c>
      <c r="Q19" s="127">
        <v>379500.0</v>
      </c>
      <c r="R19" s="127">
        <v>70.0</v>
      </c>
      <c r="S19" s="127">
        <v>74.0</v>
      </c>
      <c r="T19" s="127">
        <v>0.10662872200263962</v>
      </c>
      <c r="U19" s="127">
        <v>339034.3999999983</v>
      </c>
      <c r="V19" s="127">
        <v>379500.0</v>
      </c>
      <c r="W19" s="127"/>
      <c r="X19" s="127"/>
      <c r="Y19" s="127"/>
      <c r="Z19" s="127"/>
      <c r="AA19" s="127"/>
      <c r="AB19" s="127">
        <v>0.0</v>
      </c>
      <c r="AC19" s="127">
        <v>0.0</v>
      </c>
      <c r="AD19" s="127">
        <v>475.0</v>
      </c>
      <c r="AE19" s="127">
        <v>202.0</v>
      </c>
      <c r="AF19" s="127">
        <v>59.0</v>
      </c>
      <c r="AG19" s="127">
        <v>71.0</v>
      </c>
      <c r="AH19" s="127">
        <v>11.0</v>
      </c>
      <c r="AI19" s="127"/>
      <c r="AJ19" s="127">
        <v>5246.0</v>
      </c>
      <c r="AK19" s="127">
        <v>3603.0</v>
      </c>
      <c r="AL19" s="127">
        <v>664.0</v>
      </c>
      <c r="AM19" s="127">
        <v>606.0</v>
      </c>
      <c r="AN19" s="127">
        <v>59.0</v>
      </c>
    </row>
    <row r="20">
      <c r="A20" s="126">
        <v>46003.0</v>
      </c>
      <c r="B20" s="127">
        <v>0.46511627906976744</v>
      </c>
      <c r="C20" s="127">
        <v>20.0</v>
      </c>
      <c r="D20" s="127">
        <v>43.0</v>
      </c>
      <c r="E20" s="127">
        <v>0.07472826086956522</v>
      </c>
      <c r="F20" s="127">
        <v>55.0</v>
      </c>
      <c r="G20" s="127">
        <v>736.0</v>
      </c>
      <c r="H20" s="127">
        <v>736.0</v>
      </c>
      <c r="I20" s="127">
        <v>0.0</v>
      </c>
      <c r="J20" s="127">
        <v>2097.0</v>
      </c>
      <c r="K20" s="127">
        <v>2097.0</v>
      </c>
      <c r="L20" s="127"/>
      <c r="M20" s="127">
        <v>2.849184782608696</v>
      </c>
      <c r="N20" s="127">
        <v>2.849184782608696</v>
      </c>
      <c r="O20" s="127"/>
      <c r="P20" s="127">
        <v>5520.0</v>
      </c>
      <c r="Q20" s="127">
        <v>303600.0</v>
      </c>
      <c r="R20" s="127">
        <v>55.0</v>
      </c>
      <c r="S20" s="127">
        <v>57.0</v>
      </c>
      <c r="T20" s="127">
        <v>-0.035470355731217706</v>
      </c>
      <c r="U20" s="127">
        <v>314368.7999999977</v>
      </c>
      <c r="V20" s="127">
        <v>303600.0</v>
      </c>
      <c r="W20" s="127"/>
      <c r="X20" s="127"/>
      <c r="Y20" s="127"/>
      <c r="Z20" s="127"/>
      <c r="AA20" s="127"/>
      <c r="AB20" s="127">
        <v>0.0</v>
      </c>
      <c r="AC20" s="127">
        <v>0.0</v>
      </c>
      <c r="AD20" s="127">
        <v>424.0</v>
      </c>
      <c r="AE20" s="127">
        <v>165.0</v>
      </c>
      <c r="AF20" s="127">
        <v>47.0</v>
      </c>
      <c r="AG20" s="127">
        <v>60.0</v>
      </c>
      <c r="AH20" s="127">
        <v>9.0</v>
      </c>
      <c r="AI20" s="127"/>
      <c r="AJ20" s="127">
        <v>5011.0</v>
      </c>
      <c r="AK20" s="127">
        <v>3467.0</v>
      </c>
      <c r="AL20" s="127">
        <v>689.0</v>
      </c>
      <c r="AM20" s="127">
        <v>532.0</v>
      </c>
      <c r="AN20" s="127">
        <v>46.0</v>
      </c>
    </row>
    <row r="21">
      <c r="A21" s="126">
        <v>46004.0</v>
      </c>
      <c r="B21" s="127">
        <v>0.35714285714285715</v>
      </c>
      <c r="C21" s="127">
        <v>20.0</v>
      </c>
      <c r="D21" s="127">
        <v>56.0</v>
      </c>
      <c r="E21" s="127">
        <v>0.08247422680412371</v>
      </c>
      <c r="F21" s="127">
        <v>64.0</v>
      </c>
      <c r="G21" s="127">
        <v>776.0</v>
      </c>
      <c r="H21" s="127">
        <v>776.0</v>
      </c>
      <c r="I21" s="127">
        <v>0.0</v>
      </c>
      <c r="J21" s="127">
        <v>1807.0</v>
      </c>
      <c r="K21" s="127">
        <v>1807.0</v>
      </c>
      <c r="L21" s="127"/>
      <c r="M21" s="127">
        <v>2.3286082474226806</v>
      </c>
      <c r="N21" s="127">
        <v>2.3286082474226806</v>
      </c>
      <c r="O21" s="127"/>
      <c r="P21" s="127">
        <v>5379.6875</v>
      </c>
      <c r="Q21" s="127">
        <v>344300.0</v>
      </c>
      <c r="R21" s="127">
        <v>64.0</v>
      </c>
      <c r="S21" s="127">
        <v>65.0</v>
      </c>
      <c r="T21" s="127">
        <v>0.1336302643043834</v>
      </c>
      <c r="U21" s="127">
        <v>298291.1000000008</v>
      </c>
      <c r="V21" s="127">
        <v>344300.0</v>
      </c>
      <c r="W21" s="127"/>
      <c r="X21" s="127"/>
      <c r="Y21" s="127"/>
      <c r="Z21" s="127"/>
      <c r="AA21" s="127"/>
      <c r="AB21" s="127">
        <v>0.0</v>
      </c>
      <c r="AC21" s="127">
        <v>0.0</v>
      </c>
      <c r="AD21" s="127">
        <v>421.0</v>
      </c>
      <c r="AE21" s="127">
        <v>188.0</v>
      </c>
      <c r="AF21" s="127">
        <v>42.0</v>
      </c>
      <c r="AG21" s="127">
        <v>54.0</v>
      </c>
      <c r="AH21" s="127">
        <v>11.0</v>
      </c>
      <c r="AI21" s="127"/>
      <c r="AJ21" s="127">
        <v>5254.0</v>
      </c>
      <c r="AK21" s="127">
        <v>3745.0</v>
      </c>
      <c r="AL21" s="127">
        <v>734.0</v>
      </c>
      <c r="AM21" s="127">
        <v>723.0</v>
      </c>
      <c r="AN21" s="127">
        <v>53.0</v>
      </c>
    </row>
    <row r="22">
      <c r="A22" s="126">
        <v>46005.0</v>
      </c>
      <c r="B22" s="127">
        <v>0.3269230769230769</v>
      </c>
      <c r="C22" s="127">
        <v>17.0</v>
      </c>
      <c r="D22" s="127">
        <v>52.0</v>
      </c>
      <c r="E22" s="127">
        <v>0.07766990291262135</v>
      </c>
      <c r="F22" s="127">
        <v>72.0</v>
      </c>
      <c r="G22" s="127">
        <v>927.0</v>
      </c>
      <c r="H22" s="127">
        <v>927.0</v>
      </c>
      <c r="I22" s="127">
        <v>0.0</v>
      </c>
      <c r="J22" s="127">
        <v>2700.0</v>
      </c>
      <c r="K22" s="127">
        <v>2700.0</v>
      </c>
      <c r="L22" s="127"/>
      <c r="M22" s="127">
        <v>2.912621359223301</v>
      </c>
      <c r="N22" s="127">
        <v>2.912621359223301</v>
      </c>
      <c r="O22" s="127"/>
      <c r="P22" s="127">
        <v>5973.611111111111</v>
      </c>
      <c r="Q22" s="127">
        <v>430100.0</v>
      </c>
      <c r="R22" s="127">
        <v>72.0</v>
      </c>
      <c r="S22" s="127">
        <v>76.0</v>
      </c>
      <c r="T22" s="127">
        <v>0.06576354336201717</v>
      </c>
      <c r="U22" s="127">
        <v>401815.0999999964</v>
      </c>
      <c r="V22" s="127">
        <v>430100.0</v>
      </c>
      <c r="W22" s="127"/>
      <c r="X22" s="127"/>
      <c r="Y22" s="127"/>
      <c r="Z22" s="127"/>
      <c r="AA22" s="127"/>
      <c r="AB22" s="127">
        <v>0.0</v>
      </c>
      <c r="AC22" s="127">
        <v>0.0</v>
      </c>
      <c r="AD22" s="127">
        <v>506.0</v>
      </c>
      <c r="AE22" s="127">
        <v>172.0</v>
      </c>
      <c r="AF22" s="127">
        <v>50.0</v>
      </c>
      <c r="AG22" s="127">
        <v>59.0</v>
      </c>
      <c r="AH22" s="127">
        <v>13.0</v>
      </c>
      <c r="AI22" s="127"/>
      <c r="AJ22" s="127">
        <v>5123.0</v>
      </c>
      <c r="AK22" s="127">
        <v>3549.0</v>
      </c>
      <c r="AL22" s="127">
        <v>877.0</v>
      </c>
      <c r="AM22" s="127">
        <v>631.0</v>
      </c>
      <c r="AN22" s="127">
        <v>59.0</v>
      </c>
    </row>
    <row r="23">
      <c r="A23" s="126">
        <v>46006.0</v>
      </c>
      <c r="B23" s="127">
        <v>0.5897435897435898</v>
      </c>
      <c r="C23" s="127">
        <v>23.0</v>
      </c>
      <c r="D23" s="127">
        <v>39.0</v>
      </c>
      <c r="E23" s="127">
        <v>0.08365019011406843</v>
      </c>
      <c r="F23" s="127">
        <v>66.0</v>
      </c>
      <c r="G23" s="127">
        <v>789.0</v>
      </c>
      <c r="H23" s="127">
        <v>789.0</v>
      </c>
      <c r="I23" s="127">
        <v>0.0</v>
      </c>
      <c r="J23" s="127">
        <v>2143.0</v>
      </c>
      <c r="K23" s="127">
        <v>2143.0</v>
      </c>
      <c r="L23" s="127"/>
      <c r="M23" s="127">
        <v>2.7160963244613434</v>
      </c>
      <c r="N23" s="127">
        <v>2.7160963244613434</v>
      </c>
      <c r="O23" s="127"/>
      <c r="P23" s="127">
        <v>5500.0</v>
      </c>
      <c r="Q23" s="127">
        <v>363000.0</v>
      </c>
      <c r="R23" s="127">
        <v>66.0</v>
      </c>
      <c r="S23" s="127">
        <v>68.0</v>
      </c>
      <c r="T23" s="127">
        <v>0.18037823691459876</v>
      </c>
      <c r="U23" s="127">
        <v>297522.70000000065</v>
      </c>
      <c r="V23" s="127">
        <v>363000.0</v>
      </c>
      <c r="W23" s="127"/>
      <c r="X23" s="127"/>
      <c r="Y23" s="127"/>
      <c r="Z23" s="127"/>
      <c r="AA23" s="127"/>
      <c r="AB23" s="127">
        <v>0.0</v>
      </c>
      <c r="AC23" s="127">
        <v>0.0</v>
      </c>
      <c r="AD23" s="127">
        <v>534.0</v>
      </c>
      <c r="AE23" s="127">
        <v>178.0</v>
      </c>
      <c r="AF23" s="127">
        <v>54.0</v>
      </c>
      <c r="AG23" s="127">
        <v>60.0</v>
      </c>
      <c r="AH23" s="127">
        <v>13.0</v>
      </c>
      <c r="AI23" s="127"/>
      <c r="AJ23" s="127">
        <v>4677.0</v>
      </c>
      <c r="AK23" s="127">
        <v>3170.0</v>
      </c>
      <c r="AL23" s="127">
        <v>735.0</v>
      </c>
      <c r="AM23" s="127">
        <v>496.0</v>
      </c>
      <c r="AN23" s="127">
        <v>53.0</v>
      </c>
    </row>
    <row r="24">
      <c r="A24" s="126">
        <v>46007.0</v>
      </c>
      <c r="B24" s="127">
        <v>0.37209302325581395</v>
      </c>
      <c r="C24" s="127">
        <v>16.0</v>
      </c>
      <c r="D24" s="127">
        <v>43.0</v>
      </c>
      <c r="E24" s="127">
        <v>0.07352941176470588</v>
      </c>
      <c r="F24" s="127">
        <v>55.0</v>
      </c>
      <c r="G24" s="127">
        <v>748.0</v>
      </c>
      <c r="H24" s="127">
        <v>748.0</v>
      </c>
      <c r="I24" s="127">
        <v>0.0</v>
      </c>
      <c r="J24" s="127">
        <v>1648.0</v>
      </c>
      <c r="K24" s="127">
        <v>1648.0</v>
      </c>
      <c r="L24" s="127"/>
      <c r="M24" s="127">
        <v>2.2032085561497325</v>
      </c>
      <c r="N24" s="127">
        <v>2.2032085561497325</v>
      </c>
      <c r="O24" s="127"/>
      <c r="P24" s="127">
        <v>5960.0</v>
      </c>
      <c r="Q24" s="127">
        <v>327800.0</v>
      </c>
      <c r="R24" s="127">
        <v>55.0</v>
      </c>
      <c r="S24" s="127">
        <v>56.0</v>
      </c>
      <c r="T24" s="127">
        <v>0.23606955460646217</v>
      </c>
      <c r="U24" s="127">
        <v>250416.40000000168</v>
      </c>
      <c r="V24" s="127">
        <v>327800.0</v>
      </c>
      <c r="W24" s="127"/>
      <c r="X24" s="127"/>
      <c r="Y24" s="127"/>
      <c r="Z24" s="127"/>
      <c r="AA24" s="127"/>
      <c r="AB24" s="127">
        <v>0.0</v>
      </c>
      <c r="AC24" s="127">
        <v>0.0</v>
      </c>
      <c r="AD24" s="127">
        <v>525.0</v>
      </c>
      <c r="AE24" s="127">
        <v>153.0</v>
      </c>
      <c r="AF24" s="127">
        <v>51.0</v>
      </c>
      <c r="AG24" s="127">
        <v>59.0</v>
      </c>
      <c r="AH24" s="127">
        <v>8.0</v>
      </c>
      <c r="AI24" s="127"/>
      <c r="AJ24" s="127">
        <v>4932.0</v>
      </c>
      <c r="AK24" s="127">
        <v>3135.0</v>
      </c>
      <c r="AL24" s="127">
        <v>697.0</v>
      </c>
      <c r="AM24" s="127">
        <v>464.0</v>
      </c>
      <c r="AN24" s="127">
        <v>47.0</v>
      </c>
    </row>
    <row r="25">
      <c r="A25" s="126">
        <v>46008.0</v>
      </c>
      <c r="B25" s="127">
        <v>0.35714285714285715</v>
      </c>
      <c r="C25" s="127">
        <v>15.0</v>
      </c>
      <c r="D25" s="127">
        <v>42.0</v>
      </c>
      <c r="E25" s="127">
        <v>0.09302325581395349</v>
      </c>
      <c r="F25" s="127">
        <v>68.0</v>
      </c>
      <c r="G25" s="127">
        <v>731.0</v>
      </c>
      <c r="H25" s="127">
        <v>731.0</v>
      </c>
      <c r="I25" s="127">
        <v>0.0</v>
      </c>
      <c r="J25" s="127">
        <v>1630.0</v>
      </c>
      <c r="K25" s="127">
        <v>1630.0</v>
      </c>
      <c r="L25" s="127"/>
      <c r="M25" s="127">
        <v>2.2298221614227085</v>
      </c>
      <c r="N25" s="127">
        <v>2.2298221614227085</v>
      </c>
      <c r="O25" s="127"/>
      <c r="P25" s="127">
        <v>5775.0</v>
      </c>
      <c r="Q25" s="127">
        <v>392700.0</v>
      </c>
      <c r="R25" s="127">
        <v>68.0</v>
      </c>
      <c r="S25" s="127">
        <v>70.0</v>
      </c>
      <c r="T25" s="127">
        <v>0.1668609625668397</v>
      </c>
      <c r="U25" s="127">
        <v>327173.70000000205</v>
      </c>
      <c r="V25" s="127">
        <v>392700.0</v>
      </c>
      <c r="W25" s="127"/>
      <c r="X25" s="127"/>
      <c r="Y25" s="127"/>
      <c r="Z25" s="127"/>
      <c r="AA25" s="127"/>
      <c r="AB25" s="127">
        <v>0.0</v>
      </c>
      <c r="AC25" s="127">
        <v>0.0</v>
      </c>
      <c r="AD25" s="127">
        <v>360.0</v>
      </c>
      <c r="AE25" s="127">
        <v>87.0</v>
      </c>
      <c r="AF25" s="127">
        <v>22.0</v>
      </c>
      <c r="AG25" s="127">
        <v>36.0</v>
      </c>
      <c r="AH25" s="127">
        <v>7.0</v>
      </c>
      <c r="AI25" s="127"/>
      <c r="AJ25" s="127">
        <v>4720.0</v>
      </c>
      <c r="AK25" s="127">
        <v>2937.0</v>
      </c>
      <c r="AL25" s="127">
        <v>709.0</v>
      </c>
      <c r="AM25" s="127">
        <v>459.0</v>
      </c>
      <c r="AN25" s="127">
        <v>61.0</v>
      </c>
    </row>
    <row r="26">
      <c r="A26" s="126">
        <v>46009.0</v>
      </c>
      <c r="B26" s="127">
        <v>0.41379310344827586</v>
      </c>
      <c r="C26" s="127">
        <v>12.0</v>
      </c>
      <c r="D26" s="127">
        <v>29.0</v>
      </c>
      <c r="E26" s="127">
        <v>0.06451612903225806</v>
      </c>
      <c r="F26" s="127">
        <v>44.0</v>
      </c>
      <c r="G26" s="127">
        <v>682.0</v>
      </c>
      <c r="H26" s="127">
        <v>682.0</v>
      </c>
      <c r="I26" s="127">
        <v>0.0</v>
      </c>
      <c r="J26" s="127">
        <v>1506.0</v>
      </c>
      <c r="K26" s="127">
        <v>1506.0</v>
      </c>
      <c r="L26" s="127"/>
      <c r="M26" s="127">
        <v>2.2082111436950145</v>
      </c>
      <c r="N26" s="127">
        <v>2.2082111436950145</v>
      </c>
      <c r="O26" s="127"/>
      <c r="P26" s="127">
        <v>6275.0</v>
      </c>
      <c r="Q26" s="127">
        <v>276100.0</v>
      </c>
      <c r="R26" s="127">
        <v>44.0</v>
      </c>
      <c r="S26" s="127">
        <v>45.0</v>
      </c>
      <c r="T26" s="127">
        <v>0.07326294820716683</v>
      </c>
      <c r="U26" s="127">
        <v>255872.10000000123</v>
      </c>
      <c r="V26" s="127">
        <v>276100.0</v>
      </c>
      <c r="W26" s="127"/>
      <c r="X26" s="127"/>
      <c r="Y26" s="127"/>
      <c r="Z26" s="127"/>
      <c r="AA26" s="127"/>
      <c r="AB26" s="127">
        <v>0.0</v>
      </c>
      <c r="AC26" s="127">
        <v>0.0</v>
      </c>
      <c r="AD26" s="127">
        <v>440.0</v>
      </c>
      <c r="AE26" s="127">
        <v>121.0</v>
      </c>
      <c r="AF26" s="127">
        <v>22.0</v>
      </c>
      <c r="AG26" s="127">
        <v>35.0</v>
      </c>
      <c r="AH26" s="127">
        <v>4.0</v>
      </c>
      <c r="AI26" s="127"/>
      <c r="AJ26" s="127">
        <v>4147.0</v>
      </c>
      <c r="AK26" s="127">
        <v>2646.0</v>
      </c>
      <c r="AL26" s="127">
        <v>660.0</v>
      </c>
      <c r="AM26" s="127">
        <v>392.0</v>
      </c>
      <c r="AN26" s="127">
        <v>40.0</v>
      </c>
    </row>
    <row r="27">
      <c r="A27" s="126">
        <v>46010.0</v>
      </c>
      <c r="B27" s="127">
        <v>0.425</v>
      </c>
      <c r="C27" s="127">
        <v>17.0</v>
      </c>
      <c r="D27" s="127">
        <v>40.0</v>
      </c>
      <c r="E27" s="127">
        <v>0.10313075506445672</v>
      </c>
      <c r="F27" s="127">
        <v>56.0</v>
      </c>
      <c r="G27" s="127">
        <v>543.0</v>
      </c>
      <c r="H27" s="127">
        <v>543.0</v>
      </c>
      <c r="I27" s="127">
        <v>0.0</v>
      </c>
      <c r="J27" s="127">
        <v>1180.0</v>
      </c>
      <c r="K27" s="127">
        <v>1180.0</v>
      </c>
      <c r="L27" s="127"/>
      <c r="M27" s="127">
        <v>2.173112338858195</v>
      </c>
      <c r="N27" s="127">
        <v>2.173112338858195</v>
      </c>
      <c r="O27" s="127"/>
      <c r="P27" s="127">
        <v>5951.785714285715</v>
      </c>
      <c r="Q27" s="127">
        <v>333300.0</v>
      </c>
      <c r="R27" s="127">
        <v>56.0</v>
      </c>
      <c r="S27" s="127">
        <v>57.0</v>
      </c>
      <c r="T27" s="127">
        <v>0.2274863486348594</v>
      </c>
      <c r="U27" s="127">
        <v>257478.80000000136</v>
      </c>
      <c r="V27" s="127">
        <v>333300.0</v>
      </c>
      <c r="W27" s="127"/>
      <c r="X27" s="127"/>
      <c r="Y27" s="127"/>
      <c r="Z27" s="127"/>
      <c r="AA27" s="127"/>
      <c r="AB27" s="127">
        <v>0.0</v>
      </c>
      <c r="AC27" s="127">
        <v>0.0</v>
      </c>
      <c r="AD27" s="127">
        <v>431.0</v>
      </c>
      <c r="AE27" s="127">
        <v>111.0</v>
      </c>
      <c r="AF27" s="127">
        <v>32.0</v>
      </c>
      <c r="AG27" s="127">
        <v>40.0</v>
      </c>
      <c r="AH27" s="127">
        <v>5.0</v>
      </c>
      <c r="AI27" s="127"/>
      <c r="AJ27" s="127">
        <v>4287.0</v>
      </c>
      <c r="AK27" s="127">
        <v>2911.0</v>
      </c>
      <c r="AL27" s="127">
        <v>511.0</v>
      </c>
      <c r="AM27" s="127">
        <v>512.0</v>
      </c>
      <c r="AN27" s="127">
        <v>51.0</v>
      </c>
    </row>
    <row r="28">
      <c r="A28" s="126">
        <v>46011.0</v>
      </c>
      <c r="B28" s="127">
        <v>0.4838709677419355</v>
      </c>
      <c r="C28" s="127">
        <v>15.0</v>
      </c>
      <c r="D28" s="127">
        <v>31.0</v>
      </c>
      <c r="E28" s="127">
        <v>0.07643312101910828</v>
      </c>
      <c r="F28" s="127">
        <v>48.0</v>
      </c>
      <c r="G28" s="127">
        <v>628.0</v>
      </c>
      <c r="H28" s="127">
        <v>628.0</v>
      </c>
      <c r="I28" s="127">
        <v>0.0</v>
      </c>
      <c r="J28" s="127">
        <v>1361.0</v>
      </c>
      <c r="K28" s="127">
        <v>1361.0</v>
      </c>
      <c r="L28" s="127"/>
      <c r="M28" s="127">
        <v>2.167197452229299</v>
      </c>
      <c r="N28" s="127">
        <v>2.167197452229299</v>
      </c>
      <c r="O28" s="127"/>
      <c r="P28" s="127">
        <v>6233.333333333333</v>
      </c>
      <c r="Q28" s="127">
        <v>299200.0</v>
      </c>
      <c r="R28" s="127">
        <v>48.0</v>
      </c>
      <c r="S28" s="127">
        <v>49.0</v>
      </c>
      <c r="T28" s="127">
        <v>0.10159826203208466</v>
      </c>
      <c r="U28" s="127">
        <v>268801.8000000003</v>
      </c>
      <c r="V28" s="127">
        <v>299200.0</v>
      </c>
      <c r="W28" s="127"/>
      <c r="X28" s="127"/>
      <c r="Y28" s="127"/>
      <c r="Z28" s="127"/>
      <c r="AA28" s="127"/>
      <c r="AB28" s="127">
        <v>0.0</v>
      </c>
      <c r="AC28" s="127">
        <v>0.0</v>
      </c>
      <c r="AD28" s="127">
        <v>372.0</v>
      </c>
      <c r="AE28" s="127">
        <v>98.0</v>
      </c>
      <c r="AF28" s="127">
        <v>19.0</v>
      </c>
      <c r="AG28" s="127">
        <v>25.0</v>
      </c>
      <c r="AH28" s="127">
        <v>2.0</v>
      </c>
      <c r="AI28" s="127"/>
      <c r="AJ28" s="127">
        <v>4169.0</v>
      </c>
      <c r="AK28" s="127">
        <v>2810.0</v>
      </c>
      <c r="AL28" s="127">
        <v>609.0</v>
      </c>
      <c r="AM28" s="127">
        <v>514.0</v>
      </c>
      <c r="AN28" s="127">
        <v>46.0</v>
      </c>
    </row>
    <row r="29">
      <c r="A29" s="126">
        <v>46012.0</v>
      </c>
      <c r="B29" s="127">
        <v>0.3939393939393939</v>
      </c>
      <c r="C29" s="127">
        <v>13.0</v>
      </c>
      <c r="D29" s="127">
        <v>33.0</v>
      </c>
      <c r="E29" s="127">
        <v>0.08144796380090498</v>
      </c>
      <c r="F29" s="127">
        <v>54.0</v>
      </c>
      <c r="G29" s="127">
        <v>663.0</v>
      </c>
      <c r="H29" s="127">
        <v>663.0</v>
      </c>
      <c r="I29" s="127">
        <v>0.0</v>
      </c>
      <c r="J29" s="127">
        <v>1476.0</v>
      </c>
      <c r="K29" s="127">
        <v>1476.0</v>
      </c>
      <c r="L29" s="127"/>
      <c r="M29" s="127">
        <v>2.226244343891403</v>
      </c>
      <c r="N29" s="127">
        <v>2.226244343891403</v>
      </c>
      <c r="O29" s="127"/>
      <c r="P29" s="127">
        <v>6722.222222222223</v>
      </c>
      <c r="Q29" s="127">
        <v>363000.0</v>
      </c>
      <c r="R29" s="127">
        <v>54.0</v>
      </c>
      <c r="S29" s="127">
        <v>57.0</v>
      </c>
      <c r="T29" s="127">
        <v>0.16393884297520422</v>
      </c>
      <c r="U29" s="127">
        <v>303490.2000000009</v>
      </c>
      <c r="V29" s="127">
        <v>363000.0</v>
      </c>
      <c r="W29" s="127"/>
      <c r="X29" s="127"/>
      <c r="Y29" s="127"/>
      <c r="Z29" s="127"/>
      <c r="AA29" s="127"/>
      <c r="AB29" s="127">
        <v>0.0</v>
      </c>
      <c r="AC29" s="127">
        <v>0.0</v>
      </c>
      <c r="AD29" s="127">
        <v>391.0</v>
      </c>
      <c r="AE29" s="127">
        <v>107.0</v>
      </c>
      <c r="AF29" s="127">
        <v>21.0</v>
      </c>
      <c r="AG29" s="127">
        <v>29.0</v>
      </c>
      <c r="AH29" s="127">
        <v>4.0</v>
      </c>
      <c r="AI29" s="127"/>
      <c r="AJ29" s="127">
        <v>4255.0</v>
      </c>
      <c r="AK29" s="127">
        <v>2840.0</v>
      </c>
      <c r="AL29" s="127">
        <v>642.0</v>
      </c>
      <c r="AM29" s="127">
        <v>502.0</v>
      </c>
      <c r="AN29" s="127">
        <v>50.0</v>
      </c>
    </row>
    <row r="30">
      <c r="A30" s="126">
        <v>46013.0</v>
      </c>
      <c r="B30" s="127">
        <v>0.5</v>
      </c>
      <c r="C30" s="127">
        <v>24.0</v>
      </c>
      <c r="D30" s="127">
        <v>48.0</v>
      </c>
      <c r="E30" s="127">
        <v>0.091164095371669</v>
      </c>
      <c r="F30" s="127">
        <v>65.0</v>
      </c>
      <c r="G30" s="127">
        <v>713.0</v>
      </c>
      <c r="H30" s="127">
        <v>713.0</v>
      </c>
      <c r="I30" s="127">
        <v>0.0</v>
      </c>
      <c r="J30" s="127">
        <v>1485.0</v>
      </c>
      <c r="K30" s="127">
        <v>1485.0</v>
      </c>
      <c r="L30" s="127"/>
      <c r="M30" s="127">
        <v>2.082748948106592</v>
      </c>
      <c r="N30" s="127">
        <v>2.082748948106592</v>
      </c>
      <c r="O30" s="127"/>
      <c r="P30" s="127">
        <v>6633.846153846154</v>
      </c>
      <c r="Q30" s="127">
        <v>431200.0</v>
      </c>
      <c r="R30" s="127">
        <v>65.0</v>
      </c>
      <c r="S30" s="127">
        <v>69.0</v>
      </c>
      <c r="T30" s="127">
        <v>0.16305357142857135</v>
      </c>
      <c r="U30" s="127">
        <v>360891.30000000005</v>
      </c>
      <c r="V30" s="127">
        <v>431200.0</v>
      </c>
      <c r="W30" s="127"/>
      <c r="X30" s="127"/>
      <c r="Y30" s="127"/>
      <c r="Z30" s="127"/>
      <c r="AA30" s="127"/>
      <c r="AB30" s="127">
        <v>0.0</v>
      </c>
      <c r="AC30" s="127">
        <v>0.0</v>
      </c>
      <c r="AD30" s="127">
        <v>361.0</v>
      </c>
      <c r="AE30" s="127">
        <v>114.0</v>
      </c>
      <c r="AF30" s="127">
        <v>32.0</v>
      </c>
      <c r="AG30" s="127">
        <v>44.0</v>
      </c>
      <c r="AH30" s="127">
        <v>8.0</v>
      </c>
      <c r="AI30" s="127"/>
      <c r="AJ30" s="127">
        <v>4599.0</v>
      </c>
      <c r="AK30" s="127">
        <v>3087.0</v>
      </c>
      <c r="AL30" s="127">
        <v>681.0</v>
      </c>
      <c r="AM30" s="127">
        <v>470.0</v>
      </c>
      <c r="AN30" s="127">
        <v>57.0</v>
      </c>
    </row>
    <row r="31">
      <c r="A31" s="126">
        <v>46014.0</v>
      </c>
      <c r="B31" s="127">
        <v>0.43661971830985913</v>
      </c>
      <c r="C31" s="127">
        <v>31.0</v>
      </c>
      <c r="D31" s="127">
        <v>71.0</v>
      </c>
      <c r="E31" s="127">
        <v>0.14018691588785046</v>
      </c>
      <c r="F31" s="127">
        <v>90.0</v>
      </c>
      <c r="G31" s="127">
        <v>642.0</v>
      </c>
      <c r="H31" s="127">
        <v>642.0</v>
      </c>
      <c r="I31" s="127">
        <v>0.0</v>
      </c>
      <c r="J31" s="127">
        <v>1402.0</v>
      </c>
      <c r="K31" s="127">
        <v>1402.0</v>
      </c>
      <c r="L31" s="127"/>
      <c r="M31" s="127">
        <v>2.1838006230529596</v>
      </c>
      <c r="N31" s="127">
        <v>2.1838006230529596</v>
      </c>
      <c r="O31" s="127"/>
      <c r="P31" s="127">
        <v>7040.0</v>
      </c>
      <c r="Q31" s="127">
        <v>633600.0</v>
      </c>
      <c r="R31" s="127">
        <v>90.0</v>
      </c>
      <c r="S31" s="127">
        <v>92.0</v>
      </c>
      <c r="T31" s="127">
        <v>0.25684232954545505</v>
      </c>
      <c r="U31" s="127">
        <v>470864.69999999966</v>
      </c>
      <c r="V31" s="127">
        <v>633600.0</v>
      </c>
      <c r="W31" s="127"/>
      <c r="X31" s="127"/>
      <c r="Y31" s="127"/>
      <c r="Z31" s="127"/>
      <c r="AA31" s="127"/>
      <c r="AB31" s="127">
        <v>0.0</v>
      </c>
      <c r="AC31" s="127">
        <v>0.0</v>
      </c>
      <c r="AD31" s="127">
        <v>446.0</v>
      </c>
      <c r="AE31" s="127">
        <v>211.0</v>
      </c>
      <c r="AF31" s="127">
        <v>60.0</v>
      </c>
      <c r="AG31" s="127">
        <v>87.0</v>
      </c>
      <c r="AH31" s="127">
        <v>22.0</v>
      </c>
      <c r="AI31" s="127"/>
      <c r="AJ31" s="127">
        <v>4818.0</v>
      </c>
      <c r="AK31" s="127">
        <v>3097.0</v>
      </c>
      <c r="AL31" s="127">
        <v>582.0</v>
      </c>
      <c r="AM31" s="127">
        <v>540.0</v>
      </c>
      <c r="AN31" s="127">
        <v>68.0</v>
      </c>
    </row>
    <row r="32">
      <c r="A32" s="126">
        <v>46015.0</v>
      </c>
      <c r="B32" s="127">
        <v>0.4878048780487805</v>
      </c>
      <c r="C32" s="127">
        <v>140.0</v>
      </c>
      <c r="D32" s="127">
        <v>287.0</v>
      </c>
      <c r="E32" s="127">
        <v>0.22701555869872703</v>
      </c>
      <c r="F32" s="127">
        <v>321.0</v>
      </c>
      <c r="G32" s="127">
        <v>1414.0</v>
      </c>
      <c r="H32" s="127">
        <v>1414.0</v>
      </c>
      <c r="I32" s="127">
        <v>0.0</v>
      </c>
      <c r="J32" s="127">
        <v>3108.0</v>
      </c>
      <c r="K32" s="127">
        <v>3108.0</v>
      </c>
      <c r="L32" s="127"/>
      <c r="M32" s="127">
        <v>2.198019801980198</v>
      </c>
      <c r="N32" s="127">
        <v>2.198019801980198</v>
      </c>
      <c r="O32" s="127"/>
      <c r="P32" s="127">
        <v>6887.85046728972</v>
      </c>
      <c r="Q32" s="127">
        <v>2211000.0</v>
      </c>
      <c r="R32" s="127">
        <v>321.0</v>
      </c>
      <c r="S32" s="127">
        <v>352.0</v>
      </c>
      <c r="T32" s="127">
        <v>0.2497980551786524</v>
      </c>
      <c r="U32" s="127">
        <v>1658696.4999999995</v>
      </c>
      <c r="V32" s="127">
        <v>2211000.0</v>
      </c>
      <c r="W32" s="127"/>
      <c r="X32" s="127"/>
      <c r="Y32" s="127"/>
      <c r="Z32" s="127"/>
      <c r="AA32" s="127"/>
      <c r="AB32" s="127">
        <v>0.0</v>
      </c>
      <c r="AC32" s="127">
        <v>0.0</v>
      </c>
      <c r="AD32" s="127">
        <v>465.0</v>
      </c>
      <c r="AE32" s="127">
        <v>246.0</v>
      </c>
      <c r="AF32" s="127">
        <v>81.0</v>
      </c>
      <c r="AG32" s="127">
        <v>112.0</v>
      </c>
      <c r="AH32" s="127">
        <v>25.0</v>
      </c>
      <c r="AI32" s="127"/>
      <c r="AJ32" s="127">
        <v>13141.0</v>
      </c>
      <c r="AK32" s="127">
        <v>11133.0</v>
      </c>
      <c r="AL32" s="127">
        <v>1333.0</v>
      </c>
      <c r="AM32" s="127">
        <v>2280.0</v>
      </c>
      <c r="AN32" s="127">
        <v>296.0</v>
      </c>
    </row>
    <row r="33">
      <c r="A33" s="126">
        <v>46016.0</v>
      </c>
      <c r="B33" s="127">
        <v>0.3173076923076923</v>
      </c>
      <c r="C33" s="127">
        <v>66.0</v>
      </c>
      <c r="D33" s="127">
        <v>208.0</v>
      </c>
      <c r="E33" s="127">
        <v>0.15517241379310345</v>
      </c>
      <c r="F33" s="127">
        <v>252.0</v>
      </c>
      <c r="G33" s="127">
        <v>1624.0</v>
      </c>
      <c r="H33" s="127">
        <v>1624.0</v>
      </c>
      <c r="I33" s="127">
        <v>0.0</v>
      </c>
      <c r="J33" s="127">
        <v>3606.0</v>
      </c>
      <c r="K33" s="127">
        <v>3606.0</v>
      </c>
      <c r="L33" s="127"/>
      <c r="M33" s="127">
        <v>2.2204433497536944</v>
      </c>
      <c r="N33" s="127">
        <v>2.2204433497536944</v>
      </c>
      <c r="O33" s="127"/>
      <c r="P33" s="127">
        <v>6713.492063492064</v>
      </c>
      <c r="Q33" s="127">
        <v>1691800.0</v>
      </c>
      <c r="R33" s="127">
        <v>252.0</v>
      </c>
      <c r="S33" s="127">
        <v>266.0</v>
      </c>
      <c r="T33" s="127">
        <v>0.19870061472987655</v>
      </c>
      <c r="U33" s="127">
        <v>1355638.299999995</v>
      </c>
      <c r="V33" s="127">
        <v>1691800.0</v>
      </c>
      <c r="W33" s="127"/>
      <c r="X33" s="127"/>
      <c r="Y33" s="127"/>
      <c r="Z33" s="127"/>
      <c r="AA33" s="127"/>
      <c r="AB33" s="127">
        <v>0.0</v>
      </c>
      <c r="AC33" s="127">
        <v>0.0</v>
      </c>
      <c r="AD33" s="127">
        <v>517.0</v>
      </c>
      <c r="AE33" s="127">
        <v>269.0</v>
      </c>
      <c r="AF33" s="127">
        <v>117.0</v>
      </c>
      <c r="AG33" s="127">
        <v>113.0</v>
      </c>
      <c r="AH33" s="127">
        <v>30.0</v>
      </c>
      <c r="AI33" s="127"/>
      <c r="AJ33" s="127">
        <v>11077.0</v>
      </c>
      <c r="AK33" s="127">
        <v>9307.0</v>
      </c>
      <c r="AL33" s="127">
        <v>1507.0</v>
      </c>
      <c r="AM33" s="127">
        <v>1551.0</v>
      </c>
      <c r="AN33" s="127">
        <v>222.0</v>
      </c>
    </row>
    <row r="34">
      <c r="A34" s="126">
        <v>46017.0</v>
      </c>
      <c r="B34" s="127">
        <v>0.4230769230769231</v>
      </c>
      <c r="C34" s="127">
        <v>22.0</v>
      </c>
      <c r="D34" s="127">
        <v>52.0</v>
      </c>
      <c r="E34" s="127">
        <v>0.08743169398907104</v>
      </c>
      <c r="F34" s="127">
        <v>80.0</v>
      </c>
      <c r="G34" s="127">
        <v>915.0</v>
      </c>
      <c r="H34" s="127">
        <v>915.0</v>
      </c>
      <c r="I34" s="127">
        <v>0.0</v>
      </c>
      <c r="J34" s="127">
        <v>1752.0</v>
      </c>
      <c r="K34" s="127">
        <v>1752.0</v>
      </c>
      <c r="L34" s="127"/>
      <c r="M34" s="127">
        <v>1.9147540983606557</v>
      </c>
      <c r="N34" s="127">
        <v>1.9147540983606557</v>
      </c>
      <c r="O34" s="127"/>
      <c r="P34" s="127">
        <v>7535.0</v>
      </c>
      <c r="Q34" s="127">
        <v>602800.0</v>
      </c>
      <c r="R34" s="127">
        <v>80.0</v>
      </c>
      <c r="S34" s="127">
        <v>84.0</v>
      </c>
      <c r="T34" s="127">
        <v>0.1395401459854011</v>
      </c>
      <c r="U34" s="127">
        <v>518685.20000000024</v>
      </c>
      <c r="V34" s="127">
        <v>602800.0</v>
      </c>
      <c r="W34" s="127"/>
      <c r="X34" s="127"/>
      <c r="Y34" s="127"/>
      <c r="Z34" s="127"/>
      <c r="AA34" s="127"/>
      <c r="AB34" s="127">
        <v>0.0</v>
      </c>
      <c r="AC34" s="127">
        <v>0.0</v>
      </c>
      <c r="AD34" s="127">
        <v>419.0</v>
      </c>
      <c r="AE34" s="127">
        <v>184.0</v>
      </c>
      <c r="AF34" s="127">
        <v>63.0</v>
      </c>
      <c r="AG34" s="127">
        <v>87.0</v>
      </c>
      <c r="AH34" s="127">
        <v>18.0</v>
      </c>
      <c r="AI34" s="127"/>
      <c r="AJ34" s="127">
        <v>5668.0</v>
      </c>
      <c r="AK34" s="127">
        <v>4236.0</v>
      </c>
      <c r="AL34" s="127">
        <v>852.0</v>
      </c>
      <c r="AM34" s="127">
        <v>599.0</v>
      </c>
      <c r="AN34" s="127">
        <v>62.0</v>
      </c>
    </row>
    <row r="35">
      <c r="A35" s="126">
        <v>46018.0</v>
      </c>
      <c r="B35" s="127">
        <v>0.5</v>
      </c>
      <c r="C35" s="127">
        <v>37.0</v>
      </c>
      <c r="D35" s="127">
        <v>74.0</v>
      </c>
      <c r="E35" s="127">
        <v>0.11124260355029586</v>
      </c>
      <c r="F35" s="127">
        <v>94.0</v>
      </c>
      <c r="G35" s="127">
        <v>845.0</v>
      </c>
      <c r="H35" s="127">
        <v>845.0</v>
      </c>
      <c r="I35" s="127">
        <v>0.0</v>
      </c>
      <c r="J35" s="127">
        <v>1710.0</v>
      </c>
      <c r="K35" s="127">
        <v>1710.0</v>
      </c>
      <c r="L35" s="127"/>
      <c r="M35" s="127">
        <v>2.0236686390532546</v>
      </c>
      <c r="N35" s="127">
        <v>2.0236686390532546</v>
      </c>
      <c r="O35" s="127"/>
      <c r="P35" s="127">
        <v>7360.63829787234</v>
      </c>
      <c r="Q35" s="127">
        <v>691900.0</v>
      </c>
      <c r="R35" s="127">
        <v>94.0</v>
      </c>
      <c r="S35" s="127">
        <v>99.0</v>
      </c>
      <c r="T35" s="127">
        <v>0.12446422893481757</v>
      </c>
      <c r="U35" s="127">
        <v>605783.1999999997</v>
      </c>
      <c r="V35" s="127">
        <v>691900.0</v>
      </c>
      <c r="W35" s="127"/>
      <c r="X35" s="127"/>
      <c r="Y35" s="127"/>
      <c r="Z35" s="127"/>
      <c r="AA35" s="127"/>
      <c r="AB35" s="127">
        <v>0.0</v>
      </c>
      <c r="AC35" s="127">
        <v>0.0</v>
      </c>
      <c r="AD35" s="127">
        <v>427.0</v>
      </c>
      <c r="AE35" s="127">
        <v>183.0</v>
      </c>
      <c r="AF35" s="127">
        <v>51.0</v>
      </c>
      <c r="AG35" s="127">
        <v>91.0</v>
      </c>
      <c r="AH35" s="127">
        <v>18.0</v>
      </c>
      <c r="AI35" s="127"/>
      <c r="AJ35" s="127">
        <v>5106.0</v>
      </c>
      <c r="AK35" s="127">
        <v>3699.0</v>
      </c>
      <c r="AL35" s="127">
        <v>794.0</v>
      </c>
      <c r="AM35" s="127">
        <v>613.0</v>
      </c>
      <c r="AN35" s="127">
        <v>76.0</v>
      </c>
    </row>
    <row r="36">
      <c r="A36" s="126">
        <v>46019.0</v>
      </c>
      <c r="B36" s="127">
        <v>0.30985915492957744</v>
      </c>
      <c r="C36" s="127">
        <v>22.0</v>
      </c>
      <c r="D36" s="127">
        <v>71.0</v>
      </c>
      <c r="E36" s="127">
        <v>0.09699321047526673</v>
      </c>
      <c r="F36" s="127">
        <v>100.0</v>
      </c>
      <c r="G36" s="127">
        <v>1031.0</v>
      </c>
      <c r="H36" s="127">
        <v>1031.0</v>
      </c>
      <c r="I36" s="127">
        <v>0.0</v>
      </c>
      <c r="J36" s="127">
        <v>1861.0</v>
      </c>
      <c r="K36" s="127">
        <v>1861.0</v>
      </c>
      <c r="L36" s="127"/>
      <c r="M36" s="127">
        <v>1.805043646944714</v>
      </c>
      <c r="N36" s="127">
        <v>1.805043646944714</v>
      </c>
      <c r="O36" s="127"/>
      <c r="P36" s="127">
        <v>7590.0</v>
      </c>
      <c r="Q36" s="127">
        <v>759000.0</v>
      </c>
      <c r="R36" s="127">
        <v>100.0</v>
      </c>
      <c r="S36" s="127">
        <v>109.0</v>
      </c>
      <c r="T36" s="127">
        <v>0.10155810276680033</v>
      </c>
      <c r="U36" s="127">
        <v>681917.3999999985</v>
      </c>
      <c r="V36" s="127">
        <v>759000.0</v>
      </c>
      <c r="W36" s="127"/>
      <c r="X36" s="127"/>
      <c r="Y36" s="127"/>
      <c r="Z36" s="127"/>
      <c r="AA36" s="127"/>
      <c r="AB36" s="127">
        <v>0.0</v>
      </c>
      <c r="AC36" s="127">
        <v>0.0</v>
      </c>
      <c r="AD36" s="127">
        <v>538.0</v>
      </c>
      <c r="AE36" s="127">
        <v>227.0</v>
      </c>
      <c r="AF36" s="127">
        <v>66.0</v>
      </c>
      <c r="AG36" s="127">
        <v>86.0</v>
      </c>
      <c r="AH36" s="127">
        <v>14.0</v>
      </c>
      <c r="AI36" s="127"/>
      <c r="AJ36" s="127">
        <v>6030.0</v>
      </c>
      <c r="AK36" s="127">
        <v>4260.0</v>
      </c>
      <c r="AL36" s="127">
        <v>965.0</v>
      </c>
      <c r="AM36" s="127">
        <v>699.0</v>
      </c>
      <c r="AN36" s="127">
        <v>86.0</v>
      </c>
    </row>
    <row r="37">
      <c r="A37" s="126">
        <v>46020.0</v>
      </c>
      <c r="B37" s="127">
        <v>0.46774193548387094</v>
      </c>
      <c r="C37" s="127">
        <v>29.0</v>
      </c>
      <c r="D37" s="127">
        <v>62.0</v>
      </c>
      <c r="E37" s="127">
        <v>0.09513274336283185</v>
      </c>
      <c r="F37" s="127">
        <v>86.0</v>
      </c>
      <c r="G37" s="127">
        <v>904.0</v>
      </c>
      <c r="H37" s="127">
        <v>904.0</v>
      </c>
      <c r="I37" s="127">
        <v>0.0</v>
      </c>
      <c r="J37" s="127">
        <v>1648.0</v>
      </c>
      <c r="K37" s="127">
        <v>1648.0</v>
      </c>
      <c r="L37" s="127"/>
      <c r="M37" s="127">
        <v>1.823008849557522</v>
      </c>
      <c r="N37" s="127">
        <v>1.823008849557522</v>
      </c>
      <c r="O37" s="127"/>
      <c r="P37" s="127">
        <v>7610.46511627907</v>
      </c>
      <c r="Q37" s="127">
        <v>654500.0</v>
      </c>
      <c r="R37" s="127">
        <v>86.0</v>
      </c>
      <c r="S37" s="127">
        <v>92.0</v>
      </c>
      <c r="T37" s="127">
        <v>0.18233155080213925</v>
      </c>
      <c r="U37" s="127">
        <v>535163.9999999999</v>
      </c>
      <c r="V37" s="127">
        <v>654500.0</v>
      </c>
      <c r="W37" s="127"/>
      <c r="X37" s="127"/>
      <c r="Y37" s="127"/>
      <c r="Z37" s="127"/>
      <c r="AA37" s="127"/>
      <c r="AB37" s="127">
        <v>0.0</v>
      </c>
      <c r="AC37" s="127">
        <v>0.0</v>
      </c>
      <c r="AD37" s="127">
        <v>521.0</v>
      </c>
      <c r="AE37" s="127">
        <v>174.0</v>
      </c>
      <c r="AF37" s="127">
        <v>57.0</v>
      </c>
      <c r="AG37" s="127">
        <v>81.0</v>
      </c>
      <c r="AH37" s="127">
        <v>18.0</v>
      </c>
      <c r="AI37" s="127"/>
      <c r="AJ37" s="127">
        <v>5196.0</v>
      </c>
      <c r="AK37" s="127">
        <v>3697.0</v>
      </c>
      <c r="AL37" s="127">
        <v>847.0</v>
      </c>
      <c r="AM37" s="127">
        <v>513.0</v>
      </c>
      <c r="AN37" s="127">
        <v>68.0</v>
      </c>
    </row>
    <row r="38">
      <c r="A38" s="126">
        <v>46021.0</v>
      </c>
      <c r="B38" s="127">
        <v>0.4782608695652174</v>
      </c>
      <c r="C38" s="127">
        <v>22.0</v>
      </c>
      <c r="D38" s="127">
        <v>46.0</v>
      </c>
      <c r="E38" s="127">
        <v>0.07966457023060797</v>
      </c>
      <c r="F38" s="127">
        <v>76.0</v>
      </c>
      <c r="G38" s="127">
        <v>954.0</v>
      </c>
      <c r="H38" s="127">
        <v>954.0</v>
      </c>
      <c r="I38" s="127">
        <v>0.0</v>
      </c>
      <c r="J38" s="127">
        <v>1748.0</v>
      </c>
      <c r="K38" s="127">
        <v>1748.0</v>
      </c>
      <c r="L38" s="127"/>
      <c r="M38" s="127">
        <v>1.8322851153039832</v>
      </c>
      <c r="N38" s="127">
        <v>1.8322851153039832</v>
      </c>
      <c r="O38" s="127"/>
      <c r="P38" s="127">
        <v>7077.631578947368</v>
      </c>
      <c r="Q38" s="127">
        <v>537900.0</v>
      </c>
      <c r="R38" s="127">
        <v>76.0</v>
      </c>
      <c r="S38" s="127">
        <v>84.0</v>
      </c>
      <c r="T38" s="127">
        <v>-0.09725432236474996</v>
      </c>
      <c r="U38" s="127">
        <v>590213.099999999</v>
      </c>
      <c r="V38" s="127">
        <v>537900.0</v>
      </c>
      <c r="W38" s="127"/>
      <c r="X38" s="127"/>
      <c r="Y38" s="127"/>
      <c r="Z38" s="127"/>
      <c r="AA38" s="127"/>
      <c r="AB38" s="127">
        <v>0.0</v>
      </c>
      <c r="AC38" s="127">
        <v>0.0</v>
      </c>
      <c r="AD38" s="127">
        <v>418.0</v>
      </c>
      <c r="AE38" s="127">
        <v>121.0</v>
      </c>
      <c r="AF38" s="127">
        <v>38.0</v>
      </c>
      <c r="AG38" s="127">
        <v>35.0</v>
      </c>
      <c r="AH38" s="127">
        <v>9.0</v>
      </c>
      <c r="AI38" s="127"/>
      <c r="AJ38" s="127">
        <v>5889.0</v>
      </c>
      <c r="AK38" s="127">
        <v>4257.0</v>
      </c>
      <c r="AL38" s="127">
        <v>916.0</v>
      </c>
      <c r="AM38" s="127">
        <v>513.0</v>
      </c>
      <c r="AN38" s="127">
        <v>67.0</v>
      </c>
    </row>
    <row r="39">
      <c r="A39" s="126">
        <v>46022.0</v>
      </c>
      <c r="B39" s="127">
        <v>0.4642857142857143</v>
      </c>
      <c r="C39" s="127">
        <v>26.0</v>
      </c>
      <c r="D39" s="127">
        <v>56.0</v>
      </c>
      <c r="E39" s="127">
        <v>0.11358811040339703</v>
      </c>
      <c r="F39" s="127">
        <v>107.0</v>
      </c>
      <c r="G39" s="127">
        <v>942.0</v>
      </c>
      <c r="H39" s="127">
        <v>942.0</v>
      </c>
      <c r="I39" s="127">
        <v>0.0</v>
      </c>
      <c r="J39" s="127">
        <v>1774.0</v>
      </c>
      <c r="K39" s="127">
        <v>1774.0</v>
      </c>
      <c r="L39" s="127"/>
      <c r="M39" s="127">
        <v>1.8832271762208068</v>
      </c>
      <c r="N39" s="127">
        <v>1.8832271762208068</v>
      </c>
      <c r="O39" s="127"/>
      <c r="P39" s="127">
        <v>7124.2990654205605</v>
      </c>
      <c r="Q39" s="127">
        <v>762300.0</v>
      </c>
      <c r="R39" s="127">
        <v>107.0</v>
      </c>
      <c r="S39" s="127">
        <v>112.0</v>
      </c>
      <c r="T39" s="127">
        <v>0.0254729109274604</v>
      </c>
      <c r="U39" s="127">
        <v>742881.999999997</v>
      </c>
      <c r="V39" s="127">
        <v>762300.0</v>
      </c>
      <c r="W39" s="127"/>
      <c r="X39" s="127"/>
      <c r="Y39" s="127"/>
      <c r="Z39" s="127"/>
      <c r="AA39" s="127"/>
      <c r="AB39" s="127">
        <v>0.0</v>
      </c>
      <c r="AC39" s="127">
        <v>0.0</v>
      </c>
      <c r="AD39" s="127">
        <v>283.0</v>
      </c>
      <c r="AE39" s="127">
        <v>98.0</v>
      </c>
      <c r="AF39" s="127">
        <v>20.0</v>
      </c>
      <c r="AG39" s="127">
        <v>36.0</v>
      </c>
      <c r="AH39" s="127">
        <v>6.0</v>
      </c>
      <c r="AI39" s="127"/>
      <c r="AJ39" s="127">
        <v>7055.0</v>
      </c>
      <c r="AK39" s="127">
        <v>4945.0</v>
      </c>
      <c r="AL39" s="127">
        <v>922.0</v>
      </c>
      <c r="AM39" s="127">
        <v>657.0</v>
      </c>
      <c r="AN39" s="127">
        <v>101.0</v>
      </c>
    </row>
    <row r="40">
      <c r="A40" s="126">
        <v>46023.0</v>
      </c>
      <c r="B40" s="127">
        <v>0.32407407407407407</v>
      </c>
      <c r="C40" s="127">
        <v>35.0</v>
      </c>
      <c r="D40" s="127">
        <v>108.0</v>
      </c>
      <c r="E40" s="127">
        <v>0.11381531853972798</v>
      </c>
      <c r="F40" s="127">
        <v>159.0</v>
      </c>
      <c r="G40" s="127">
        <v>1397.0</v>
      </c>
      <c r="H40" s="127">
        <v>1397.0</v>
      </c>
      <c r="I40" s="127">
        <v>0.0</v>
      </c>
      <c r="J40" s="127">
        <v>2605.0</v>
      </c>
      <c r="K40" s="127">
        <v>2605.0</v>
      </c>
      <c r="L40" s="127"/>
      <c r="M40" s="127">
        <v>1.8647100930565497</v>
      </c>
      <c r="N40" s="127">
        <v>1.8647100930565497</v>
      </c>
      <c r="O40" s="127"/>
      <c r="P40" s="127">
        <v>7042.767295597484</v>
      </c>
      <c r="Q40" s="127">
        <v>1119800.0</v>
      </c>
      <c r="R40" s="127">
        <v>159.0</v>
      </c>
      <c r="S40" s="127">
        <v>171.0</v>
      </c>
      <c r="T40" s="127">
        <v>0.1533598856938747</v>
      </c>
      <c r="U40" s="127">
        <v>948067.599999999</v>
      </c>
      <c r="V40" s="127">
        <v>1119800.0</v>
      </c>
      <c r="W40" s="127"/>
      <c r="X40" s="127"/>
      <c r="Y40" s="127"/>
      <c r="Z40" s="127"/>
      <c r="AA40" s="127"/>
      <c r="AB40" s="127">
        <v>0.0</v>
      </c>
      <c r="AC40" s="127">
        <v>0.0</v>
      </c>
      <c r="AD40" s="127">
        <v>423.0</v>
      </c>
      <c r="AE40" s="127">
        <v>162.0</v>
      </c>
      <c r="AF40" s="127">
        <v>47.0</v>
      </c>
      <c r="AG40" s="127">
        <v>54.0</v>
      </c>
      <c r="AH40" s="127">
        <v>10.0</v>
      </c>
      <c r="AI40" s="127"/>
      <c r="AJ40" s="127">
        <v>9004.0</v>
      </c>
      <c r="AK40" s="127">
        <v>6745.0</v>
      </c>
      <c r="AL40" s="127">
        <v>1350.0</v>
      </c>
      <c r="AM40" s="127">
        <v>1027.0</v>
      </c>
      <c r="AN40" s="127">
        <v>149.0</v>
      </c>
    </row>
    <row r="41">
      <c r="A41" s="126">
        <v>46024.0</v>
      </c>
      <c r="B41" s="127">
        <v>0.4716981132075472</v>
      </c>
      <c r="C41" s="127">
        <v>25.0</v>
      </c>
      <c r="D41" s="127">
        <v>53.0</v>
      </c>
      <c r="E41" s="127">
        <v>0.10066225165562914</v>
      </c>
      <c r="F41" s="127">
        <v>76.0</v>
      </c>
      <c r="G41" s="127">
        <v>755.0</v>
      </c>
      <c r="H41" s="127">
        <v>755.0</v>
      </c>
      <c r="I41" s="127">
        <v>0.0</v>
      </c>
      <c r="J41" s="127">
        <v>1373.0</v>
      </c>
      <c r="K41" s="127">
        <v>1373.0</v>
      </c>
      <c r="L41" s="127"/>
      <c r="M41" s="127">
        <v>1.818543046357616</v>
      </c>
      <c r="N41" s="127">
        <v>1.818543046357616</v>
      </c>
      <c r="O41" s="127"/>
      <c r="P41" s="127">
        <v>7063.1578947368425</v>
      </c>
      <c r="Q41" s="127">
        <v>536800.0</v>
      </c>
      <c r="R41" s="127">
        <v>76.0</v>
      </c>
      <c r="S41" s="127">
        <v>83.0</v>
      </c>
      <c r="T41" s="127">
        <v>-0.03384463487332323</v>
      </c>
      <c r="U41" s="127">
        <v>554967.7999999999</v>
      </c>
      <c r="V41" s="127">
        <v>536800.0</v>
      </c>
      <c r="W41" s="127"/>
      <c r="X41" s="127"/>
      <c r="Y41" s="127"/>
      <c r="Z41" s="127"/>
      <c r="AA41" s="127"/>
      <c r="AB41" s="127">
        <v>0.0</v>
      </c>
      <c r="AC41" s="127">
        <v>0.0</v>
      </c>
      <c r="AD41" s="127">
        <v>329.0</v>
      </c>
      <c r="AE41" s="127">
        <v>93.0</v>
      </c>
      <c r="AF41" s="127">
        <v>17.0</v>
      </c>
      <c r="AG41" s="127">
        <v>30.0</v>
      </c>
      <c r="AH41" s="127">
        <v>2.0</v>
      </c>
      <c r="AI41" s="127"/>
      <c r="AJ41" s="127">
        <v>6720.0</v>
      </c>
      <c r="AK41" s="127">
        <v>4751.0</v>
      </c>
      <c r="AL41" s="127">
        <v>738.0</v>
      </c>
      <c r="AM41" s="127">
        <v>570.0</v>
      </c>
      <c r="AN41" s="127">
        <v>74.0</v>
      </c>
    </row>
    <row r="42">
      <c r="A42" s="126">
        <v>46025.0</v>
      </c>
      <c r="B42" s="127">
        <v>0.41509433962264153</v>
      </c>
      <c r="C42" s="127">
        <v>22.0</v>
      </c>
      <c r="D42" s="127">
        <v>53.0</v>
      </c>
      <c r="E42" s="127">
        <v>0.07692307692307693</v>
      </c>
      <c r="F42" s="127">
        <v>83.0</v>
      </c>
      <c r="G42" s="127">
        <v>1079.0</v>
      </c>
      <c r="H42" s="127">
        <v>1079.0</v>
      </c>
      <c r="I42" s="127">
        <v>0.0</v>
      </c>
      <c r="J42" s="127">
        <v>1976.0</v>
      </c>
      <c r="K42" s="127">
        <v>1976.0</v>
      </c>
      <c r="L42" s="127"/>
      <c r="M42" s="127">
        <v>1.8313253012048192</v>
      </c>
      <c r="N42" s="127">
        <v>1.8313253012048192</v>
      </c>
      <c r="O42" s="127"/>
      <c r="P42" s="127">
        <v>6891.566265060241</v>
      </c>
      <c r="Q42" s="127">
        <v>572000.0</v>
      </c>
      <c r="R42" s="127">
        <v>83.0</v>
      </c>
      <c r="S42" s="127">
        <v>86.0</v>
      </c>
      <c r="T42" s="127">
        <v>0.04716800699301038</v>
      </c>
      <c r="U42" s="127">
        <v>545019.899999998</v>
      </c>
      <c r="V42" s="127">
        <v>572000.0</v>
      </c>
      <c r="W42" s="127"/>
      <c r="X42" s="127"/>
      <c r="Y42" s="127"/>
      <c r="Z42" s="127"/>
      <c r="AA42" s="127"/>
      <c r="AB42" s="127">
        <v>0.0</v>
      </c>
      <c r="AC42" s="127">
        <v>0.0</v>
      </c>
      <c r="AD42" s="127">
        <v>362.0</v>
      </c>
      <c r="AE42" s="127">
        <v>101.0</v>
      </c>
      <c r="AF42" s="127">
        <v>26.0</v>
      </c>
      <c r="AG42" s="127">
        <v>32.0</v>
      </c>
      <c r="AH42" s="127">
        <v>7.0</v>
      </c>
      <c r="AI42" s="127"/>
      <c r="AJ42" s="127">
        <v>7322.0</v>
      </c>
      <c r="AK42" s="127">
        <v>5562.0</v>
      </c>
      <c r="AL42" s="127">
        <v>1053.0</v>
      </c>
      <c r="AM42" s="127">
        <v>678.0</v>
      </c>
      <c r="AN42" s="127">
        <v>76.0</v>
      </c>
    </row>
    <row r="43">
      <c r="A43" s="126">
        <v>46026.0</v>
      </c>
      <c r="B43" s="127">
        <v>0.4444444444444444</v>
      </c>
      <c r="C43" s="127">
        <v>20.0</v>
      </c>
      <c r="D43" s="127">
        <v>45.0</v>
      </c>
      <c r="E43" s="127">
        <v>0.07420091324200913</v>
      </c>
      <c r="F43" s="127">
        <v>65.0</v>
      </c>
      <c r="G43" s="127">
        <v>876.0</v>
      </c>
      <c r="H43" s="127">
        <v>876.0</v>
      </c>
      <c r="I43" s="127">
        <v>0.0</v>
      </c>
      <c r="J43" s="127">
        <v>1786.0</v>
      </c>
      <c r="K43" s="127">
        <v>1786.0</v>
      </c>
      <c r="L43" s="127"/>
      <c r="M43" s="127">
        <v>2.038812785388128</v>
      </c>
      <c r="N43" s="127">
        <v>2.038812785388128</v>
      </c>
      <c r="O43" s="127"/>
      <c r="P43" s="127">
        <v>6633.846153846154</v>
      </c>
      <c r="Q43" s="127">
        <v>431200.0</v>
      </c>
      <c r="R43" s="127">
        <v>65.0</v>
      </c>
      <c r="S43" s="127">
        <v>68.0</v>
      </c>
      <c r="T43" s="127">
        <v>-0.05895129870129634</v>
      </c>
      <c r="U43" s="127">
        <v>456619.799999999</v>
      </c>
      <c r="V43" s="127">
        <v>431200.0</v>
      </c>
      <c r="W43" s="127"/>
      <c r="X43" s="127"/>
      <c r="Y43" s="127"/>
      <c r="Z43" s="127"/>
      <c r="AA43" s="127"/>
      <c r="AB43" s="127">
        <v>0.0</v>
      </c>
      <c r="AC43" s="127">
        <v>0.0</v>
      </c>
      <c r="AD43" s="127">
        <v>360.0</v>
      </c>
      <c r="AE43" s="127">
        <v>120.0</v>
      </c>
      <c r="AF43" s="127">
        <v>36.0</v>
      </c>
      <c r="AG43" s="127">
        <v>36.0</v>
      </c>
      <c r="AH43" s="127">
        <v>4.0</v>
      </c>
      <c r="AI43" s="127"/>
      <c r="AJ43" s="127">
        <v>7232.0</v>
      </c>
      <c r="AK43" s="127">
        <v>5598.0</v>
      </c>
      <c r="AL43" s="127">
        <v>840.0</v>
      </c>
      <c r="AM43" s="127">
        <v>589.0</v>
      </c>
      <c r="AN43" s="127">
        <v>61.0</v>
      </c>
    </row>
    <row r="44">
      <c r="A44" s="126">
        <v>46027.0</v>
      </c>
      <c r="B44" s="127">
        <v>0.4666666666666667</v>
      </c>
      <c r="C44" s="127">
        <v>14.0</v>
      </c>
      <c r="D44" s="127">
        <v>30.0</v>
      </c>
      <c r="E44" s="127">
        <v>0.05897114178168131</v>
      </c>
      <c r="F44" s="127">
        <v>47.0</v>
      </c>
      <c r="G44" s="127">
        <v>797.0</v>
      </c>
      <c r="H44" s="127">
        <v>797.0</v>
      </c>
      <c r="I44" s="127">
        <v>0.0</v>
      </c>
      <c r="J44" s="127">
        <v>1347.0</v>
      </c>
      <c r="K44" s="127">
        <v>1347.0</v>
      </c>
      <c r="L44" s="127"/>
      <c r="M44" s="127">
        <v>1.6900878293601003</v>
      </c>
      <c r="N44" s="127">
        <v>1.6900878293601003</v>
      </c>
      <c r="O44" s="127"/>
      <c r="P44" s="127">
        <v>7723.404255319149</v>
      </c>
      <c r="Q44" s="127">
        <v>363000.0</v>
      </c>
      <c r="R44" s="127">
        <v>47.0</v>
      </c>
      <c r="S44" s="127">
        <v>53.0</v>
      </c>
      <c r="T44" s="127">
        <v>-0.11952837465564814</v>
      </c>
      <c r="U44" s="127">
        <v>406388.8000000003</v>
      </c>
      <c r="V44" s="127">
        <v>363000.0</v>
      </c>
      <c r="W44" s="127"/>
      <c r="X44" s="127"/>
      <c r="Y44" s="127"/>
      <c r="Z44" s="127"/>
      <c r="AA44" s="127"/>
      <c r="AB44" s="127">
        <v>0.0</v>
      </c>
      <c r="AC44" s="127">
        <v>0.0</v>
      </c>
      <c r="AD44" s="127">
        <v>284.0</v>
      </c>
      <c r="AE44" s="127">
        <v>81.0</v>
      </c>
      <c r="AF44" s="127">
        <v>25.0</v>
      </c>
      <c r="AG44" s="127">
        <v>25.0</v>
      </c>
      <c r="AH44" s="127">
        <v>3.0</v>
      </c>
      <c r="AI44" s="127"/>
      <c r="AJ44" s="127">
        <v>5876.0</v>
      </c>
      <c r="AK44" s="127">
        <v>4348.0</v>
      </c>
      <c r="AL44" s="127">
        <v>772.0</v>
      </c>
      <c r="AM44" s="127">
        <v>422.0</v>
      </c>
      <c r="AN44" s="127">
        <v>44.0</v>
      </c>
    </row>
    <row r="45">
      <c r="A45" s="126">
        <v>46028.0</v>
      </c>
      <c r="B45" s="127">
        <v>0.4523809523809524</v>
      </c>
      <c r="C45" s="127">
        <v>19.0</v>
      </c>
      <c r="D45" s="127">
        <v>42.0</v>
      </c>
      <c r="E45" s="127">
        <v>0.09320905459387484</v>
      </c>
      <c r="F45" s="127">
        <v>70.0</v>
      </c>
      <c r="G45" s="127">
        <v>751.0</v>
      </c>
      <c r="H45" s="127">
        <v>751.0</v>
      </c>
      <c r="I45" s="127">
        <v>0.0</v>
      </c>
      <c r="J45" s="127">
        <v>1323.0</v>
      </c>
      <c r="K45" s="127">
        <v>1323.0</v>
      </c>
      <c r="L45" s="127"/>
      <c r="M45" s="127">
        <v>1.7616511318242343</v>
      </c>
      <c r="N45" s="127">
        <v>1.7616511318242343</v>
      </c>
      <c r="O45" s="127"/>
      <c r="P45" s="127">
        <v>6867.142857142857</v>
      </c>
      <c r="Q45" s="127">
        <v>480700.0</v>
      </c>
      <c r="R45" s="127">
        <v>70.0</v>
      </c>
      <c r="S45" s="127">
        <v>75.0</v>
      </c>
      <c r="T45" s="127">
        <v>0.05634949032660708</v>
      </c>
      <c r="U45" s="127">
        <v>453612.8</v>
      </c>
      <c r="V45" s="127">
        <v>480700.0</v>
      </c>
      <c r="W45" s="127"/>
      <c r="X45" s="127"/>
      <c r="Y45" s="127"/>
      <c r="Z45" s="127"/>
      <c r="AA45" s="127"/>
      <c r="AB45" s="127">
        <v>0.0</v>
      </c>
      <c r="AC45" s="127">
        <v>0.0</v>
      </c>
      <c r="AD45" s="127">
        <v>324.0</v>
      </c>
      <c r="AE45" s="127">
        <v>96.0</v>
      </c>
      <c r="AF45" s="127">
        <v>25.0</v>
      </c>
      <c r="AG45" s="127">
        <v>34.0</v>
      </c>
      <c r="AH45" s="127">
        <v>10.0</v>
      </c>
      <c r="AI45" s="127"/>
      <c r="AJ45" s="127">
        <v>5795.0</v>
      </c>
      <c r="AK45" s="127">
        <v>4294.0</v>
      </c>
      <c r="AL45" s="127">
        <v>726.0</v>
      </c>
      <c r="AM45" s="127">
        <v>458.0</v>
      </c>
      <c r="AN45" s="127">
        <v>60.0</v>
      </c>
    </row>
    <row r="46">
      <c r="A46" s="126">
        <v>46029.0</v>
      </c>
      <c r="B46" s="127">
        <v>0.4074074074074074</v>
      </c>
      <c r="C46" s="127">
        <v>11.0</v>
      </c>
      <c r="D46" s="127">
        <v>27.0</v>
      </c>
      <c r="E46" s="127">
        <v>0.0748792270531401</v>
      </c>
      <c r="F46" s="127">
        <v>62.0</v>
      </c>
      <c r="G46" s="127">
        <v>828.0</v>
      </c>
      <c r="H46" s="127">
        <v>828.0</v>
      </c>
      <c r="I46" s="127">
        <v>0.0</v>
      </c>
      <c r="J46" s="127">
        <v>1387.0</v>
      </c>
      <c r="K46" s="127">
        <v>1387.0</v>
      </c>
      <c r="L46" s="127"/>
      <c r="M46" s="127">
        <v>1.6751207729468598</v>
      </c>
      <c r="N46" s="127">
        <v>1.6751207729468598</v>
      </c>
      <c r="O46" s="127"/>
      <c r="P46" s="127">
        <v>7274.193548387097</v>
      </c>
      <c r="Q46" s="127">
        <v>451000.0</v>
      </c>
      <c r="R46" s="127">
        <v>62.0</v>
      </c>
      <c r="S46" s="127">
        <v>66.0</v>
      </c>
      <c r="T46" s="127">
        <v>-0.031503104212861066</v>
      </c>
      <c r="U46" s="127">
        <v>465207.9000000003</v>
      </c>
      <c r="V46" s="127">
        <v>451000.0</v>
      </c>
      <c r="W46" s="127"/>
      <c r="X46" s="127"/>
      <c r="Y46" s="127"/>
      <c r="Z46" s="127"/>
      <c r="AA46" s="127"/>
      <c r="AB46" s="127">
        <v>0.0</v>
      </c>
      <c r="AC46" s="127">
        <v>0.0</v>
      </c>
      <c r="AD46" s="127">
        <v>366.0</v>
      </c>
      <c r="AE46" s="127">
        <v>86.0</v>
      </c>
      <c r="AF46" s="127">
        <v>17.0</v>
      </c>
      <c r="AG46" s="127">
        <v>27.0</v>
      </c>
      <c r="AH46" s="127">
        <v>2.0</v>
      </c>
      <c r="AI46" s="127"/>
      <c r="AJ46" s="127">
        <v>6059.0</v>
      </c>
      <c r="AK46" s="127">
        <v>4574.0</v>
      </c>
      <c r="AL46" s="127">
        <v>811.0</v>
      </c>
      <c r="AM46" s="127">
        <v>432.0</v>
      </c>
      <c r="AN46" s="127">
        <v>60.0</v>
      </c>
    </row>
    <row r="47">
      <c r="A47" s="126">
        <v>46030.0</v>
      </c>
      <c r="B47" s="127">
        <v>0.4146341463414634</v>
      </c>
      <c r="C47" s="127">
        <v>17.0</v>
      </c>
      <c r="D47" s="127">
        <v>41.0</v>
      </c>
      <c r="E47" s="127">
        <v>0.08021390374331551</v>
      </c>
      <c r="F47" s="127">
        <v>60.0</v>
      </c>
      <c r="G47" s="127">
        <v>748.0</v>
      </c>
      <c r="H47" s="127">
        <v>748.0</v>
      </c>
      <c r="I47" s="127">
        <v>0.0</v>
      </c>
      <c r="J47" s="127">
        <v>1244.0</v>
      </c>
      <c r="K47" s="127">
        <v>1244.0</v>
      </c>
      <c r="L47" s="127"/>
      <c r="M47" s="127">
        <v>1.6631016042780749</v>
      </c>
      <c r="N47" s="127">
        <v>1.6631016042780749</v>
      </c>
      <c r="O47" s="127"/>
      <c r="P47" s="127">
        <v>5848.333333333333</v>
      </c>
      <c r="Q47" s="127">
        <v>350900.0</v>
      </c>
      <c r="R47" s="127">
        <v>60.0</v>
      </c>
      <c r="S47" s="127">
        <v>60.0</v>
      </c>
      <c r="T47" s="127">
        <v>-0.23068082074665375</v>
      </c>
      <c r="U47" s="127">
        <v>431845.9000000008</v>
      </c>
      <c r="V47" s="127">
        <v>350900.0</v>
      </c>
      <c r="W47" s="127"/>
      <c r="X47" s="127"/>
      <c r="Y47" s="127"/>
      <c r="Z47" s="127"/>
      <c r="AA47" s="127"/>
      <c r="AB47" s="127">
        <v>0.0</v>
      </c>
      <c r="AC47" s="127">
        <v>0.0</v>
      </c>
      <c r="AD47" s="127">
        <v>343.0</v>
      </c>
      <c r="AE47" s="127">
        <v>100.0</v>
      </c>
      <c r="AF47" s="127">
        <v>22.0</v>
      </c>
      <c r="AG47" s="127">
        <v>22.0</v>
      </c>
      <c r="AH47" s="127">
        <v>7.0</v>
      </c>
      <c r="AI47" s="127"/>
      <c r="AJ47" s="127">
        <v>5340.0</v>
      </c>
      <c r="AK47" s="127">
        <v>3894.0</v>
      </c>
      <c r="AL47" s="127">
        <v>726.0</v>
      </c>
      <c r="AM47" s="127">
        <v>370.0</v>
      </c>
      <c r="AN47" s="127">
        <v>53.0</v>
      </c>
    </row>
    <row r="48">
      <c r="A48" s="126">
        <v>46031.0</v>
      </c>
      <c r="B48" s="127">
        <v>0.29411764705882354</v>
      </c>
      <c r="C48" s="127">
        <v>10.0</v>
      </c>
      <c r="D48" s="127">
        <v>34.0</v>
      </c>
      <c r="E48" s="127">
        <v>0.08547008547008547</v>
      </c>
      <c r="F48" s="127">
        <v>60.0</v>
      </c>
      <c r="G48" s="127">
        <v>702.0</v>
      </c>
      <c r="H48" s="127">
        <v>702.0</v>
      </c>
      <c r="I48" s="127">
        <v>0.0</v>
      </c>
      <c r="J48" s="127">
        <v>1128.0</v>
      </c>
      <c r="K48" s="127">
        <v>1128.0</v>
      </c>
      <c r="L48" s="127"/>
      <c r="M48" s="127">
        <v>1.606837606837607</v>
      </c>
      <c r="N48" s="127">
        <v>1.606837606837607</v>
      </c>
      <c r="O48" s="127"/>
      <c r="P48" s="127">
        <v>5976.666666666667</v>
      </c>
      <c r="Q48" s="127">
        <v>358600.0</v>
      </c>
      <c r="R48" s="127">
        <v>60.0</v>
      </c>
      <c r="S48" s="127">
        <v>62.0</v>
      </c>
      <c r="T48" s="127">
        <v>-0.18180089235917496</v>
      </c>
      <c r="U48" s="127">
        <v>423793.8000000001</v>
      </c>
      <c r="V48" s="127">
        <v>358600.0</v>
      </c>
      <c r="W48" s="127"/>
      <c r="X48" s="127"/>
      <c r="Y48" s="127"/>
      <c r="Z48" s="127"/>
      <c r="AA48" s="127"/>
      <c r="AB48" s="127">
        <v>0.0</v>
      </c>
      <c r="AC48" s="127">
        <v>0.0</v>
      </c>
      <c r="AD48" s="127">
        <v>274.0</v>
      </c>
      <c r="AE48" s="127">
        <v>67.0</v>
      </c>
      <c r="AF48" s="127">
        <v>16.0</v>
      </c>
      <c r="AG48" s="127">
        <v>17.0</v>
      </c>
      <c r="AH48" s="127">
        <v>4.0</v>
      </c>
      <c r="AI48" s="127"/>
      <c r="AJ48" s="127">
        <v>5491.0</v>
      </c>
      <c r="AK48" s="127">
        <v>4009.0</v>
      </c>
      <c r="AL48" s="127">
        <v>686.0</v>
      </c>
      <c r="AM48" s="127">
        <v>336.0</v>
      </c>
      <c r="AN48" s="127">
        <v>56.0</v>
      </c>
    </row>
    <row r="49">
      <c r="A49" s="126">
        <v>46032.0</v>
      </c>
      <c r="B49" s="127">
        <v>0.43333333333333335</v>
      </c>
      <c r="C49" s="127">
        <v>13.0</v>
      </c>
      <c r="D49" s="127">
        <v>30.0</v>
      </c>
      <c r="E49" s="127">
        <v>0.06840796019900497</v>
      </c>
      <c r="F49" s="127">
        <v>55.0</v>
      </c>
      <c r="G49" s="127">
        <v>804.0</v>
      </c>
      <c r="H49" s="127">
        <v>804.0</v>
      </c>
      <c r="I49" s="127">
        <v>0.0</v>
      </c>
      <c r="J49" s="127">
        <v>1355.0</v>
      </c>
      <c r="K49" s="127">
        <v>1355.0</v>
      </c>
      <c r="L49" s="127"/>
      <c r="M49" s="127">
        <v>1.685323383084577</v>
      </c>
      <c r="N49" s="127">
        <v>1.685323383084577</v>
      </c>
      <c r="O49" s="127"/>
      <c r="P49" s="127">
        <v>8120.0</v>
      </c>
      <c r="Q49" s="127">
        <v>446600.0</v>
      </c>
      <c r="R49" s="127">
        <v>55.0</v>
      </c>
      <c r="S49" s="127">
        <v>59.0</v>
      </c>
      <c r="T49" s="127">
        <v>0.032835423197489555</v>
      </c>
      <c r="U49" s="127">
        <v>431935.7000000012</v>
      </c>
      <c r="V49" s="127">
        <v>446600.0</v>
      </c>
      <c r="W49" s="127"/>
      <c r="X49" s="127"/>
      <c r="Y49" s="127"/>
      <c r="Z49" s="127"/>
      <c r="AA49" s="127"/>
      <c r="AB49" s="127">
        <v>0.0</v>
      </c>
      <c r="AC49" s="127">
        <v>0.0</v>
      </c>
      <c r="AD49" s="127">
        <v>261.0</v>
      </c>
      <c r="AE49" s="127">
        <v>74.0</v>
      </c>
      <c r="AF49" s="127">
        <v>10.0</v>
      </c>
      <c r="AG49" s="127">
        <v>10.0</v>
      </c>
      <c r="AH49" s="127">
        <v>1.0</v>
      </c>
      <c r="AI49" s="127"/>
      <c r="AJ49" s="127">
        <v>5791.0</v>
      </c>
      <c r="AK49" s="127">
        <v>4106.0</v>
      </c>
      <c r="AL49" s="127">
        <v>794.0</v>
      </c>
      <c r="AM49" s="127">
        <v>357.0</v>
      </c>
      <c r="AN49" s="127">
        <v>54.0</v>
      </c>
    </row>
    <row r="50">
      <c r="A50" s="126">
        <v>46033.0</v>
      </c>
      <c r="B50" s="127">
        <v>0.32142857142857145</v>
      </c>
      <c r="C50" s="127">
        <v>9.0</v>
      </c>
      <c r="D50" s="127">
        <v>28.0</v>
      </c>
      <c r="E50" s="127">
        <v>0.05802047781569966</v>
      </c>
      <c r="F50" s="127">
        <v>51.0</v>
      </c>
      <c r="G50" s="127">
        <v>879.0</v>
      </c>
      <c r="H50" s="127">
        <v>879.0</v>
      </c>
      <c r="I50" s="127">
        <v>0.0</v>
      </c>
      <c r="J50" s="127">
        <v>1420.0</v>
      </c>
      <c r="K50" s="127">
        <v>1420.0</v>
      </c>
      <c r="L50" s="127"/>
      <c r="M50" s="127">
        <v>1.6154721274175199</v>
      </c>
      <c r="N50" s="127">
        <v>1.6154721274175199</v>
      </c>
      <c r="O50" s="127"/>
      <c r="P50" s="127">
        <v>7311.764705882353</v>
      </c>
      <c r="Q50" s="127">
        <v>372900.0</v>
      </c>
      <c r="R50" s="127">
        <v>51.0</v>
      </c>
      <c r="S50" s="127">
        <v>56.0</v>
      </c>
      <c r="T50" s="127">
        <v>-0.12302654867256968</v>
      </c>
      <c r="U50" s="127">
        <v>418776.60000000126</v>
      </c>
      <c r="V50" s="127">
        <v>372900.0</v>
      </c>
      <c r="W50" s="127"/>
      <c r="X50" s="127"/>
      <c r="Y50" s="127"/>
      <c r="Z50" s="127"/>
      <c r="AA50" s="127"/>
      <c r="AB50" s="127">
        <v>0.0</v>
      </c>
      <c r="AC50" s="127">
        <v>0.0</v>
      </c>
      <c r="AD50" s="127">
        <v>313.0</v>
      </c>
      <c r="AE50" s="127">
        <v>90.0</v>
      </c>
      <c r="AF50" s="127">
        <v>17.0</v>
      </c>
      <c r="AG50" s="127">
        <v>20.0</v>
      </c>
      <c r="AH50" s="127">
        <v>3.0</v>
      </c>
      <c r="AI50" s="127"/>
      <c r="AJ50" s="127">
        <v>6828.0</v>
      </c>
      <c r="AK50" s="127">
        <v>5237.0</v>
      </c>
      <c r="AL50" s="127">
        <v>862.0</v>
      </c>
      <c r="AM50" s="127">
        <v>461.0</v>
      </c>
      <c r="AN50" s="127">
        <v>48.0</v>
      </c>
    </row>
    <row r="51">
      <c r="A51" s="126">
        <v>46034.0</v>
      </c>
      <c r="B51" s="127">
        <v>0.23333333333333334</v>
      </c>
      <c r="C51" s="127">
        <v>7.0</v>
      </c>
      <c r="D51" s="127">
        <v>30.0</v>
      </c>
      <c r="E51" s="127">
        <v>0.06657963446475196</v>
      </c>
      <c r="F51" s="127">
        <v>51.0</v>
      </c>
      <c r="G51" s="127">
        <v>766.0</v>
      </c>
      <c r="H51" s="127">
        <v>766.0</v>
      </c>
      <c r="I51" s="127">
        <v>0.0</v>
      </c>
      <c r="J51" s="127">
        <v>1294.0</v>
      </c>
      <c r="K51" s="127">
        <v>1294.0</v>
      </c>
      <c r="L51" s="127"/>
      <c r="M51" s="127">
        <v>1.6892950391644908</v>
      </c>
      <c r="N51" s="127">
        <v>1.6892950391644908</v>
      </c>
      <c r="O51" s="127"/>
      <c r="P51" s="127">
        <v>6470.588235294118</v>
      </c>
      <c r="Q51" s="127">
        <v>330000.0</v>
      </c>
      <c r="R51" s="127">
        <v>51.0</v>
      </c>
      <c r="S51" s="127">
        <v>59.0</v>
      </c>
      <c r="T51" s="127">
        <v>-0.2148427272727298</v>
      </c>
      <c r="U51" s="127">
        <v>400898.10000000085</v>
      </c>
      <c r="V51" s="127">
        <v>330000.0</v>
      </c>
      <c r="W51" s="127"/>
      <c r="X51" s="127"/>
      <c r="Y51" s="127"/>
      <c r="Z51" s="127"/>
      <c r="AA51" s="127"/>
      <c r="AB51" s="127">
        <v>0.0</v>
      </c>
      <c r="AC51" s="127">
        <v>0.0</v>
      </c>
      <c r="AD51" s="127">
        <v>426.0</v>
      </c>
      <c r="AE51" s="127">
        <v>101.0</v>
      </c>
      <c r="AF51" s="127">
        <v>29.0</v>
      </c>
      <c r="AG51" s="127">
        <v>34.0</v>
      </c>
      <c r="AH51" s="127">
        <v>10.0</v>
      </c>
      <c r="AI51" s="127"/>
      <c r="AJ51" s="127">
        <v>6202.0</v>
      </c>
      <c r="AK51" s="127">
        <v>4144.0</v>
      </c>
      <c r="AL51" s="127">
        <v>737.0</v>
      </c>
      <c r="AM51" s="127">
        <v>362.0</v>
      </c>
      <c r="AN51" s="127">
        <v>41.0</v>
      </c>
    </row>
    <row r="52">
      <c r="A52" s="126">
        <v>46035.0</v>
      </c>
      <c r="B52" s="127">
        <v>0.43243243243243246</v>
      </c>
      <c r="C52" s="127">
        <v>16.0</v>
      </c>
      <c r="D52" s="127">
        <v>37.0</v>
      </c>
      <c r="E52" s="127">
        <v>0.0819423368740516</v>
      </c>
      <c r="F52" s="127">
        <v>54.0</v>
      </c>
      <c r="G52" s="127">
        <v>659.0</v>
      </c>
      <c r="H52" s="127">
        <v>659.0</v>
      </c>
      <c r="I52" s="127">
        <v>0.0</v>
      </c>
      <c r="J52" s="127">
        <v>1207.0</v>
      </c>
      <c r="K52" s="127">
        <v>1207.0</v>
      </c>
      <c r="L52" s="127"/>
      <c r="M52" s="127">
        <v>1.8315629742033384</v>
      </c>
      <c r="N52" s="127">
        <v>1.8315629742033384</v>
      </c>
      <c r="O52" s="127"/>
      <c r="P52" s="127">
        <v>7414.814814814815</v>
      </c>
      <c r="Q52" s="127">
        <v>400400.0</v>
      </c>
      <c r="R52" s="127">
        <v>54.0</v>
      </c>
      <c r="S52" s="127">
        <v>58.0</v>
      </c>
      <c r="T52" s="127">
        <v>-0.11288461538461703</v>
      </c>
      <c r="U52" s="127">
        <v>445599.00000000064</v>
      </c>
      <c r="V52" s="127">
        <v>400400.0</v>
      </c>
      <c r="W52" s="127"/>
      <c r="X52" s="127"/>
      <c r="Y52" s="127"/>
      <c r="Z52" s="127"/>
      <c r="AA52" s="127"/>
      <c r="AB52" s="127">
        <v>0.0</v>
      </c>
      <c r="AC52" s="127">
        <v>0.0</v>
      </c>
      <c r="AD52" s="127">
        <v>445.0</v>
      </c>
      <c r="AE52" s="127">
        <v>104.0</v>
      </c>
      <c r="AF52" s="127">
        <v>24.0</v>
      </c>
      <c r="AG52" s="127">
        <v>24.0</v>
      </c>
      <c r="AH52" s="127">
        <v>6.0</v>
      </c>
      <c r="AI52" s="127"/>
      <c r="AJ52" s="127">
        <v>5951.0</v>
      </c>
      <c r="AK52" s="127">
        <v>3805.0</v>
      </c>
      <c r="AL52" s="127">
        <v>635.0</v>
      </c>
      <c r="AM52" s="127">
        <v>339.0</v>
      </c>
      <c r="AN52" s="127">
        <v>48.0</v>
      </c>
    </row>
    <row r="53">
      <c r="A53" s="126">
        <v>46036.0</v>
      </c>
      <c r="B53" s="127">
        <v>0.4</v>
      </c>
      <c r="C53" s="127">
        <v>10.0</v>
      </c>
      <c r="D53" s="127">
        <v>25.0</v>
      </c>
      <c r="E53" s="127">
        <v>0.06446776611694154</v>
      </c>
      <c r="F53" s="127">
        <v>43.0</v>
      </c>
      <c r="G53" s="127">
        <v>667.0</v>
      </c>
      <c r="H53" s="127">
        <v>667.0</v>
      </c>
      <c r="I53" s="127">
        <v>0.0</v>
      </c>
      <c r="J53" s="127">
        <v>1122.0</v>
      </c>
      <c r="K53" s="127">
        <v>1122.0</v>
      </c>
      <c r="L53" s="127"/>
      <c r="M53" s="127">
        <v>1.68215892053973</v>
      </c>
      <c r="N53" s="127">
        <v>1.68215892053973</v>
      </c>
      <c r="O53" s="127"/>
      <c r="P53" s="127">
        <v>7469.767441860465</v>
      </c>
      <c r="Q53" s="127">
        <v>321200.0</v>
      </c>
      <c r="R53" s="127">
        <v>43.0</v>
      </c>
      <c r="S53" s="127">
        <v>46.0</v>
      </c>
      <c r="T53" s="127">
        <v>-0.016488792029887733</v>
      </c>
      <c r="U53" s="127">
        <v>326496.19999999995</v>
      </c>
      <c r="V53" s="127">
        <v>321200.0</v>
      </c>
      <c r="W53" s="127"/>
      <c r="X53" s="127"/>
      <c r="Y53" s="127"/>
      <c r="Z53" s="127"/>
      <c r="AA53" s="127"/>
      <c r="AB53" s="127">
        <v>0.0</v>
      </c>
      <c r="AC53" s="127">
        <v>0.0</v>
      </c>
      <c r="AD53" s="127">
        <v>317.0</v>
      </c>
      <c r="AE53" s="127">
        <v>70.0</v>
      </c>
      <c r="AF53" s="127">
        <v>17.0</v>
      </c>
      <c r="AG53" s="127">
        <v>17.0</v>
      </c>
      <c r="AH53" s="127">
        <v>3.0</v>
      </c>
      <c r="AI53" s="127"/>
      <c r="AJ53" s="127">
        <v>5399.0</v>
      </c>
      <c r="AK53" s="127">
        <v>3525.0</v>
      </c>
      <c r="AL53" s="127">
        <v>650.0</v>
      </c>
      <c r="AM53" s="127">
        <v>311.0</v>
      </c>
      <c r="AN53" s="127">
        <v>40.0</v>
      </c>
    </row>
    <row r="54">
      <c r="A54" s="126">
        <v>46037.0</v>
      </c>
      <c r="B54" s="127">
        <v>0.36363636363636365</v>
      </c>
      <c r="C54" s="127">
        <v>12.0</v>
      </c>
      <c r="D54" s="127">
        <v>33.0</v>
      </c>
      <c r="E54" s="127">
        <v>0.1090146750524109</v>
      </c>
      <c r="F54" s="127">
        <v>52.0</v>
      </c>
      <c r="G54" s="127">
        <v>477.0</v>
      </c>
      <c r="H54" s="127">
        <v>477.0</v>
      </c>
      <c r="I54" s="127">
        <v>0.0</v>
      </c>
      <c r="J54" s="127">
        <v>773.0</v>
      </c>
      <c r="K54" s="127">
        <v>773.0</v>
      </c>
      <c r="L54" s="127"/>
      <c r="M54" s="127">
        <v>1.620545073375262</v>
      </c>
      <c r="N54" s="127">
        <v>1.620545073375262</v>
      </c>
      <c r="O54" s="127"/>
      <c r="P54" s="127">
        <v>7869.2307692307695</v>
      </c>
      <c r="Q54" s="127">
        <v>409200.0</v>
      </c>
      <c r="R54" s="127">
        <v>52.0</v>
      </c>
      <c r="S54" s="127">
        <v>55.0</v>
      </c>
      <c r="T54" s="127">
        <v>0.21105034213098717</v>
      </c>
      <c r="U54" s="127">
        <v>322838.20000000007</v>
      </c>
      <c r="V54" s="127">
        <v>409200.0</v>
      </c>
      <c r="W54" s="127"/>
      <c r="X54" s="127"/>
      <c r="Y54" s="127"/>
      <c r="Z54" s="127"/>
      <c r="AA54" s="127"/>
      <c r="AB54" s="127">
        <v>0.0</v>
      </c>
      <c r="AC54" s="127">
        <v>0.0</v>
      </c>
      <c r="AD54" s="127">
        <v>535.0</v>
      </c>
      <c r="AE54" s="127">
        <v>106.0</v>
      </c>
      <c r="AF54" s="127">
        <v>6.0</v>
      </c>
      <c r="AG54" s="127">
        <v>27.0</v>
      </c>
      <c r="AH54" s="127">
        <v>1.0</v>
      </c>
      <c r="AI54" s="127"/>
      <c r="AJ54" s="127">
        <v>7227.0</v>
      </c>
      <c r="AK54" s="127">
        <v>5316.0</v>
      </c>
      <c r="AL54" s="127">
        <v>471.0</v>
      </c>
      <c r="AM54" s="127">
        <v>407.0</v>
      </c>
      <c r="AN54" s="127">
        <v>51.0</v>
      </c>
    </row>
    <row r="55">
      <c r="A55" s="126">
        <v>46038.0</v>
      </c>
      <c r="B55" s="127">
        <v>0.44680851063829785</v>
      </c>
      <c r="C55" s="127">
        <v>21.0</v>
      </c>
      <c r="D55" s="127">
        <v>47.0</v>
      </c>
      <c r="E55" s="127">
        <v>0.13321492007104796</v>
      </c>
      <c r="F55" s="127">
        <v>75.0</v>
      </c>
      <c r="G55" s="127">
        <v>563.0</v>
      </c>
      <c r="H55" s="127">
        <v>563.0</v>
      </c>
      <c r="I55" s="127">
        <v>0.0</v>
      </c>
      <c r="J55" s="127">
        <v>896.0</v>
      </c>
      <c r="K55" s="127">
        <v>896.0</v>
      </c>
      <c r="L55" s="127"/>
      <c r="M55" s="127">
        <v>1.5914742451154529</v>
      </c>
      <c r="N55" s="127">
        <v>1.5914742451154529</v>
      </c>
      <c r="O55" s="127"/>
      <c r="P55" s="127">
        <v>7113.333333333333</v>
      </c>
      <c r="Q55" s="127">
        <v>533500.0</v>
      </c>
      <c r="R55" s="127">
        <v>75.0</v>
      </c>
      <c r="S55" s="127">
        <v>77.0</v>
      </c>
      <c r="T55" s="127">
        <v>0.31383880037488265</v>
      </c>
      <c r="U55" s="127">
        <v>366067.0000000001</v>
      </c>
      <c r="V55" s="127">
        <v>533500.0</v>
      </c>
      <c r="W55" s="127"/>
      <c r="X55" s="127"/>
      <c r="Y55" s="127"/>
      <c r="Z55" s="127"/>
      <c r="AA55" s="127"/>
      <c r="AB55" s="127">
        <v>0.0</v>
      </c>
      <c r="AC55" s="127">
        <v>0.0</v>
      </c>
      <c r="AD55" s="127">
        <v>401.0</v>
      </c>
      <c r="AE55" s="127">
        <v>98.0</v>
      </c>
      <c r="AF55" s="127">
        <v>16.0</v>
      </c>
      <c r="AG55" s="127">
        <v>29.0</v>
      </c>
      <c r="AH55" s="127">
        <v>7.0</v>
      </c>
      <c r="AI55" s="127"/>
      <c r="AJ55" s="127">
        <v>8490.0</v>
      </c>
      <c r="AK55" s="127">
        <v>6688.0</v>
      </c>
      <c r="AL55" s="127">
        <v>547.0</v>
      </c>
      <c r="AM55" s="127">
        <v>553.0</v>
      </c>
      <c r="AN55" s="127">
        <v>68.0</v>
      </c>
    </row>
    <row r="56">
      <c r="A56" s="126">
        <v>46039.0</v>
      </c>
      <c r="B56" s="127">
        <v>0.4266666666666667</v>
      </c>
      <c r="C56" s="127">
        <v>32.0</v>
      </c>
      <c r="D56" s="127">
        <v>75.0</v>
      </c>
      <c r="E56" s="127">
        <v>0.1198547215496368</v>
      </c>
      <c r="F56" s="127">
        <v>99.0</v>
      </c>
      <c r="G56" s="127">
        <v>826.0</v>
      </c>
      <c r="H56" s="127">
        <v>826.0</v>
      </c>
      <c r="I56" s="127">
        <v>0.0</v>
      </c>
      <c r="J56" s="127">
        <v>1269.0</v>
      </c>
      <c r="K56" s="127">
        <v>1269.0</v>
      </c>
      <c r="L56" s="127"/>
      <c r="M56" s="127">
        <v>1.536319612590799</v>
      </c>
      <c r="N56" s="127">
        <v>1.536319612590799</v>
      </c>
      <c r="O56" s="127"/>
      <c r="P56" s="127">
        <v>7011.111111111111</v>
      </c>
      <c r="Q56" s="127">
        <v>694100.0</v>
      </c>
      <c r="R56" s="127">
        <v>99.0</v>
      </c>
      <c r="S56" s="127">
        <v>105.0</v>
      </c>
      <c r="T56" s="127">
        <v>0.3409799740671364</v>
      </c>
      <c r="U56" s="127">
        <v>457425.8000000006</v>
      </c>
      <c r="V56" s="127">
        <v>694100.0</v>
      </c>
      <c r="W56" s="127"/>
      <c r="X56" s="127"/>
      <c r="Y56" s="127"/>
      <c r="Z56" s="127"/>
      <c r="AA56" s="127"/>
      <c r="AB56" s="127">
        <v>0.0</v>
      </c>
      <c r="AC56" s="127">
        <v>0.0</v>
      </c>
      <c r="AD56" s="127">
        <v>566.0</v>
      </c>
      <c r="AE56" s="127">
        <v>118.0</v>
      </c>
      <c r="AF56" s="127">
        <v>21.0</v>
      </c>
      <c r="AG56" s="127">
        <v>44.0</v>
      </c>
      <c r="AH56" s="127">
        <v>7.0</v>
      </c>
      <c r="AI56" s="127"/>
      <c r="AJ56" s="127">
        <v>8437.0</v>
      </c>
      <c r="AK56" s="127">
        <v>6724.0</v>
      </c>
      <c r="AL56" s="127">
        <v>805.0</v>
      </c>
      <c r="AM56" s="127">
        <v>767.0</v>
      </c>
      <c r="AN56" s="127">
        <v>92.0</v>
      </c>
    </row>
    <row r="57">
      <c r="A57" s="126">
        <v>46040.0</v>
      </c>
      <c r="B57" s="127">
        <v>0.3225806451612903</v>
      </c>
      <c r="C57" s="127">
        <v>20.0</v>
      </c>
      <c r="D57" s="127">
        <v>62.0</v>
      </c>
      <c r="E57" s="127">
        <v>0.17159763313609466</v>
      </c>
      <c r="F57" s="127">
        <v>87.0</v>
      </c>
      <c r="G57" s="127">
        <v>507.0</v>
      </c>
      <c r="H57" s="127">
        <v>507.0</v>
      </c>
      <c r="I57" s="127">
        <v>0.0</v>
      </c>
      <c r="J57" s="127">
        <v>887.0</v>
      </c>
      <c r="K57" s="127">
        <v>887.0</v>
      </c>
      <c r="L57" s="127"/>
      <c r="M57" s="127">
        <v>1.7495069033530573</v>
      </c>
      <c r="N57" s="127">
        <v>1.7495069033530573</v>
      </c>
      <c r="O57" s="127"/>
      <c r="P57" s="127">
        <v>6347.126436781609</v>
      </c>
      <c r="Q57" s="127">
        <v>552200.0</v>
      </c>
      <c r="R57" s="127">
        <v>87.0</v>
      </c>
      <c r="S57" s="127">
        <v>93.0</v>
      </c>
      <c r="T57" s="127">
        <v>0.37737124230351304</v>
      </c>
      <c r="U57" s="127">
        <v>343815.6000000001</v>
      </c>
      <c r="V57" s="127">
        <v>552200.0</v>
      </c>
      <c r="W57" s="127"/>
      <c r="X57" s="127"/>
      <c r="Y57" s="127"/>
      <c r="Z57" s="127"/>
      <c r="AA57" s="127"/>
      <c r="AB57" s="127">
        <v>0.0</v>
      </c>
      <c r="AC57" s="127">
        <v>0.0</v>
      </c>
      <c r="AD57" s="127">
        <v>766.0</v>
      </c>
      <c r="AE57" s="127">
        <v>142.0</v>
      </c>
      <c r="AF57" s="127">
        <v>9.0</v>
      </c>
      <c r="AG57" s="127">
        <v>43.0</v>
      </c>
      <c r="AH57" s="127">
        <v>3.0</v>
      </c>
      <c r="AI57" s="127"/>
      <c r="AJ57" s="127">
        <v>6460.0</v>
      </c>
      <c r="AK57" s="127">
        <v>4612.0</v>
      </c>
      <c r="AL57" s="127">
        <v>498.0</v>
      </c>
      <c r="AM57" s="127">
        <v>589.0</v>
      </c>
      <c r="AN57" s="127">
        <v>84.0</v>
      </c>
    </row>
    <row r="58">
      <c r="A58" s="126">
        <v>46041.0</v>
      </c>
      <c r="B58" s="127">
        <v>0.3333333333333333</v>
      </c>
      <c r="C58" s="127">
        <v>13.0</v>
      </c>
      <c r="D58" s="127">
        <v>39.0</v>
      </c>
      <c r="E58" s="127">
        <v>0.0804093567251462</v>
      </c>
      <c r="F58" s="127">
        <v>55.0</v>
      </c>
      <c r="G58" s="127">
        <v>684.0</v>
      </c>
      <c r="H58" s="127">
        <v>684.0</v>
      </c>
      <c r="I58" s="127">
        <v>0.0</v>
      </c>
      <c r="J58" s="127">
        <v>1017.0</v>
      </c>
      <c r="K58" s="127">
        <v>1017.0</v>
      </c>
      <c r="L58" s="127"/>
      <c r="M58" s="127">
        <v>1.486842105263158</v>
      </c>
      <c r="N58" s="127">
        <v>1.486842105263158</v>
      </c>
      <c r="O58" s="127"/>
      <c r="P58" s="127">
        <v>6220.0</v>
      </c>
      <c r="Q58" s="127">
        <v>342100.0</v>
      </c>
      <c r="R58" s="127">
        <v>55.0</v>
      </c>
      <c r="S58" s="127">
        <v>58.0</v>
      </c>
      <c r="T58" s="127">
        <v>0.2648602747734572</v>
      </c>
      <c r="U58" s="127">
        <v>251491.30000000028</v>
      </c>
      <c r="V58" s="127">
        <v>342100.0</v>
      </c>
      <c r="W58" s="127"/>
      <c r="X58" s="127"/>
      <c r="Y58" s="127"/>
      <c r="Z58" s="127"/>
      <c r="AA58" s="127"/>
      <c r="AB58" s="127">
        <v>0.0</v>
      </c>
      <c r="AC58" s="127">
        <v>0.0</v>
      </c>
      <c r="AD58" s="127">
        <v>337.0</v>
      </c>
      <c r="AE58" s="127">
        <v>86.0</v>
      </c>
      <c r="AF58" s="127">
        <v>10.0</v>
      </c>
      <c r="AG58" s="127">
        <v>23.0</v>
      </c>
      <c r="AH58" s="127">
        <v>4.0</v>
      </c>
      <c r="AI58" s="127"/>
      <c r="AJ58" s="127">
        <v>6825.0</v>
      </c>
      <c r="AK58" s="127">
        <v>5146.0</v>
      </c>
      <c r="AL58" s="127">
        <v>674.0</v>
      </c>
      <c r="AM58" s="127">
        <v>478.0</v>
      </c>
      <c r="AN58" s="127">
        <v>51.0</v>
      </c>
    </row>
    <row r="59">
      <c r="A59" s="126">
        <v>46042.0</v>
      </c>
      <c r="B59" s="127">
        <v>0.2727272727272727</v>
      </c>
      <c r="C59" s="127">
        <v>12.0</v>
      </c>
      <c r="D59" s="127">
        <v>44.0</v>
      </c>
      <c r="E59" s="127">
        <v>0.10403726708074534</v>
      </c>
      <c r="F59" s="127">
        <v>67.0</v>
      </c>
      <c r="G59" s="127">
        <v>644.0</v>
      </c>
      <c r="H59" s="127">
        <v>644.0</v>
      </c>
      <c r="I59" s="127">
        <v>0.0</v>
      </c>
      <c r="J59" s="127">
        <v>993.0</v>
      </c>
      <c r="K59" s="127">
        <v>993.0</v>
      </c>
      <c r="L59" s="127"/>
      <c r="M59" s="127">
        <v>1.5419254658385093</v>
      </c>
      <c r="N59" s="127">
        <v>1.5419254658385093</v>
      </c>
      <c r="O59" s="127"/>
      <c r="P59" s="127">
        <v>6320.895522388059</v>
      </c>
      <c r="Q59" s="127">
        <v>423500.0</v>
      </c>
      <c r="R59" s="127">
        <v>67.0</v>
      </c>
      <c r="S59" s="127">
        <v>67.0</v>
      </c>
      <c r="T59" s="127">
        <v>0.312130578512396</v>
      </c>
      <c r="U59" s="127">
        <v>291312.7000000003</v>
      </c>
      <c r="V59" s="127">
        <v>423500.0</v>
      </c>
      <c r="W59" s="127"/>
      <c r="X59" s="127"/>
      <c r="Y59" s="127"/>
      <c r="Z59" s="127"/>
      <c r="AA59" s="127"/>
      <c r="AB59" s="127">
        <v>0.0</v>
      </c>
      <c r="AC59" s="127">
        <v>0.0</v>
      </c>
      <c r="AD59" s="127">
        <v>360.0</v>
      </c>
      <c r="AE59" s="127">
        <v>79.0</v>
      </c>
      <c r="AF59" s="127">
        <v>16.0</v>
      </c>
      <c r="AG59" s="127">
        <v>24.0</v>
      </c>
      <c r="AH59" s="127">
        <v>4.0</v>
      </c>
      <c r="AI59" s="127"/>
      <c r="AJ59" s="127">
        <v>6421.0</v>
      </c>
      <c r="AK59" s="127">
        <v>4735.0</v>
      </c>
      <c r="AL59" s="127">
        <v>628.0</v>
      </c>
      <c r="AM59" s="127">
        <v>487.0</v>
      </c>
      <c r="AN59" s="127">
        <v>63.0</v>
      </c>
    </row>
    <row r="60">
      <c r="A60" s="126">
        <v>46043.0</v>
      </c>
      <c r="B60" s="127">
        <v>0.3333333333333333</v>
      </c>
      <c r="C60" s="127">
        <v>12.0</v>
      </c>
      <c r="D60" s="127">
        <v>36.0</v>
      </c>
      <c r="E60" s="127">
        <v>0.0995405819295559</v>
      </c>
      <c r="F60" s="127">
        <v>65.0</v>
      </c>
      <c r="G60" s="127">
        <v>653.0</v>
      </c>
      <c r="H60" s="127">
        <v>653.0</v>
      </c>
      <c r="I60" s="127">
        <v>0.0</v>
      </c>
      <c r="J60" s="127">
        <v>988.0</v>
      </c>
      <c r="K60" s="127">
        <v>988.0</v>
      </c>
      <c r="L60" s="127"/>
      <c r="M60" s="127">
        <v>1.5130168453292496</v>
      </c>
      <c r="N60" s="127">
        <v>1.5130168453292496</v>
      </c>
      <c r="O60" s="127"/>
      <c r="P60" s="127">
        <v>7784.615384615385</v>
      </c>
      <c r="Q60" s="127">
        <v>506000.0</v>
      </c>
      <c r="R60" s="127">
        <v>65.0</v>
      </c>
      <c r="S60" s="127">
        <v>71.0</v>
      </c>
      <c r="T60" s="127">
        <v>0.39160158102766773</v>
      </c>
      <c r="U60" s="127">
        <v>307849.60000000015</v>
      </c>
      <c r="V60" s="127">
        <v>506000.0</v>
      </c>
      <c r="W60" s="127"/>
      <c r="X60" s="127"/>
      <c r="Y60" s="127"/>
      <c r="Z60" s="127"/>
      <c r="AA60" s="127"/>
      <c r="AB60" s="127">
        <v>0.0</v>
      </c>
      <c r="AC60" s="127">
        <v>0.0</v>
      </c>
      <c r="AD60" s="127">
        <v>395.0</v>
      </c>
      <c r="AE60" s="127">
        <v>98.0</v>
      </c>
      <c r="AF60" s="127">
        <v>20.0</v>
      </c>
      <c r="AG60" s="127">
        <v>24.0</v>
      </c>
      <c r="AH60" s="127">
        <v>4.0</v>
      </c>
      <c r="AI60" s="127"/>
      <c r="AJ60" s="127">
        <v>6227.0</v>
      </c>
      <c r="AK60" s="127">
        <v>4602.0</v>
      </c>
      <c r="AL60" s="127">
        <v>633.0</v>
      </c>
      <c r="AM60" s="127">
        <v>447.0</v>
      </c>
      <c r="AN60" s="127">
        <v>61.0</v>
      </c>
    </row>
    <row r="61">
      <c r="A61" s="126">
        <v>46044.0</v>
      </c>
      <c r="B61" s="127">
        <v>0.4230769230769231</v>
      </c>
      <c r="C61" s="127">
        <v>22.0</v>
      </c>
      <c r="D61" s="127">
        <v>52.0</v>
      </c>
      <c r="E61" s="127">
        <v>0.10463576158940398</v>
      </c>
      <c r="F61" s="127">
        <v>79.0</v>
      </c>
      <c r="G61" s="127">
        <v>755.0</v>
      </c>
      <c r="H61" s="127">
        <v>755.0</v>
      </c>
      <c r="I61" s="127">
        <v>0.0</v>
      </c>
      <c r="J61" s="127">
        <v>1114.0</v>
      </c>
      <c r="K61" s="127">
        <v>1114.0</v>
      </c>
      <c r="L61" s="127"/>
      <c r="M61" s="127">
        <v>1.4754966887417218</v>
      </c>
      <c r="N61" s="127">
        <v>1.4754966887417218</v>
      </c>
      <c r="O61" s="127"/>
      <c r="P61" s="127">
        <v>6488.607594936709</v>
      </c>
      <c r="Q61" s="127">
        <v>512600.0</v>
      </c>
      <c r="R61" s="127">
        <v>79.0</v>
      </c>
      <c r="S61" s="127">
        <v>80.0</v>
      </c>
      <c r="T61" s="127">
        <v>0.3694350370659377</v>
      </c>
      <c r="U61" s="127">
        <v>323227.6000000003</v>
      </c>
      <c r="V61" s="127">
        <v>512600.0</v>
      </c>
      <c r="W61" s="127"/>
      <c r="X61" s="127"/>
      <c r="Y61" s="127"/>
      <c r="Z61" s="127"/>
      <c r="AA61" s="127"/>
      <c r="AB61" s="127">
        <v>0.0</v>
      </c>
      <c r="AC61" s="127">
        <v>0.0</v>
      </c>
      <c r="AD61" s="127">
        <v>506.0</v>
      </c>
      <c r="AE61" s="127">
        <v>151.0</v>
      </c>
      <c r="AF61" s="127">
        <v>24.0</v>
      </c>
      <c r="AG61" s="127">
        <v>36.0</v>
      </c>
      <c r="AH61" s="127">
        <v>3.0</v>
      </c>
      <c r="AI61" s="127"/>
      <c r="AJ61" s="127">
        <v>9491.0</v>
      </c>
      <c r="AK61" s="127">
        <v>8032.0</v>
      </c>
      <c r="AL61" s="127">
        <v>731.0</v>
      </c>
      <c r="AM61" s="127">
        <v>615.0</v>
      </c>
      <c r="AN61" s="127">
        <v>76.0</v>
      </c>
    </row>
    <row r="62">
      <c r="A62" s="126">
        <v>46045.0</v>
      </c>
      <c r="B62" s="127">
        <v>0.43333333333333335</v>
      </c>
      <c r="C62" s="127">
        <v>26.0</v>
      </c>
      <c r="D62" s="127">
        <v>60.0</v>
      </c>
      <c r="E62" s="127">
        <v>0.11580381471389646</v>
      </c>
      <c r="F62" s="127">
        <v>85.0</v>
      </c>
      <c r="G62" s="127">
        <v>734.0</v>
      </c>
      <c r="H62" s="127">
        <v>734.0</v>
      </c>
      <c r="I62" s="127">
        <v>0.0</v>
      </c>
      <c r="J62" s="127">
        <v>1186.0</v>
      </c>
      <c r="K62" s="127">
        <v>1186.0</v>
      </c>
      <c r="L62" s="127"/>
      <c r="M62" s="127">
        <v>1.6158038147138964</v>
      </c>
      <c r="N62" s="127">
        <v>1.6158038147138964</v>
      </c>
      <c r="O62" s="127"/>
      <c r="P62" s="127">
        <v>6845.882352941177</v>
      </c>
      <c r="Q62" s="127">
        <v>581900.0</v>
      </c>
      <c r="R62" s="127">
        <v>85.0</v>
      </c>
      <c r="S62" s="127">
        <v>92.0</v>
      </c>
      <c r="T62" s="127">
        <v>0.3004634816978857</v>
      </c>
      <c r="U62" s="127">
        <v>407060.3000000003</v>
      </c>
      <c r="V62" s="127">
        <v>581900.0</v>
      </c>
      <c r="W62" s="127"/>
      <c r="X62" s="127"/>
      <c r="Y62" s="127"/>
      <c r="Z62" s="127"/>
      <c r="AA62" s="127"/>
      <c r="AB62" s="127">
        <v>0.0</v>
      </c>
      <c r="AC62" s="127">
        <v>0.0</v>
      </c>
      <c r="AD62" s="127">
        <v>449.0</v>
      </c>
      <c r="AE62" s="127">
        <v>132.0</v>
      </c>
      <c r="AF62" s="127">
        <v>21.0</v>
      </c>
      <c r="AG62" s="127">
        <v>35.0</v>
      </c>
      <c r="AH62" s="127">
        <v>7.0</v>
      </c>
      <c r="AI62" s="127"/>
      <c r="AJ62" s="127">
        <v>9615.0</v>
      </c>
      <c r="AK62" s="127">
        <v>8282.0</v>
      </c>
      <c r="AL62" s="127">
        <v>713.0</v>
      </c>
      <c r="AM62" s="127">
        <v>679.0</v>
      </c>
      <c r="AN62" s="127">
        <v>78.0</v>
      </c>
    </row>
    <row r="63">
      <c r="A63" s="126">
        <v>46046.0</v>
      </c>
      <c r="B63" s="127">
        <v>0.4406779661016949</v>
      </c>
      <c r="C63" s="127">
        <v>26.0</v>
      </c>
      <c r="D63" s="127">
        <v>59.0</v>
      </c>
      <c r="E63" s="127">
        <v>0.10678391959798995</v>
      </c>
      <c r="F63" s="127">
        <v>85.0</v>
      </c>
      <c r="G63" s="127">
        <v>796.0</v>
      </c>
      <c r="H63" s="127">
        <v>796.0</v>
      </c>
      <c r="I63" s="127">
        <v>0.0</v>
      </c>
      <c r="J63" s="127">
        <v>1262.0</v>
      </c>
      <c r="K63" s="127">
        <v>1262.0</v>
      </c>
      <c r="L63" s="127"/>
      <c r="M63" s="127">
        <v>1.585427135678392</v>
      </c>
      <c r="N63" s="127">
        <v>1.585427135678392</v>
      </c>
      <c r="O63" s="127"/>
      <c r="P63" s="127">
        <v>7531.764705882353</v>
      </c>
      <c r="Q63" s="127">
        <v>640200.0</v>
      </c>
      <c r="R63" s="127">
        <v>85.0</v>
      </c>
      <c r="S63" s="127">
        <v>89.0</v>
      </c>
      <c r="T63" s="127">
        <v>0.3591507341455784</v>
      </c>
      <c r="U63" s="127">
        <v>410271.7000000007</v>
      </c>
      <c r="V63" s="127">
        <v>640200.0</v>
      </c>
      <c r="W63" s="127"/>
      <c r="X63" s="127"/>
      <c r="Y63" s="127"/>
      <c r="Z63" s="127"/>
      <c r="AA63" s="127"/>
      <c r="AB63" s="127">
        <v>0.0</v>
      </c>
      <c r="AC63" s="127">
        <v>0.0</v>
      </c>
      <c r="AD63" s="127">
        <v>403.0</v>
      </c>
      <c r="AE63" s="127">
        <v>122.0</v>
      </c>
      <c r="AF63" s="127">
        <v>14.0</v>
      </c>
      <c r="AG63" s="127">
        <v>33.0</v>
      </c>
      <c r="AH63" s="127">
        <v>4.0</v>
      </c>
      <c r="AI63" s="127"/>
      <c r="AJ63" s="127">
        <v>9213.0</v>
      </c>
      <c r="AK63" s="127">
        <v>7855.0</v>
      </c>
      <c r="AL63" s="127">
        <v>782.0</v>
      </c>
      <c r="AM63" s="127">
        <v>664.0</v>
      </c>
      <c r="AN63" s="127">
        <v>81.0</v>
      </c>
    </row>
    <row r="64">
      <c r="A64" s="126">
        <v>46047.0</v>
      </c>
      <c r="B64" s="127">
        <v>0.2692307692307692</v>
      </c>
      <c r="C64" s="127">
        <v>14.0</v>
      </c>
      <c r="D64" s="127">
        <v>52.0</v>
      </c>
      <c r="E64" s="127">
        <v>0.11038107752956636</v>
      </c>
      <c r="F64" s="127">
        <v>84.0</v>
      </c>
      <c r="G64" s="127">
        <v>761.0</v>
      </c>
      <c r="H64" s="127">
        <v>761.0</v>
      </c>
      <c r="I64" s="127">
        <v>0.0</v>
      </c>
      <c r="J64" s="127">
        <v>1276.0</v>
      </c>
      <c r="K64" s="127">
        <v>1276.0</v>
      </c>
      <c r="L64" s="127"/>
      <c r="M64" s="127">
        <v>1.6767411300919843</v>
      </c>
      <c r="N64" s="127">
        <v>1.6767411300919843</v>
      </c>
      <c r="O64" s="127"/>
      <c r="P64" s="127">
        <v>6534.523809523809</v>
      </c>
      <c r="Q64" s="127">
        <v>548900.0</v>
      </c>
      <c r="R64" s="127">
        <v>84.0</v>
      </c>
      <c r="S64" s="127">
        <v>91.0</v>
      </c>
      <c r="T64" s="127">
        <v>0.3418152668974306</v>
      </c>
      <c r="U64" s="127">
        <v>361277.6000000003</v>
      </c>
      <c r="V64" s="127">
        <v>548900.0</v>
      </c>
      <c r="W64" s="127"/>
      <c r="X64" s="127"/>
      <c r="Y64" s="127"/>
      <c r="Z64" s="127"/>
      <c r="AA64" s="127"/>
      <c r="AB64" s="127">
        <v>0.0</v>
      </c>
      <c r="AC64" s="127">
        <v>0.0</v>
      </c>
      <c r="AD64" s="127">
        <v>458.0</v>
      </c>
      <c r="AE64" s="127">
        <v>166.0</v>
      </c>
      <c r="AF64" s="127">
        <v>18.0</v>
      </c>
      <c r="AG64" s="127">
        <v>54.0</v>
      </c>
      <c r="AH64" s="127">
        <v>3.0</v>
      </c>
      <c r="AI64" s="127"/>
      <c r="AJ64" s="127">
        <v>9653.0</v>
      </c>
      <c r="AK64" s="127">
        <v>8244.0</v>
      </c>
      <c r="AL64" s="127">
        <v>743.0</v>
      </c>
      <c r="AM64" s="127">
        <v>697.0</v>
      </c>
      <c r="AN64" s="127">
        <v>81.0</v>
      </c>
    </row>
    <row r="65">
      <c r="A65" s="126">
        <v>46048.0</v>
      </c>
      <c r="B65" s="127">
        <v>0.3793103448275862</v>
      </c>
      <c r="C65" s="127">
        <v>11.0</v>
      </c>
      <c r="D65" s="127">
        <v>29.0</v>
      </c>
      <c r="E65" s="127">
        <v>0.12387387387387387</v>
      </c>
      <c r="F65" s="127">
        <v>55.0</v>
      </c>
      <c r="G65" s="127">
        <v>444.0</v>
      </c>
      <c r="H65" s="127">
        <v>444.0</v>
      </c>
      <c r="I65" s="127">
        <v>0.0</v>
      </c>
      <c r="J65" s="127">
        <v>714.0</v>
      </c>
      <c r="K65" s="127">
        <v>714.0</v>
      </c>
      <c r="L65" s="127"/>
      <c r="M65" s="127">
        <v>1.6081081081081081</v>
      </c>
      <c r="N65" s="127">
        <v>1.6081081081081081</v>
      </c>
      <c r="O65" s="127"/>
      <c r="P65" s="127">
        <v>6680.0</v>
      </c>
      <c r="Q65" s="127">
        <v>367400.0</v>
      </c>
      <c r="R65" s="127">
        <v>55.0</v>
      </c>
      <c r="S65" s="127">
        <v>58.0</v>
      </c>
      <c r="T65" s="127">
        <v>0.3106426238432225</v>
      </c>
      <c r="U65" s="127">
        <v>253269.90000000005</v>
      </c>
      <c r="V65" s="127">
        <v>367400.0</v>
      </c>
      <c r="W65" s="127"/>
      <c r="X65" s="127"/>
      <c r="Y65" s="127"/>
      <c r="Z65" s="127"/>
      <c r="AA65" s="127"/>
      <c r="AB65" s="127">
        <v>0.0</v>
      </c>
      <c r="AC65" s="127">
        <v>0.0</v>
      </c>
      <c r="AD65" s="127">
        <v>601.0</v>
      </c>
      <c r="AE65" s="127">
        <v>96.0</v>
      </c>
      <c r="AF65" s="127">
        <v>12.0</v>
      </c>
      <c r="AG65" s="127">
        <v>29.0</v>
      </c>
      <c r="AH65" s="127">
        <v>2.0</v>
      </c>
      <c r="AI65" s="127"/>
      <c r="AJ65" s="127">
        <v>5284.0</v>
      </c>
      <c r="AK65" s="127">
        <v>3417.0</v>
      </c>
      <c r="AL65" s="127">
        <v>432.0</v>
      </c>
      <c r="AM65" s="127">
        <v>329.0</v>
      </c>
      <c r="AN65" s="127">
        <v>53.0</v>
      </c>
    </row>
    <row r="66">
      <c r="A66" s="126">
        <v>46049.0</v>
      </c>
      <c r="B66" s="127">
        <v>0.4444444444444444</v>
      </c>
      <c r="C66" s="127">
        <v>12.0</v>
      </c>
      <c r="D66" s="127">
        <v>27.0</v>
      </c>
      <c r="E66" s="127">
        <v>0.06582633053221289</v>
      </c>
      <c r="F66" s="127">
        <v>47.0</v>
      </c>
      <c r="G66" s="127">
        <v>714.0</v>
      </c>
      <c r="H66" s="127">
        <v>714.0</v>
      </c>
      <c r="I66" s="127">
        <v>0.0</v>
      </c>
      <c r="J66" s="127">
        <v>1354.0</v>
      </c>
      <c r="K66" s="127">
        <v>1354.0</v>
      </c>
      <c r="L66" s="127"/>
      <c r="M66" s="127">
        <v>1.8963585434173669</v>
      </c>
      <c r="N66" s="127">
        <v>1.8963585434173669</v>
      </c>
      <c r="O66" s="127"/>
      <c r="P66" s="127">
        <v>7185.106382978724</v>
      </c>
      <c r="Q66" s="127">
        <v>337700.0</v>
      </c>
      <c r="R66" s="127">
        <v>47.0</v>
      </c>
      <c r="S66" s="127">
        <v>50.0</v>
      </c>
      <c r="T66" s="127">
        <v>0.16629819366301357</v>
      </c>
      <c r="U66" s="127">
        <v>281541.1000000003</v>
      </c>
      <c r="V66" s="127">
        <v>337700.0</v>
      </c>
      <c r="W66" s="127"/>
      <c r="X66" s="127"/>
      <c r="Y66" s="127"/>
      <c r="Z66" s="127"/>
      <c r="AA66" s="127"/>
      <c r="AB66" s="127">
        <v>0.0</v>
      </c>
      <c r="AC66" s="127">
        <v>0.0</v>
      </c>
      <c r="AD66" s="127">
        <v>498.0</v>
      </c>
      <c r="AE66" s="127">
        <v>110.0</v>
      </c>
      <c r="AF66" s="127">
        <v>28.0</v>
      </c>
      <c r="AG66" s="127">
        <v>23.0</v>
      </c>
      <c r="AH66" s="127">
        <v>3.0</v>
      </c>
      <c r="AI66" s="127"/>
      <c r="AJ66" s="127">
        <v>5606.0</v>
      </c>
      <c r="AK66" s="127">
        <v>3552.0</v>
      </c>
      <c r="AL66" s="127">
        <v>686.0</v>
      </c>
      <c r="AM66" s="127">
        <v>330.0</v>
      </c>
      <c r="AN66" s="127">
        <v>44.0</v>
      </c>
    </row>
    <row r="67">
      <c r="A67" s="126">
        <v>46050.0</v>
      </c>
      <c r="B67" s="127">
        <v>0.4074074074074074</v>
      </c>
      <c r="C67" s="127">
        <v>11.0</v>
      </c>
      <c r="D67" s="127">
        <v>27.0</v>
      </c>
      <c r="E67" s="127">
        <v>0.06472919418758256</v>
      </c>
      <c r="F67" s="127">
        <v>49.0</v>
      </c>
      <c r="G67" s="127">
        <v>757.0</v>
      </c>
      <c r="H67" s="127">
        <v>757.0</v>
      </c>
      <c r="I67" s="127">
        <v>0.0</v>
      </c>
      <c r="J67" s="127">
        <v>1457.0</v>
      </c>
      <c r="K67" s="127">
        <v>1457.0</v>
      </c>
      <c r="L67" s="127"/>
      <c r="M67" s="127">
        <v>1.9247027741083222</v>
      </c>
      <c r="N67" s="127">
        <v>1.9247027741083222</v>
      </c>
      <c r="O67" s="127"/>
      <c r="P67" s="127">
        <v>7542.857142857143</v>
      </c>
      <c r="Q67" s="127">
        <v>369600.0</v>
      </c>
      <c r="R67" s="127">
        <v>49.0</v>
      </c>
      <c r="S67" s="127">
        <v>54.0</v>
      </c>
      <c r="T67" s="127">
        <v>0.1959488636363632</v>
      </c>
      <c r="U67" s="127">
        <v>297177.30000000016</v>
      </c>
      <c r="V67" s="127">
        <v>369600.0</v>
      </c>
      <c r="W67" s="127"/>
      <c r="X67" s="127"/>
      <c r="Y67" s="127"/>
      <c r="Z67" s="127"/>
      <c r="AA67" s="127"/>
      <c r="AB67" s="127">
        <v>0.0</v>
      </c>
      <c r="AC67" s="127">
        <v>0.0</v>
      </c>
      <c r="AD67" s="127">
        <v>689.0</v>
      </c>
      <c r="AE67" s="127">
        <v>140.0</v>
      </c>
      <c r="AF67" s="127">
        <v>43.0</v>
      </c>
      <c r="AG67" s="127">
        <v>35.0</v>
      </c>
      <c r="AH67" s="127">
        <v>7.0</v>
      </c>
      <c r="AI67" s="127"/>
      <c r="AJ67" s="127">
        <v>5321.0</v>
      </c>
      <c r="AK67" s="127">
        <v>3381.0</v>
      </c>
      <c r="AL67" s="127">
        <v>714.0</v>
      </c>
      <c r="AM67" s="127">
        <v>331.0</v>
      </c>
      <c r="AN67" s="127">
        <v>42.0</v>
      </c>
    </row>
    <row r="68">
      <c r="A68" s="126">
        <v>46051.0</v>
      </c>
      <c r="B68" s="127">
        <v>0.2727272727272727</v>
      </c>
      <c r="C68" s="127">
        <v>6.0</v>
      </c>
      <c r="D68" s="127">
        <v>22.0</v>
      </c>
      <c r="E68" s="127">
        <v>0.09197324414715718</v>
      </c>
      <c r="F68" s="127">
        <v>55.0</v>
      </c>
      <c r="G68" s="127">
        <v>598.0</v>
      </c>
      <c r="H68" s="127">
        <v>598.0</v>
      </c>
      <c r="I68" s="127">
        <v>0.0</v>
      </c>
      <c r="J68" s="127">
        <v>1077.0</v>
      </c>
      <c r="K68" s="127">
        <v>1077.0</v>
      </c>
      <c r="L68" s="127"/>
      <c r="M68" s="127">
        <v>1.8010033444816054</v>
      </c>
      <c r="N68" s="127">
        <v>1.8010033444816054</v>
      </c>
      <c r="O68" s="127"/>
      <c r="P68" s="127">
        <v>8140.0</v>
      </c>
      <c r="Q68" s="127">
        <v>447700.0</v>
      </c>
      <c r="R68" s="127">
        <v>55.0</v>
      </c>
      <c r="S68" s="127">
        <v>61.0</v>
      </c>
      <c r="T68" s="127">
        <v>0.23325307125307126</v>
      </c>
      <c r="U68" s="127">
        <v>343272.6</v>
      </c>
      <c r="V68" s="127">
        <v>447700.0</v>
      </c>
      <c r="W68" s="127"/>
      <c r="X68" s="127"/>
      <c r="Y68" s="127"/>
      <c r="Z68" s="127"/>
      <c r="AA68" s="127"/>
      <c r="AB68" s="127">
        <v>0.0</v>
      </c>
      <c r="AC68" s="127">
        <v>0.0</v>
      </c>
      <c r="AD68" s="127">
        <v>683.0</v>
      </c>
      <c r="AE68" s="127">
        <v>154.0</v>
      </c>
      <c r="AF68" s="127">
        <v>29.0</v>
      </c>
      <c r="AG68" s="127">
        <v>37.0</v>
      </c>
      <c r="AH68" s="127">
        <v>1.0</v>
      </c>
      <c r="AI68" s="127"/>
      <c r="AJ68" s="127">
        <v>5080.0</v>
      </c>
      <c r="AK68" s="127">
        <v>3284.0</v>
      </c>
      <c r="AL68" s="127">
        <v>569.0</v>
      </c>
      <c r="AM68" s="127">
        <v>342.0</v>
      </c>
      <c r="AN68" s="127">
        <v>54.0</v>
      </c>
    </row>
    <row r="69">
      <c r="A69" s="126">
        <v>46052.0</v>
      </c>
      <c r="B69" s="127">
        <v>0.45</v>
      </c>
      <c r="C69" s="127">
        <v>9.0</v>
      </c>
      <c r="D69" s="127">
        <v>20.0</v>
      </c>
      <c r="E69" s="127">
        <v>0.10962566844919786</v>
      </c>
      <c r="F69" s="127">
        <v>41.0</v>
      </c>
      <c r="G69" s="127">
        <v>374.0</v>
      </c>
      <c r="H69" s="127">
        <v>374.0</v>
      </c>
      <c r="I69" s="127">
        <v>0.0</v>
      </c>
      <c r="J69" s="127">
        <v>729.0</v>
      </c>
      <c r="K69" s="127">
        <v>729.0</v>
      </c>
      <c r="L69" s="127"/>
      <c r="M69" s="127">
        <v>1.9491978609625669</v>
      </c>
      <c r="N69" s="127">
        <v>1.9491978609625669</v>
      </c>
      <c r="O69" s="127"/>
      <c r="P69" s="127">
        <v>9339.024390243903</v>
      </c>
      <c r="Q69" s="127">
        <v>382900.0</v>
      </c>
      <c r="R69" s="127">
        <v>41.0</v>
      </c>
      <c r="S69" s="127">
        <v>42.0</v>
      </c>
      <c r="T69" s="127">
        <v>0.29783912248628874</v>
      </c>
      <c r="U69" s="127">
        <v>268857.4</v>
      </c>
      <c r="V69" s="127">
        <v>382900.0</v>
      </c>
      <c r="W69" s="127"/>
      <c r="X69" s="127"/>
      <c r="Y69" s="127"/>
      <c r="Z69" s="127"/>
      <c r="AA69" s="127"/>
      <c r="AB69" s="127">
        <v>0.0</v>
      </c>
      <c r="AC69" s="127">
        <v>0.0</v>
      </c>
      <c r="AD69" s="127">
        <v>613.0</v>
      </c>
      <c r="AE69" s="127">
        <v>131.0</v>
      </c>
      <c r="AF69" s="127">
        <v>18.0</v>
      </c>
      <c r="AG69" s="127">
        <v>31.0</v>
      </c>
      <c r="AH69" s="127">
        <v>1.0</v>
      </c>
      <c r="AI69" s="127"/>
      <c r="AJ69" s="127">
        <v>4982.0</v>
      </c>
      <c r="AK69" s="127">
        <v>3075.0</v>
      </c>
      <c r="AL69" s="127">
        <v>356.0</v>
      </c>
      <c r="AM69" s="127">
        <v>294.0</v>
      </c>
      <c r="AN69" s="127">
        <v>40.0</v>
      </c>
    </row>
    <row r="70">
      <c r="A70" s="126">
        <v>46053.0</v>
      </c>
      <c r="B70" s="127">
        <v>0.40476190476190477</v>
      </c>
      <c r="C70" s="127">
        <v>17.0</v>
      </c>
      <c r="D70" s="127">
        <v>42.0</v>
      </c>
      <c r="E70" s="127">
        <v>0.09302325581395349</v>
      </c>
      <c r="F70" s="127">
        <v>64.0</v>
      </c>
      <c r="G70" s="127">
        <v>688.0</v>
      </c>
      <c r="H70" s="127">
        <v>688.0</v>
      </c>
      <c r="I70" s="127">
        <v>0.0</v>
      </c>
      <c r="J70" s="127">
        <v>1225.0</v>
      </c>
      <c r="K70" s="127">
        <v>1225.0</v>
      </c>
      <c r="L70" s="127"/>
      <c r="M70" s="127">
        <v>1.7805232558139534</v>
      </c>
      <c r="N70" s="127">
        <v>1.7805232558139534</v>
      </c>
      <c r="O70" s="127"/>
      <c r="P70" s="127">
        <v>9720.3125</v>
      </c>
      <c r="Q70" s="127">
        <v>622100.0</v>
      </c>
      <c r="R70" s="127">
        <v>64.0</v>
      </c>
      <c r="S70" s="127">
        <v>75.0</v>
      </c>
      <c r="T70" s="127">
        <v>0.33451808390933924</v>
      </c>
      <c r="U70" s="127">
        <v>413996.30000000005</v>
      </c>
      <c r="V70" s="127">
        <v>622100.0</v>
      </c>
      <c r="W70" s="127"/>
      <c r="X70" s="127"/>
      <c r="Y70" s="127"/>
      <c r="Z70" s="127"/>
      <c r="AA70" s="127"/>
      <c r="AB70" s="127">
        <v>0.0</v>
      </c>
      <c r="AC70" s="127">
        <v>0.0</v>
      </c>
      <c r="AD70" s="127">
        <v>502.0</v>
      </c>
      <c r="AE70" s="127">
        <v>113.0</v>
      </c>
      <c r="AF70" s="127">
        <v>25.0</v>
      </c>
      <c r="AG70" s="127">
        <v>34.0</v>
      </c>
      <c r="AH70" s="127">
        <v>4.0</v>
      </c>
      <c r="AI70" s="127"/>
      <c r="AJ70" s="127">
        <v>5081.0</v>
      </c>
      <c r="AK70" s="127">
        <v>3472.0</v>
      </c>
      <c r="AL70" s="127">
        <v>663.0</v>
      </c>
      <c r="AM70" s="127">
        <v>343.0</v>
      </c>
      <c r="AN70" s="127">
        <v>60.0</v>
      </c>
    </row>
    <row r="71">
      <c r="A71" s="126">
        <v>46054.0</v>
      </c>
      <c r="B71" s="127">
        <v>0.3181818181818182</v>
      </c>
      <c r="C71" s="127">
        <v>7.0</v>
      </c>
      <c r="D71" s="127">
        <v>22.0</v>
      </c>
      <c r="E71" s="127">
        <v>0.06017925736235595</v>
      </c>
      <c r="F71" s="127">
        <v>47.0</v>
      </c>
      <c r="G71" s="127">
        <v>781.0</v>
      </c>
      <c r="H71" s="127">
        <v>781.0</v>
      </c>
      <c r="I71" s="127">
        <v>0.0</v>
      </c>
      <c r="J71" s="127">
        <v>1284.0</v>
      </c>
      <c r="K71" s="127">
        <v>1284.0</v>
      </c>
      <c r="L71" s="127"/>
      <c r="M71" s="127">
        <v>1.6440460947503202</v>
      </c>
      <c r="N71" s="127">
        <v>1.6440460947503202</v>
      </c>
      <c r="O71" s="127"/>
      <c r="P71" s="127">
        <v>10106.382978723404</v>
      </c>
      <c r="Q71" s="127">
        <v>475000.0</v>
      </c>
      <c r="R71" s="127">
        <v>47.0</v>
      </c>
      <c r="S71" s="127">
        <v>52.0</v>
      </c>
      <c r="T71" s="127">
        <v>0.23424063157894726</v>
      </c>
      <c r="U71" s="127">
        <v>363735.70000000007</v>
      </c>
      <c r="V71" s="127">
        <v>475000.0</v>
      </c>
      <c r="W71" s="127"/>
      <c r="X71" s="127"/>
      <c r="Y71" s="127"/>
      <c r="Z71" s="127"/>
      <c r="AA71" s="127"/>
      <c r="AB71" s="127">
        <v>0.0</v>
      </c>
      <c r="AC71" s="127">
        <v>0.0</v>
      </c>
      <c r="AD71" s="127">
        <v>726.0</v>
      </c>
      <c r="AE71" s="127">
        <v>121.0</v>
      </c>
      <c r="AF71" s="127">
        <v>16.0</v>
      </c>
      <c r="AG71" s="127">
        <v>33.0</v>
      </c>
      <c r="AH71" s="127">
        <v>0.0</v>
      </c>
      <c r="AI71" s="127"/>
      <c r="AJ71" s="127">
        <v>5198.0</v>
      </c>
      <c r="AK71" s="127">
        <v>3504.0</v>
      </c>
      <c r="AL71" s="127">
        <v>765.0</v>
      </c>
      <c r="AM71" s="127">
        <v>339.0</v>
      </c>
      <c r="AN71" s="127">
        <v>47.0</v>
      </c>
    </row>
    <row r="72">
      <c r="A72" s="126">
        <v>46055.0</v>
      </c>
      <c r="B72" s="127">
        <v>0.5454545454545454</v>
      </c>
      <c r="C72" s="127">
        <v>18.0</v>
      </c>
      <c r="D72" s="127">
        <v>33.0</v>
      </c>
      <c r="E72" s="127">
        <v>0.08368794326241134</v>
      </c>
      <c r="F72" s="127">
        <v>59.0</v>
      </c>
      <c r="G72" s="127">
        <v>705.0</v>
      </c>
      <c r="H72" s="127">
        <v>705.0</v>
      </c>
      <c r="I72" s="127">
        <v>0.0</v>
      </c>
      <c r="J72" s="127">
        <v>1169.0</v>
      </c>
      <c r="K72" s="127">
        <v>1169.0</v>
      </c>
      <c r="L72" s="127"/>
      <c r="M72" s="127">
        <v>1.6581560283687944</v>
      </c>
      <c r="N72" s="127">
        <v>1.6581560283687944</v>
      </c>
      <c r="O72" s="127"/>
      <c r="P72" s="127">
        <v>8427.118644067798</v>
      </c>
      <c r="Q72" s="127">
        <v>497200.0</v>
      </c>
      <c r="R72" s="127">
        <v>59.0</v>
      </c>
      <c r="S72" s="127">
        <v>62.0</v>
      </c>
      <c r="T72" s="127">
        <v>0.2591421962992768</v>
      </c>
      <c r="U72" s="127">
        <v>368354.4999999996</v>
      </c>
      <c r="V72" s="127">
        <v>497200.0</v>
      </c>
      <c r="W72" s="127"/>
      <c r="X72" s="127"/>
      <c r="Y72" s="127"/>
      <c r="Z72" s="127"/>
      <c r="AA72" s="127"/>
      <c r="AB72" s="127">
        <v>0.0</v>
      </c>
      <c r="AC72" s="127">
        <v>0.0</v>
      </c>
      <c r="AD72" s="127">
        <v>554.0</v>
      </c>
      <c r="AE72" s="127">
        <v>89.0</v>
      </c>
      <c r="AF72" s="127">
        <v>15.0</v>
      </c>
      <c r="AG72" s="127">
        <v>21.0</v>
      </c>
      <c r="AH72" s="127">
        <v>2.0</v>
      </c>
      <c r="AI72" s="127"/>
      <c r="AJ72" s="127">
        <v>4426.0</v>
      </c>
      <c r="AK72" s="127">
        <v>2827.0</v>
      </c>
      <c r="AL72" s="127">
        <v>690.0</v>
      </c>
      <c r="AM72" s="127">
        <v>279.0</v>
      </c>
      <c r="AN72" s="127">
        <v>57.0</v>
      </c>
    </row>
    <row r="73">
      <c r="A73" s="126">
        <v>46056.0</v>
      </c>
      <c r="B73" s="127">
        <v>0.2727272727272727</v>
      </c>
      <c r="C73" s="127">
        <v>6.0</v>
      </c>
      <c r="D73" s="127">
        <v>22.0</v>
      </c>
      <c r="E73" s="127">
        <v>0.057926829268292686</v>
      </c>
      <c r="F73" s="127">
        <v>38.0</v>
      </c>
      <c r="G73" s="127">
        <v>656.0</v>
      </c>
      <c r="H73" s="127">
        <v>656.0</v>
      </c>
      <c r="I73" s="127">
        <v>0.0</v>
      </c>
      <c r="J73" s="127">
        <v>1114.0</v>
      </c>
      <c r="K73" s="127">
        <v>1114.0</v>
      </c>
      <c r="L73" s="127"/>
      <c r="M73" s="127">
        <v>1.6981707317073171</v>
      </c>
      <c r="N73" s="127">
        <v>1.6981707317073171</v>
      </c>
      <c r="O73" s="127"/>
      <c r="P73" s="127">
        <v>11868.421052631578</v>
      </c>
      <c r="Q73" s="127">
        <v>451000.0</v>
      </c>
      <c r="R73" s="127">
        <v>38.0</v>
      </c>
      <c r="S73" s="127">
        <v>46.0</v>
      </c>
      <c r="T73" s="127">
        <v>0.2647117516629717</v>
      </c>
      <c r="U73" s="127">
        <v>331614.99999999977</v>
      </c>
      <c r="V73" s="127">
        <v>451000.0</v>
      </c>
      <c r="W73" s="127"/>
      <c r="X73" s="127"/>
      <c r="Y73" s="127"/>
      <c r="Z73" s="127"/>
      <c r="AA73" s="127"/>
      <c r="AB73" s="127">
        <v>0.0</v>
      </c>
      <c r="AC73" s="127">
        <v>0.0</v>
      </c>
      <c r="AD73" s="127">
        <v>662.0</v>
      </c>
      <c r="AE73" s="127">
        <v>123.0</v>
      </c>
      <c r="AF73" s="127">
        <v>29.0</v>
      </c>
      <c r="AG73" s="127">
        <v>26.0</v>
      </c>
      <c r="AH73" s="127">
        <v>2.0</v>
      </c>
      <c r="AI73" s="127"/>
      <c r="AJ73" s="127">
        <v>5174.0</v>
      </c>
      <c r="AK73" s="127">
        <v>3564.0</v>
      </c>
      <c r="AL73" s="127">
        <v>627.0</v>
      </c>
      <c r="AM73" s="127">
        <v>246.0</v>
      </c>
      <c r="AN73" s="127">
        <v>36.0</v>
      </c>
    </row>
    <row r="74">
      <c r="A74" s="126">
        <v>46057.0</v>
      </c>
      <c r="B74" s="127">
        <v>0.5</v>
      </c>
      <c r="C74" s="127">
        <v>13.0</v>
      </c>
      <c r="D74" s="127">
        <v>26.0</v>
      </c>
      <c r="E74" s="127">
        <v>0.07255520504731862</v>
      </c>
      <c r="F74" s="127">
        <v>46.0</v>
      </c>
      <c r="G74" s="127">
        <v>634.0</v>
      </c>
      <c r="H74" s="127">
        <v>623.0</v>
      </c>
      <c r="I74" s="127">
        <v>20.0</v>
      </c>
      <c r="J74" s="127">
        <v>1043.0</v>
      </c>
      <c r="K74" s="127">
        <v>971.0</v>
      </c>
      <c r="L74" s="127">
        <v>72.0</v>
      </c>
      <c r="M74" s="127">
        <v>1.6451104100946372</v>
      </c>
      <c r="N74" s="127">
        <v>1.5315457413249212</v>
      </c>
      <c r="O74" s="127">
        <v>0.11356466876971609</v>
      </c>
      <c r="P74" s="127">
        <v>10802.173913043478</v>
      </c>
      <c r="Q74" s="127">
        <v>496900.0</v>
      </c>
      <c r="R74" s="127">
        <v>46.0</v>
      </c>
      <c r="S74" s="127">
        <v>48.0</v>
      </c>
      <c r="T74" s="127">
        <v>0.2896794123566113</v>
      </c>
      <c r="U74" s="127">
        <v>352958.2999999998</v>
      </c>
      <c r="V74" s="127">
        <v>496900.0</v>
      </c>
      <c r="W74" s="127"/>
      <c r="X74" s="127"/>
      <c r="Y74" s="127"/>
      <c r="Z74" s="127"/>
      <c r="AA74" s="127"/>
      <c r="AB74" s="127">
        <v>0.0</v>
      </c>
      <c r="AC74" s="127">
        <v>0.0</v>
      </c>
      <c r="AD74" s="127">
        <v>247.0</v>
      </c>
      <c r="AE74" s="127">
        <v>135.0</v>
      </c>
      <c r="AF74" s="127">
        <v>95.0</v>
      </c>
      <c r="AG74" s="127">
        <v>62.0</v>
      </c>
      <c r="AH74" s="127">
        <v>8.0</v>
      </c>
      <c r="AI74" s="127"/>
      <c r="AJ74" s="127">
        <v>257.0</v>
      </c>
      <c r="AK74" s="127">
        <v>194.0</v>
      </c>
      <c r="AL74" s="127">
        <v>539.0</v>
      </c>
      <c r="AM74" s="127">
        <v>31.0</v>
      </c>
      <c r="AN74" s="127">
        <v>38.0</v>
      </c>
    </row>
    <row r="75">
      <c r="A75" s="126">
        <v>46058.0</v>
      </c>
      <c r="B75" s="127">
        <v>0.4074074074074074</v>
      </c>
      <c r="C75" s="127">
        <v>11.0</v>
      </c>
      <c r="D75" s="127">
        <v>27.0</v>
      </c>
      <c r="E75" s="127">
        <v>0.08488964346349745</v>
      </c>
      <c r="F75" s="127">
        <v>50.0</v>
      </c>
      <c r="G75" s="127">
        <v>589.0</v>
      </c>
      <c r="H75" s="127">
        <v>571.0</v>
      </c>
      <c r="I75" s="127">
        <v>28.0</v>
      </c>
      <c r="J75" s="127">
        <v>996.0</v>
      </c>
      <c r="K75" s="127">
        <v>931.0</v>
      </c>
      <c r="L75" s="127">
        <v>65.0</v>
      </c>
      <c r="M75" s="127">
        <v>1.6910016977928692</v>
      </c>
      <c r="N75" s="127">
        <v>1.5806451612903225</v>
      </c>
      <c r="O75" s="127">
        <v>0.11035653650254669</v>
      </c>
      <c r="P75" s="127">
        <v>14016.0</v>
      </c>
      <c r="Q75" s="127">
        <v>700800.0</v>
      </c>
      <c r="R75" s="127">
        <v>50.0</v>
      </c>
      <c r="S75" s="127">
        <v>57.0</v>
      </c>
      <c r="T75" s="127">
        <v>0.3132400114155254</v>
      </c>
      <c r="U75" s="127">
        <v>481281.3999999998</v>
      </c>
      <c r="V75" s="127">
        <v>700800.0</v>
      </c>
      <c r="W75" s="127"/>
      <c r="X75" s="127"/>
      <c r="Y75" s="127"/>
      <c r="Z75" s="127"/>
      <c r="AA75" s="127"/>
      <c r="AB75" s="127">
        <v>0.0</v>
      </c>
      <c r="AC75" s="127">
        <v>0.0</v>
      </c>
      <c r="AD75" s="127">
        <v>316.0</v>
      </c>
      <c r="AE75" s="127">
        <v>199.0</v>
      </c>
      <c r="AF75" s="127">
        <v>94.0</v>
      </c>
      <c r="AG75" s="127">
        <v>129.0</v>
      </c>
      <c r="AH75" s="127">
        <v>15.0</v>
      </c>
      <c r="AI75" s="127"/>
      <c r="AJ75" s="127">
        <v>216.0</v>
      </c>
      <c r="AK75" s="127">
        <v>165.0</v>
      </c>
      <c r="AL75" s="127">
        <v>495.0</v>
      </c>
      <c r="AM75" s="127">
        <v>19.0</v>
      </c>
      <c r="AN75" s="127">
        <v>35.0</v>
      </c>
    </row>
    <row r="76">
      <c r="A76" s="126">
        <v>46059.0</v>
      </c>
      <c r="B76" s="127">
        <v>0.5757575757575758</v>
      </c>
      <c r="C76" s="127">
        <v>19.0</v>
      </c>
      <c r="D76" s="127">
        <v>33.0</v>
      </c>
      <c r="E76" s="127">
        <v>0.08647798742138364</v>
      </c>
      <c r="F76" s="127">
        <v>55.0</v>
      </c>
      <c r="G76" s="127">
        <v>636.0</v>
      </c>
      <c r="H76" s="127">
        <v>626.0</v>
      </c>
      <c r="I76" s="127">
        <v>17.0</v>
      </c>
      <c r="J76" s="127">
        <v>1162.0</v>
      </c>
      <c r="K76" s="127">
        <v>1130.0</v>
      </c>
      <c r="L76" s="127">
        <v>32.0</v>
      </c>
      <c r="M76" s="127">
        <v>1.8270440251572326</v>
      </c>
      <c r="N76" s="127">
        <v>1.7767295597484276</v>
      </c>
      <c r="O76" s="127">
        <v>0.050314465408805034</v>
      </c>
      <c r="P76" s="127">
        <v>11876.363636363636</v>
      </c>
      <c r="Q76" s="127">
        <v>653200.0</v>
      </c>
      <c r="R76" s="127">
        <v>55.0</v>
      </c>
      <c r="S76" s="127">
        <v>60.0</v>
      </c>
      <c r="T76" s="127">
        <v>0.30104715248009817</v>
      </c>
      <c r="U76" s="127">
        <v>456555.9999999999</v>
      </c>
      <c r="V76" s="127">
        <v>653200.0</v>
      </c>
      <c r="W76" s="127"/>
      <c r="X76" s="127"/>
      <c r="Y76" s="127"/>
      <c r="Z76" s="127"/>
      <c r="AA76" s="127"/>
      <c r="AB76" s="127">
        <v>0.0</v>
      </c>
      <c r="AC76" s="127">
        <v>0.0</v>
      </c>
      <c r="AD76" s="127">
        <v>311.0</v>
      </c>
      <c r="AE76" s="127">
        <v>176.0</v>
      </c>
      <c r="AF76" s="127">
        <v>112.0</v>
      </c>
      <c r="AG76" s="127">
        <v>107.0</v>
      </c>
      <c r="AH76" s="127">
        <v>23.0</v>
      </c>
      <c r="AI76" s="127"/>
      <c r="AJ76" s="127">
        <v>267.0</v>
      </c>
      <c r="AK76" s="127">
        <v>199.0</v>
      </c>
      <c r="AL76" s="127">
        <v>524.0</v>
      </c>
      <c r="AM76" s="127">
        <v>29.0</v>
      </c>
      <c r="AN76" s="127">
        <v>32.0</v>
      </c>
    </row>
    <row r="77">
      <c r="A77" s="126">
        <v>46060.0</v>
      </c>
      <c r="B77" s="127">
        <v>0.45</v>
      </c>
      <c r="C77" s="127">
        <v>9.0</v>
      </c>
      <c r="D77" s="127">
        <v>20.0</v>
      </c>
      <c r="E77" s="127">
        <v>0.04755244755244755</v>
      </c>
      <c r="F77" s="127">
        <v>34.0</v>
      </c>
      <c r="G77" s="127">
        <v>715.0</v>
      </c>
      <c r="H77" s="127">
        <v>704.0</v>
      </c>
      <c r="I77" s="127">
        <v>24.0</v>
      </c>
      <c r="J77" s="127">
        <v>1153.0</v>
      </c>
      <c r="K77" s="127">
        <v>1105.0</v>
      </c>
      <c r="L77" s="127">
        <v>48.0</v>
      </c>
      <c r="M77" s="127">
        <v>1.6125874125874127</v>
      </c>
      <c r="N77" s="127">
        <v>1.5454545454545454</v>
      </c>
      <c r="O77" s="127">
        <v>0.06713286713286713</v>
      </c>
      <c r="P77" s="127">
        <v>11052.941176470587</v>
      </c>
      <c r="Q77" s="127">
        <v>375800.0</v>
      </c>
      <c r="R77" s="127">
        <v>34.0</v>
      </c>
      <c r="S77" s="127">
        <v>35.0</v>
      </c>
      <c r="T77" s="127">
        <v>-0.03104364023416628</v>
      </c>
      <c r="U77" s="127">
        <v>387466.1999999997</v>
      </c>
      <c r="V77" s="127">
        <v>375800.0</v>
      </c>
      <c r="W77" s="127"/>
      <c r="X77" s="127"/>
      <c r="Y77" s="127"/>
      <c r="Z77" s="127"/>
      <c r="AA77" s="127"/>
      <c r="AB77" s="127">
        <v>0.0</v>
      </c>
      <c r="AC77" s="127">
        <v>0.0</v>
      </c>
      <c r="AD77" s="127">
        <v>314.0</v>
      </c>
      <c r="AE77" s="127">
        <v>208.0</v>
      </c>
      <c r="AF77" s="127">
        <v>134.0</v>
      </c>
      <c r="AG77" s="127">
        <v>122.0</v>
      </c>
      <c r="AH77" s="127">
        <v>11.0</v>
      </c>
      <c r="AI77" s="127"/>
      <c r="AJ77" s="127">
        <v>252.0</v>
      </c>
      <c r="AK77" s="127">
        <v>200.0</v>
      </c>
      <c r="AL77" s="127">
        <v>581.0</v>
      </c>
      <c r="AM77" s="127">
        <v>33.0</v>
      </c>
      <c r="AN77" s="127">
        <v>23.0</v>
      </c>
    </row>
    <row r="78">
      <c r="A78" s="126">
        <v>46061.0</v>
      </c>
      <c r="B78" s="127">
        <v>0.25925925925925924</v>
      </c>
      <c r="C78" s="127">
        <v>7.0</v>
      </c>
      <c r="D78" s="127">
        <v>27.0</v>
      </c>
      <c r="E78" s="127">
        <v>0.0620782726045884</v>
      </c>
      <c r="F78" s="127">
        <v>46.0</v>
      </c>
      <c r="G78" s="127">
        <v>741.0</v>
      </c>
      <c r="H78" s="127">
        <v>718.0</v>
      </c>
      <c r="I78" s="127">
        <v>31.0</v>
      </c>
      <c r="J78" s="127">
        <v>1205.0</v>
      </c>
      <c r="K78" s="127">
        <v>1142.0</v>
      </c>
      <c r="L78" s="127">
        <v>63.0</v>
      </c>
      <c r="M78" s="127">
        <v>1.6261808367071524</v>
      </c>
      <c r="N78" s="127">
        <v>1.5411605937921729</v>
      </c>
      <c r="O78" s="127">
        <v>0.08502024291497975</v>
      </c>
      <c r="P78" s="127">
        <v>12600.0</v>
      </c>
      <c r="Q78" s="127">
        <v>579600.0</v>
      </c>
      <c r="R78" s="127">
        <v>46.0</v>
      </c>
      <c r="S78" s="127">
        <v>52.0</v>
      </c>
      <c r="T78" s="127">
        <v>0.3159335748792276</v>
      </c>
      <c r="U78" s="127">
        <v>396484.8999999997</v>
      </c>
      <c r="V78" s="127">
        <v>579600.0</v>
      </c>
      <c r="W78" s="127"/>
      <c r="X78" s="127"/>
      <c r="Y78" s="127"/>
      <c r="Z78" s="127"/>
      <c r="AA78" s="127"/>
      <c r="AB78" s="127">
        <v>0.0</v>
      </c>
      <c r="AC78" s="127">
        <v>0.0</v>
      </c>
      <c r="AD78" s="127">
        <v>588.0</v>
      </c>
      <c r="AE78" s="127">
        <v>253.0</v>
      </c>
      <c r="AF78" s="127">
        <v>137.0</v>
      </c>
      <c r="AG78" s="127">
        <v>155.0</v>
      </c>
      <c r="AH78" s="127">
        <v>12.0</v>
      </c>
      <c r="AI78" s="127"/>
      <c r="AJ78" s="127">
        <v>275.0</v>
      </c>
      <c r="AK78" s="127">
        <v>215.0</v>
      </c>
      <c r="AL78" s="127">
        <v>604.0</v>
      </c>
      <c r="AM78" s="127">
        <v>30.0</v>
      </c>
      <c r="AN78" s="127">
        <v>34.0</v>
      </c>
    </row>
    <row r="79">
      <c r="A79" s="126">
        <v>46062.0</v>
      </c>
      <c r="B79" s="127">
        <v>0.4444444444444444</v>
      </c>
      <c r="C79" s="127">
        <v>8.0</v>
      </c>
      <c r="D79" s="127">
        <v>18.0</v>
      </c>
      <c r="E79" s="127">
        <v>0.059496567505720827</v>
      </c>
      <c r="F79" s="127">
        <v>26.0</v>
      </c>
      <c r="G79" s="127">
        <v>437.0</v>
      </c>
      <c r="H79" s="127">
        <v>407.0</v>
      </c>
      <c r="I79" s="127">
        <v>42.0</v>
      </c>
      <c r="J79" s="127">
        <v>838.0</v>
      </c>
      <c r="K79" s="127">
        <v>763.0</v>
      </c>
      <c r="L79" s="127">
        <v>75.0</v>
      </c>
      <c r="M79" s="127">
        <v>1.9176201372997712</v>
      </c>
      <c r="N79" s="127">
        <v>1.7459954233409611</v>
      </c>
      <c r="O79" s="127">
        <v>0.17162471395881007</v>
      </c>
      <c r="P79" s="127">
        <v>18115.384615384617</v>
      </c>
      <c r="Q79" s="127">
        <v>471000.0</v>
      </c>
      <c r="R79" s="127">
        <v>26.0</v>
      </c>
      <c r="S79" s="127">
        <v>31.0</v>
      </c>
      <c r="T79" s="127">
        <v>0.29305180467091685</v>
      </c>
      <c r="U79" s="127">
        <v>332972.5999999982</v>
      </c>
      <c r="V79" s="127">
        <v>471000.0</v>
      </c>
      <c r="W79" s="127"/>
      <c r="X79" s="127"/>
      <c r="Y79" s="127"/>
      <c r="Z79" s="127"/>
      <c r="AA79" s="127"/>
      <c r="AB79" s="127">
        <v>0.0</v>
      </c>
      <c r="AC79" s="127">
        <v>0.0</v>
      </c>
      <c r="AD79" s="127">
        <v>610.0</v>
      </c>
      <c r="AE79" s="127">
        <v>395.0</v>
      </c>
      <c r="AF79" s="127">
        <v>249.0</v>
      </c>
      <c r="AG79" s="127">
        <v>162.0</v>
      </c>
      <c r="AH79" s="127">
        <v>18.0</v>
      </c>
      <c r="AI79" s="127"/>
      <c r="AJ79" s="127">
        <v>363.0</v>
      </c>
      <c r="AK79" s="127">
        <v>304.0</v>
      </c>
      <c r="AL79" s="127">
        <v>188.0</v>
      </c>
      <c r="AM79" s="127">
        <v>39.0</v>
      </c>
      <c r="AN79" s="127">
        <v>8.0</v>
      </c>
    </row>
    <row r="80">
      <c r="A80" s="126">
        <v>46063.0</v>
      </c>
      <c r="B80" s="127">
        <v>0.5714285714285714</v>
      </c>
      <c r="C80" s="127">
        <v>16.0</v>
      </c>
      <c r="D80" s="127">
        <v>28.0</v>
      </c>
      <c r="E80" s="127">
        <v>0.08893709327548807</v>
      </c>
      <c r="F80" s="127">
        <v>41.0</v>
      </c>
      <c r="G80" s="127">
        <v>461.0</v>
      </c>
      <c r="H80" s="127">
        <v>427.0</v>
      </c>
      <c r="I80" s="127">
        <v>49.0</v>
      </c>
      <c r="J80" s="127">
        <v>1037.0</v>
      </c>
      <c r="K80" s="127">
        <v>936.0</v>
      </c>
      <c r="L80" s="127">
        <v>101.0</v>
      </c>
      <c r="M80" s="127">
        <v>2.2494577006507592</v>
      </c>
      <c r="N80" s="127">
        <v>2.0303687635574836</v>
      </c>
      <c r="O80" s="127">
        <v>0.21908893709327548</v>
      </c>
      <c r="P80" s="127">
        <v>17163.414634146342</v>
      </c>
      <c r="Q80" s="127">
        <v>703700.0</v>
      </c>
      <c r="R80" s="127">
        <v>41.0</v>
      </c>
      <c r="S80" s="127">
        <v>42.0</v>
      </c>
      <c r="T80" s="127">
        <v>0.2756619297996312</v>
      </c>
      <c r="U80" s="127">
        <v>509716.69999999955</v>
      </c>
      <c r="V80" s="127">
        <v>703700.0</v>
      </c>
      <c r="W80" s="127"/>
      <c r="X80" s="127"/>
      <c r="Y80" s="127"/>
      <c r="Z80" s="127"/>
      <c r="AA80" s="127"/>
      <c r="AB80" s="127">
        <v>0.0</v>
      </c>
      <c r="AC80" s="127">
        <v>0.0</v>
      </c>
      <c r="AD80" s="127">
        <v>499.0</v>
      </c>
      <c r="AE80" s="127">
        <v>302.0</v>
      </c>
      <c r="AF80" s="127">
        <v>178.0</v>
      </c>
      <c r="AG80" s="127">
        <v>152.0</v>
      </c>
      <c r="AH80" s="127">
        <v>23.0</v>
      </c>
      <c r="AI80" s="127"/>
      <c r="AJ80" s="127">
        <v>459.0</v>
      </c>
      <c r="AK80" s="127">
        <v>389.0</v>
      </c>
      <c r="AL80" s="127">
        <v>283.0</v>
      </c>
      <c r="AM80" s="127">
        <v>52.0</v>
      </c>
      <c r="AN80" s="127">
        <v>18.0</v>
      </c>
    </row>
    <row r="81">
      <c r="A81" s="126">
        <v>46064.0</v>
      </c>
      <c r="B81" s="127">
        <v>0.5588235294117647</v>
      </c>
      <c r="C81" s="127">
        <v>19.0</v>
      </c>
      <c r="D81" s="127">
        <v>34.0</v>
      </c>
      <c r="E81" s="127">
        <v>0.10882956878850103</v>
      </c>
      <c r="F81" s="127">
        <v>53.0</v>
      </c>
      <c r="G81" s="127">
        <v>487.0</v>
      </c>
      <c r="H81" s="127">
        <v>436.0</v>
      </c>
      <c r="I81" s="127">
        <v>75.0</v>
      </c>
      <c r="J81" s="127">
        <v>1079.0</v>
      </c>
      <c r="K81" s="127">
        <v>929.0</v>
      </c>
      <c r="L81" s="127">
        <v>150.0</v>
      </c>
      <c r="M81" s="127">
        <v>2.215605749486653</v>
      </c>
      <c r="N81" s="127">
        <v>1.9075975359342916</v>
      </c>
      <c r="O81" s="127">
        <v>0.3080082135523614</v>
      </c>
      <c r="P81" s="127">
        <v>17479.245283018867</v>
      </c>
      <c r="Q81" s="127">
        <v>926400.0</v>
      </c>
      <c r="R81" s="127">
        <v>53.0</v>
      </c>
      <c r="S81" s="127">
        <v>63.0</v>
      </c>
      <c r="T81" s="127">
        <v>0.2879324265975828</v>
      </c>
      <c r="U81" s="127">
        <v>659659.3999999993</v>
      </c>
      <c r="V81" s="127">
        <v>926400.0</v>
      </c>
      <c r="W81" s="127"/>
      <c r="X81" s="127"/>
      <c r="Y81" s="127"/>
      <c r="Z81" s="127"/>
      <c r="AA81" s="127"/>
      <c r="AB81" s="127">
        <v>0.0</v>
      </c>
      <c r="AC81" s="127">
        <v>0.0</v>
      </c>
      <c r="AD81" s="127">
        <v>673.0</v>
      </c>
      <c r="AE81" s="127">
        <v>411.0</v>
      </c>
      <c r="AF81" s="127">
        <v>227.0</v>
      </c>
      <c r="AG81" s="127">
        <v>240.0</v>
      </c>
      <c r="AH81" s="127">
        <v>34.0</v>
      </c>
      <c r="AI81" s="127"/>
      <c r="AJ81" s="127">
        <v>538.0</v>
      </c>
      <c r="AK81" s="127">
        <v>443.0</v>
      </c>
      <c r="AL81" s="127">
        <v>260.0</v>
      </c>
      <c r="AM81" s="127">
        <v>71.0</v>
      </c>
      <c r="AN81" s="127">
        <v>19.0</v>
      </c>
    </row>
    <row r="82">
      <c r="A82" s="126">
        <v>46065.0</v>
      </c>
      <c r="B82" s="127">
        <v>0.3157894736842105</v>
      </c>
      <c r="C82" s="127">
        <v>12.0</v>
      </c>
      <c r="D82" s="127">
        <v>38.0</v>
      </c>
      <c r="E82" s="127">
        <v>0.10559006211180125</v>
      </c>
      <c r="F82" s="127">
        <v>51.0</v>
      </c>
      <c r="G82" s="127">
        <v>483.0</v>
      </c>
      <c r="H82" s="127">
        <v>452.0</v>
      </c>
      <c r="I82" s="127">
        <v>49.0</v>
      </c>
      <c r="J82" s="127">
        <v>1224.0</v>
      </c>
      <c r="K82" s="127">
        <v>1001.0</v>
      </c>
      <c r="L82" s="127">
        <v>223.0</v>
      </c>
      <c r="M82" s="127">
        <v>2.5341614906832297</v>
      </c>
      <c r="N82" s="127">
        <v>2.072463768115942</v>
      </c>
      <c r="O82" s="127">
        <v>0.4616977225672878</v>
      </c>
      <c r="P82" s="127">
        <v>14227.450980392157</v>
      </c>
      <c r="Q82" s="127">
        <v>725600.0</v>
      </c>
      <c r="R82" s="127">
        <v>51.0</v>
      </c>
      <c r="S82" s="127">
        <v>55.0</v>
      </c>
      <c r="T82" s="127">
        <v>0.4344312293274518</v>
      </c>
      <c r="U82" s="127">
        <v>410376.700000001</v>
      </c>
      <c r="V82" s="127">
        <v>725600.0</v>
      </c>
      <c r="W82" s="127"/>
      <c r="X82" s="127"/>
      <c r="Y82" s="127"/>
      <c r="Z82" s="127"/>
      <c r="AA82" s="127"/>
      <c r="AB82" s="127">
        <v>0.0</v>
      </c>
      <c r="AC82" s="127">
        <v>0.0</v>
      </c>
      <c r="AD82" s="127">
        <v>589.0</v>
      </c>
      <c r="AE82" s="127">
        <v>363.0</v>
      </c>
      <c r="AF82" s="127">
        <v>193.0</v>
      </c>
      <c r="AG82" s="127">
        <v>198.0</v>
      </c>
      <c r="AH82" s="127">
        <v>35.0</v>
      </c>
      <c r="AI82" s="127"/>
      <c r="AJ82" s="127">
        <v>574.0</v>
      </c>
      <c r="AK82" s="127">
        <v>475.0</v>
      </c>
      <c r="AL82" s="127">
        <v>290.0</v>
      </c>
      <c r="AM82" s="127">
        <v>62.0</v>
      </c>
      <c r="AN82" s="127">
        <v>16.0</v>
      </c>
    </row>
    <row r="83">
      <c r="A83" s="126">
        <v>46066.0</v>
      </c>
      <c r="B83" s="127">
        <v>0.43243243243243246</v>
      </c>
      <c r="C83" s="127">
        <v>16.0</v>
      </c>
      <c r="D83" s="127">
        <v>37.0</v>
      </c>
      <c r="E83" s="127">
        <v>0.10019646365422397</v>
      </c>
      <c r="F83" s="127">
        <v>51.0</v>
      </c>
      <c r="G83" s="127">
        <v>509.0</v>
      </c>
      <c r="H83" s="127">
        <v>475.0</v>
      </c>
      <c r="I83" s="127">
        <v>50.0</v>
      </c>
      <c r="J83" s="127">
        <v>1123.0</v>
      </c>
      <c r="K83" s="127">
        <v>999.0</v>
      </c>
      <c r="L83" s="127">
        <v>124.0</v>
      </c>
      <c r="M83" s="127">
        <v>2.206286836935167</v>
      </c>
      <c r="N83" s="127">
        <v>1.962671905697446</v>
      </c>
      <c r="O83" s="127">
        <v>0.24361493123772102</v>
      </c>
      <c r="P83" s="127">
        <v>15352.941176470587</v>
      </c>
      <c r="Q83" s="127">
        <v>783000.0</v>
      </c>
      <c r="R83" s="127">
        <v>51.0</v>
      </c>
      <c r="S83" s="127">
        <v>60.0</v>
      </c>
      <c r="T83" s="127">
        <v>0.2769478927203106</v>
      </c>
      <c r="U83" s="127">
        <v>566149.7999999968</v>
      </c>
      <c r="V83" s="127">
        <v>783000.0</v>
      </c>
      <c r="W83" s="127"/>
      <c r="X83" s="127"/>
      <c r="Y83" s="127"/>
      <c r="Z83" s="127"/>
      <c r="AA83" s="127"/>
      <c r="AB83" s="127">
        <v>0.0</v>
      </c>
      <c r="AC83" s="127">
        <v>0.0</v>
      </c>
      <c r="AD83" s="127">
        <v>634.0</v>
      </c>
      <c r="AE83" s="127">
        <v>414.0</v>
      </c>
      <c r="AF83" s="127">
        <v>202.0</v>
      </c>
      <c r="AG83" s="127">
        <v>232.0</v>
      </c>
      <c r="AH83" s="127">
        <v>33.0</v>
      </c>
      <c r="AI83" s="127"/>
      <c r="AJ83" s="127">
        <v>564.0</v>
      </c>
      <c r="AK83" s="127">
        <v>472.0</v>
      </c>
      <c r="AL83" s="127">
        <v>307.0</v>
      </c>
      <c r="AM83" s="127">
        <v>60.0</v>
      </c>
      <c r="AN83" s="127">
        <v>18.0</v>
      </c>
    </row>
    <row r="84">
      <c r="A84" s="126">
        <v>46067.0</v>
      </c>
      <c r="B84" s="127">
        <v>0.3469387755102041</v>
      </c>
      <c r="C84" s="127">
        <v>17.0</v>
      </c>
      <c r="D84" s="127">
        <v>49.0</v>
      </c>
      <c r="E84" s="127">
        <v>0.13157894736842105</v>
      </c>
      <c r="F84" s="127">
        <v>70.0</v>
      </c>
      <c r="G84" s="127">
        <v>532.0</v>
      </c>
      <c r="H84" s="127">
        <v>491.0</v>
      </c>
      <c r="I84" s="127">
        <v>65.0</v>
      </c>
      <c r="J84" s="127">
        <v>1232.0</v>
      </c>
      <c r="K84" s="127">
        <v>1060.0</v>
      </c>
      <c r="L84" s="127">
        <v>172.0</v>
      </c>
      <c r="M84" s="127">
        <v>2.3157894736842106</v>
      </c>
      <c r="N84" s="127">
        <v>1.9924812030075187</v>
      </c>
      <c r="O84" s="127">
        <v>0.3233082706766917</v>
      </c>
      <c r="P84" s="127">
        <v>16992.85714285714</v>
      </c>
      <c r="Q84" s="127">
        <v>1189500.0</v>
      </c>
      <c r="R84" s="127">
        <v>70.0</v>
      </c>
      <c r="S84" s="127">
        <v>75.0</v>
      </c>
      <c r="T84" s="127">
        <v>0.29700302648171484</v>
      </c>
      <c r="U84" s="127">
        <v>836214.9000000001</v>
      </c>
      <c r="V84" s="127">
        <v>1189500.0</v>
      </c>
      <c r="W84" s="127"/>
      <c r="X84" s="127"/>
      <c r="Y84" s="127"/>
      <c r="Z84" s="127"/>
      <c r="AA84" s="127"/>
      <c r="AB84" s="127">
        <v>0.0</v>
      </c>
      <c r="AC84" s="127">
        <v>0.0</v>
      </c>
      <c r="AD84" s="127">
        <v>667.0</v>
      </c>
      <c r="AE84" s="127">
        <v>461.0</v>
      </c>
      <c r="AF84" s="127">
        <v>227.0</v>
      </c>
      <c r="AG84" s="127">
        <v>278.0</v>
      </c>
      <c r="AH84" s="127">
        <v>51.0</v>
      </c>
      <c r="AI84" s="127"/>
      <c r="AJ84" s="127">
        <v>592.0</v>
      </c>
      <c r="AK84" s="127">
        <v>492.0</v>
      </c>
      <c r="AL84" s="127">
        <v>305.0</v>
      </c>
      <c r="AM84" s="127">
        <v>70.0</v>
      </c>
      <c r="AN84" s="127">
        <v>19.0</v>
      </c>
    </row>
    <row r="85">
      <c r="A85" s="126">
        <v>46068.0</v>
      </c>
      <c r="B85" s="127">
        <v>0.375</v>
      </c>
      <c r="C85" s="127">
        <v>18.0</v>
      </c>
      <c r="D85" s="127">
        <v>48.0</v>
      </c>
      <c r="E85" s="127">
        <v>0.12321428571428572</v>
      </c>
      <c r="F85" s="127">
        <v>69.0</v>
      </c>
      <c r="G85" s="127">
        <v>560.0</v>
      </c>
      <c r="H85" s="127">
        <v>499.0</v>
      </c>
      <c r="I85" s="127">
        <v>88.0</v>
      </c>
      <c r="J85" s="127">
        <v>1206.0</v>
      </c>
      <c r="K85" s="127">
        <v>938.0</v>
      </c>
      <c r="L85" s="127">
        <v>268.0</v>
      </c>
      <c r="M85" s="127">
        <v>2.1535714285714285</v>
      </c>
      <c r="N85" s="127">
        <v>1.675</v>
      </c>
      <c r="O85" s="127">
        <v>0.4785714285714286</v>
      </c>
      <c r="P85" s="127">
        <v>16295.652173913044</v>
      </c>
      <c r="Q85" s="127">
        <v>1124400.0</v>
      </c>
      <c r="R85" s="127">
        <v>69.0</v>
      </c>
      <c r="S85" s="127">
        <v>75.0</v>
      </c>
      <c r="T85" s="127">
        <v>0.3312548914976907</v>
      </c>
      <c r="U85" s="127">
        <v>751936.9999999965</v>
      </c>
      <c r="V85" s="127">
        <v>1124400.0</v>
      </c>
      <c r="W85" s="127"/>
      <c r="X85" s="127"/>
      <c r="Y85" s="127"/>
      <c r="Z85" s="127"/>
      <c r="AA85" s="127"/>
      <c r="AB85" s="127">
        <v>0.0</v>
      </c>
      <c r="AC85" s="127">
        <v>0.0</v>
      </c>
      <c r="AD85" s="127">
        <v>636.0</v>
      </c>
      <c r="AE85" s="127">
        <v>431.0</v>
      </c>
      <c r="AF85" s="127">
        <v>229.0</v>
      </c>
      <c r="AG85" s="127">
        <v>254.0</v>
      </c>
      <c r="AH85" s="127">
        <v>42.0</v>
      </c>
      <c r="AI85" s="127"/>
      <c r="AJ85" s="127">
        <v>601.0</v>
      </c>
      <c r="AK85" s="127">
        <v>514.0</v>
      </c>
      <c r="AL85" s="127">
        <v>331.0</v>
      </c>
      <c r="AM85" s="127">
        <v>73.0</v>
      </c>
      <c r="AN85" s="127">
        <v>27.0</v>
      </c>
    </row>
    <row r="86">
      <c r="A86" s="126">
        <v>46069.0</v>
      </c>
      <c r="B86" s="127">
        <v>0.46875</v>
      </c>
      <c r="C86" s="127">
        <v>30.0</v>
      </c>
      <c r="D86" s="127">
        <v>64.0</v>
      </c>
      <c r="E86" s="127">
        <v>0.18398268398268397</v>
      </c>
      <c r="F86" s="127">
        <v>85.0</v>
      </c>
      <c r="G86" s="127">
        <v>462.0</v>
      </c>
      <c r="H86" s="127">
        <v>400.0</v>
      </c>
      <c r="I86" s="127">
        <v>82.0</v>
      </c>
      <c r="J86" s="127">
        <v>1111.0</v>
      </c>
      <c r="K86" s="127">
        <v>922.0</v>
      </c>
      <c r="L86" s="127">
        <v>189.0</v>
      </c>
      <c r="M86" s="127">
        <v>2.4047619047619047</v>
      </c>
      <c r="N86" s="127">
        <v>1.9956709956709957</v>
      </c>
      <c r="O86" s="127">
        <v>0.4090909090909091</v>
      </c>
      <c r="P86" s="127">
        <v>16211.764705882353</v>
      </c>
      <c r="Q86" s="127">
        <v>1378000.0</v>
      </c>
      <c r="R86" s="127">
        <v>85.0</v>
      </c>
      <c r="S86" s="127">
        <v>90.0</v>
      </c>
      <c r="T86" s="127">
        <v>0.39659571843251096</v>
      </c>
      <c r="U86" s="127">
        <v>831491.0999999999</v>
      </c>
      <c r="V86" s="127">
        <v>1378000.0</v>
      </c>
      <c r="W86" s="127"/>
      <c r="X86" s="127"/>
      <c r="Y86" s="127"/>
      <c r="Z86" s="127"/>
      <c r="AA86" s="127"/>
      <c r="AB86" s="127">
        <v>0.0</v>
      </c>
      <c r="AC86" s="127">
        <v>0.0</v>
      </c>
      <c r="AD86" s="127">
        <v>680.0</v>
      </c>
      <c r="AE86" s="127">
        <v>507.0</v>
      </c>
      <c r="AF86" s="127">
        <v>222.0</v>
      </c>
      <c r="AG86" s="127">
        <v>287.0</v>
      </c>
      <c r="AH86" s="127">
        <v>56.0</v>
      </c>
      <c r="AI86" s="127"/>
      <c r="AJ86" s="127">
        <v>696.0</v>
      </c>
      <c r="AK86" s="127">
        <v>544.0</v>
      </c>
      <c r="AL86" s="127">
        <v>240.0</v>
      </c>
      <c r="AM86" s="127">
        <v>110.0</v>
      </c>
      <c r="AN86" s="127">
        <v>29.0</v>
      </c>
    </row>
    <row r="87">
      <c r="A87" s="126">
        <v>46070.0</v>
      </c>
      <c r="B87" s="127">
        <v>0.42105263157894735</v>
      </c>
      <c r="C87" s="127">
        <v>24.0</v>
      </c>
      <c r="D87" s="127">
        <v>57.0</v>
      </c>
      <c r="E87" s="127">
        <v>0.1296</v>
      </c>
      <c r="F87" s="127">
        <v>81.0</v>
      </c>
      <c r="G87" s="127">
        <v>625.0</v>
      </c>
      <c r="H87" s="127">
        <v>581.0</v>
      </c>
      <c r="I87" s="127">
        <v>70.0</v>
      </c>
      <c r="J87" s="127">
        <v>1376.0</v>
      </c>
      <c r="K87" s="127">
        <v>1173.0</v>
      </c>
      <c r="L87" s="127">
        <v>203.0</v>
      </c>
      <c r="M87" s="127">
        <v>2.2016</v>
      </c>
      <c r="N87" s="127">
        <v>1.8768</v>
      </c>
      <c r="O87" s="127">
        <v>0.3248</v>
      </c>
      <c r="P87" s="127">
        <v>14622.222222222223</v>
      </c>
      <c r="Q87" s="127">
        <v>1184400.0</v>
      </c>
      <c r="R87" s="127">
        <v>81.0</v>
      </c>
      <c r="S87" s="127">
        <v>93.0</v>
      </c>
      <c r="T87" s="127">
        <v>0.2737204491725663</v>
      </c>
      <c r="U87" s="127">
        <v>860205.5000000125</v>
      </c>
      <c r="V87" s="127">
        <v>1184400.0</v>
      </c>
      <c r="W87" s="127"/>
      <c r="X87" s="127"/>
      <c r="Y87" s="127"/>
      <c r="Z87" s="127"/>
      <c r="AA87" s="127"/>
      <c r="AB87" s="127">
        <v>0.0</v>
      </c>
      <c r="AC87" s="127">
        <v>0.0</v>
      </c>
      <c r="AD87" s="127">
        <v>709.0</v>
      </c>
      <c r="AE87" s="127">
        <v>547.0</v>
      </c>
      <c r="AF87" s="127">
        <v>253.0</v>
      </c>
      <c r="AG87" s="127">
        <v>276.0</v>
      </c>
      <c r="AH87" s="127">
        <v>50.0</v>
      </c>
      <c r="AI87" s="127"/>
      <c r="AJ87" s="127">
        <v>761.0</v>
      </c>
      <c r="AK87" s="127">
        <v>618.0</v>
      </c>
      <c r="AL87" s="127">
        <v>372.0</v>
      </c>
      <c r="AM87" s="127">
        <v>96.0</v>
      </c>
      <c r="AN87" s="127">
        <v>31.0</v>
      </c>
    </row>
    <row r="88">
      <c r="A88" s="126">
        <v>46071.0</v>
      </c>
      <c r="B88" s="127">
        <v>0.4057971014492754</v>
      </c>
      <c r="C88" s="127">
        <v>28.0</v>
      </c>
      <c r="D88" s="127">
        <v>69.0</v>
      </c>
      <c r="E88" s="127">
        <v>0.16695059625212946</v>
      </c>
      <c r="F88" s="127">
        <v>98.0</v>
      </c>
      <c r="G88" s="127">
        <v>587.0</v>
      </c>
      <c r="H88" s="127">
        <v>555.0</v>
      </c>
      <c r="I88" s="127">
        <v>52.0</v>
      </c>
      <c r="J88" s="127">
        <v>1479.0</v>
      </c>
      <c r="K88" s="127">
        <v>1335.0</v>
      </c>
      <c r="L88" s="127">
        <v>144.0</v>
      </c>
      <c r="M88" s="127">
        <v>2.5195911413969334</v>
      </c>
      <c r="N88" s="127">
        <v>2.27427597955707</v>
      </c>
      <c r="O88" s="127">
        <v>0.2453151618398637</v>
      </c>
      <c r="P88" s="127">
        <v>16612.244897959183</v>
      </c>
      <c r="Q88" s="127">
        <v>1628000.0</v>
      </c>
      <c r="R88" s="127">
        <v>98.0</v>
      </c>
      <c r="S88" s="127">
        <v>111.0</v>
      </c>
      <c r="T88" s="127">
        <v>0.3589834766584765</v>
      </c>
      <c r="U88" s="127">
        <v>1043574.9000000003</v>
      </c>
      <c r="V88" s="127">
        <v>1628000.0</v>
      </c>
      <c r="W88" s="127"/>
      <c r="X88" s="127"/>
      <c r="Y88" s="127"/>
      <c r="Z88" s="127"/>
      <c r="AA88" s="127"/>
      <c r="AB88" s="127">
        <v>0.0</v>
      </c>
      <c r="AC88" s="127">
        <v>0.0</v>
      </c>
      <c r="AD88" s="127">
        <v>577.0</v>
      </c>
      <c r="AE88" s="127">
        <v>460.0</v>
      </c>
      <c r="AF88" s="127">
        <v>211.0</v>
      </c>
      <c r="AG88" s="127">
        <v>256.0</v>
      </c>
      <c r="AH88" s="127">
        <v>60.0</v>
      </c>
      <c r="AI88" s="127"/>
      <c r="AJ88" s="127">
        <v>752.0</v>
      </c>
      <c r="AK88" s="127">
        <v>632.0</v>
      </c>
      <c r="AL88" s="127">
        <v>376.0</v>
      </c>
      <c r="AM88" s="127">
        <v>102.0</v>
      </c>
      <c r="AN88" s="127">
        <v>38.0</v>
      </c>
    </row>
    <row r="89">
      <c r="A89" s="126">
        <v>46072.0</v>
      </c>
      <c r="B89" s="127">
        <v>0.5</v>
      </c>
      <c r="C89" s="127">
        <v>21.0</v>
      </c>
      <c r="D89" s="127">
        <v>42.0</v>
      </c>
      <c r="E89" s="127">
        <v>0.11591355599214145</v>
      </c>
      <c r="F89" s="127">
        <v>59.0</v>
      </c>
      <c r="G89" s="127">
        <v>509.0</v>
      </c>
      <c r="H89" s="127">
        <v>477.0</v>
      </c>
      <c r="I89" s="127">
        <v>47.0</v>
      </c>
      <c r="J89" s="127">
        <v>1077.0</v>
      </c>
      <c r="K89" s="127">
        <v>968.0</v>
      </c>
      <c r="L89" s="127">
        <v>109.0</v>
      </c>
      <c r="M89" s="127">
        <v>2.1159135559921416</v>
      </c>
      <c r="N89" s="127">
        <v>1.9017681728880158</v>
      </c>
      <c r="O89" s="127">
        <v>0.21414538310412573</v>
      </c>
      <c r="P89" s="127">
        <v>15298.305084745763</v>
      </c>
      <c r="Q89" s="127">
        <v>902600.0</v>
      </c>
      <c r="R89" s="127">
        <v>59.0</v>
      </c>
      <c r="S89" s="127">
        <v>65.0</v>
      </c>
      <c r="T89" s="127">
        <v>0.2685142920452027</v>
      </c>
      <c r="U89" s="127">
        <v>660239.0</v>
      </c>
      <c r="V89" s="127">
        <v>902600.0</v>
      </c>
      <c r="W89" s="127"/>
      <c r="X89" s="127"/>
      <c r="Y89" s="127"/>
      <c r="Z89" s="127"/>
      <c r="AA89" s="127"/>
      <c r="AB89" s="127">
        <v>0.0</v>
      </c>
      <c r="AC89" s="127">
        <v>0.0</v>
      </c>
      <c r="AD89" s="127">
        <v>550.0</v>
      </c>
      <c r="AE89" s="127">
        <v>429.0</v>
      </c>
      <c r="AF89" s="127">
        <v>174.0</v>
      </c>
      <c r="AG89" s="127">
        <v>238.0</v>
      </c>
      <c r="AH89" s="127">
        <v>39.0</v>
      </c>
      <c r="AI89" s="127"/>
      <c r="AJ89" s="127">
        <v>688.0</v>
      </c>
      <c r="AK89" s="127">
        <v>568.0</v>
      </c>
      <c r="AL89" s="127">
        <v>335.0</v>
      </c>
      <c r="AM89" s="127">
        <v>76.0</v>
      </c>
      <c r="AN89" s="127">
        <v>20.0</v>
      </c>
    </row>
    <row r="90">
      <c r="A90" s="126">
        <v>46073.0</v>
      </c>
      <c r="B90" s="127">
        <v>0.41304347826086957</v>
      </c>
      <c r="C90" s="127">
        <v>19.0</v>
      </c>
      <c r="D90" s="127">
        <v>46.0</v>
      </c>
      <c r="E90" s="127">
        <v>0.12521440823327615</v>
      </c>
      <c r="F90" s="127">
        <v>73.0</v>
      </c>
      <c r="G90" s="127">
        <v>583.0</v>
      </c>
      <c r="H90" s="127">
        <v>562.0</v>
      </c>
      <c r="I90" s="127">
        <v>41.0</v>
      </c>
      <c r="J90" s="127">
        <v>1292.0</v>
      </c>
      <c r="K90" s="127">
        <v>1187.0</v>
      </c>
      <c r="L90" s="127">
        <v>105.0</v>
      </c>
      <c r="M90" s="127">
        <v>2.216123499142367</v>
      </c>
      <c r="N90" s="127">
        <v>2.0360205831903944</v>
      </c>
      <c r="O90" s="127">
        <v>0.18010291595197256</v>
      </c>
      <c r="P90" s="127">
        <v>13465.753424657534</v>
      </c>
      <c r="Q90" s="127">
        <v>983000.0</v>
      </c>
      <c r="R90" s="127">
        <v>73.0</v>
      </c>
      <c r="S90" s="127">
        <v>82.0</v>
      </c>
      <c r="T90" s="127">
        <v>0.2706963377416073</v>
      </c>
      <c r="U90" s="127">
        <v>716905.5</v>
      </c>
      <c r="V90" s="127">
        <v>983000.0</v>
      </c>
      <c r="W90" s="127"/>
      <c r="X90" s="127"/>
      <c r="Y90" s="127"/>
      <c r="Z90" s="127"/>
      <c r="AA90" s="127"/>
      <c r="AB90" s="127">
        <v>0.0</v>
      </c>
      <c r="AC90" s="127">
        <v>0.0</v>
      </c>
      <c r="AD90" s="127">
        <v>594.0</v>
      </c>
      <c r="AE90" s="127">
        <v>450.0</v>
      </c>
      <c r="AF90" s="127">
        <v>199.0</v>
      </c>
      <c r="AG90" s="127">
        <v>256.0</v>
      </c>
      <c r="AH90" s="127">
        <v>40.0</v>
      </c>
      <c r="AI90" s="127"/>
      <c r="AJ90" s="127">
        <v>772.0</v>
      </c>
      <c r="AK90" s="127">
        <v>637.0</v>
      </c>
      <c r="AL90" s="127">
        <v>384.0</v>
      </c>
      <c r="AM90" s="127">
        <v>101.0</v>
      </c>
      <c r="AN90" s="127">
        <v>33.0</v>
      </c>
    </row>
    <row r="91">
      <c r="A91" s="126">
        <v>46074.0</v>
      </c>
      <c r="B91" s="127">
        <v>0.35714285714285715</v>
      </c>
      <c r="C91" s="127">
        <v>15.0</v>
      </c>
      <c r="D91" s="127">
        <v>42.0</v>
      </c>
      <c r="E91" s="127">
        <v>0.1219047619047619</v>
      </c>
      <c r="F91" s="127">
        <v>64.0</v>
      </c>
      <c r="G91" s="127">
        <v>525.0</v>
      </c>
      <c r="H91" s="127">
        <v>494.0</v>
      </c>
      <c r="I91" s="127">
        <v>47.0</v>
      </c>
      <c r="J91" s="127">
        <v>1143.0</v>
      </c>
      <c r="K91" s="127">
        <v>1046.0</v>
      </c>
      <c r="L91" s="127">
        <v>97.0</v>
      </c>
      <c r="M91" s="127">
        <v>2.177142857142857</v>
      </c>
      <c r="N91" s="127">
        <v>1.9923809523809524</v>
      </c>
      <c r="O91" s="127">
        <v>0.18476190476190477</v>
      </c>
      <c r="P91" s="127">
        <v>16634.375</v>
      </c>
      <c r="Q91" s="127">
        <v>1064600.0</v>
      </c>
      <c r="R91" s="127">
        <v>64.0</v>
      </c>
      <c r="S91" s="127">
        <v>72.0</v>
      </c>
      <c r="T91" s="127">
        <v>0.23925850084538824</v>
      </c>
      <c r="U91" s="127">
        <v>809885.3999999997</v>
      </c>
      <c r="V91" s="127">
        <v>1064600.0</v>
      </c>
      <c r="W91" s="127"/>
      <c r="X91" s="127"/>
      <c r="Y91" s="127"/>
      <c r="Z91" s="127"/>
      <c r="AA91" s="127"/>
      <c r="AB91" s="127">
        <v>0.0</v>
      </c>
      <c r="AC91" s="127">
        <v>0.0</v>
      </c>
      <c r="AD91" s="127">
        <v>477.0</v>
      </c>
      <c r="AE91" s="127">
        <v>385.0</v>
      </c>
      <c r="AF91" s="127">
        <v>161.0</v>
      </c>
      <c r="AG91" s="127">
        <v>191.0</v>
      </c>
      <c r="AH91" s="127">
        <v>32.0</v>
      </c>
      <c r="AI91" s="127"/>
      <c r="AJ91" s="127">
        <v>669.0</v>
      </c>
      <c r="AK91" s="127">
        <v>560.0</v>
      </c>
      <c r="AL91" s="127">
        <v>364.0</v>
      </c>
      <c r="AM91" s="127">
        <v>76.0</v>
      </c>
      <c r="AN91" s="127">
        <v>32.0</v>
      </c>
    </row>
    <row r="92">
      <c r="A92" s="126">
        <v>46075.0</v>
      </c>
      <c r="B92" s="127">
        <v>0.0</v>
      </c>
      <c r="C92" s="127">
        <v>0.0</v>
      </c>
      <c r="D92" s="127">
        <v>63.0</v>
      </c>
      <c r="E92" s="127">
        <v>0.1377245508982036</v>
      </c>
      <c r="F92" s="127">
        <v>92.0</v>
      </c>
      <c r="G92" s="127">
        <v>668.0</v>
      </c>
      <c r="H92" s="127">
        <v>638.0</v>
      </c>
      <c r="I92" s="127">
        <v>49.0</v>
      </c>
      <c r="J92" s="127">
        <v>1473.0</v>
      </c>
      <c r="K92" s="127">
        <v>1333.0</v>
      </c>
      <c r="L92" s="127">
        <v>140.0</v>
      </c>
      <c r="M92" s="127">
        <v>2.2050898203592815</v>
      </c>
      <c r="N92" s="127">
        <v>1.9955089820359282</v>
      </c>
      <c r="O92" s="127">
        <v>0.20958083832335328</v>
      </c>
      <c r="P92" s="127">
        <v>16439.130434782608</v>
      </c>
      <c r="Q92" s="127">
        <v>1512400.0</v>
      </c>
      <c r="R92" s="127">
        <v>92.0</v>
      </c>
      <c r="S92" s="127">
        <v>108.0</v>
      </c>
      <c r="T92" s="127">
        <v>0.33411716477122444</v>
      </c>
      <c r="U92" s="127">
        <v>1007081.2000000002</v>
      </c>
      <c r="V92" s="127">
        <v>1512400.0</v>
      </c>
      <c r="W92" s="127"/>
      <c r="X92" s="127"/>
      <c r="Y92" s="127"/>
      <c r="Z92" s="127"/>
      <c r="AA92" s="127"/>
      <c r="AB92" s="127">
        <v>0.0</v>
      </c>
      <c r="AC92" s="127">
        <v>0.0</v>
      </c>
      <c r="AD92" s="127">
        <v>839.0</v>
      </c>
      <c r="AE92" s="127">
        <v>644.0</v>
      </c>
      <c r="AF92" s="127">
        <v>250.0</v>
      </c>
      <c r="AG92" s="127">
        <v>366.0</v>
      </c>
      <c r="AH92" s="127">
        <v>54.0</v>
      </c>
      <c r="AI92" s="127"/>
      <c r="AJ92" s="127">
        <v>737.0</v>
      </c>
      <c r="AK92" s="127">
        <v>642.0</v>
      </c>
      <c r="AL92" s="127">
        <v>418.0</v>
      </c>
      <c r="AM92" s="127">
        <v>103.0</v>
      </c>
      <c r="AN92" s="127">
        <v>38.0</v>
      </c>
    </row>
    <row r="93">
      <c r="A93" s="126">
        <v>46076.0</v>
      </c>
      <c r="B93" s="127">
        <v>0.0</v>
      </c>
      <c r="C93" s="127">
        <v>0.0</v>
      </c>
      <c r="D93" s="127">
        <v>14.0</v>
      </c>
      <c r="E93" s="127">
        <v>0.06684491978609626</v>
      </c>
      <c r="F93" s="127">
        <v>25.0</v>
      </c>
      <c r="G93" s="127">
        <v>374.0</v>
      </c>
      <c r="H93" s="127">
        <v>357.0</v>
      </c>
      <c r="I93" s="127">
        <v>27.0</v>
      </c>
      <c r="J93" s="127">
        <v>691.0</v>
      </c>
      <c r="K93" s="127">
        <v>634.0</v>
      </c>
      <c r="L93" s="127">
        <v>57.0</v>
      </c>
      <c r="M93" s="127">
        <v>1.8475935828877006</v>
      </c>
      <c r="N93" s="127">
        <v>1.695187165775401</v>
      </c>
      <c r="O93" s="127">
        <v>0.15240641711229946</v>
      </c>
      <c r="P93" s="127">
        <v>12488.0</v>
      </c>
      <c r="Q93" s="127">
        <v>312200.0</v>
      </c>
      <c r="R93" s="127">
        <v>25.0</v>
      </c>
      <c r="S93" s="127">
        <v>26.0</v>
      </c>
      <c r="T93" s="127">
        <v>-0.003959641255612212</v>
      </c>
      <c r="U93" s="127">
        <v>313436.2000000021</v>
      </c>
      <c r="V93" s="127">
        <v>312200.0</v>
      </c>
      <c r="W93" s="127"/>
      <c r="X93" s="127"/>
      <c r="Y93" s="127"/>
      <c r="Z93" s="127"/>
      <c r="AA93" s="127"/>
      <c r="AB93" s="127">
        <v>0.0</v>
      </c>
      <c r="AC93" s="127">
        <v>0.0</v>
      </c>
      <c r="AD93" s="127"/>
      <c r="AE93" s="127"/>
      <c r="AF93" s="127">
        <v>0.0</v>
      </c>
      <c r="AG93" s="127"/>
      <c r="AH93" s="127">
        <v>0.0</v>
      </c>
      <c r="AI93" s="127"/>
      <c r="AJ93" s="127"/>
      <c r="AK93" s="127"/>
      <c r="AL93" s="127">
        <v>374.0</v>
      </c>
      <c r="AM93" s="127"/>
      <c r="AN93" s="127">
        <v>25.0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40" width="15.13"/>
  </cols>
  <sheetData>
    <row r="1" ht="36.0">
      <c r="A1" s="112" t="s">
        <v>143</v>
      </c>
    </row>
    <row r="2">
      <c r="A2" s="113" t="s">
        <v>129</v>
      </c>
      <c r="B2" s="113" t="s">
        <v>10</v>
      </c>
      <c r="C2" s="113" t="s">
        <v>12</v>
      </c>
      <c r="D2" s="113" t="s">
        <v>15</v>
      </c>
      <c r="E2" s="113" t="s">
        <v>18</v>
      </c>
      <c r="F2" s="113" t="s">
        <v>19</v>
      </c>
      <c r="G2" s="113" t="s">
        <v>21</v>
      </c>
      <c r="H2" s="113" t="s">
        <v>68</v>
      </c>
      <c r="I2" s="113" t="s">
        <v>70</v>
      </c>
      <c r="J2" s="113" t="s">
        <v>23</v>
      </c>
      <c r="K2" s="113" t="s">
        <v>74</v>
      </c>
      <c r="L2" s="113" t="s">
        <v>76</v>
      </c>
      <c r="M2" s="113" t="s">
        <v>79</v>
      </c>
      <c r="N2" s="113" t="s">
        <v>81</v>
      </c>
      <c r="O2" s="113" t="s">
        <v>83</v>
      </c>
      <c r="P2" s="113" t="s">
        <v>25</v>
      </c>
      <c r="Q2" s="113" t="s">
        <v>26</v>
      </c>
      <c r="R2" s="113" t="s">
        <v>28</v>
      </c>
      <c r="S2" s="113" t="s">
        <v>29</v>
      </c>
      <c r="T2" s="113" t="s">
        <v>31</v>
      </c>
      <c r="U2" s="113" t="s">
        <v>33</v>
      </c>
      <c r="V2" s="113" t="s">
        <v>35</v>
      </c>
      <c r="W2" s="113" t="s">
        <v>123</v>
      </c>
      <c r="X2" s="113" t="s">
        <v>125</v>
      </c>
      <c r="Y2" s="113" t="s">
        <v>126</v>
      </c>
      <c r="Z2" s="113" t="s">
        <v>127</v>
      </c>
      <c r="AA2" s="113" t="s">
        <v>130</v>
      </c>
      <c r="AB2" s="113" t="s">
        <v>37</v>
      </c>
      <c r="AC2" s="113" t="s">
        <v>39</v>
      </c>
      <c r="AD2" s="113" t="s">
        <v>41</v>
      </c>
      <c r="AE2" s="113" t="s">
        <v>43</v>
      </c>
      <c r="AF2" s="113" t="s">
        <v>45</v>
      </c>
      <c r="AG2" s="113" t="s">
        <v>46</v>
      </c>
      <c r="AH2" s="113" t="s">
        <v>48</v>
      </c>
      <c r="AI2" s="113" t="s">
        <v>131</v>
      </c>
      <c r="AJ2" s="113" t="s">
        <v>50</v>
      </c>
      <c r="AK2" s="113" t="s">
        <v>51</v>
      </c>
      <c r="AL2" s="113" t="s">
        <v>52</v>
      </c>
      <c r="AM2" s="113" t="s">
        <v>53</v>
      </c>
      <c r="AN2" s="113" t="s">
        <v>54</v>
      </c>
    </row>
    <row r="3">
      <c r="A3" s="114">
        <v>45985.0</v>
      </c>
      <c r="B3" s="115">
        <v>0.7012048192771084</v>
      </c>
      <c r="C3" s="115">
        <v>291.0</v>
      </c>
      <c r="D3" s="115">
        <v>415.0</v>
      </c>
      <c r="E3" s="115">
        <v>0.041466826538768986</v>
      </c>
      <c r="F3" s="115">
        <v>415.0</v>
      </c>
      <c r="G3" s="115">
        <v>10008.0</v>
      </c>
      <c r="H3" s="115">
        <v>10008.0</v>
      </c>
      <c r="I3" s="115">
        <v>0.0</v>
      </c>
      <c r="J3" s="115">
        <v>29740.0</v>
      </c>
      <c r="K3" s="115">
        <v>29740.0</v>
      </c>
      <c r="L3" s="115"/>
      <c r="M3" s="115">
        <v>2.971622701838529</v>
      </c>
      <c r="N3" s="115">
        <v>2.971622701838529</v>
      </c>
      <c r="O3" s="115"/>
      <c r="P3" s="115">
        <v>6674.21686746988</v>
      </c>
      <c r="Q3" s="115">
        <v>2769800.0</v>
      </c>
      <c r="R3" s="115">
        <v>415.0</v>
      </c>
      <c r="S3" s="115">
        <v>475.0</v>
      </c>
      <c r="T3" s="115">
        <v>-0.41625131778463365</v>
      </c>
      <c r="U3" s="115">
        <v>3922732.8999998784</v>
      </c>
      <c r="V3" s="115">
        <v>2769800.0</v>
      </c>
      <c r="W3" s="115"/>
      <c r="X3" s="115"/>
      <c r="Y3" s="115"/>
      <c r="Z3" s="115"/>
      <c r="AA3" s="115"/>
      <c r="AB3" s="115">
        <v>0.0</v>
      </c>
      <c r="AC3" s="115">
        <v>0.0</v>
      </c>
      <c r="AD3" s="115">
        <v>3304.0</v>
      </c>
      <c r="AE3" s="115">
        <v>1513.0</v>
      </c>
      <c r="AF3" s="115">
        <v>756.0</v>
      </c>
      <c r="AG3" s="115">
        <v>400.0</v>
      </c>
      <c r="AH3" s="115">
        <v>55.0</v>
      </c>
      <c r="AI3" s="115"/>
      <c r="AJ3" s="115">
        <v>28792.0</v>
      </c>
      <c r="AK3" s="115">
        <v>19226.0</v>
      </c>
      <c r="AL3" s="115">
        <v>9252.0</v>
      </c>
      <c r="AM3" s="115">
        <v>4034.0</v>
      </c>
      <c r="AN3" s="115">
        <v>360.0</v>
      </c>
    </row>
    <row r="4">
      <c r="A4" s="116">
        <v>45992.0</v>
      </c>
      <c r="B4" s="117">
        <v>0.5728542914171657</v>
      </c>
      <c r="C4" s="117">
        <v>287.0</v>
      </c>
      <c r="D4" s="117">
        <v>501.0</v>
      </c>
      <c r="E4" s="117">
        <v>0.11791237113402062</v>
      </c>
      <c r="F4" s="117">
        <v>549.0</v>
      </c>
      <c r="G4" s="117">
        <v>4656.0</v>
      </c>
      <c r="H4" s="117">
        <v>4656.0</v>
      </c>
      <c r="I4" s="117">
        <v>0.0</v>
      </c>
      <c r="J4" s="117">
        <v>19960.0</v>
      </c>
      <c r="K4" s="117">
        <v>19960.0</v>
      </c>
      <c r="L4" s="117"/>
      <c r="M4" s="117">
        <v>4.286941580756014</v>
      </c>
      <c r="N4" s="117">
        <v>4.286941580756014</v>
      </c>
      <c r="O4" s="117"/>
      <c r="P4" s="117">
        <v>6816.393442622951</v>
      </c>
      <c r="Q4" s="117">
        <v>3742200.0</v>
      </c>
      <c r="R4" s="117">
        <v>549.0</v>
      </c>
      <c r="S4" s="117">
        <v>618.0</v>
      </c>
      <c r="T4" s="117">
        <v>0.2333114478114532</v>
      </c>
      <c r="U4" s="117">
        <v>2869101.89999998</v>
      </c>
      <c r="V4" s="117">
        <v>3742200.0</v>
      </c>
      <c r="W4" s="117"/>
      <c r="X4" s="117"/>
      <c r="Y4" s="117"/>
      <c r="Z4" s="117"/>
      <c r="AA4" s="117"/>
      <c r="AB4" s="117">
        <v>0.0</v>
      </c>
      <c r="AC4" s="117">
        <v>0.0</v>
      </c>
      <c r="AD4" s="117">
        <v>3736.0</v>
      </c>
      <c r="AE4" s="117">
        <v>1775.0</v>
      </c>
      <c r="AF4" s="117">
        <v>500.0</v>
      </c>
      <c r="AG4" s="117">
        <v>582.0</v>
      </c>
      <c r="AH4" s="117">
        <v>106.0</v>
      </c>
      <c r="AI4" s="117"/>
      <c r="AJ4" s="117">
        <v>27887.0</v>
      </c>
      <c r="AK4" s="117">
        <v>18479.0</v>
      </c>
      <c r="AL4" s="117">
        <v>4156.0</v>
      </c>
      <c r="AM4" s="117">
        <v>5451.0</v>
      </c>
      <c r="AN4" s="117">
        <v>443.0</v>
      </c>
    </row>
    <row r="5">
      <c r="A5" s="114">
        <v>45999.0</v>
      </c>
      <c r="B5" s="115">
        <v>0.4757834757834758</v>
      </c>
      <c r="C5" s="115">
        <v>167.0</v>
      </c>
      <c r="D5" s="115">
        <v>351.0</v>
      </c>
      <c r="E5" s="115">
        <v>0.12939001848428835</v>
      </c>
      <c r="F5" s="115">
        <v>420.0</v>
      </c>
      <c r="G5" s="115">
        <v>3246.0</v>
      </c>
      <c r="H5" s="115">
        <v>3246.0</v>
      </c>
      <c r="I5" s="115">
        <v>0.0</v>
      </c>
      <c r="J5" s="115">
        <v>15695.0</v>
      </c>
      <c r="K5" s="115">
        <v>15695.0</v>
      </c>
      <c r="L5" s="115"/>
      <c r="M5" s="115">
        <v>4.835181762168824</v>
      </c>
      <c r="N5" s="115">
        <v>4.835181762168824</v>
      </c>
      <c r="O5" s="115"/>
      <c r="P5" s="115">
        <v>6178.333333333333</v>
      </c>
      <c r="Q5" s="115">
        <v>2594900.0</v>
      </c>
      <c r="R5" s="115">
        <v>420.0</v>
      </c>
      <c r="S5" s="115">
        <v>474.0</v>
      </c>
      <c r="T5" s="115">
        <v>0.09894011329917096</v>
      </c>
      <c r="U5" s="115">
        <v>2338160.299999981</v>
      </c>
      <c r="V5" s="115">
        <v>2594900.0</v>
      </c>
      <c r="W5" s="115"/>
      <c r="X5" s="115"/>
      <c r="Y5" s="115"/>
      <c r="Z5" s="115"/>
      <c r="AA5" s="115"/>
      <c r="AB5" s="115">
        <v>0.0</v>
      </c>
      <c r="AC5" s="115">
        <v>0.0</v>
      </c>
      <c r="AD5" s="115">
        <v>3544.0</v>
      </c>
      <c r="AE5" s="115">
        <v>1496.0</v>
      </c>
      <c r="AF5" s="115">
        <v>432.0</v>
      </c>
      <c r="AG5" s="115">
        <v>483.0</v>
      </c>
      <c r="AH5" s="115">
        <v>86.0</v>
      </c>
      <c r="AI5" s="115"/>
      <c r="AJ5" s="115">
        <v>23730.0</v>
      </c>
      <c r="AK5" s="115">
        <v>15611.0</v>
      </c>
      <c r="AL5" s="115">
        <v>2814.0</v>
      </c>
      <c r="AM5" s="115">
        <v>3827.0</v>
      </c>
      <c r="AN5" s="115">
        <v>334.0</v>
      </c>
    </row>
    <row r="6">
      <c r="A6" s="116">
        <v>46006.0</v>
      </c>
      <c r="B6" s="117">
        <v>0.5408560311284046</v>
      </c>
      <c r="C6" s="117">
        <v>139.0</v>
      </c>
      <c r="D6" s="117">
        <v>257.0</v>
      </c>
      <c r="E6" s="117">
        <v>0.1306439674315322</v>
      </c>
      <c r="F6" s="117">
        <v>353.0</v>
      </c>
      <c r="G6" s="117">
        <v>2702.0</v>
      </c>
      <c r="H6" s="117">
        <v>2702.0</v>
      </c>
      <c r="I6" s="117">
        <v>0.0</v>
      </c>
      <c r="J6" s="117">
        <v>10949.0</v>
      </c>
      <c r="K6" s="117">
        <v>10949.0</v>
      </c>
      <c r="L6" s="117"/>
      <c r="M6" s="117">
        <v>4.052183567727609</v>
      </c>
      <c r="N6" s="117">
        <v>4.052183567727609</v>
      </c>
      <c r="O6" s="117"/>
      <c r="P6" s="117">
        <v>6671.671388101983</v>
      </c>
      <c r="Q6" s="117">
        <v>2355100.0</v>
      </c>
      <c r="R6" s="117">
        <v>353.0</v>
      </c>
      <c r="S6" s="117">
        <v>402.0</v>
      </c>
      <c r="T6" s="117">
        <v>0.16744269882382878</v>
      </c>
      <c r="U6" s="117">
        <v>1960755.700000001</v>
      </c>
      <c r="V6" s="117">
        <v>2355100.0</v>
      </c>
      <c r="W6" s="117"/>
      <c r="X6" s="117"/>
      <c r="Y6" s="117"/>
      <c r="Z6" s="117"/>
      <c r="AA6" s="117"/>
      <c r="AB6" s="117">
        <v>0.0</v>
      </c>
      <c r="AC6" s="117">
        <v>0.0</v>
      </c>
      <c r="AD6" s="117">
        <v>3380.0</v>
      </c>
      <c r="AE6" s="117">
        <v>1056.0</v>
      </c>
      <c r="AF6" s="117">
        <v>252.0</v>
      </c>
      <c r="AG6" s="117">
        <v>327.0</v>
      </c>
      <c r="AH6" s="117">
        <v>51.0</v>
      </c>
      <c r="AI6" s="117"/>
      <c r="AJ6" s="117">
        <v>20477.0</v>
      </c>
      <c r="AK6" s="117">
        <v>12498.0</v>
      </c>
      <c r="AL6" s="117">
        <v>2450.0</v>
      </c>
      <c r="AM6" s="117">
        <v>2936.0</v>
      </c>
      <c r="AN6" s="117">
        <v>302.0</v>
      </c>
    </row>
    <row r="7">
      <c r="A7" s="114">
        <v>46013.0</v>
      </c>
      <c r="B7" s="115">
        <v>0.5955610357583231</v>
      </c>
      <c r="C7" s="115">
        <v>483.0</v>
      </c>
      <c r="D7" s="115">
        <v>811.0</v>
      </c>
      <c r="E7" s="115">
        <v>0.20495646349631613</v>
      </c>
      <c r="F7" s="115">
        <v>918.0</v>
      </c>
      <c r="G7" s="115">
        <v>4479.0</v>
      </c>
      <c r="H7" s="115">
        <v>4479.0</v>
      </c>
      <c r="I7" s="115">
        <v>0.0</v>
      </c>
      <c r="J7" s="115">
        <v>14924.0</v>
      </c>
      <c r="K7" s="115">
        <v>14924.0</v>
      </c>
      <c r="L7" s="115"/>
      <c r="M7" s="115">
        <v>3.3319937486045994</v>
      </c>
      <c r="N7" s="115">
        <v>3.3319937486045994</v>
      </c>
      <c r="O7" s="115"/>
      <c r="P7" s="115">
        <v>7648.474945533769</v>
      </c>
      <c r="Q7" s="115">
        <v>7021300.0</v>
      </c>
      <c r="R7" s="115">
        <v>918.0</v>
      </c>
      <c r="S7" s="115">
        <v>1071.0</v>
      </c>
      <c r="T7" s="115">
        <v>0.19495298591428967</v>
      </c>
      <c r="U7" s="115">
        <v>5652476.599999998</v>
      </c>
      <c r="V7" s="115">
        <v>7021300.0</v>
      </c>
      <c r="W7" s="115"/>
      <c r="X7" s="115"/>
      <c r="Y7" s="115"/>
      <c r="Z7" s="115"/>
      <c r="AA7" s="115"/>
      <c r="AB7" s="115">
        <v>0.0</v>
      </c>
      <c r="AC7" s="115">
        <v>0.0</v>
      </c>
      <c r="AD7" s="115">
        <v>3450.0</v>
      </c>
      <c r="AE7" s="115">
        <v>1631.0</v>
      </c>
      <c r="AF7" s="115">
        <v>528.0</v>
      </c>
      <c r="AG7" s="115">
        <v>690.0</v>
      </c>
      <c r="AH7" s="115">
        <v>164.0</v>
      </c>
      <c r="AI7" s="115"/>
      <c r="AJ7" s="115">
        <v>34665.0</v>
      </c>
      <c r="AK7" s="115">
        <v>26370.0</v>
      </c>
      <c r="AL7" s="115">
        <v>3951.0</v>
      </c>
      <c r="AM7" s="115">
        <v>6006.0</v>
      </c>
      <c r="AN7" s="115">
        <v>754.0</v>
      </c>
    </row>
    <row r="8">
      <c r="A8" s="116">
        <v>46020.0</v>
      </c>
      <c r="B8" s="117">
        <v>0.5106382978723404</v>
      </c>
      <c r="C8" s="117">
        <v>216.0</v>
      </c>
      <c r="D8" s="117">
        <v>423.0</v>
      </c>
      <c r="E8" s="117">
        <v>0.14417699975686846</v>
      </c>
      <c r="F8" s="117">
        <v>593.0</v>
      </c>
      <c r="G8" s="117">
        <v>4113.0</v>
      </c>
      <c r="H8" s="117">
        <v>4113.0</v>
      </c>
      <c r="I8" s="117">
        <v>0.0</v>
      </c>
      <c r="J8" s="117">
        <v>12910.0</v>
      </c>
      <c r="K8" s="117">
        <v>12910.0</v>
      </c>
      <c r="L8" s="117"/>
      <c r="M8" s="117">
        <v>3.1388281060053487</v>
      </c>
      <c r="N8" s="117">
        <v>3.1388281060053487</v>
      </c>
      <c r="O8" s="117"/>
      <c r="P8" s="117">
        <v>7781.618887015177</v>
      </c>
      <c r="Q8" s="117">
        <v>4614500.0</v>
      </c>
      <c r="R8" s="117">
        <v>593.0</v>
      </c>
      <c r="S8" s="117">
        <v>696.0</v>
      </c>
      <c r="T8" s="117">
        <v>0.052349290280641725</v>
      </c>
      <c r="U8" s="117">
        <v>4372934.199999979</v>
      </c>
      <c r="V8" s="117">
        <v>4614500.0</v>
      </c>
      <c r="W8" s="117"/>
      <c r="X8" s="117"/>
      <c r="Y8" s="117"/>
      <c r="Z8" s="117"/>
      <c r="AA8" s="117"/>
      <c r="AB8" s="117">
        <v>0.0</v>
      </c>
      <c r="AC8" s="117">
        <v>0.0</v>
      </c>
      <c r="AD8" s="117">
        <v>2976.0</v>
      </c>
      <c r="AE8" s="117">
        <v>1052.0</v>
      </c>
      <c r="AF8" s="117">
        <v>277.0</v>
      </c>
      <c r="AG8" s="117">
        <v>350.0</v>
      </c>
      <c r="AH8" s="117">
        <v>71.0</v>
      </c>
      <c r="AI8" s="117"/>
      <c r="AJ8" s="117">
        <v>30002.0</v>
      </c>
      <c r="AK8" s="117">
        <v>20837.0</v>
      </c>
      <c r="AL8" s="117">
        <v>3836.0</v>
      </c>
      <c r="AM8" s="117">
        <v>4061.0</v>
      </c>
      <c r="AN8" s="117">
        <v>522.0</v>
      </c>
    </row>
    <row r="9">
      <c r="A9" s="114">
        <v>46027.0</v>
      </c>
      <c r="B9" s="115">
        <v>0.5086206896551724</v>
      </c>
      <c r="C9" s="115">
        <v>118.0</v>
      </c>
      <c r="D9" s="115">
        <v>232.0</v>
      </c>
      <c r="E9" s="115">
        <v>0.11436855670103092</v>
      </c>
      <c r="F9" s="115">
        <v>355.0</v>
      </c>
      <c r="G9" s="115">
        <v>3104.0</v>
      </c>
      <c r="H9" s="115">
        <v>3104.0</v>
      </c>
      <c r="I9" s="115">
        <v>0.0</v>
      </c>
      <c r="J9" s="115">
        <v>9204.0</v>
      </c>
      <c r="K9" s="115">
        <v>9204.0</v>
      </c>
      <c r="L9" s="115"/>
      <c r="M9" s="115">
        <v>2.9652061855670104</v>
      </c>
      <c r="N9" s="115">
        <v>2.9652061855670104</v>
      </c>
      <c r="O9" s="115"/>
      <c r="P9" s="115">
        <v>7954.084507042254</v>
      </c>
      <c r="Q9" s="115">
        <v>2823700.0</v>
      </c>
      <c r="R9" s="115">
        <v>355.0</v>
      </c>
      <c r="S9" s="115">
        <v>431.0</v>
      </c>
      <c r="T9" s="115">
        <v>-0.07361316712115218</v>
      </c>
      <c r="U9" s="115">
        <v>3031561.4999999977</v>
      </c>
      <c r="V9" s="115">
        <v>2823700.0</v>
      </c>
      <c r="W9" s="115"/>
      <c r="X9" s="115"/>
      <c r="Y9" s="115"/>
      <c r="Z9" s="115"/>
      <c r="AA9" s="115"/>
      <c r="AB9" s="115">
        <v>0.0</v>
      </c>
      <c r="AC9" s="115">
        <v>0.0</v>
      </c>
      <c r="AD9" s="115">
        <v>2439.0</v>
      </c>
      <c r="AE9" s="115">
        <v>770.0</v>
      </c>
      <c r="AF9" s="115">
        <v>162.0</v>
      </c>
      <c r="AG9" s="115">
        <v>189.0</v>
      </c>
      <c r="AH9" s="115">
        <v>34.0</v>
      </c>
      <c r="AI9" s="115"/>
      <c r="AJ9" s="115">
        <v>25355.0</v>
      </c>
      <c r="AK9" s="115">
        <v>17817.0</v>
      </c>
      <c r="AL9" s="115">
        <v>2942.0</v>
      </c>
      <c r="AM9" s="115">
        <v>2545.0</v>
      </c>
      <c r="AN9" s="115">
        <v>321.0</v>
      </c>
    </row>
    <row r="10">
      <c r="A10" s="116">
        <v>46034.0</v>
      </c>
      <c r="B10" s="117">
        <v>0.5016181229773463</v>
      </c>
      <c r="C10" s="117">
        <v>155.0</v>
      </c>
      <c r="D10" s="117">
        <v>309.0</v>
      </c>
      <c r="E10" s="117">
        <v>0.15576781778104334</v>
      </c>
      <c r="F10" s="117">
        <v>424.0</v>
      </c>
      <c r="G10" s="117">
        <v>2722.0</v>
      </c>
      <c r="H10" s="117">
        <v>2722.0</v>
      </c>
      <c r="I10" s="117">
        <v>0.0</v>
      </c>
      <c r="J10" s="117">
        <v>7448.0</v>
      </c>
      <c r="K10" s="117">
        <v>7448.0</v>
      </c>
      <c r="L10" s="117"/>
      <c r="M10" s="117">
        <v>2.736223365172667</v>
      </c>
      <c r="N10" s="117">
        <v>2.736223365172667</v>
      </c>
      <c r="O10" s="117"/>
      <c r="P10" s="117">
        <v>7642.924528301887</v>
      </c>
      <c r="Q10" s="117">
        <v>3240600.0</v>
      </c>
      <c r="R10" s="117">
        <v>424.0</v>
      </c>
      <c r="S10" s="117">
        <v>493.0</v>
      </c>
      <c r="T10" s="117">
        <v>0.17819542677281974</v>
      </c>
      <c r="U10" s="117">
        <v>2663139.9000000004</v>
      </c>
      <c r="V10" s="117">
        <v>3240600.0</v>
      </c>
      <c r="W10" s="117"/>
      <c r="X10" s="117"/>
      <c r="Y10" s="117"/>
      <c r="Z10" s="117"/>
      <c r="AA10" s="117"/>
      <c r="AB10" s="117">
        <v>0.0</v>
      </c>
      <c r="AC10" s="117">
        <v>0.0</v>
      </c>
      <c r="AD10" s="117">
        <v>3844.0</v>
      </c>
      <c r="AE10" s="117">
        <v>937.0</v>
      </c>
      <c r="AF10" s="117">
        <v>143.0</v>
      </c>
      <c r="AG10" s="117">
        <v>263.0</v>
      </c>
      <c r="AH10" s="117">
        <v>43.0</v>
      </c>
      <c r="AI10" s="117"/>
      <c r="AJ10" s="117">
        <v>31876.0</v>
      </c>
      <c r="AK10" s="117">
        <v>22988.0</v>
      </c>
      <c r="AL10" s="117">
        <v>2579.0</v>
      </c>
      <c r="AM10" s="117">
        <v>3050.0</v>
      </c>
      <c r="AN10" s="117">
        <v>381.0</v>
      </c>
    </row>
    <row r="11">
      <c r="A11" s="114">
        <v>46041.0</v>
      </c>
      <c r="B11" s="115">
        <v>0.45614035087719296</v>
      </c>
      <c r="C11" s="115">
        <v>156.0</v>
      </c>
      <c r="D11" s="115">
        <v>342.0</v>
      </c>
      <c r="E11" s="115">
        <v>0.15312701482914248</v>
      </c>
      <c r="F11" s="115">
        <v>475.0</v>
      </c>
      <c r="G11" s="115">
        <v>3102.0</v>
      </c>
      <c r="H11" s="115">
        <v>3102.0</v>
      </c>
      <c r="I11" s="115">
        <v>0.0</v>
      </c>
      <c r="J11" s="115">
        <v>7845.0</v>
      </c>
      <c r="K11" s="115">
        <v>7845.0</v>
      </c>
      <c r="L11" s="115"/>
      <c r="M11" s="115">
        <v>2.5290135396518374</v>
      </c>
      <c r="N11" s="115">
        <v>2.5290135396518374</v>
      </c>
      <c r="O11" s="115"/>
      <c r="P11" s="115">
        <v>7484.631578947368</v>
      </c>
      <c r="Q11" s="115">
        <v>3555200.0</v>
      </c>
      <c r="R11" s="115">
        <v>475.0</v>
      </c>
      <c r="S11" s="115">
        <v>548.0</v>
      </c>
      <c r="T11" s="115">
        <v>0.33829579207920724</v>
      </c>
      <c r="U11" s="115">
        <v>2352490.8000000026</v>
      </c>
      <c r="V11" s="115">
        <v>3555200.0</v>
      </c>
      <c r="W11" s="115"/>
      <c r="X11" s="115"/>
      <c r="Y11" s="115"/>
      <c r="Z11" s="115"/>
      <c r="AA11" s="115"/>
      <c r="AB11" s="115">
        <v>0.0</v>
      </c>
      <c r="AC11" s="115">
        <v>0.0</v>
      </c>
      <c r="AD11" s="115">
        <v>3325.0</v>
      </c>
      <c r="AE11" s="115">
        <v>1138.0</v>
      </c>
      <c r="AF11" s="115">
        <v>151.0</v>
      </c>
      <c r="AG11" s="115">
        <v>270.0</v>
      </c>
      <c r="AH11" s="115">
        <v>34.0</v>
      </c>
      <c r="AI11" s="115"/>
      <c r="AJ11" s="115">
        <v>40298.0</v>
      </c>
      <c r="AK11" s="115">
        <v>33386.0</v>
      </c>
      <c r="AL11" s="115">
        <v>2951.0</v>
      </c>
      <c r="AM11" s="115">
        <v>3747.0</v>
      </c>
      <c r="AN11" s="115">
        <v>441.0</v>
      </c>
    </row>
    <row r="12">
      <c r="A12" s="116">
        <v>46048.0</v>
      </c>
      <c r="B12" s="117">
        <v>0.4973544973544973</v>
      </c>
      <c r="C12" s="117">
        <v>94.0</v>
      </c>
      <c r="D12" s="117">
        <v>189.0</v>
      </c>
      <c r="E12" s="117">
        <v>0.11293781272337383</v>
      </c>
      <c r="F12" s="117">
        <v>316.0</v>
      </c>
      <c r="G12" s="117">
        <v>2798.0</v>
      </c>
      <c r="H12" s="117">
        <v>2798.0</v>
      </c>
      <c r="I12" s="117">
        <v>0.0</v>
      </c>
      <c r="J12" s="117">
        <v>7849.0</v>
      </c>
      <c r="K12" s="117">
        <v>7849.0</v>
      </c>
      <c r="L12" s="117"/>
      <c r="M12" s="117">
        <v>2.805218012866333</v>
      </c>
      <c r="N12" s="117">
        <v>2.805218012866333</v>
      </c>
      <c r="O12" s="117"/>
      <c r="P12" s="117">
        <v>9501.26582278481</v>
      </c>
      <c r="Q12" s="117">
        <v>3002400.0</v>
      </c>
      <c r="R12" s="117">
        <v>316.0</v>
      </c>
      <c r="S12" s="117">
        <v>392.0</v>
      </c>
      <c r="T12" s="117">
        <v>0.2599752531308286</v>
      </c>
      <c r="U12" s="117">
        <v>2221850.3000000003</v>
      </c>
      <c r="V12" s="117">
        <v>3002400.0</v>
      </c>
      <c r="W12" s="117"/>
      <c r="X12" s="117"/>
      <c r="Y12" s="117"/>
      <c r="Z12" s="117"/>
      <c r="AA12" s="117"/>
      <c r="AB12" s="117">
        <v>0.0</v>
      </c>
      <c r="AC12" s="117">
        <v>0.0</v>
      </c>
      <c r="AD12" s="117">
        <v>4814.0</v>
      </c>
      <c r="AE12" s="117">
        <v>1129.0</v>
      </c>
      <c r="AF12" s="117">
        <v>207.0</v>
      </c>
      <c r="AG12" s="117">
        <v>265.0</v>
      </c>
      <c r="AH12" s="117">
        <v>20.0</v>
      </c>
      <c r="AI12" s="117"/>
      <c r="AJ12" s="117">
        <v>25725.0</v>
      </c>
      <c r="AK12" s="117">
        <v>16498.0</v>
      </c>
      <c r="AL12" s="117">
        <v>2591.0</v>
      </c>
      <c r="AM12" s="117">
        <v>2137.0</v>
      </c>
      <c r="AN12" s="117">
        <v>296.0</v>
      </c>
    </row>
    <row r="13">
      <c r="A13" s="114">
        <v>46055.0</v>
      </c>
      <c r="B13" s="115">
        <v>0.4627659574468085</v>
      </c>
      <c r="C13" s="115">
        <v>87.0</v>
      </c>
      <c r="D13" s="115">
        <v>188.0</v>
      </c>
      <c r="E13" s="115">
        <v>0.10659340659340659</v>
      </c>
      <c r="F13" s="115">
        <v>291.0</v>
      </c>
      <c r="G13" s="115">
        <v>2730.0</v>
      </c>
      <c r="H13" s="115">
        <v>2674.0</v>
      </c>
      <c r="I13" s="115">
        <v>105.0</v>
      </c>
      <c r="J13" s="115">
        <v>7852.0</v>
      </c>
      <c r="K13" s="115">
        <v>7572.0</v>
      </c>
      <c r="L13" s="115">
        <v>280.0</v>
      </c>
      <c r="M13" s="115">
        <v>2.876190476190476</v>
      </c>
      <c r="N13" s="115">
        <v>2.7736263736263735</v>
      </c>
      <c r="O13" s="115">
        <v>0.10256410256410256</v>
      </c>
      <c r="P13" s="115">
        <v>12902.061855670103</v>
      </c>
      <c r="Q13" s="115">
        <v>3754500.0</v>
      </c>
      <c r="R13" s="115">
        <v>291.0</v>
      </c>
      <c r="S13" s="115">
        <v>360.0</v>
      </c>
      <c r="T13" s="115">
        <v>0.26096249833533125</v>
      </c>
      <c r="U13" s="115">
        <v>2774716.299999999</v>
      </c>
      <c r="V13" s="115">
        <v>3754500.0</v>
      </c>
      <c r="W13" s="115"/>
      <c r="X13" s="115"/>
      <c r="Y13" s="115"/>
      <c r="Z13" s="115"/>
      <c r="AA13" s="115"/>
      <c r="AB13" s="115">
        <v>0.0</v>
      </c>
      <c r="AC13" s="115">
        <v>0.0</v>
      </c>
      <c r="AD13" s="115">
        <v>3138.0</v>
      </c>
      <c r="AE13" s="115">
        <v>1313.0</v>
      </c>
      <c r="AF13" s="115">
        <v>651.0</v>
      </c>
      <c r="AG13" s="115">
        <v>651.0</v>
      </c>
      <c r="AH13" s="115">
        <v>85.0</v>
      </c>
      <c r="AI13" s="115"/>
      <c r="AJ13" s="115">
        <v>9100.0</v>
      </c>
      <c r="AK13" s="115">
        <v>6024.0</v>
      </c>
      <c r="AL13" s="115">
        <v>2079.0</v>
      </c>
      <c r="AM13" s="115">
        <v>587.0</v>
      </c>
      <c r="AN13" s="115">
        <v>206.0</v>
      </c>
    </row>
    <row r="14">
      <c r="A14" s="116">
        <v>46062.0</v>
      </c>
      <c r="B14" s="117">
        <v>0.49603174603174605</v>
      </c>
      <c r="C14" s="117">
        <v>125.0</v>
      </c>
      <c r="D14" s="117">
        <v>252.0</v>
      </c>
      <c r="E14" s="117">
        <v>0.15964740450538686</v>
      </c>
      <c r="F14" s="117">
        <v>326.0</v>
      </c>
      <c r="G14" s="117">
        <v>2042.0</v>
      </c>
      <c r="H14" s="117">
        <v>1808.0</v>
      </c>
      <c r="I14" s="117">
        <v>357.0</v>
      </c>
      <c r="J14" s="117">
        <v>7739.0</v>
      </c>
      <c r="K14" s="117">
        <v>6626.0</v>
      </c>
      <c r="L14" s="117">
        <v>1113.0</v>
      </c>
      <c r="M14" s="117">
        <v>3.7899118511263468</v>
      </c>
      <c r="N14" s="117">
        <v>3.2448579823702253</v>
      </c>
      <c r="O14" s="117">
        <v>0.5450538687561215</v>
      </c>
      <c r="P14" s="117">
        <v>18170.552147239265</v>
      </c>
      <c r="Q14" s="117">
        <v>5923600.0</v>
      </c>
      <c r="R14" s="117">
        <v>326.0</v>
      </c>
      <c r="S14" s="117">
        <v>401.0</v>
      </c>
      <c r="T14" s="117">
        <v>0.31341969410493664</v>
      </c>
      <c r="U14" s="117">
        <v>4067027.0999999973</v>
      </c>
      <c r="V14" s="117">
        <v>5923600.0</v>
      </c>
      <c r="W14" s="117"/>
      <c r="X14" s="117"/>
      <c r="Y14" s="117"/>
      <c r="Z14" s="117"/>
      <c r="AA14" s="117"/>
      <c r="AB14" s="117">
        <v>0.0</v>
      </c>
      <c r="AC14" s="117">
        <v>0.0</v>
      </c>
      <c r="AD14" s="117">
        <v>4308.0</v>
      </c>
      <c r="AE14" s="117">
        <v>2886.0</v>
      </c>
      <c r="AF14" s="117">
        <v>1587.0</v>
      </c>
      <c r="AG14" s="117">
        <v>1602.0</v>
      </c>
      <c r="AH14" s="117">
        <v>260.0</v>
      </c>
      <c r="AI14" s="117"/>
      <c r="AJ14" s="117">
        <v>955.0</v>
      </c>
      <c r="AK14" s="117">
        <v>776.0</v>
      </c>
      <c r="AL14" s="117">
        <v>455.0</v>
      </c>
      <c r="AM14" s="117">
        <v>195.0</v>
      </c>
      <c r="AN14" s="117">
        <v>66.0</v>
      </c>
    </row>
    <row r="15">
      <c r="A15" s="114">
        <v>46069.0</v>
      </c>
      <c r="B15" s="115">
        <v>0.0</v>
      </c>
      <c r="C15" s="115">
        <v>0.0</v>
      </c>
      <c r="D15" s="115">
        <v>383.0</v>
      </c>
      <c r="E15" s="115">
        <v>0.204900718208703</v>
      </c>
      <c r="F15" s="115">
        <v>485.0</v>
      </c>
      <c r="G15" s="115">
        <v>2367.0</v>
      </c>
      <c r="H15" s="115">
        <v>2157.0</v>
      </c>
      <c r="I15" s="115">
        <v>351.0</v>
      </c>
      <c r="J15" s="115">
        <v>8951.0</v>
      </c>
      <c r="K15" s="115">
        <v>7964.0</v>
      </c>
      <c r="L15" s="115">
        <v>987.0</v>
      </c>
      <c r="M15" s="115">
        <v>3.781580059146599</v>
      </c>
      <c r="N15" s="115">
        <v>3.364596535699197</v>
      </c>
      <c r="O15" s="115">
        <v>0.41698352344740175</v>
      </c>
      <c r="P15" s="115">
        <v>17841.23711340206</v>
      </c>
      <c r="Q15" s="115">
        <v>8653000.0</v>
      </c>
      <c r="R15" s="115">
        <v>485.0</v>
      </c>
      <c r="S15" s="115">
        <v>621.0</v>
      </c>
      <c r="T15" s="115">
        <v>0.3147598983011657</v>
      </c>
      <c r="U15" s="115">
        <v>5929382.600000014</v>
      </c>
      <c r="V15" s="115">
        <v>8653000.0</v>
      </c>
      <c r="W15" s="115"/>
      <c r="X15" s="115"/>
      <c r="Y15" s="115"/>
      <c r="Z15" s="115"/>
      <c r="AA15" s="115"/>
      <c r="AB15" s="115">
        <v>0.0</v>
      </c>
      <c r="AC15" s="115">
        <v>0.0</v>
      </c>
      <c r="AD15" s="115">
        <v>4426.0</v>
      </c>
      <c r="AE15" s="115">
        <v>3496.0</v>
      </c>
      <c r="AF15" s="115">
        <v>1566.0</v>
      </c>
      <c r="AG15" s="115">
        <v>1947.0</v>
      </c>
      <c r="AH15" s="115">
        <v>371.0</v>
      </c>
      <c r="AI15" s="115"/>
      <c r="AJ15" s="115">
        <v>1754.0</v>
      </c>
      <c r="AK15" s="115">
        <v>1464.0</v>
      </c>
      <c r="AL15" s="115">
        <v>801.0</v>
      </c>
      <c r="AM15" s="115">
        <v>382.0</v>
      </c>
      <c r="AN15" s="115">
        <v>114.0</v>
      </c>
    </row>
    <row r="16">
      <c r="A16" s="116">
        <v>46076.0</v>
      </c>
      <c r="B16" s="117">
        <v>0.0</v>
      </c>
      <c r="C16" s="117">
        <v>0.0</v>
      </c>
      <c r="D16" s="117">
        <v>14.0</v>
      </c>
      <c r="E16" s="117">
        <v>0.06684491978609626</v>
      </c>
      <c r="F16" s="117">
        <v>25.0</v>
      </c>
      <c r="G16" s="117">
        <v>374.0</v>
      </c>
      <c r="H16" s="117">
        <v>357.0</v>
      </c>
      <c r="I16" s="117">
        <v>27.0</v>
      </c>
      <c r="J16" s="117">
        <v>691.0</v>
      </c>
      <c r="K16" s="117">
        <v>634.0</v>
      </c>
      <c r="L16" s="117">
        <v>57.0</v>
      </c>
      <c r="M16" s="117">
        <v>1.8475935828877006</v>
      </c>
      <c r="N16" s="117">
        <v>1.695187165775401</v>
      </c>
      <c r="O16" s="117">
        <v>0.15240641711229946</v>
      </c>
      <c r="P16" s="117">
        <v>12488.0</v>
      </c>
      <c r="Q16" s="117">
        <v>312200.0</v>
      </c>
      <c r="R16" s="117">
        <v>25.0</v>
      </c>
      <c r="S16" s="117">
        <v>26.0</v>
      </c>
      <c r="T16" s="117">
        <v>-0.003959641255612212</v>
      </c>
      <c r="U16" s="117">
        <v>313436.2000000021</v>
      </c>
      <c r="V16" s="117">
        <v>312200.0</v>
      </c>
      <c r="W16" s="117"/>
      <c r="X16" s="117"/>
      <c r="Y16" s="117"/>
      <c r="Z16" s="117"/>
      <c r="AA16" s="117"/>
      <c r="AB16" s="117">
        <v>0.0</v>
      </c>
      <c r="AC16" s="117">
        <v>0.0</v>
      </c>
      <c r="AD16" s="117"/>
      <c r="AE16" s="117"/>
      <c r="AF16" s="117">
        <v>0.0</v>
      </c>
      <c r="AG16" s="117"/>
      <c r="AH16" s="117">
        <v>0.0</v>
      </c>
      <c r="AI16" s="117"/>
      <c r="AJ16" s="117"/>
      <c r="AK16" s="117"/>
      <c r="AL16" s="117">
        <v>374.0</v>
      </c>
      <c r="AM16" s="117"/>
      <c r="AN16" s="117">
        <v>25.0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12</v>
      </c>
      <c r="D1" s="125" t="s">
        <v>15</v>
      </c>
      <c r="E1" s="125" t="s">
        <v>18</v>
      </c>
      <c r="F1" s="125" t="s">
        <v>19</v>
      </c>
      <c r="G1" s="125" t="s">
        <v>21</v>
      </c>
      <c r="H1" s="125" t="s">
        <v>68</v>
      </c>
      <c r="I1" s="125" t="s">
        <v>70</v>
      </c>
      <c r="J1" s="125" t="s">
        <v>23</v>
      </c>
      <c r="K1" s="125" t="s">
        <v>74</v>
      </c>
      <c r="L1" s="125" t="s">
        <v>76</v>
      </c>
      <c r="M1" s="125" t="s">
        <v>79</v>
      </c>
      <c r="N1" s="125" t="s">
        <v>81</v>
      </c>
      <c r="O1" s="125" t="s">
        <v>83</v>
      </c>
      <c r="P1" s="125" t="s">
        <v>25</v>
      </c>
      <c r="Q1" s="125" t="s">
        <v>26</v>
      </c>
      <c r="R1" s="125" t="s">
        <v>28</v>
      </c>
      <c r="S1" s="125" t="s">
        <v>29</v>
      </c>
      <c r="T1" s="125" t="s">
        <v>31</v>
      </c>
      <c r="U1" s="125" t="s">
        <v>33</v>
      </c>
      <c r="V1" s="125" t="s">
        <v>35</v>
      </c>
      <c r="W1" s="125" t="s">
        <v>123</v>
      </c>
      <c r="X1" s="125" t="s">
        <v>125</v>
      </c>
      <c r="Y1" s="125" t="s">
        <v>126</v>
      </c>
      <c r="Z1" s="125" t="s">
        <v>127</v>
      </c>
      <c r="AA1" s="125" t="s">
        <v>130</v>
      </c>
      <c r="AB1" s="125" t="s">
        <v>37</v>
      </c>
      <c r="AC1" s="125" t="s">
        <v>39</v>
      </c>
      <c r="AD1" s="125" t="s">
        <v>41</v>
      </c>
      <c r="AE1" s="125" t="s">
        <v>43</v>
      </c>
      <c r="AF1" s="125" t="s">
        <v>45</v>
      </c>
      <c r="AG1" s="125" t="s">
        <v>46</v>
      </c>
      <c r="AH1" s="125" t="s">
        <v>48</v>
      </c>
      <c r="AI1" s="125" t="s">
        <v>131</v>
      </c>
      <c r="AJ1" s="125" t="s">
        <v>50</v>
      </c>
      <c r="AK1" s="125" t="s">
        <v>51</v>
      </c>
      <c r="AL1" s="125" t="s">
        <v>52</v>
      </c>
      <c r="AM1" s="125" t="s">
        <v>53</v>
      </c>
      <c r="AN1" s="125" t="s">
        <v>54</v>
      </c>
    </row>
    <row r="2">
      <c r="A2" s="126">
        <v>45985.0</v>
      </c>
      <c r="B2" s="127">
        <v>0.7012048192771084</v>
      </c>
      <c r="C2" s="127">
        <v>291.0</v>
      </c>
      <c r="D2" s="127">
        <v>415.0</v>
      </c>
      <c r="E2" s="127">
        <v>0.041466826538768986</v>
      </c>
      <c r="F2" s="127">
        <v>415.0</v>
      </c>
      <c r="G2" s="127">
        <v>10008.0</v>
      </c>
      <c r="H2" s="127">
        <v>10008.0</v>
      </c>
      <c r="I2" s="127">
        <v>0.0</v>
      </c>
      <c r="J2" s="127">
        <v>29740.0</v>
      </c>
      <c r="K2" s="127">
        <v>29740.0</v>
      </c>
      <c r="L2" s="127"/>
      <c r="M2" s="127">
        <v>2.971622701838529</v>
      </c>
      <c r="N2" s="127">
        <v>2.971622701838529</v>
      </c>
      <c r="O2" s="127"/>
      <c r="P2" s="127">
        <v>6674.21686746988</v>
      </c>
      <c r="Q2" s="127">
        <v>2769800.0</v>
      </c>
      <c r="R2" s="127">
        <v>415.0</v>
      </c>
      <c r="S2" s="127">
        <v>475.0</v>
      </c>
      <c r="T2" s="127">
        <v>-0.41625131778463387</v>
      </c>
      <c r="U2" s="127">
        <v>3922732.899999879</v>
      </c>
      <c r="V2" s="127">
        <v>2769800.0</v>
      </c>
      <c r="W2" s="127"/>
      <c r="X2" s="127"/>
      <c r="Y2" s="127"/>
      <c r="Z2" s="127"/>
      <c r="AA2" s="127"/>
      <c r="AB2" s="127">
        <v>0.0</v>
      </c>
      <c r="AC2" s="127">
        <v>0.0</v>
      </c>
      <c r="AD2" s="127">
        <v>3304.0</v>
      </c>
      <c r="AE2" s="127">
        <v>1513.0</v>
      </c>
      <c r="AF2" s="127">
        <v>756.0</v>
      </c>
      <c r="AG2" s="127">
        <v>400.0</v>
      </c>
      <c r="AH2" s="127">
        <v>55.0</v>
      </c>
      <c r="AI2" s="127"/>
      <c r="AJ2" s="127">
        <v>28792.0</v>
      </c>
      <c r="AK2" s="127">
        <v>19226.0</v>
      </c>
      <c r="AL2" s="127">
        <v>9252.0</v>
      </c>
      <c r="AM2" s="127">
        <v>4034.0</v>
      </c>
      <c r="AN2" s="127">
        <v>360.0</v>
      </c>
    </row>
    <row r="3">
      <c r="A3" s="126">
        <v>45992.0</v>
      </c>
      <c r="B3" s="127">
        <v>0.5728542914171657</v>
      </c>
      <c r="C3" s="127">
        <v>287.0</v>
      </c>
      <c r="D3" s="127">
        <v>501.0</v>
      </c>
      <c r="E3" s="127">
        <v>0.11791237113402062</v>
      </c>
      <c r="F3" s="127">
        <v>549.0</v>
      </c>
      <c r="G3" s="127">
        <v>4656.0</v>
      </c>
      <c r="H3" s="127">
        <v>4656.0</v>
      </c>
      <c r="I3" s="127">
        <v>0.0</v>
      </c>
      <c r="J3" s="127">
        <v>19960.0</v>
      </c>
      <c r="K3" s="127">
        <v>19960.0</v>
      </c>
      <c r="L3" s="127"/>
      <c r="M3" s="127">
        <v>4.286941580756014</v>
      </c>
      <c r="N3" s="127">
        <v>4.286941580756014</v>
      </c>
      <c r="O3" s="127"/>
      <c r="P3" s="127">
        <v>6816.393442622951</v>
      </c>
      <c r="Q3" s="127">
        <v>3742200.0</v>
      </c>
      <c r="R3" s="127">
        <v>549.0</v>
      </c>
      <c r="S3" s="127">
        <v>618.0</v>
      </c>
      <c r="T3" s="127">
        <v>0.2333114478114532</v>
      </c>
      <c r="U3" s="127">
        <v>2869101.89999998</v>
      </c>
      <c r="V3" s="127">
        <v>3742200.0</v>
      </c>
      <c r="W3" s="127"/>
      <c r="X3" s="127"/>
      <c r="Y3" s="127"/>
      <c r="Z3" s="127"/>
      <c r="AA3" s="127"/>
      <c r="AB3" s="127">
        <v>0.0</v>
      </c>
      <c r="AC3" s="127">
        <v>0.0</v>
      </c>
      <c r="AD3" s="127">
        <v>3736.0</v>
      </c>
      <c r="AE3" s="127">
        <v>1775.0</v>
      </c>
      <c r="AF3" s="127">
        <v>500.0</v>
      </c>
      <c r="AG3" s="127">
        <v>582.0</v>
      </c>
      <c r="AH3" s="127">
        <v>106.0</v>
      </c>
      <c r="AI3" s="127"/>
      <c r="AJ3" s="127">
        <v>27887.0</v>
      </c>
      <c r="AK3" s="127">
        <v>18479.0</v>
      </c>
      <c r="AL3" s="127">
        <v>4156.0</v>
      </c>
      <c r="AM3" s="127">
        <v>5451.0</v>
      </c>
      <c r="AN3" s="127">
        <v>443.0</v>
      </c>
    </row>
    <row r="4">
      <c r="A4" s="126">
        <v>45999.0</v>
      </c>
      <c r="B4" s="127">
        <v>0.4757834757834758</v>
      </c>
      <c r="C4" s="127">
        <v>167.0</v>
      </c>
      <c r="D4" s="127">
        <v>351.0</v>
      </c>
      <c r="E4" s="127">
        <v>0.12939001848428835</v>
      </c>
      <c r="F4" s="127">
        <v>420.0</v>
      </c>
      <c r="G4" s="127">
        <v>3246.0</v>
      </c>
      <c r="H4" s="127">
        <v>3246.0</v>
      </c>
      <c r="I4" s="127">
        <v>0.0</v>
      </c>
      <c r="J4" s="127">
        <v>15695.0</v>
      </c>
      <c r="K4" s="127">
        <v>15695.0</v>
      </c>
      <c r="L4" s="127"/>
      <c r="M4" s="127">
        <v>4.835181762168824</v>
      </c>
      <c r="N4" s="127">
        <v>4.835181762168824</v>
      </c>
      <c r="O4" s="127"/>
      <c r="P4" s="127">
        <v>6178.333333333333</v>
      </c>
      <c r="Q4" s="127">
        <v>2594900.0</v>
      </c>
      <c r="R4" s="127">
        <v>420.0</v>
      </c>
      <c r="S4" s="127">
        <v>474.0</v>
      </c>
      <c r="T4" s="127">
        <v>0.09894011329917096</v>
      </c>
      <c r="U4" s="127">
        <v>2338160.299999981</v>
      </c>
      <c r="V4" s="127">
        <v>2594900.0</v>
      </c>
      <c r="W4" s="127"/>
      <c r="X4" s="127"/>
      <c r="Y4" s="127"/>
      <c r="Z4" s="127"/>
      <c r="AA4" s="127"/>
      <c r="AB4" s="127">
        <v>0.0</v>
      </c>
      <c r="AC4" s="127">
        <v>0.0</v>
      </c>
      <c r="AD4" s="127">
        <v>3544.0</v>
      </c>
      <c r="AE4" s="127">
        <v>1496.0</v>
      </c>
      <c r="AF4" s="127">
        <v>432.0</v>
      </c>
      <c r="AG4" s="127">
        <v>483.0</v>
      </c>
      <c r="AH4" s="127">
        <v>86.0</v>
      </c>
      <c r="AI4" s="127"/>
      <c r="AJ4" s="127">
        <v>23730.0</v>
      </c>
      <c r="AK4" s="127">
        <v>15611.0</v>
      </c>
      <c r="AL4" s="127">
        <v>2814.0</v>
      </c>
      <c r="AM4" s="127">
        <v>3827.0</v>
      </c>
      <c r="AN4" s="127">
        <v>334.0</v>
      </c>
    </row>
    <row r="5">
      <c r="A5" s="126">
        <v>46006.0</v>
      </c>
      <c r="B5" s="127">
        <v>0.5408560311284046</v>
      </c>
      <c r="C5" s="127">
        <v>139.0</v>
      </c>
      <c r="D5" s="127">
        <v>257.0</v>
      </c>
      <c r="E5" s="127">
        <v>0.1306439674315322</v>
      </c>
      <c r="F5" s="127">
        <v>353.0</v>
      </c>
      <c r="G5" s="127">
        <v>2702.0</v>
      </c>
      <c r="H5" s="127">
        <v>2702.0</v>
      </c>
      <c r="I5" s="127">
        <v>0.0</v>
      </c>
      <c r="J5" s="127">
        <v>10949.0</v>
      </c>
      <c r="K5" s="127">
        <v>10949.0</v>
      </c>
      <c r="L5" s="127"/>
      <c r="M5" s="127">
        <v>4.052183567727609</v>
      </c>
      <c r="N5" s="127">
        <v>4.052183567727609</v>
      </c>
      <c r="O5" s="127"/>
      <c r="P5" s="127">
        <v>6671.671388101983</v>
      </c>
      <c r="Q5" s="127">
        <v>2355100.0</v>
      </c>
      <c r="R5" s="127">
        <v>353.0</v>
      </c>
      <c r="S5" s="127">
        <v>402.0</v>
      </c>
      <c r="T5" s="127">
        <v>0.16744269882382878</v>
      </c>
      <c r="U5" s="127">
        <v>1960755.700000001</v>
      </c>
      <c r="V5" s="127">
        <v>2355100.0</v>
      </c>
      <c r="W5" s="127"/>
      <c r="X5" s="127"/>
      <c r="Y5" s="127"/>
      <c r="Z5" s="127"/>
      <c r="AA5" s="127"/>
      <c r="AB5" s="127">
        <v>0.0</v>
      </c>
      <c r="AC5" s="127">
        <v>0.0</v>
      </c>
      <c r="AD5" s="127">
        <v>3380.0</v>
      </c>
      <c r="AE5" s="127">
        <v>1056.0</v>
      </c>
      <c r="AF5" s="127">
        <v>252.0</v>
      </c>
      <c r="AG5" s="127">
        <v>327.0</v>
      </c>
      <c r="AH5" s="127">
        <v>51.0</v>
      </c>
      <c r="AI5" s="127"/>
      <c r="AJ5" s="127">
        <v>20477.0</v>
      </c>
      <c r="AK5" s="127">
        <v>12498.0</v>
      </c>
      <c r="AL5" s="127">
        <v>2450.0</v>
      </c>
      <c r="AM5" s="127">
        <v>2936.0</v>
      </c>
      <c r="AN5" s="127">
        <v>302.0</v>
      </c>
    </row>
    <row r="6">
      <c r="A6" s="126">
        <v>46013.0</v>
      </c>
      <c r="B6" s="127">
        <v>0.5955610357583231</v>
      </c>
      <c r="C6" s="127">
        <v>483.0</v>
      </c>
      <c r="D6" s="127">
        <v>811.0</v>
      </c>
      <c r="E6" s="127">
        <v>0.20495646349631613</v>
      </c>
      <c r="F6" s="127">
        <v>918.0</v>
      </c>
      <c r="G6" s="127">
        <v>4479.0</v>
      </c>
      <c r="H6" s="127">
        <v>4479.0</v>
      </c>
      <c r="I6" s="127">
        <v>0.0</v>
      </c>
      <c r="J6" s="127">
        <v>14924.0</v>
      </c>
      <c r="K6" s="127">
        <v>14924.0</v>
      </c>
      <c r="L6" s="127"/>
      <c r="M6" s="127">
        <v>3.3319937486045994</v>
      </c>
      <c r="N6" s="127">
        <v>3.3319937486045994</v>
      </c>
      <c r="O6" s="127"/>
      <c r="P6" s="127">
        <v>7648.474945533769</v>
      </c>
      <c r="Q6" s="127">
        <v>7021300.0</v>
      </c>
      <c r="R6" s="127">
        <v>918.0</v>
      </c>
      <c r="S6" s="127">
        <v>1071.0</v>
      </c>
      <c r="T6" s="127">
        <v>0.19495298591428967</v>
      </c>
      <c r="U6" s="127">
        <v>5652476.599999998</v>
      </c>
      <c r="V6" s="127">
        <v>7021300.0</v>
      </c>
      <c r="W6" s="127"/>
      <c r="X6" s="127"/>
      <c r="Y6" s="127"/>
      <c r="Z6" s="127"/>
      <c r="AA6" s="127"/>
      <c r="AB6" s="127">
        <v>0.0</v>
      </c>
      <c r="AC6" s="127">
        <v>0.0</v>
      </c>
      <c r="AD6" s="127">
        <v>3450.0</v>
      </c>
      <c r="AE6" s="127">
        <v>1631.0</v>
      </c>
      <c r="AF6" s="127">
        <v>528.0</v>
      </c>
      <c r="AG6" s="127">
        <v>690.0</v>
      </c>
      <c r="AH6" s="127">
        <v>164.0</v>
      </c>
      <c r="AI6" s="127"/>
      <c r="AJ6" s="127">
        <v>34665.0</v>
      </c>
      <c r="AK6" s="127">
        <v>26370.0</v>
      </c>
      <c r="AL6" s="127">
        <v>3951.0</v>
      </c>
      <c r="AM6" s="127">
        <v>6006.0</v>
      </c>
      <c r="AN6" s="127">
        <v>754.0</v>
      </c>
    </row>
    <row r="7">
      <c r="A7" s="126">
        <v>46020.0</v>
      </c>
      <c r="B7" s="127">
        <v>0.5106382978723404</v>
      </c>
      <c r="C7" s="127">
        <v>216.0</v>
      </c>
      <c r="D7" s="127">
        <v>423.0</v>
      </c>
      <c r="E7" s="127">
        <v>0.14417699975686846</v>
      </c>
      <c r="F7" s="127">
        <v>593.0</v>
      </c>
      <c r="G7" s="127">
        <v>4113.0</v>
      </c>
      <c r="H7" s="127">
        <v>4113.0</v>
      </c>
      <c r="I7" s="127">
        <v>0.0</v>
      </c>
      <c r="J7" s="127">
        <v>12910.0</v>
      </c>
      <c r="K7" s="127">
        <v>12910.0</v>
      </c>
      <c r="L7" s="127"/>
      <c r="M7" s="127">
        <v>3.1388281060053487</v>
      </c>
      <c r="N7" s="127">
        <v>3.1388281060053487</v>
      </c>
      <c r="O7" s="127"/>
      <c r="P7" s="127">
        <v>7781.618887015177</v>
      </c>
      <c r="Q7" s="127">
        <v>4614500.0</v>
      </c>
      <c r="R7" s="127">
        <v>593.0</v>
      </c>
      <c r="S7" s="127">
        <v>696.0</v>
      </c>
      <c r="T7" s="127">
        <v>0.052349290280641725</v>
      </c>
      <c r="U7" s="127">
        <v>4372934.199999979</v>
      </c>
      <c r="V7" s="127">
        <v>4614500.0</v>
      </c>
      <c r="W7" s="127"/>
      <c r="X7" s="127"/>
      <c r="Y7" s="127"/>
      <c r="Z7" s="127"/>
      <c r="AA7" s="127"/>
      <c r="AB7" s="127">
        <v>0.0</v>
      </c>
      <c r="AC7" s="127">
        <v>0.0</v>
      </c>
      <c r="AD7" s="127">
        <v>2976.0</v>
      </c>
      <c r="AE7" s="127">
        <v>1052.0</v>
      </c>
      <c r="AF7" s="127">
        <v>277.0</v>
      </c>
      <c r="AG7" s="127">
        <v>350.0</v>
      </c>
      <c r="AH7" s="127">
        <v>71.0</v>
      </c>
      <c r="AI7" s="127"/>
      <c r="AJ7" s="127">
        <v>30002.0</v>
      </c>
      <c r="AK7" s="127">
        <v>20837.0</v>
      </c>
      <c r="AL7" s="127">
        <v>3836.0</v>
      </c>
      <c r="AM7" s="127">
        <v>4061.0</v>
      </c>
      <c r="AN7" s="127">
        <v>522.0</v>
      </c>
    </row>
    <row r="8">
      <c r="A8" s="126">
        <v>46027.0</v>
      </c>
      <c r="B8" s="127">
        <v>0.5086206896551724</v>
      </c>
      <c r="C8" s="127">
        <v>118.0</v>
      </c>
      <c r="D8" s="127">
        <v>232.0</v>
      </c>
      <c r="E8" s="127">
        <v>0.11436855670103092</v>
      </c>
      <c r="F8" s="127">
        <v>355.0</v>
      </c>
      <c r="G8" s="127">
        <v>3104.0</v>
      </c>
      <c r="H8" s="127">
        <v>3104.0</v>
      </c>
      <c r="I8" s="127">
        <v>0.0</v>
      </c>
      <c r="J8" s="127">
        <v>9204.0</v>
      </c>
      <c r="K8" s="127">
        <v>9204.0</v>
      </c>
      <c r="L8" s="127"/>
      <c r="M8" s="127">
        <v>2.9652061855670104</v>
      </c>
      <c r="N8" s="127">
        <v>2.9652061855670104</v>
      </c>
      <c r="O8" s="127"/>
      <c r="P8" s="127">
        <v>7954.084507042254</v>
      </c>
      <c r="Q8" s="127">
        <v>2823700.0</v>
      </c>
      <c r="R8" s="127">
        <v>355.0</v>
      </c>
      <c r="S8" s="127">
        <v>431.0</v>
      </c>
      <c r="T8" s="127">
        <v>-0.07361316712115196</v>
      </c>
      <c r="U8" s="127">
        <v>3031561.4999999967</v>
      </c>
      <c r="V8" s="127">
        <v>2823700.0</v>
      </c>
      <c r="W8" s="127"/>
      <c r="X8" s="127"/>
      <c r="Y8" s="127"/>
      <c r="Z8" s="127"/>
      <c r="AA8" s="127"/>
      <c r="AB8" s="127">
        <v>0.0</v>
      </c>
      <c r="AC8" s="127">
        <v>0.0</v>
      </c>
      <c r="AD8" s="127">
        <v>2439.0</v>
      </c>
      <c r="AE8" s="127">
        <v>770.0</v>
      </c>
      <c r="AF8" s="127">
        <v>162.0</v>
      </c>
      <c r="AG8" s="127">
        <v>189.0</v>
      </c>
      <c r="AH8" s="127">
        <v>34.0</v>
      </c>
      <c r="AI8" s="127"/>
      <c r="AJ8" s="127">
        <v>25355.0</v>
      </c>
      <c r="AK8" s="127">
        <v>17817.0</v>
      </c>
      <c r="AL8" s="127">
        <v>2942.0</v>
      </c>
      <c r="AM8" s="127">
        <v>2545.0</v>
      </c>
      <c r="AN8" s="127">
        <v>321.0</v>
      </c>
    </row>
    <row r="9">
      <c r="A9" s="126">
        <v>46034.0</v>
      </c>
      <c r="B9" s="127">
        <v>0.5016181229773463</v>
      </c>
      <c r="C9" s="127">
        <v>155.0</v>
      </c>
      <c r="D9" s="127">
        <v>309.0</v>
      </c>
      <c r="E9" s="127">
        <v>0.15576781778104334</v>
      </c>
      <c r="F9" s="127">
        <v>424.0</v>
      </c>
      <c r="G9" s="127">
        <v>2722.0</v>
      </c>
      <c r="H9" s="127">
        <v>2722.0</v>
      </c>
      <c r="I9" s="127">
        <v>0.0</v>
      </c>
      <c r="J9" s="127">
        <v>7448.0</v>
      </c>
      <c r="K9" s="127">
        <v>7448.0</v>
      </c>
      <c r="L9" s="127"/>
      <c r="M9" s="127">
        <v>2.736223365172667</v>
      </c>
      <c r="N9" s="127">
        <v>2.736223365172667</v>
      </c>
      <c r="O9" s="127"/>
      <c r="P9" s="127">
        <v>7642.924528301887</v>
      </c>
      <c r="Q9" s="127">
        <v>3240600.0</v>
      </c>
      <c r="R9" s="127">
        <v>424.0</v>
      </c>
      <c r="S9" s="127">
        <v>493.0</v>
      </c>
      <c r="T9" s="127">
        <v>0.17819542677281974</v>
      </c>
      <c r="U9" s="127">
        <v>2663139.9000000004</v>
      </c>
      <c r="V9" s="127">
        <v>3240600.0</v>
      </c>
      <c r="W9" s="127"/>
      <c r="X9" s="127"/>
      <c r="Y9" s="127"/>
      <c r="Z9" s="127"/>
      <c r="AA9" s="127"/>
      <c r="AB9" s="127">
        <v>0.0</v>
      </c>
      <c r="AC9" s="127">
        <v>0.0</v>
      </c>
      <c r="AD9" s="127">
        <v>3844.0</v>
      </c>
      <c r="AE9" s="127">
        <v>937.0</v>
      </c>
      <c r="AF9" s="127">
        <v>143.0</v>
      </c>
      <c r="AG9" s="127">
        <v>263.0</v>
      </c>
      <c r="AH9" s="127">
        <v>43.0</v>
      </c>
      <c r="AI9" s="127"/>
      <c r="AJ9" s="127">
        <v>31876.0</v>
      </c>
      <c r="AK9" s="127">
        <v>22988.0</v>
      </c>
      <c r="AL9" s="127">
        <v>2579.0</v>
      </c>
      <c r="AM9" s="127">
        <v>3050.0</v>
      </c>
      <c r="AN9" s="127">
        <v>381.0</v>
      </c>
    </row>
    <row r="10">
      <c r="A10" s="126">
        <v>46041.0</v>
      </c>
      <c r="B10" s="127">
        <v>0.45614035087719296</v>
      </c>
      <c r="C10" s="127">
        <v>156.0</v>
      </c>
      <c r="D10" s="127">
        <v>342.0</v>
      </c>
      <c r="E10" s="127">
        <v>0.15312701482914248</v>
      </c>
      <c r="F10" s="127">
        <v>475.0</v>
      </c>
      <c r="G10" s="127">
        <v>3102.0</v>
      </c>
      <c r="H10" s="127">
        <v>3102.0</v>
      </c>
      <c r="I10" s="127">
        <v>0.0</v>
      </c>
      <c r="J10" s="127">
        <v>7845.0</v>
      </c>
      <c r="K10" s="127">
        <v>7845.0</v>
      </c>
      <c r="L10" s="127"/>
      <c r="M10" s="127">
        <v>2.5290135396518374</v>
      </c>
      <c r="N10" s="127">
        <v>2.5290135396518374</v>
      </c>
      <c r="O10" s="127"/>
      <c r="P10" s="127">
        <v>7484.631578947368</v>
      </c>
      <c r="Q10" s="127">
        <v>3555200.0</v>
      </c>
      <c r="R10" s="127">
        <v>475.0</v>
      </c>
      <c r="S10" s="127">
        <v>548.0</v>
      </c>
      <c r="T10" s="127">
        <v>0.33829579207920724</v>
      </c>
      <c r="U10" s="127">
        <v>2352490.8000000026</v>
      </c>
      <c r="V10" s="127">
        <v>3555200.0</v>
      </c>
      <c r="W10" s="127"/>
      <c r="X10" s="127"/>
      <c r="Y10" s="127"/>
      <c r="Z10" s="127"/>
      <c r="AA10" s="127"/>
      <c r="AB10" s="127">
        <v>0.0</v>
      </c>
      <c r="AC10" s="127">
        <v>0.0</v>
      </c>
      <c r="AD10" s="127">
        <v>3325.0</v>
      </c>
      <c r="AE10" s="127">
        <v>1138.0</v>
      </c>
      <c r="AF10" s="127">
        <v>151.0</v>
      </c>
      <c r="AG10" s="127">
        <v>270.0</v>
      </c>
      <c r="AH10" s="127">
        <v>34.0</v>
      </c>
      <c r="AI10" s="127"/>
      <c r="AJ10" s="127">
        <v>40298.0</v>
      </c>
      <c r="AK10" s="127">
        <v>33386.0</v>
      </c>
      <c r="AL10" s="127">
        <v>2951.0</v>
      </c>
      <c r="AM10" s="127">
        <v>3747.0</v>
      </c>
      <c r="AN10" s="127">
        <v>441.0</v>
      </c>
    </row>
    <row r="11">
      <c r="A11" s="126">
        <v>46048.0</v>
      </c>
      <c r="B11" s="127">
        <v>0.4973544973544973</v>
      </c>
      <c r="C11" s="127">
        <v>94.0</v>
      </c>
      <c r="D11" s="127">
        <v>189.0</v>
      </c>
      <c r="E11" s="127">
        <v>0.11293781272337383</v>
      </c>
      <c r="F11" s="127">
        <v>316.0</v>
      </c>
      <c r="G11" s="127">
        <v>2798.0</v>
      </c>
      <c r="H11" s="127">
        <v>2798.0</v>
      </c>
      <c r="I11" s="127">
        <v>0.0</v>
      </c>
      <c r="J11" s="127">
        <v>7849.0</v>
      </c>
      <c r="K11" s="127">
        <v>7849.0</v>
      </c>
      <c r="L11" s="127"/>
      <c r="M11" s="127">
        <v>2.805218012866333</v>
      </c>
      <c r="N11" s="127">
        <v>2.805218012866333</v>
      </c>
      <c r="O11" s="127"/>
      <c r="P11" s="127">
        <v>9501.26582278481</v>
      </c>
      <c r="Q11" s="127">
        <v>3002400.0</v>
      </c>
      <c r="R11" s="127">
        <v>316.0</v>
      </c>
      <c r="S11" s="127">
        <v>392.0</v>
      </c>
      <c r="T11" s="127">
        <v>0.2599752531308286</v>
      </c>
      <c r="U11" s="127">
        <v>2221850.3000000003</v>
      </c>
      <c r="V11" s="127">
        <v>3002400.0</v>
      </c>
      <c r="W11" s="127"/>
      <c r="X11" s="127"/>
      <c r="Y11" s="127"/>
      <c r="Z11" s="127"/>
      <c r="AA11" s="127"/>
      <c r="AB11" s="127">
        <v>0.0</v>
      </c>
      <c r="AC11" s="127">
        <v>0.0</v>
      </c>
      <c r="AD11" s="127">
        <v>4814.0</v>
      </c>
      <c r="AE11" s="127">
        <v>1129.0</v>
      </c>
      <c r="AF11" s="127">
        <v>207.0</v>
      </c>
      <c r="AG11" s="127">
        <v>265.0</v>
      </c>
      <c r="AH11" s="127">
        <v>20.0</v>
      </c>
      <c r="AI11" s="127"/>
      <c r="AJ11" s="127">
        <v>25725.0</v>
      </c>
      <c r="AK11" s="127">
        <v>16498.0</v>
      </c>
      <c r="AL11" s="127">
        <v>2591.0</v>
      </c>
      <c r="AM11" s="127">
        <v>2137.0</v>
      </c>
      <c r="AN11" s="127">
        <v>296.0</v>
      </c>
    </row>
    <row r="12">
      <c r="A12" s="126">
        <v>46055.0</v>
      </c>
      <c r="B12" s="127">
        <v>0.4627659574468085</v>
      </c>
      <c r="C12" s="127">
        <v>87.0</v>
      </c>
      <c r="D12" s="127">
        <v>188.0</v>
      </c>
      <c r="E12" s="127">
        <v>0.10659340659340659</v>
      </c>
      <c r="F12" s="127">
        <v>291.0</v>
      </c>
      <c r="G12" s="127">
        <v>2730.0</v>
      </c>
      <c r="H12" s="127">
        <v>2674.0</v>
      </c>
      <c r="I12" s="127">
        <v>105.0</v>
      </c>
      <c r="J12" s="127">
        <v>7852.0</v>
      </c>
      <c r="K12" s="127">
        <v>7572.0</v>
      </c>
      <c r="L12" s="127">
        <v>280.0</v>
      </c>
      <c r="M12" s="127">
        <v>2.876190476190476</v>
      </c>
      <c r="N12" s="127">
        <v>2.7736263736263735</v>
      </c>
      <c r="O12" s="127">
        <v>0.10256410256410256</v>
      </c>
      <c r="P12" s="127">
        <v>12902.061855670103</v>
      </c>
      <c r="Q12" s="127">
        <v>3754500.0</v>
      </c>
      <c r="R12" s="127">
        <v>291.0</v>
      </c>
      <c r="S12" s="127">
        <v>360.0</v>
      </c>
      <c r="T12" s="127">
        <v>0.26096249833533125</v>
      </c>
      <c r="U12" s="127">
        <v>2774716.299999999</v>
      </c>
      <c r="V12" s="127">
        <v>3754500.0</v>
      </c>
      <c r="W12" s="127"/>
      <c r="X12" s="127"/>
      <c r="Y12" s="127"/>
      <c r="Z12" s="127"/>
      <c r="AA12" s="127"/>
      <c r="AB12" s="127">
        <v>0.0</v>
      </c>
      <c r="AC12" s="127">
        <v>0.0</v>
      </c>
      <c r="AD12" s="127">
        <v>3138.0</v>
      </c>
      <c r="AE12" s="127">
        <v>1313.0</v>
      </c>
      <c r="AF12" s="127">
        <v>651.0</v>
      </c>
      <c r="AG12" s="127">
        <v>651.0</v>
      </c>
      <c r="AH12" s="127">
        <v>85.0</v>
      </c>
      <c r="AI12" s="127"/>
      <c r="AJ12" s="127">
        <v>9100.0</v>
      </c>
      <c r="AK12" s="127">
        <v>6024.0</v>
      </c>
      <c r="AL12" s="127">
        <v>2079.0</v>
      </c>
      <c r="AM12" s="127">
        <v>587.0</v>
      </c>
      <c r="AN12" s="127">
        <v>206.0</v>
      </c>
    </row>
    <row r="13">
      <c r="A13" s="126">
        <v>46062.0</v>
      </c>
      <c r="B13" s="127">
        <v>0.49603174603174605</v>
      </c>
      <c r="C13" s="127">
        <v>125.0</v>
      </c>
      <c r="D13" s="127">
        <v>252.0</v>
      </c>
      <c r="E13" s="127">
        <v>0.15964740450538686</v>
      </c>
      <c r="F13" s="127">
        <v>326.0</v>
      </c>
      <c r="G13" s="127">
        <v>2042.0</v>
      </c>
      <c r="H13" s="127">
        <v>1808.0</v>
      </c>
      <c r="I13" s="127">
        <v>357.0</v>
      </c>
      <c r="J13" s="127">
        <v>7739.0</v>
      </c>
      <c r="K13" s="127">
        <v>6626.0</v>
      </c>
      <c r="L13" s="127">
        <v>1113.0</v>
      </c>
      <c r="M13" s="127">
        <v>3.7899118511263468</v>
      </c>
      <c r="N13" s="127">
        <v>3.2448579823702253</v>
      </c>
      <c r="O13" s="127">
        <v>0.5450538687561215</v>
      </c>
      <c r="P13" s="127">
        <v>18170.552147239265</v>
      </c>
      <c r="Q13" s="127">
        <v>5923600.0</v>
      </c>
      <c r="R13" s="127">
        <v>326.0</v>
      </c>
      <c r="S13" s="127">
        <v>401.0</v>
      </c>
      <c r="T13" s="127">
        <v>0.31341969410493653</v>
      </c>
      <c r="U13" s="127">
        <v>4067027.0999999978</v>
      </c>
      <c r="V13" s="127">
        <v>5923600.0</v>
      </c>
      <c r="W13" s="127"/>
      <c r="X13" s="127"/>
      <c r="Y13" s="127"/>
      <c r="Z13" s="127"/>
      <c r="AA13" s="127"/>
      <c r="AB13" s="127">
        <v>0.0</v>
      </c>
      <c r="AC13" s="127">
        <v>0.0</v>
      </c>
      <c r="AD13" s="127">
        <v>4308.0</v>
      </c>
      <c r="AE13" s="127">
        <v>2886.0</v>
      </c>
      <c r="AF13" s="127">
        <v>1587.0</v>
      </c>
      <c r="AG13" s="127">
        <v>1602.0</v>
      </c>
      <c r="AH13" s="127">
        <v>260.0</v>
      </c>
      <c r="AI13" s="127"/>
      <c r="AJ13" s="127">
        <v>955.0</v>
      </c>
      <c r="AK13" s="127">
        <v>776.0</v>
      </c>
      <c r="AL13" s="127">
        <v>455.0</v>
      </c>
      <c r="AM13" s="127">
        <v>195.0</v>
      </c>
      <c r="AN13" s="127">
        <v>66.0</v>
      </c>
    </row>
    <row r="14">
      <c r="A14" s="126">
        <v>46069.0</v>
      </c>
      <c r="B14" s="127">
        <v>0.0</v>
      </c>
      <c r="C14" s="127">
        <v>0.0</v>
      </c>
      <c r="D14" s="127">
        <v>383.0</v>
      </c>
      <c r="E14" s="127">
        <v>0.204900718208703</v>
      </c>
      <c r="F14" s="127">
        <v>485.0</v>
      </c>
      <c r="G14" s="127">
        <v>2367.0</v>
      </c>
      <c r="H14" s="127">
        <v>2157.0</v>
      </c>
      <c r="I14" s="127">
        <v>351.0</v>
      </c>
      <c r="J14" s="127">
        <v>8951.0</v>
      </c>
      <c r="K14" s="127">
        <v>7964.0</v>
      </c>
      <c r="L14" s="127">
        <v>987.0</v>
      </c>
      <c r="M14" s="127">
        <v>3.781580059146599</v>
      </c>
      <c r="N14" s="127">
        <v>3.364596535699197</v>
      </c>
      <c r="O14" s="127">
        <v>0.41698352344740175</v>
      </c>
      <c r="P14" s="127">
        <v>17841.23711340206</v>
      </c>
      <c r="Q14" s="127">
        <v>8653000.0</v>
      </c>
      <c r="R14" s="127">
        <v>485.0</v>
      </c>
      <c r="S14" s="127">
        <v>621.0</v>
      </c>
      <c r="T14" s="127">
        <v>0.3147598983011657</v>
      </c>
      <c r="U14" s="127">
        <v>5929382.600000014</v>
      </c>
      <c r="V14" s="127">
        <v>8653000.0</v>
      </c>
      <c r="W14" s="127"/>
      <c r="X14" s="127"/>
      <c r="Y14" s="127"/>
      <c r="Z14" s="127"/>
      <c r="AA14" s="127"/>
      <c r="AB14" s="127">
        <v>0.0</v>
      </c>
      <c r="AC14" s="127">
        <v>0.0</v>
      </c>
      <c r="AD14" s="127">
        <v>4426.0</v>
      </c>
      <c r="AE14" s="127">
        <v>3496.0</v>
      </c>
      <c r="AF14" s="127">
        <v>1566.0</v>
      </c>
      <c r="AG14" s="127">
        <v>1947.0</v>
      </c>
      <c r="AH14" s="127">
        <v>371.0</v>
      </c>
      <c r="AI14" s="127"/>
      <c r="AJ14" s="127">
        <v>1754.0</v>
      </c>
      <c r="AK14" s="127">
        <v>1464.0</v>
      </c>
      <c r="AL14" s="127">
        <v>801.0</v>
      </c>
      <c r="AM14" s="127">
        <v>382.0</v>
      </c>
      <c r="AN14" s="127">
        <v>114.0</v>
      </c>
    </row>
    <row r="15">
      <c r="A15" s="126">
        <v>46076.0</v>
      </c>
      <c r="B15" s="127">
        <v>0.0</v>
      </c>
      <c r="C15" s="127">
        <v>0.0</v>
      </c>
      <c r="D15" s="127">
        <v>14.0</v>
      </c>
      <c r="E15" s="127">
        <v>0.06684491978609626</v>
      </c>
      <c r="F15" s="127">
        <v>25.0</v>
      </c>
      <c r="G15" s="127">
        <v>374.0</v>
      </c>
      <c r="H15" s="127">
        <v>357.0</v>
      </c>
      <c r="I15" s="127">
        <v>27.0</v>
      </c>
      <c r="J15" s="127">
        <v>691.0</v>
      </c>
      <c r="K15" s="127">
        <v>634.0</v>
      </c>
      <c r="L15" s="127">
        <v>57.0</v>
      </c>
      <c r="M15" s="127">
        <v>1.8475935828877006</v>
      </c>
      <c r="N15" s="127">
        <v>1.695187165775401</v>
      </c>
      <c r="O15" s="127">
        <v>0.15240641711229946</v>
      </c>
      <c r="P15" s="127">
        <v>12488.0</v>
      </c>
      <c r="Q15" s="127">
        <v>312200.0</v>
      </c>
      <c r="R15" s="127">
        <v>25.0</v>
      </c>
      <c r="S15" s="127">
        <v>26.0</v>
      </c>
      <c r="T15" s="127">
        <v>-0.003959641255612212</v>
      </c>
      <c r="U15" s="127">
        <v>313436.2000000021</v>
      </c>
      <c r="V15" s="127">
        <v>312200.0</v>
      </c>
      <c r="W15" s="127"/>
      <c r="X15" s="127"/>
      <c r="Y15" s="127"/>
      <c r="Z15" s="127"/>
      <c r="AA15" s="127"/>
      <c r="AB15" s="127">
        <v>0.0</v>
      </c>
      <c r="AC15" s="127">
        <v>0.0</v>
      </c>
      <c r="AD15" s="127"/>
      <c r="AE15" s="127"/>
      <c r="AF15" s="127">
        <v>0.0</v>
      </c>
      <c r="AG15" s="127"/>
      <c r="AH15" s="127">
        <v>0.0</v>
      </c>
      <c r="AI15" s="127"/>
      <c r="AJ15" s="127"/>
      <c r="AK15" s="127"/>
      <c r="AL15" s="127">
        <v>374.0</v>
      </c>
      <c r="AM15" s="127"/>
      <c r="AN15" s="127">
        <v>25.0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" width="15.13"/>
    <col customWidth="1" min="2" max="2" width="24.63"/>
    <col min="3" max="18" width="15.13"/>
    <col customWidth="1" min="19" max="19" width="17.88"/>
    <col min="20" max="40" width="15.13"/>
  </cols>
  <sheetData>
    <row r="1" ht="36.0">
      <c r="A1" s="112" t="s">
        <v>144</v>
      </c>
    </row>
    <row r="2">
      <c r="A2" s="113" t="s">
        <v>129</v>
      </c>
      <c r="B2" s="113" t="s">
        <v>10</v>
      </c>
      <c r="C2" s="113" t="s">
        <v>13</v>
      </c>
      <c r="D2" s="113" t="s">
        <v>16</v>
      </c>
      <c r="E2" s="113" t="s">
        <v>18</v>
      </c>
      <c r="F2" s="113" t="s">
        <v>19</v>
      </c>
      <c r="G2" s="113" t="s">
        <v>21</v>
      </c>
      <c r="H2" s="113" t="s">
        <v>68</v>
      </c>
      <c r="I2" s="113" t="s">
        <v>70</v>
      </c>
      <c r="J2" s="113" t="s">
        <v>23</v>
      </c>
      <c r="K2" s="113" t="s">
        <v>74</v>
      </c>
      <c r="L2" s="113" t="s">
        <v>76</v>
      </c>
      <c r="M2" s="113" t="s">
        <v>79</v>
      </c>
      <c r="N2" s="113" t="s">
        <v>81</v>
      </c>
      <c r="O2" s="113" t="s">
        <v>83</v>
      </c>
      <c r="P2" s="113" t="s">
        <v>25</v>
      </c>
      <c r="Q2" s="113" t="s">
        <v>26</v>
      </c>
      <c r="R2" s="113" t="s">
        <v>28</v>
      </c>
      <c r="S2" s="113" t="s">
        <v>29</v>
      </c>
      <c r="T2" s="113" t="s">
        <v>31</v>
      </c>
      <c r="U2" s="113" t="s">
        <v>33</v>
      </c>
      <c r="V2" s="113" t="s">
        <v>35</v>
      </c>
      <c r="W2" s="113" t="s">
        <v>123</v>
      </c>
      <c r="X2" s="113" t="s">
        <v>125</v>
      </c>
      <c r="Y2" s="113" t="s">
        <v>126</v>
      </c>
      <c r="Z2" s="113" t="s">
        <v>127</v>
      </c>
      <c r="AA2" s="113" t="s">
        <v>130</v>
      </c>
      <c r="AB2" s="113" t="s">
        <v>37</v>
      </c>
      <c r="AC2" s="113" t="s">
        <v>39</v>
      </c>
      <c r="AD2" s="113" t="s">
        <v>41</v>
      </c>
      <c r="AE2" s="113" t="s">
        <v>43</v>
      </c>
      <c r="AF2" s="113" t="s">
        <v>45</v>
      </c>
      <c r="AG2" s="113" t="s">
        <v>46</v>
      </c>
      <c r="AH2" s="113" t="s">
        <v>48</v>
      </c>
      <c r="AI2" s="113" t="s">
        <v>131</v>
      </c>
      <c r="AJ2" s="113" t="s">
        <v>50</v>
      </c>
      <c r="AK2" s="113" t="s">
        <v>51</v>
      </c>
      <c r="AL2" s="113" t="s">
        <v>52</v>
      </c>
      <c r="AM2" s="113" t="s">
        <v>53</v>
      </c>
      <c r="AN2" s="113" t="s">
        <v>54</v>
      </c>
    </row>
    <row r="3">
      <c r="A3" s="114">
        <v>45962.0</v>
      </c>
      <c r="B3" s="115">
        <v>0.8192771084337349</v>
      </c>
      <c r="C3" s="115">
        <v>340.0</v>
      </c>
      <c r="D3" s="115">
        <v>415.0</v>
      </c>
      <c r="E3" s="115">
        <v>0.041466826538768986</v>
      </c>
      <c r="F3" s="115">
        <v>415.0</v>
      </c>
      <c r="G3" s="115">
        <v>10008.0</v>
      </c>
      <c r="H3" s="115">
        <v>10008.0</v>
      </c>
      <c r="I3" s="115">
        <v>0.0</v>
      </c>
      <c r="J3" s="115">
        <v>29740.0</v>
      </c>
      <c r="K3" s="115">
        <v>29740.0</v>
      </c>
      <c r="L3" s="115"/>
      <c r="M3" s="115">
        <v>2.971622701838529</v>
      </c>
      <c r="N3" s="115">
        <v>2.971622701838529</v>
      </c>
      <c r="O3" s="115"/>
      <c r="P3" s="115">
        <v>6674.21686746988</v>
      </c>
      <c r="Q3" s="115">
        <v>2769800.0</v>
      </c>
      <c r="R3" s="115">
        <v>415.0</v>
      </c>
      <c r="S3" s="115">
        <v>475.0</v>
      </c>
      <c r="T3" s="115">
        <v>-0.41625131778463387</v>
      </c>
      <c r="U3" s="115">
        <v>3922732.899999879</v>
      </c>
      <c r="V3" s="115">
        <v>2769800.0</v>
      </c>
      <c r="W3" s="115"/>
      <c r="X3" s="115"/>
      <c r="Y3" s="115"/>
      <c r="Z3" s="115"/>
      <c r="AA3" s="115"/>
      <c r="AB3" s="115">
        <v>0.0</v>
      </c>
      <c r="AC3" s="115">
        <v>0.0</v>
      </c>
      <c r="AD3" s="115">
        <v>3304.0</v>
      </c>
      <c r="AE3" s="115">
        <v>1513.0</v>
      </c>
      <c r="AF3" s="115">
        <v>756.0</v>
      </c>
      <c r="AG3" s="115">
        <v>400.0</v>
      </c>
      <c r="AH3" s="115">
        <v>55.0</v>
      </c>
      <c r="AI3" s="115"/>
      <c r="AJ3" s="115">
        <v>28792.0</v>
      </c>
      <c r="AK3" s="115">
        <v>19226.0</v>
      </c>
      <c r="AL3" s="115">
        <v>9252.0</v>
      </c>
      <c r="AM3" s="115">
        <v>4034.0</v>
      </c>
      <c r="AN3" s="115">
        <v>360.0</v>
      </c>
    </row>
    <row r="4">
      <c r="A4" s="116">
        <v>45992.0</v>
      </c>
      <c r="B4" s="117">
        <v>0.6386756238003839</v>
      </c>
      <c r="C4" s="117">
        <v>1331.0</v>
      </c>
      <c r="D4" s="117">
        <v>2084.0</v>
      </c>
      <c r="E4" s="117">
        <v>0.1816457783641161</v>
      </c>
      <c r="F4" s="117">
        <v>2203.0</v>
      </c>
      <c r="G4" s="117">
        <v>12128.0</v>
      </c>
      <c r="H4" s="117">
        <v>12128.0</v>
      </c>
      <c r="I4" s="117">
        <v>0.0</v>
      </c>
      <c r="J4" s="117">
        <v>66722.0</v>
      </c>
      <c r="K4" s="117">
        <v>66722.0</v>
      </c>
      <c r="L4" s="117"/>
      <c r="M4" s="117">
        <v>5.501484168865435</v>
      </c>
      <c r="N4" s="117">
        <v>5.501484168865435</v>
      </c>
      <c r="O4" s="117"/>
      <c r="P4" s="117">
        <v>8020.063549704948</v>
      </c>
      <c r="Q4" s="117">
        <v>1.76682E7</v>
      </c>
      <c r="R4" s="117">
        <v>2203.0</v>
      </c>
      <c r="S4" s="117">
        <v>2853.0</v>
      </c>
      <c r="T4" s="117">
        <v>0.16863327333854372</v>
      </c>
      <c r="U4" s="117">
        <v>1.4688753599999942E7</v>
      </c>
      <c r="V4" s="117">
        <v>1.76682E7</v>
      </c>
      <c r="W4" s="117"/>
      <c r="X4" s="117"/>
      <c r="Y4" s="117"/>
      <c r="Z4" s="117"/>
      <c r="AA4" s="117"/>
      <c r="AB4" s="117">
        <v>0.0</v>
      </c>
      <c r="AC4" s="117">
        <v>0.0</v>
      </c>
      <c r="AD4" s="117">
        <v>16831.0</v>
      </c>
      <c r="AE4" s="117">
        <v>7400.0</v>
      </c>
      <c r="AF4" s="117">
        <v>2025.0</v>
      </c>
      <c r="AG4" s="117">
        <v>2517.0</v>
      </c>
      <c r="AH4" s="117">
        <v>508.0</v>
      </c>
      <c r="AI4" s="117"/>
      <c r="AJ4" s="117">
        <v>82775.0</v>
      </c>
      <c r="AK4" s="117">
        <v>56808.0</v>
      </c>
      <c r="AL4" s="117">
        <v>10103.0</v>
      </c>
      <c r="AM4" s="117">
        <v>16104.0</v>
      </c>
      <c r="AN4" s="117">
        <v>1695.0</v>
      </c>
    </row>
    <row r="5">
      <c r="A5" s="114">
        <v>46023.0</v>
      </c>
      <c r="B5" s="115">
        <v>0.48663101604278075</v>
      </c>
      <c r="C5" s="115">
        <v>637.0</v>
      </c>
      <c r="D5" s="115">
        <v>1309.0</v>
      </c>
      <c r="E5" s="115">
        <v>0.1740567043274355</v>
      </c>
      <c r="F5" s="115">
        <v>1633.0</v>
      </c>
      <c r="G5" s="115">
        <v>9382.0</v>
      </c>
      <c r="H5" s="115">
        <v>9382.0</v>
      </c>
      <c r="I5" s="115">
        <v>0.0</v>
      </c>
      <c r="J5" s="115">
        <v>38824.0</v>
      </c>
      <c r="K5" s="115">
        <v>38824.0</v>
      </c>
      <c r="L5" s="115"/>
      <c r="M5" s="115">
        <v>4.1381368578128335</v>
      </c>
      <c r="N5" s="115">
        <v>4.1381368578128335</v>
      </c>
      <c r="O5" s="115"/>
      <c r="P5" s="115">
        <v>9067.176974892835</v>
      </c>
      <c r="Q5" s="115">
        <v>1.48067E7</v>
      </c>
      <c r="R5" s="115">
        <v>1633.0</v>
      </c>
      <c r="S5" s="115">
        <v>2220.0</v>
      </c>
      <c r="T5" s="115">
        <v>0.16186713447290813</v>
      </c>
      <c r="U5" s="115">
        <v>1.2409981899999991E7</v>
      </c>
      <c r="V5" s="115">
        <v>1.48067E7</v>
      </c>
      <c r="W5" s="115"/>
      <c r="X5" s="115"/>
      <c r="Y5" s="115"/>
      <c r="Z5" s="115"/>
      <c r="AA5" s="115"/>
      <c r="AB5" s="115">
        <v>0.0</v>
      </c>
      <c r="AC5" s="115">
        <v>0.0</v>
      </c>
      <c r="AD5" s="115">
        <v>16567.0</v>
      </c>
      <c r="AE5" s="115">
        <v>5363.0</v>
      </c>
      <c r="AF5" s="115">
        <v>895.0</v>
      </c>
      <c r="AG5" s="115">
        <v>1297.0</v>
      </c>
      <c r="AH5" s="115">
        <v>179.0</v>
      </c>
      <c r="AI5" s="115"/>
      <c r="AJ5" s="115">
        <v>92072.0</v>
      </c>
      <c r="AK5" s="115">
        <v>68343.0</v>
      </c>
      <c r="AL5" s="115">
        <v>8487.0</v>
      </c>
      <c r="AM5" s="115">
        <v>11986.0</v>
      </c>
      <c r="AN5" s="115">
        <v>1454.0</v>
      </c>
    </row>
    <row r="6">
      <c r="A6" s="116">
        <v>46054.0</v>
      </c>
      <c r="B6" s="117">
        <v>0.0</v>
      </c>
      <c r="C6" s="117">
        <v>0.0</v>
      </c>
      <c r="D6" s="117">
        <v>859.0</v>
      </c>
      <c r="E6" s="117">
        <v>0.16825396825396827</v>
      </c>
      <c r="F6" s="117">
        <v>1060.0</v>
      </c>
      <c r="G6" s="117">
        <v>6300.0</v>
      </c>
      <c r="H6" s="117">
        <v>5840.0</v>
      </c>
      <c r="I6" s="117">
        <v>789.0</v>
      </c>
      <c r="J6" s="117">
        <v>26580.0</v>
      </c>
      <c r="K6" s="117">
        <v>24083.0</v>
      </c>
      <c r="L6" s="117">
        <v>2497.0</v>
      </c>
      <c r="M6" s="117">
        <v>4.219047619047619</v>
      </c>
      <c r="N6" s="117">
        <v>3.8226984126984127</v>
      </c>
      <c r="O6" s="117">
        <v>0.39634920634920634</v>
      </c>
      <c r="P6" s="117">
        <v>18036.132075471698</v>
      </c>
      <c r="Q6" s="117">
        <v>1.91183E7</v>
      </c>
      <c r="R6" s="117">
        <v>1060.0</v>
      </c>
      <c r="S6" s="117">
        <v>1460.0</v>
      </c>
      <c r="T6" s="117">
        <v>0.2965745960676405</v>
      </c>
      <c r="U6" s="117">
        <v>1.3448297900000028E7</v>
      </c>
      <c r="V6" s="117">
        <v>1.91183E7</v>
      </c>
      <c r="W6" s="117">
        <v>0.51</v>
      </c>
      <c r="X6" s="117">
        <v>598.0</v>
      </c>
      <c r="Y6" s="117">
        <v>339.0</v>
      </c>
      <c r="Z6" s="117">
        <v>245.0</v>
      </c>
      <c r="AA6" s="117"/>
      <c r="AB6" s="117">
        <v>0.0</v>
      </c>
      <c r="AC6" s="117">
        <v>0.0</v>
      </c>
      <c r="AD6" s="117">
        <v>13278.0</v>
      </c>
      <c r="AE6" s="117">
        <v>8504.0</v>
      </c>
      <c r="AF6" s="117">
        <v>4011.0</v>
      </c>
      <c r="AG6" s="117">
        <v>4475.0</v>
      </c>
      <c r="AH6" s="117">
        <v>840.0</v>
      </c>
      <c r="AI6" s="117"/>
      <c r="AJ6" s="117">
        <v>12716.0</v>
      </c>
      <c r="AK6" s="117">
        <v>8325.0</v>
      </c>
      <c r="AL6" s="117">
        <v>2289.0</v>
      </c>
      <c r="AM6" s="117">
        <v>1016.0</v>
      </c>
      <c r="AN6" s="117">
        <v>220.0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13</v>
      </c>
      <c r="D1" s="125" t="s">
        <v>16</v>
      </c>
      <c r="E1" s="125" t="s">
        <v>18</v>
      </c>
      <c r="F1" s="125" t="s">
        <v>19</v>
      </c>
      <c r="G1" s="125" t="s">
        <v>21</v>
      </c>
      <c r="H1" s="125" t="s">
        <v>68</v>
      </c>
      <c r="I1" s="125" t="s">
        <v>70</v>
      </c>
      <c r="J1" s="125" t="s">
        <v>23</v>
      </c>
      <c r="K1" s="125" t="s">
        <v>74</v>
      </c>
      <c r="L1" s="125" t="s">
        <v>76</v>
      </c>
      <c r="M1" s="125" t="s">
        <v>79</v>
      </c>
      <c r="N1" s="125" t="s">
        <v>81</v>
      </c>
      <c r="O1" s="125" t="s">
        <v>83</v>
      </c>
      <c r="P1" s="125" t="s">
        <v>25</v>
      </c>
      <c r="Q1" s="125" t="s">
        <v>26</v>
      </c>
      <c r="R1" s="125" t="s">
        <v>28</v>
      </c>
      <c r="S1" s="125" t="s">
        <v>29</v>
      </c>
      <c r="T1" s="125" t="s">
        <v>31</v>
      </c>
      <c r="U1" s="125" t="s">
        <v>33</v>
      </c>
      <c r="V1" s="125" t="s">
        <v>35</v>
      </c>
      <c r="W1" s="125" t="s">
        <v>123</v>
      </c>
      <c r="X1" s="125" t="s">
        <v>125</v>
      </c>
      <c r="Y1" s="125" t="s">
        <v>126</v>
      </c>
      <c r="Z1" s="125" t="s">
        <v>127</v>
      </c>
      <c r="AA1" s="125" t="s">
        <v>130</v>
      </c>
      <c r="AB1" s="125" t="s">
        <v>37</v>
      </c>
      <c r="AC1" s="125" t="s">
        <v>39</v>
      </c>
      <c r="AD1" s="125" t="s">
        <v>41</v>
      </c>
      <c r="AE1" s="125" t="s">
        <v>43</v>
      </c>
      <c r="AF1" s="125" t="s">
        <v>45</v>
      </c>
      <c r="AG1" s="125" t="s">
        <v>46</v>
      </c>
      <c r="AH1" s="125" t="s">
        <v>48</v>
      </c>
      <c r="AI1" s="125" t="s">
        <v>131</v>
      </c>
      <c r="AJ1" s="125" t="s">
        <v>50</v>
      </c>
      <c r="AK1" s="125" t="s">
        <v>51</v>
      </c>
      <c r="AL1" s="125" t="s">
        <v>52</v>
      </c>
      <c r="AM1" s="125" t="s">
        <v>53</v>
      </c>
      <c r="AN1" s="125" t="s">
        <v>54</v>
      </c>
    </row>
    <row r="2">
      <c r="A2" s="126">
        <v>45962.0</v>
      </c>
      <c r="B2" s="127">
        <v>0.8192771084337349</v>
      </c>
      <c r="C2" s="127">
        <v>340.0</v>
      </c>
      <c r="D2" s="127">
        <v>415.0</v>
      </c>
      <c r="E2" s="127">
        <v>0.041466826538768986</v>
      </c>
      <c r="F2" s="127">
        <v>415.0</v>
      </c>
      <c r="G2" s="127">
        <v>10008.0</v>
      </c>
      <c r="H2" s="127">
        <v>10008.0</v>
      </c>
      <c r="I2" s="127">
        <v>0.0</v>
      </c>
      <c r="J2" s="127">
        <v>29740.0</v>
      </c>
      <c r="K2" s="127">
        <v>29740.0</v>
      </c>
      <c r="L2" s="127"/>
      <c r="M2" s="127">
        <v>2.971622701838529</v>
      </c>
      <c r="N2" s="127">
        <v>2.971622701838529</v>
      </c>
      <c r="O2" s="127"/>
      <c r="P2" s="127">
        <v>6674.21686746988</v>
      </c>
      <c r="Q2" s="127">
        <v>2769800.0</v>
      </c>
      <c r="R2" s="127">
        <v>415.0</v>
      </c>
      <c r="S2" s="127">
        <v>475.0</v>
      </c>
      <c r="T2" s="127">
        <v>-0.41625131778463387</v>
      </c>
      <c r="U2" s="127">
        <v>3922732.899999879</v>
      </c>
      <c r="V2" s="127">
        <v>2769800.0</v>
      </c>
      <c r="W2" s="127"/>
      <c r="X2" s="127"/>
      <c r="Y2" s="127"/>
      <c r="Z2" s="127"/>
      <c r="AA2" s="127"/>
      <c r="AB2" s="127">
        <v>0.0</v>
      </c>
      <c r="AC2" s="127">
        <v>0.0</v>
      </c>
      <c r="AD2" s="127">
        <v>3304.0</v>
      </c>
      <c r="AE2" s="127">
        <v>1513.0</v>
      </c>
      <c r="AF2" s="127">
        <v>756.0</v>
      </c>
      <c r="AG2" s="127">
        <v>400.0</v>
      </c>
      <c r="AH2" s="127">
        <v>55.0</v>
      </c>
      <c r="AI2" s="127"/>
      <c r="AJ2" s="127">
        <v>28792.0</v>
      </c>
      <c r="AK2" s="127">
        <v>19226.0</v>
      </c>
      <c r="AL2" s="127">
        <v>9252.0</v>
      </c>
      <c r="AM2" s="127">
        <v>4034.0</v>
      </c>
      <c r="AN2" s="127">
        <v>360.0</v>
      </c>
    </row>
    <row r="3">
      <c r="A3" s="126">
        <v>45992.0</v>
      </c>
      <c r="B3" s="127">
        <v>0.6386756238003839</v>
      </c>
      <c r="C3" s="127">
        <v>1331.0</v>
      </c>
      <c r="D3" s="127">
        <v>2084.0</v>
      </c>
      <c r="E3" s="127">
        <v>0.1816457783641161</v>
      </c>
      <c r="F3" s="127">
        <v>2203.0</v>
      </c>
      <c r="G3" s="127">
        <v>12128.0</v>
      </c>
      <c r="H3" s="127">
        <v>12128.0</v>
      </c>
      <c r="I3" s="127">
        <v>0.0</v>
      </c>
      <c r="J3" s="127">
        <v>66722.0</v>
      </c>
      <c r="K3" s="127">
        <v>66722.0</v>
      </c>
      <c r="L3" s="127"/>
      <c r="M3" s="127">
        <v>5.501484168865435</v>
      </c>
      <c r="N3" s="127">
        <v>5.501484168865435</v>
      </c>
      <c r="O3" s="127"/>
      <c r="P3" s="127">
        <v>8020.063549704948</v>
      </c>
      <c r="Q3" s="127">
        <v>1.76682E7</v>
      </c>
      <c r="R3" s="127">
        <v>2203.0</v>
      </c>
      <c r="S3" s="127">
        <v>2853.0</v>
      </c>
      <c r="T3" s="127">
        <v>0.16863327333854372</v>
      </c>
      <c r="U3" s="127">
        <v>1.4688753599999942E7</v>
      </c>
      <c r="V3" s="127">
        <v>1.76682E7</v>
      </c>
      <c r="W3" s="127"/>
      <c r="X3" s="127"/>
      <c r="Y3" s="127"/>
      <c r="Z3" s="127"/>
      <c r="AA3" s="127"/>
      <c r="AB3" s="127">
        <v>0.0</v>
      </c>
      <c r="AC3" s="127">
        <v>0.0</v>
      </c>
      <c r="AD3" s="127">
        <v>16831.0</v>
      </c>
      <c r="AE3" s="127">
        <v>7400.0</v>
      </c>
      <c r="AF3" s="127">
        <v>2025.0</v>
      </c>
      <c r="AG3" s="127">
        <v>2517.0</v>
      </c>
      <c r="AH3" s="127">
        <v>508.0</v>
      </c>
      <c r="AI3" s="127"/>
      <c r="AJ3" s="127">
        <v>82775.0</v>
      </c>
      <c r="AK3" s="127">
        <v>56808.0</v>
      </c>
      <c r="AL3" s="127">
        <v>10103.0</v>
      </c>
      <c r="AM3" s="127">
        <v>16104.0</v>
      </c>
      <c r="AN3" s="127">
        <v>1695.0</v>
      </c>
    </row>
    <row r="4">
      <c r="A4" s="126">
        <v>46023.0</v>
      </c>
      <c r="B4" s="127">
        <v>0.48663101604278075</v>
      </c>
      <c r="C4" s="127">
        <v>637.0</v>
      </c>
      <c r="D4" s="127">
        <v>1309.0</v>
      </c>
      <c r="E4" s="127">
        <v>0.1740567043274355</v>
      </c>
      <c r="F4" s="127">
        <v>1633.0</v>
      </c>
      <c r="G4" s="127">
        <v>9382.0</v>
      </c>
      <c r="H4" s="127">
        <v>9382.0</v>
      </c>
      <c r="I4" s="127">
        <v>0.0</v>
      </c>
      <c r="J4" s="127">
        <v>38824.0</v>
      </c>
      <c r="K4" s="127">
        <v>38824.0</v>
      </c>
      <c r="L4" s="127"/>
      <c r="M4" s="127">
        <v>4.1381368578128335</v>
      </c>
      <c r="N4" s="127">
        <v>4.1381368578128335</v>
      </c>
      <c r="O4" s="127"/>
      <c r="P4" s="127">
        <v>9067.176974892835</v>
      </c>
      <c r="Q4" s="127">
        <v>1.48067E7</v>
      </c>
      <c r="R4" s="127">
        <v>1633.0</v>
      </c>
      <c r="S4" s="127">
        <v>2220.0</v>
      </c>
      <c r="T4" s="127">
        <v>0.16186713447290813</v>
      </c>
      <c r="U4" s="127">
        <v>1.2409981899999991E7</v>
      </c>
      <c r="V4" s="127">
        <v>1.48067E7</v>
      </c>
      <c r="W4" s="127"/>
      <c r="X4" s="127"/>
      <c r="Y4" s="127"/>
      <c r="Z4" s="127"/>
      <c r="AA4" s="127"/>
      <c r="AB4" s="127">
        <v>0.0</v>
      </c>
      <c r="AC4" s="127">
        <v>0.0</v>
      </c>
      <c r="AD4" s="127">
        <v>16567.0</v>
      </c>
      <c r="AE4" s="127">
        <v>5363.0</v>
      </c>
      <c r="AF4" s="127">
        <v>895.0</v>
      </c>
      <c r="AG4" s="127">
        <v>1297.0</v>
      </c>
      <c r="AH4" s="127">
        <v>179.0</v>
      </c>
      <c r="AI4" s="127"/>
      <c r="AJ4" s="127">
        <v>92072.0</v>
      </c>
      <c r="AK4" s="127">
        <v>68343.0</v>
      </c>
      <c r="AL4" s="127">
        <v>8487.0</v>
      </c>
      <c r="AM4" s="127">
        <v>11986.0</v>
      </c>
      <c r="AN4" s="127">
        <v>1454.0</v>
      </c>
    </row>
    <row r="5">
      <c r="A5" s="126">
        <v>46054.0</v>
      </c>
      <c r="B5" s="127">
        <v>0.0</v>
      </c>
      <c r="C5" s="127">
        <v>0.0</v>
      </c>
      <c r="D5" s="127">
        <v>859.0</v>
      </c>
      <c r="E5" s="127">
        <v>0.16825396825396827</v>
      </c>
      <c r="F5" s="127">
        <v>1060.0</v>
      </c>
      <c r="G5" s="127">
        <v>6300.0</v>
      </c>
      <c r="H5" s="127">
        <v>5840.0</v>
      </c>
      <c r="I5" s="127">
        <v>789.0</v>
      </c>
      <c r="J5" s="127">
        <v>26580.0</v>
      </c>
      <c r="K5" s="127">
        <v>24083.0</v>
      </c>
      <c r="L5" s="127">
        <v>2497.0</v>
      </c>
      <c r="M5" s="127">
        <v>4.219047619047619</v>
      </c>
      <c r="N5" s="127">
        <v>3.8226984126984127</v>
      </c>
      <c r="O5" s="127">
        <v>0.39634920634920634</v>
      </c>
      <c r="P5" s="127">
        <v>18036.132075471698</v>
      </c>
      <c r="Q5" s="127">
        <v>1.91183E7</v>
      </c>
      <c r="R5" s="127">
        <v>1060.0</v>
      </c>
      <c r="S5" s="127">
        <v>1460.0</v>
      </c>
      <c r="T5" s="127">
        <v>0.2965745960676405</v>
      </c>
      <c r="U5" s="127">
        <v>1.3448297900000028E7</v>
      </c>
      <c r="V5" s="127">
        <v>1.91183E7</v>
      </c>
      <c r="W5" s="127">
        <v>0.51</v>
      </c>
      <c r="X5" s="127">
        <v>598.0</v>
      </c>
      <c r="Y5" s="127">
        <v>339.0</v>
      </c>
      <c r="Z5" s="127">
        <v>245.0</v>
      </c>
      <c r="AA5" s="127"/>
      <c r="AB5" s="127">
        <v>0.0</v>
      </c>
      <c r="AC5" s="127">
        <v>0.0</v>
      </c>
      <c r="AD5" s="127">
        <v>13278.0</v>
      </c>
      <c r="AE5" s="127">
        <v>8504.0</v>
      </c>
      <c r="AF5" s="127">
        <v>4011.0</v>
      </c>
      <c r="AG5" s="127">
        <v>4475.0</v>
      </c>
      <c r="AH5" s="127">
        <v>840.0</v>
      </c>
      <c r="AI5" s="127"/>
      <c r="AJ5" s="127">
        <v>12716.0</v>
      </c>
      <c r="AK5" s="127">
        <v>8325.0</v>
      </c>
      <c r="AL5" s="127">
        <v>2289.0</v>
      </c>
      <c r="AM5" s="127">
        <v>1016.0</v>
      </c>
      <c r="AN5" s="127">
        <v>220.0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" width="15.13"/>
    <col customWidth="1" min="2" max="2" width="16.25"/>
    <col min="3" max="33" width="15.13"/>
  </cols>
  <sheetData>
    <row r="1" ht="36.0">
      <c r="A1" s="112" t="s">
        <v>145</v>
      </c>
    </row>
    <row r="2">
      <c r="A2" s="113" t="s">
        <v>129</v>
      </c>
      <c r="B2" s="113" t="s">
        <v>10</v>
      </c>
      <c r="C2" s="113" t="s">
        <v>62</v>
      </c>
      <c r="D2" s="113" t="s">
        <v>64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46014.0</v>
      </c>
      <c r="B3" s="115">
        <v>0.42857142857142855</v>
      </c>
      <c r="C3" s="115">
        <v>3.0</v>
      </c>
      <c r="D3" s="115">
        <v>7.0</v>
      </c>
      <c r="E3" s="115">
        <v>0.004146919431279621</v>
      </c>
      <c r="F3" s="115">
        <v>7.0</v>
      </c>
      <c r="G3" s="115">
        <v>1688.0</v>
      </c>
      <c r="H3" s="115">
        <v>4069.0</v>
      </c>
      <c r="I3" s="115">
        <v>16571.428571428572</v>
      </c>
      <c r="J3" s="115">
        <v>116000.0</v>
      </c>
      <c r="K3" s="115">
        <v>7.0</v>
      </c>
      <c r="L3" s="115">
        <v>7.0</v>
      </c>
      <c r="M3" s="115">
        <v>0.9772</v>
      </c>
      <c r="N3" s="115">
        <v>2644.8</v>
      </c>
      <c r="O3" s="115">
        <v>116000.0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313.0</v>
      </c>
      <c r="X3" s="115">
        <v>217.0</v>
      </c>
      <c r="Y3" s="115">
        <v>138.0</v>
      </c>
      <c r="Z3" s="115">
        <v>16.0</v>
      </c>
      <c r="AA3" s="115">
        <v>0.0</v>
      </c>
      <c r="AB3" s="115"/>
      <c r="AC3" s="115">
        <v>4131.0</v>
      </c>
      <c r="AD3" s="115">
        <v>2777.0</v>
      </c>
      <c r="AE3" s="115">
        <v>1550.0</v>
      </c>
      <c r="AF3" s="115">
        <v>162.0</v>
      </c>
      <c r="AG3" s="115">
        <v>7.0</v>
      </c>
    </row>
    <row r="4">
      <c r="A4" s="116">
        <v>46015.0</v>
      </c>
      <c r="B4" s="117">
        <v>0.0</v>
      </c>
      <c r="C4" s="117">
        <v>0.0</v>
      </c>
      <c r="D4" s="117">
        <v>4.0</v>
      </c>
      <c r="E4" s="117">
        <v>0.005307855626326964</v>
      </c>
      <c r="F4" s="117">
        <v>5.0</v>
      </c>
      <c r="G4" s="117">
        <v>942.0</v>
      </c>
      <c r="H4" s="117">
        <v>2084.0</v>
      </c>
      <c r="I4" s="117">
        <v>18120.0</v>
      </c>
      <c r="J4" s="117">
        <v>90600.0</v>
      </c>
      <c r="K4" s="117">
        <v>5.0</v>
      </c>
      <c r="L4" s="117">
        <v>5.0</v>
      </c>
      <c r="M4" s="117">
        <v>0.6059369133134658</v>
      </c>
      <c r="N4" s="117">
        <v>35702.1156538</v>
      </c>
      <c r="O4" s="117">
        <v>90600.0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253.0</v>
      </c>
      <c r="X4" s="117">
        <v>186.0</v>
      </c>
      <c r="Y4" s="117">
        <v>52.0</v>
      </c>
      <c r="Z4" s="117">
        <v>29.0</v>
      </c>
      <c r="AA4" s="117">
        <v>0.0</v>
      </c>
      <c r="AB4" s="117"/>
      <c r="AC4" s="117">
        <v>6033.0</v>
      </c>
      <c r="AD4" s="117">
        <v>4889.0</v>
      </c>
      <c r="AE4" s="117">
        <v>890.0</v>
      </c>
      <c r="AF4" s="117">
        <v>678.0</v>
      </c>
      <c r="AG4" s="117">
        <v>5.0</v>
      </c>
    </row>
    <row r="5">
      <c r="A5" s="114">
        <v>46016.0</v>
      </c>
      <c r="B5" s="115">
        <v>0.5</v>
      </c>
      <c r="C5" s="115">
        <v>6.0</v>
      </c>
      <c r="D5" s="115">
        <v>12.0</v>
      </c>
      <c r="E5" s="115">
        <v>0.01600985221674877</v>
      </c>
      <c r="F5" s="115">
        <v>13.0</v>
      </c>
      <c r="G5" s="115">
        <v>812.0</v>
      </c>
      <c r="H5" s="115">
        <v>1929.0</v>
      </c>
      <c r="I5" s="115">
        <v>35876.92307692308</v>
      </c>
      <c r="J5" s="115">
        <v>466400.0</v>
      </c>
      <c r="K5" s="115">
        <v>13.0</v>
      </c>
      <c r="L5" s="115">
        <v>17.0</v>
      </c>
      <c r="M5" s="115">
        <v>0.910536018201115</v>
      </c>
      <c r="N5" s="115">
        <v>41726.001111</v>
      </c>
      <c r="O5" s="115">
        <v>466400.0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246.0</v>
      </c>
      <c r="X5" s="115">
        <v>181.0</v>
      </c>
      <c r="Y5" s="115">
        <v>43.0</v>
      </c>
      <c r="Z5" s="115">
        <v>30.0</v>
      </c>
      <c r="AA5" s="115">
        <v>3.0</v>
      </c>
      <c r="AB5" s="115"/>
      <c r="AC5" s="115">
        <v>4808.0</v>
      </c>
      <c r="AD5" s="115">
        <v>4011.0</v>
      </c>
      <c r="AE5" s="115">
        <v>769.0</v>
      </c>
      <c r="AF5" s="115">
        <v>544.0</v>
      </c>
      <c r="AG5" s="115">
        <v>10.0</v>
      </c>
    </row>
    <row r="6">
      <c r="A6" s="116">
        <v>46017.0</v>
      </c>
      <c r="B6" s="117">
        <v>0.3333333333333333</v>
      </c>
      <c r="C6" s="117">
        <v>3.0</v>
      </c>
      <c r="D6" s="117">
        <v>9.0</v>
      </c>
      <c r="E6" s="117">
        <v>0.014844804318488529</v>
      </c>
      <c r="F6" s="117">
        <v>11.0</v>
      </c>
      <c r="G6" s="117">
        <v>741.0</v>
      </c>
      <c r="H6" s="117">
        <v>1731.0</v>
      </c>
      <c r="I6" s="117">
        <v>33090.90909090909</v>
      </c>
      <c r="J6" s="117">
        <v>364000.0</v>
      </c>
      <c r="K6" s="117">
        <v>11.0</v>
      </c>
      <c r="L6" s="117">
        <v>17.0</v>
      </c>
      <c r="M6" s="117">
        <v>0.8798711648846154</v>
      </c>
      <c r="N6" s="117">
        <v>43726.895982</v>
      </c>
      <c r="O6" s="117">
        <v>364000.0</v>
      </c>
      <c r="P6" s="117"/>
      <c r="Q6" s="117"/>
      <c r="R6" s="117"/>
      <c r="S6" s="117"/>
      <c r="T6" s="117"/>
      <c r="U6" s="117">
        <v>0.0</v>
      </c>
      <c r="V6" s="117">
        <v>0.0</v>
      </c>
      <c r="W6" s="117">
        <v>282.0</v>
      </c>
      <c r="X6" s="117">
        <v>206.0</v>
      </c>
      <c r="Y6" s="117">
        <v>55.0</v>
      </c>
      <c r="Z6" s="117">
        <v>36.0</v>
      </c>
      <c r="AA6" s="117">
        <v>3.0</v>
      </c>
      <c r="AB6" s="117"/>
      <c r="AC6" s="117">
        <v>4233.0</v>
      </c>
      <c r="AD6" s="117">
        <v>3329.0</v>
      </c>
      <c r="AE6" s="117">
        <v>686.0</v>
      </c>
      <c r="AF6" s="117">
        <v>530.0</v>
      </c>
      <c r="AG6" s="117">
        <v>8.0</v>
      </c>
    </row>
    <row r="7">
      <c r="A7" s="114">
        <v>46018.0</v>
      </c>
      <c r="B7" s="115">
        <v>0.45454545454545453</v>
      </c>
      <c r="C7" s="115">
        <v>5.0</v>
      </c>
      <c r="D7" s="115">
        <v>11.0</v>
      </c>
      <c r="E7" s="115">
        <v>0.016853932584269662</v>
      </c>
      <c r="F7" s="115">
        <v>12.0</v>
      </c>
      <c r="G7" s="115">
        <v>712.0</v>
      </c>
      <c r="H7" s="115">
        <v>1759.0</v>
      </c>
      <c r="I7" s="115">
        <v>54325.0</v>
      </c>
      <c r="J7" s="115">
        <v>651900.0</v>
      </c>
      <c r="K7" s="115">
        <v>12.0</v>
      </c>
      <c r="L7" s="115">
        <v>21.0</v>
      </c>
      <c r="M7" s="115">
        <v>0.9215153748065654</v>
      </c>
      <c r="N7" s="115">
        <v>51164.1271636</v>
      </c>
      <c r="O7" s="115">
        <v>651900.0</v>
      </c>
      <c r="P7" s="115"/>
      <c r="Q7" s="115"/>
      <c r="R7" s="115"/>
      <c r="S7" s="115"/>
      <c r="T7" s="115"/>
      <c r="U7" s="115">
        <v>0.0</v>
      </c>
      <c r="V7" s="115">
        <v>0.0</v>
      </c>
      <c r="W7" s="115">
        <v>269.0</v>
      </c>
      <c r="X7" s="115">
        <v>197.0</v>
      </c>
      <c r="Y7" s="115">
        <v>38.0</v>
      </c>
      <c r="Z7" s="115">
        <v>27.0</v>
      </c>
      <c r="AA7" s="115">
        <v>1.0</v>
      </c>
      <c r="AB7" s="115"/>
      <c r="AC7" s="115">
        <v>3660.0</v>
      </c>
      <c r="AD7" s="115">
        <v>3056.0</v>
      </c>
      <c r="AE7" s="115">
        <v>674.0</v>
      </c>
      <c r="AF7" s="115">
        <v>329.0</v>
      </c>
      <c r="AG7" s="115">
        <v>11.0</v>
      </c>
    </row>
    <row r="8">
      <c r="A8" s="116">
        <v>46019.0</v>
      </c>
      <c r="B8" s="117">
        <v>0.21808510638297873</v>
      </c>
      <c r="C8" s="117">
        <v>41.0</v>
      </c>
      <c r="D8" s="117">
        <v>188.0</v>
      </c>
      <c r="E8" s="117">
        <v>0.12998624484181567</v>
      </c>
      <c r="F8" s="117">
        <v>189.0</v>
      </c>
      <c r="G8" s="117">
        <v>1454.0</v>
      </c>
      <c r="H8" s="117">
        <v>3623.0</v>
      </c>
      <c r="I8" s="117">
        <v>48981.48148148148</v>
      </c>
      <c r="J8" s="117">
        <v>9257500.0</v>
      </c>
      <c r="K8" s="117">
        <v>189.0</v>
      </c>
      <c r="L8" s="117">
        <v>202.0</v>
      </c>
      <c r="M8" s="117">
        <v>0.947238323143138</v>
      </c>
      <c r="N8" s="117">
        <v>488441.2235024</v>
      </c>
      <c r="O8" s="117">
        <v>9257500.0</v>
      </c>
      <c r="P8" s="117"/>
      <c r="Q8" s="117"/>
      <c r="R8" s="117"/>
      <c r="S8" s="117"/>
      <c r="T8" s="117"/>
      <c r="U8" s="117">
        <v>0.0</v>
      </c>
      <c r="V8" s="117">
        <v>0.0</v>
      </c>
      <c r="W8" s="117">
        <v>407.0</v>
      </c>
      <c r="X8" s="117">
        <v>342.0</v>
      </c>
      <c r="Y8" s="117">
        <v>62.0</v>
      </c>
      <c r="Z8" s="117">
        <v>59.0</v>
      </c>
      <c r="AA8" s="117">
        <v>4.0</v>
      </c>
      <c r="AB8" s="117"/>
      <c r="AC8" s="117">
        <v>10978.0</v>
      </c>
      <c r="AD8" s="117">
        <v>10149.0</v>
      </c>
      <c r="AE8" s="117">
        <v>1392.0</v>
      </c>
      <c r="AF8" s="117">
        <v>2115.0</v>
      </c>
      <c r="AG8" s="117">
        <v>185.0</v>
      </c>
    </row>
    <row r="9">
      <c r="A9" s="114">
        <v>46020.0</v>
      </c>
      <c r="B9" s="115">
        <v>0.2459016393442623</v>
      </c>
      <c r="C9" s="115">
        <v>15.0</v>
      </c>
      <c r="D9" s="115">
        <v>61.0</v>
      </c>
      <c r="E9" s="115">
        <v>0.06528497409326425</v>
      </c>
      <c r="F9" s="115">
        <v>63.0</v>
      </c>
      <c r="G9" s="115">
        <v>965.0</v>
      </c>
      <c r="H9" s="115">
        <v>2326.0</v>
      </c>
      <c r="I9" s="115">
        <v>45303.1746031746</v>
      </c>
      <c r="J9" s="115">
        <v>2854100.0</v>
      </c>
      <c r="K9" s="115">
        <v>63.0</v>
      </c>
      <c r="L9" s="115">
        <v>84.0</v>
      </c>
      <c r="M9" s="115">
        <v>0.9383366296625206</v>
      </c>
      <c r="N9" s="115">
        <v>175993.4252802</v>
      </c>
      <c r="O9" s="115">
        <v>2854100.0</v>
      </c>
      <c r="P9" s="115"/>
      <c r="Q9" s="115"/>
      <c r="R9" s="115"/>
      <c r="S9" s="115"/>
      <c r="T9" s="115"/>
      <c r="U9" s="115">
        <v>0.0</v>
      </c>
      <c r="V9" s="115">
        <v>0.0</v>
      </c>
      <c r="W9" s="115">
        <v>382.0</v>
      </c>
      <c r="X9" s="115">
        <v>301.0</v>
      </c>
      <c r="Y9" s="115">
        <v>60.0</v>
      </c>
      <c r="Z9" s="115">
        <v>37.0</v>
      </c>
      <c r="AA9" s="115">
        <v>1.0</v>
      </c>
      <c r="AB9" s="115"/>
      <c r="AC9" s="115">
        <v>6469.0</v>
      </c>
      <c r="AD9" s="115">
        <v>5504.0</v>
      </c>
      <c r="AE9" s="115">
        <v>905.0</v>
      </c>
      <c r="AF9" s="115">
        <v>701.0</v>
      </c>
      <c r="AG9" s="115">
        <v>62.0</v>
      </c>
    </row>
    <row r="10">
      <c r="A10" s="116">
        <v>46021.0</v>
      </c>
      <c r="B10" s="117">
        <v>0.22727272727272727</v>
      </c>
      <c r="C10" s="117">
        <v>5.0</v>
      </c>
      <c r="D10" s="117">
        <v>22.0</v>
      </c>
      <c r="E10" s="117">
        <v>0.0321285140562249</v>
      </c>
      <c r="F10" s="117">
        <v>24.0</v>
      </c>
      <c r="G10" s="117">
        <v>747.0</v>
      </c>
      <c r="H10" s="117">
        <v>1687.0</v>
      </c>
      <c r="I10" s="117">
        <v>39795.833333333336</v>
      </c>
      <c r="J10" s="117">
        <v>955100.0</v>
      </c>
      <c r="K10" s="117">
        <v>24.0</v>
      </c>
      <c r="L10" s="117">
        <v>38.0</v>
      </c>
      <c r="M10" s="117">
        <v>0.9311871474882212</v>
      </c>
      <c r="N10" s="117">
        <v>65723.155434</v>
      </c>
      <c r="O10" s="117">
        <v>955100.0</v>
      </c>
      <c r="P10" s="117"/>
      <c r="Q10" s="117"/>
      <c r="R10" s="117"/>
      <c r="S10" s="117"/>
      <c r="T10" s="117"/>
      <c r="U10" s="117">
        <v>0.0</v>
      </c>
      <c r="V10" s="117">
        <v>0.0</v>
      </c>
      <c r="W10" s="117">
        <v>310.0</v>
      </c>
      <c r="X10" s="117">
        <v>225.0</v>
      </c>
      <c r="Y10" s="117">
        <v>55.0</v>
      </c>
      <c r="Z10" s="117">
        <v>30.0</v>
      </c>
      <c r="AA10" s="117">
        <v>2.0</v>
      </c>
      <c r="AB10" s="117"/>
      <c r="AC10" s="117">
        <v>4334.0</v>
      </c>
      <c r="AD10" s="117">
        <v>3462.0</v>
      </c>
      <c r="AE10" s="117">
        <v>692.0</v>
      </c>
      <c r="AF10" s="117">
        <v>343.0</v>
      </c>
      <c r="AG10" s="117">
        <v>22.0</v>
      </c>
    </row>
    <row r="11">
      <c r="A11" s="114">
        <v>46022.0</v>
      </c>
      <c r="B11" s="115">
        <v>0.29411764705882354</v>
      </c>
      <c r="C11" s="115">
        <v>5.0</v>
      </c>
      <c r="D11" s="115">
        <v>17.0</v>
      </c>
      <c r="E11" s="115">
        <v>0.02857142857142857</v>
      </c>
      <c r="F11" s="115">
        <v>18.0</v>
      </c>
      <c r="G11" s="115">
        <v>630.0</v>
      </c>
      <c r="H11" s="115">
        <v>1498.0</v>
      </c>
      <c r="I11" s="115">
        <v>37566.666666666664</v>
      </c>
      <c r="J11" s="115">
        <v>676200.0</v>
      </c>
      <c r="K11" s="115">
        <v>18.0</v>
      </c>
      <c r="L11" s="115">
        <v>25.0</v>
      </c>
      <c r="M11" s="115">
        <v>0.9177947729606625</v>
      </c>
      <c r="N11" s="115">
        <v>55587.174524</v>
      </c>
      <c r="O11" s="115">
        <v>676200.0</v>
      </c>
      <c r="P11" s="115"/>
      <c r="Q11" s="115"/>
      <c r="R11" s="115"/>
      <c r="S11" s="115"/>
      <c r="T11" s="115"/>
      <c r="U11" s="115">
        <v>0.0</v>
      </c>
      <c r="V11" s="115">
        <v>0.0</v>
      </c>
      <c r="W11" s="115">
        <v>318.0</v>
      </c>
      <c r="X11" s="115">
        <v>193.0</v>
      </c>
      <c r="Y11" s="115">
        <v>42.0</v>
      </c>
      <c r="Z11" s="115">
        <v>47.0</v>
      </c>
      <c r="AA11" s="115">
        <v>0.0</v>
      </c>
      <c r="AB11" s="115"/>
      <c r="AC11" s="115">
        <v>4415.0</v>
      </c>
      <c r="AD11" s="115">
        <v>3492.0</v>
      </c>
      <c r="AE11" s="115">
        <v>588.0</v>
      </c>
      <c r="AF11" s="115">
        <v>529.0</v>
      </c>
      <c r="AG11" s="115">
        <v>18.0</v>
      </c>
    </row>
    <row r="12">
      <c r="A12" s="116">
        <v>46023.0</v>
      </c>
      <c r="B12" s="117">
        <v>0.27586206896551724</v>
      </c>
      <c r="C12" s="117">
        <v>8.0</v>
      </c>
      <c r="D12" s="117">
        <v>29.0</v>
      </c>
      <c r="E12" s="117">
        <v>0.03686635944700461</v>
      </c>
      <c r="F12" s="117">
        <v>32.0</v>
      </c>
      <c r="G12" s="117">
        <v>868.0</v>
      </c>
      <c r="H12" s="117">
        <v>2031.0</v>
      </c>
      <c r="I12" s="117">
        <v>35596.875</v>
      </c>
      <c r="J12" s="117">
        <v>1139100.0</v>
      </c>
      <c r="K12" s="117">
        <v>32.0</v>
      </c>
      <c r="L12" s="117">
        <v>44.0</v>
      </c>
      <c r="M12" s="117">
        <v>0.9305634362203494</v>
      </c>
      <c r="N12" s="117">
        <v>79095.1898014</v>
      </c>
      <c r="O12" s="117">
        <v>1139100.0</v>
      </c>
      <c r="P12" s="117"/>
      <c r="Q12" s="117"/>
      <c r="R12" s="117"/>
      <c r="S12" s="117"/>
      <c r="T12" s="117"/>
      <c r="U12" s="117">
        <v>0.0</v>
      </c>
      <c r="V12" s="117">
        <v>0.0</v>
      </c>
      <c r="W12" s="117">
        <v>501.0</v>
      </c>
      <c r="X12" s="117">
        <v>284.0</v>
      </c>
      <c r="Y12" s="117">
        <v>47.0</v>
      </c>
      <c r="Z12" s="117">
        <v>70.0</v>
      </c>
      <c r="AA12" s="117">
        <v>2.0</v>
      </c>
      <c r="AB12" s="117"/>
      <c r="AC12" s="117">
        <v>6587.0</v>
      </c>
      <c r="AD12" s="117">
        <v>5590.0</v>
      </c>
      <c r="AE12" s="117">
        <v>821.0</v>
      </c>
      <c r="AF12" s="117">
        <v>845.0</v>
      </c>
      <c r="AG12" s="117">
        <v>30.0</v>
      </c>
    </row>
    <row r="13">
      <c r="A13" s="114">
        <v>46024.0</v>
      </c>
      <c r="B13" s="115">
        <v>0.25</v>
      </c>
      <c r="C13" s="115">
        <v>4.0</v>
      </c>
      <c r="D13" s="115">
        <v>16.0</v>
      </c>
      <c r="E13" s="115">
        <v>0.03349282296650718</v>
      </c>
      <c r="F13" s="115">
        <v>21.0</v>
      </c>
      <c r="G13" s="115">
        <v>627.0</v>
      </c>
      <c r="H13" s="115">
        <v>1433.0</v>
      </c>
      <c r="I13" s="115">
        <v>28090.47619047619</v>
      </c>
      <c r="J13" s="115">
        <v>589900.0</v>
      </c>
      <c r="K13" s="115">
        <v>21.0</v>
      </c>
      <c r="L13" s="115">
        <v>27.0</v>
      </c>
      <c r="M13" s="115">
        <v>0.9109422192876758</v>
      </c>
      <c r="N13" s="115">
        <v>52535.184842200004</v>
      </c>
      <c r="O13" s="115">
        <v>589900.0</v>
      </c>
      <c r="P13" s="115"/>
      <c r="Q13" s="115"/>
      <c r="R13" s="115"/>
      <c r="S13" s="115"/>
      <c r="T13" s="115"/>
      <c r="U13" s="115">
        <v>0.0</v>
      </c>
      <c r="V13" s="115">
        <v>0.0</v>
      </c>
      <c r="W13" s="115">
        <v>425.0</v>
      </c>
      <c r="X13" s="115">
        <v>247.0</v>
      </c>
      <c r="Y13" s="115">
        <v>48.0</v>
      </c>
      <c r="Z13" s="115">
        <v>53.0</v>
      </c>
      <c r="AA13" s="115">
        <v>0.0</v>
      </c>
      <c r="AB13" s="115"/>
      <c r="AC13" s="115">
        <v>4327.0</v>
      </c>
      <c r="AD13" s="115">
        <v>3274.0</v>
      </c>
      <c r="AE13" s="115">
        <v>579.0</v>
      </c>
      <c r="AF13" s="115">
        <v>468.0</v>
      </c>
      <c r="AG13" s="115">
        <v>21.0</v>
      </c>
    </row>
    <row r="14">
      <c r="A14" s="116">
        <v>46025.0</v>
      </c>
      <c r="B14" s="117">
        <v>0.4444444444444444</v>
      </c>
      <c r="C14" s="117">
        <v>4.0</v>
      </c>
      <c r="D14" s="117">
        <v>9.0</v>
      </c>
      <c r="E14" s="117">
        <v>0.020442930153321975</v>
      </c>
      <c r="F14" s="117">
        <v>12.0</v>
      </c>
      <c r="G14" s="117">
        <v>587.0</v>
      </c>
      <c r="H14" s="117">
        <v>1411.0</v>
      </c>
      <c r="I14" s="117">
        <v>24575.0</v>
      </c>
      <c r="J14" s="117">
        <v>294900.0</v>
      </c>
      <c r="K14" s="117">
        <v>12.0</v>
      </c>
      <c r="L14" s="117">
        <v>16.0</v>
      </c>
      <c r="M14" s="117">
        <v>0.8917755975822312</v>
      </c>
      <c r="N14" s="117">
        <v>31915.376273</v>
      </c>
      <c r="O14" s="117">
        <v>294900.0</v>
      </c>
      <c r="P14" s="117"/>
      <c r="Q14" s="117"/>
      <c r="R14" s="117"/>
      <c r="S14" s="117"/>
      <c r="T14" s="117"/>
      <c r="U14" s="117">
        <v>0.0</v>
      </c>
      <c r="V14" s="117">
        <v>0.0</v>
      </c>
      <c r="W14" s="117">
        <v>457.0</v>
      </c>
      <c r="X14" s="117">
        <v>227.0</v>
      </c>
      <c r="Y14" s="117">
        <v>54.0</v>
      </c>
      <c r="Z14" s="117">
        <v>43.0</v>
      </c>
      <c r="AA14" s="117">
        <v>3.0</v>
      </c>
      <c r="AB14" s="117"/>
      <c r="AC14" s="117">
        <v>3667.0</v>
      </c>
      <c r="AD14" s="117">
        <v>2551.0</v>
      </c>
      <c r="AE14" s="117">
        <v>533.0</v>
      </c>
      <c r="AF14" s="117">
        <v>411.0</v>
      </c>
      <c r="AG14" s="117">
        <v>9.0</v>
      </c>
    </row>
    <row r="15">
      <c r="A15" s="114">
        <v>46026.0</v>
      </c>
      <c r="B15" s="115">
        <v>0.5</v>
      </c>
      <c r="C15" s="115">
        <v>3.0</v>
      </c>
      <c r="D15" s="115">
        <v>6.0</v>
      </c>
      <c r="E15" s="115">
        <v>0.014084507042253521</v>
      </c>
      <c r="F15" s="115">
        <v>8.0</v>
      </c>
      <c r="G15" s="115">
        <v>568.0</v>
      </c>
      <c r="H15" s="115">
        <v>1424.0</v>
      </c>
      <c r="I15" s="115">
        <v>22425.0</v>
      </c>
      <c r="J15" s="115">
        <v>179400.0</v>
      </c>
      <c r="K15" s="115">
        <v>8.0</v>
      </c>
      <c r="L15" s="115">
        <v>11.0</v>
      </c>
      <c r="M15" s="115">
        <v>0.868656339845039</v>
      </c>
      <c r="N15" s="115">
        <v>23563.0526318</v>
      </c>
      <c r="O15" s="115">
        <v>179400.0</v>
      </c>
      <c r="P15" s="115"/>
      <c r="Q15" s="115"/>
      <c r="R15" s="115"/>
      <c r="S15" s="115"/>
      <c r="T15" s="115"/>
      <c r="U15" s="115">
        <v>0.0</v>
      </c>
      <c r="V15" s="115">
        <v>0.0</v>
      </c>
      <c r="W15" s="115">
        <v>474.0</v>
      </c>
      <c r="X15" s="115">
        <v>240.0</v>
      </c>
      <c r="Y15" s="115">
        <v>48.0</v>
      </c>
      <c r="Z15" s="115">
        <v>54.0</v>
      </c>
      <c r="AA15" s="115">
        <v>2.0</v>
      </c>
      <c r="AB15" s="115"/>
      <c r="AC15" s="115">
        <v>3596.0</v>
      </c>
      <c r="AD15" s="115">
        <v>2541.0</v>
      </c>
      <c r="AE15" s="115">
        <v>520.0</v>
      </c>
      <c r="AF15" s="115">
        <v>426.0</v>
      </c>
      <c r="AG15" s="115">
        <v>6.0</v>
      </c>
    </row>
    <row r="16">
      <c r="A16" s="116">
        <v>46027.0</v>
      </c>
      <c r="B16" s="117">
        <v>0.5</v>
      </c>
      <c r="C16" s="117">
        <v>6.0</v>
      </c>
      <c r="D16" s="117">
        <v>12.0</v>
      </c>
      <c r="E16" s="117">
        <v>0.026833631484794274</v>
      </c>
      <c r="F16" s="117">
        <v>15.0</v>
      </c>
      <c r="G16" s="117">
        <v>559.0</v>
      </c>
      <c r="H16" s="117">
        <v>1308.0</v>
      </c>
      <c r="I16" s="117">
        <v>30500.0</v>
      </c>
      <c r="J16" s="117">
        <v>457500.0</v>
      </c>
      <c r="K16" s="117">
        <v>15.0</v>
      </c>
      <c r="L16" s="117">
        <v>20.0</v>
      </c>
      <c r="M16" s="117">
        <v>0.9117200136493989</v>
      </c>
      <c r="N16" s="117">
        <v>40388.0937554</v>
      </c>
      <c r="O16" s="117">
        <v>457500.0</v>
      </c>
      <c r="P16" s="117"/>
      <c r="Q16" s="117"/>
      <c r="R16" s="117"/>
      <c r="S16" s="117"/>
      <c r="T16" s="117"/>
      <c r="U16" s="117">
        <v>0.0</v>
      </c>
      <c r="V16" s="117">
        <v>0.0</v>
      </c>
      <c r="W16" s="117">
        <v>452.0</v>
      </c>
      <c r="X16" s="117">
        <v>212.0</v>
      </c>
      <c r="Y16" s="117">
        <v>45.0</v>
      </c>
      <c r="Z16" s="117">
        <v>57.0</v>
      </c>
      <c r="AA16" s="117">
        <v>2.0</v>
      </c>
      <c r="AB16" s="117"/>
      <c r="AC16" s="117">
        <v>3542.0</v>
      </c>
      <c r="AD16" s="117">
        <v>2528.0</v>
      </c>
      <c r="AE16" s="117">
        <v>514.0</v>
      </c>
      <c r="AF16" s="117">
        <v>401.0</v>
      </c>
      <c r="AG16" s="117">
        <v>13.0</v>
      </c>
    </row>
    <row r="17">
      <c r="A17" s="114">
        <v>46028.0</v>
      </c>
      <c r="B17" s="115">
        <v>0.26666666666666666</v>
      </c>
      <c r="C17" s="115">
        <v>4.0</v>
      </c>
      <c r="D17" s="115">
        <v>15.0</v>
      </c>
      <c r="E17" s="115">
        <v>0.03345070422535211</v>
      </c>
      <c r="F17" s="115">
        <v>19.0</v>
      </c>
      <c r="G17" s="115">
        <v>568.0</v>
      </c>
      <c r="H17" s="115">
        <v>1286.0</v>
      </c>
      <c r="I17" s="115">
        <v>27689.473684210527</v>
      </c>
      <c r="J17" s="115">
        <v>526100.0</v>
      </c>
      <c r="K17" s="115">
        <v>19.0</v>
      </c>
      <c r="L17" s="115">
        <v>24.0</v>
      </c>
      <c r="M17" s="115">
        <v>0.8922498991993918</v>
      </c>
      <c r="N17" s="115">
        <v>56687.3280312</v>
      </c>
      <c r="O17" s="115">
        <v>526100.0</v>
      </c>
      <c r="P17" s="115"/>
      <c r="Q17" s="115"/>
      <c r="R17" s="115"/>
      <c r="S17" s="115"/>
      <c r="T17" s="115"/>
      <c r="U17" s="115">
        <v>0.0</v>
      </c>
      <c r="V17" s="115">
        <v>0.0</v>
      </c>
      <c r="W17" s="115">
        <v>395.0</v>
      </c>
      <c r="X17" s="115">
        <v>211.0</v>
      </c>
      <c r="Y17" s="115">
        <v>65.0</v>
      </c>
      <c r="Z17" s="115">
        <v>41.0</v>
      </c>
      <c r="AA17" s="115">
        <v>5.0</v>
      </c>
      <c r="AB17" s="115"/>
      <c r="AC17" s="115">
        <v>3790.0</v>
      </c>
      <c r="AD17" s="115">
        <v>2809.0</v>
      </c>
      <c r="AE17" s="115">
        <v>503.0</v>
      </c>
      <c r="AF17" s="115">
        <v>306.0</v>
      </c>
      <c r="AG17" s="115">
        <v>14.0</v>
      </c>
    </row>
    <row r="18">
      <c r="A18" s="116">
        <v>46029.0</v>
      </c>
      <c r="B18" s="117">
        <v>0.2727272727272727</v>
      </c>
      <c r="C18" s="117">
        <v>3.0</v>
      </c>
      <c r="D18" s="117">
        <v>11.0</v>
      </c>
      <c r="E18" s="117">
        <v>0.02023608768971332</v>
      </c>
      <c r="F18" s="117">
        <v>12.0</v>
      </c>
      <c r="G18" s="117">
        <v>593.0</v>
      </c>
      <c r="H18" s="117">
        <v>1380.0</v>
      </c>
      <c r="I18" s="117">
        <v>19000.0</v>
      </c>
      <c r="J18" s="117">
        <v>228000.0</v>
      </c>
      <c r="K18" s="117">
        <v>12.0</v>
      </c>
      <c r="L18" s="117">
        <v>15.0</v>
      </c>
      <c r="M18" s="117">
        <v>0.8678121189622807</v>
      </c>
      <c r="N18" s="117">
        <v>30138.836876600002</v>
      </c>
      <c r="O18" s="117">
        <v>228000.0</v>
      </c>
      <c r="P18" s="117"/>
      <c r="Q18" s="117"/>
      <c r="R18" s="117"/>
      <c r="S18" s="117"/>
      <c r="T18" s="117"/>
      <c r="U18" s="117">
        <v>0.0</v>
      </c>
      <c r="V18" s="117">
        <v>0.0</v>
      </c>
      <c r="W18" s="117">
        <v>414.0</v>
      </c>
      <c r="X18" s="117">
        <v>214.0</v>
      </c>
      <c r="Y18" s="117">
        <v>44.0</v>
      </c>
      <c r="Z18" s="117">
        <v>22.0</v>
      </c>
      <c r="AA18" s="117">
        <v>4.0</v>
      </c>
      <c r="AB18" s="117"/>
      <c r="AC18" s="117">
        <v>3790.0</v>
      </c>
      <c r="AD18" s="117">
        <v>2802.0</v>
      </c>
      <c r="AE18" s="117">
        <v>549.0</v>
      </c>
      <c r="AF18" s="117">
        <v>124.0</v>
      </c>
      <c r="AG18" s="117">
        <v>8.0</v>
      </c>
    </row>
    <row r="19">
      <c r="A19" s="114">
        <v>46030.0</v>
      </c>
      <c r="B19" s="115">
        <v>0.53125</v>
      </c>
      <c r="C19" s="115">
        <v>17.0</v>
      </c>
      <c r="D19" s="115">
        <v>32.0</v>
      </c>
      <c r="E19" s="115">
        <v>0.06218487394957983</v>
      </c>
      <c r="F19" s="115">
        <v>37.0</v>
      </c>
      <c r="G19" s="115">
        <v>595.0</v>
      </c>
      <c r="H19" s="115">
        <v>1411.0</v>
      </c>
      <c r="I19" s="115">
        <v>23218.91891891892</v>
      </c>
      <c r="J19" s="115">
        <v>859100.0</v>
      </c>
      <c r="K19" s="115">
        <v>37.0</v>
      </c>
      <c r="L19" s="115">
        <v>46.0</v>
      </c>
      <c r="M19" s="115">
        <v>0.7678773827514841</v>
      </c>
      <c r="N19" s="115">
        <v>199416.5404782</v>
      </c>
      <c r="O19" s="115">
        <v>859100.0</v>
      </c>
      <c r="P19" s="115"/>
      <c r="Q19" s="115"/>
      <c r="R19" s="115"/>
      <c r="S19" s="115"/>
      <c r="T19" s="115"/>
      <c r="U19" s="115">
        <v>0.0</v>
      </c>
      <c r="V19" s="115">
        <v>0.0</v>
      </c>
      <c r="W19" s="115">
        <v>472.0</v>
      </c>
      <c r="X19" s="115">
        <v>238.0</v>
      </c>
      <c r="Y19" s="115">
        <v>46.0</v>
      </c>
      <c r="Z19" s="115">
        <v>43.0</v>
      </c>
      <c r="AA19" s="115">
        <v>5.0</v>
      </c>
      <c r="AB19" s="115"/>
      <c r="AC19" s="115">
        <v>3579.0</v>
      </c>
      <c r="AD19" s="115">
        <v>2607.0</v>
      </c>
      <c r="AE19" s="115">
        <v>549.0</v>
      </c>
      <c r="AF19" s="115">
        <v>330.0</v>
      </c>
      <c r="AG19" s="115">
        <v>32.0</v>
      </c>
    </row>
    <row r="20">
      <c r="A20" s="116">
        <v>46031.0</v>
      </c>
      <c r="B20" s="117">
        <v>0.2857142857142857</v>
      </c>
      <c r="C20" s="117">
        <v>12.0</v>
      </c>
      <c r="D20" s="117">
        <v>42.0</v>
      </c>
      <c r="E20" s="117">
        <v>0.1</v>
      </c>
      <c r="F20" s="117">
        <v>46.0</v>
      </c>
      <c r="G20" s="117">
        <v>460.0</v>
      </c>
      <c r="H20" s="117">
        <v>998.0</v>
      </c>
      <c r="I20" s="117">
        <v>20354.347826086956</v>
      </c>
      <c r="J20" s="117">
        <v>936300.0</v>
      </c>
      <c r="K20" s="117">
        <v>46.0</v>
      </c>
      <c r="L20" s="117">
        <v>51.0</v>
      </c>
      <c r="M20" s="117">
        <v>0.7184941457776354</v>
      </c>
      <c r="N20" s="117">
        <v>263573.9313084</v>
      </c>
      <c r="O20" s="117">
        <v>936300.0</v>
      </c>
      <c r="P20" s="117"/>
      <c r="Q20" s="117"/>
      <c r="R20" s="117"/>
      <c r="S20" s="117"/>
      <c r="T20" s="117"/>
      <c r="U20" s="117">
        <v>0.0</v>
      </c>
      <c r="V20" s="117">
        <v>0.0</v>
      </c>
      <c r="W20" s="117">
        <v>370.0</v>
      </c>
      <c r="X20" s="117">
        <v>190.0</v>
      </c>
      <c r="Y20" s="117">
        <v>44.0</v>
      </c>
      <c r="Z20" s="117">
        <v>71.0</v>
      </c>
      <c r="AA20" s="117">
        <v>4.0</v>
      </c>
      <c r="AB20" s="117"/>
      <c r="AC20" s="117">
        <v>3371.0</v>
      </c>
      <c r="AD20" s="117">
        <v>2187.0</v>
      </c>
      <c r="AE20" s="117">
        <v>416.0</v>
      </c>
      <c r="AF20" s="117">
        <v>550.0</v>
      </c>
      <c r="AG20" s="117">
        <v>42.0</v>
      </c>
    </row>
    <row r="21">
      <c r="A21" s="114">
        <v>46032.0</v>
      </c>
      <c r="B21" s="115">
        <v>0.27450980392156865</v>
      </c>
      <c r="C21" s="115">
        <v>14.0</v>
      </c>
      <c r="D21" s="115">
        <v>51.0</v>
      </c>
      <c r="E21" s="115">
        <v>0.11363636363636363</v>
      </c>
      <c r="F21" s="115">
        <v>55.0</v>
      </c>
      <c r="G21" s="115">
        <v>484.0</v>
      </c>
      <c r="H21" s="115">
        <v>1118.0</v>
      </c>
      <c r="I21" s="115">
        <v>22749.090909090908</v>
      </c>
      <c r="J21" s="115">
        <v>1251200.0</v>
      </c>
      <c r="K21" s="115">
        <v>55.0</v>
      </c>
      <c r="L21" s="115">
        <v>70.0</v>
      </c>
      <c r="M21" s="115">
        <v>0.7211580695231777</v>
      </c>
      <c r="N21" s="115">
        <v>348887.0234126</v>
      </c>
      <c r="O21" s="115">
        <v>1251200.0</v>
      </c>
      <c r="P21" s="115"/>
      <c r="Q21" s="115"/>
      <c r="R21" s="115"/>
      <c r="S21" s="115"/>
      <c r="T21" s="115"/>
      <c r="U21" s="115">
        <v>0.0</v>
      </c>
      <c r="V21" s="115">
        <v>0.0</v>
      </c>
      <c r="W21" s="115">
        <v>398.0</v>
      </c>
      <c r="X21" s="115">
        <v>173.0</v>
      </c>
      <c r="Y21" s="115">
        <v>36.0</v>
      </c>
      <c r="Z21" s="115">
        <v>48.0</v>
      </c>
      <c r="AA21" s="115">
        <v>5.0</v>
      </c>
      <c r="AB21" s="115"/>
      <c r="AC21" s="115">
        <v>3710.0</v>
      </c>
      <c r="AD21" s="115">
        <v>2556.0</v>
      </c>
      <c r="AE21" s="115">
        <v>448.0</v>
      </c>
      <c r="AF21" s="115">
        <v>719.0</v>
      </c>
      <c r="AG21" s="115">
        <v>50.0</v>
      </c>
    </row>
    <row r="22">
      <c r="A22" s="116">
        <v>46033.0</v>
      </c>
      <c r="B22" s="117">
        <v>0.3</v>
      </c>
      <c r="C22" s="117">
        <v>12.0</v>
      </c>
      <c r="D22" s="117">
        <v>40.0</v>
      </c>
      <c r="E22" s="117">
        <v>0.11574074074074074</v>
      </c>
      <c r="F22" s="117">
        <v>50.0</v>
      </c>
      <c r="G22" s="117">
        <v>432.0</v>
      </c>
      <c r="H22" s="117">
        <v>939.0</v>
      </c>
      <c r="I22" s="117">
        <v>20030.0</v>
      </c>
      <c r="J22" s="117">
        <v>1001500.0</v>
      </c>
      <c r="K22" s="117">
        <v>50.0</v>
      </c>
      <c r="L22" s="117">
        <v>57.0</v>
      </c>
      <c r="M22" s="117">
        <v>0.7329074947263106</v>
      </c>
      <c r="N22" s="117">
        <v>267493.1440316</v>
      </c>
      <c r="O22" s="117">
        <v>1001500.0</v>
      </c>
      <c r="P22" s="117"/>
      <c r="Q22" s="117"/>
      <c r="R22" s="117"/>
      <c r="S22" s="117"/>
      <c r="T22" s="117"/>
      <c r="U22" s="117">
        <v>0.0</v>
      </c>
      <c r="V22" s="117">
        <v>0.0</v>
      </c>
      <c r="W22" s="117">
        <v>400.0</v>
      </c>
      <c r="X22" s="117">
        <v>182.0</v>
      </c>
      <c r="Y22" s="117">
        <v>32.0</v>
      </c>
      <c r="Z22" s="117">
        <v>65.0</v>
      </c>
      <c r="AA22" s="117">
        <v>2.0</v>
      </c>
      <c r="AB22" s="117"/>
      <c r="AC22" s="117">
        <v>3346.0</v>
      </c>
      <c r="AD22" s="117">
        <v>2357.0</v>
      </c>
      <c r="AE22" s="117">
        <v>400.0</v>
      </c>
      <c r="AF22" s="117">
        <v>639.0</v>
      </c>
      <c r="AG22" s="117">
        <v>48.0</v>
      </c>
    </row>
    <row r="23">
      <c r="A23" s="114">
        <v>46034.0</v>
      </c>
      <c r="B23" s="115">
        <v>0.32558139534883723</v>
      </c>
      <c r="C23" s="115">
        <v>14.0</v>
      </c>
      <c r="D23" s="115">
        <v>43.0</v>
      </c>
      <c r="E23" s="115">
        <v>0.12873563218390804</v>
      </c>
      <c r="F23" s="115">
        <v>56.0</v>
      </c>
      <c r="G23" s="115">
        <v>435.0</v>
      </c>
      <c r="H23" s="115">
        <v>974.0</v>
      </c>
      <c r="I23" s="115">
        <v>22975.0</v>
      </c>
      <c r="J23" s="115">
        <v>1286600.0</v>
      </c>
      <c r="K23" s="115">
        <v>56.0</v>
      </c>
      <c r="L23" s="115">
        <v>71.0</v>
      </c>
      <c r="M23" s="115">
        <v>0.7282688154472252</v>
      </c>
      <c r="N23" s="115">
        <v>349609.3420456</v>
      </c>
      <c r="O23" s="115">
        <v>1286600.0</v>
      </c>
      <c r="P23" s="115"/>
      <c r="Q23" s="115"/>
      <c r="R23" s="115"/>
      <c r="S23" s="115"/>
      <c r="T23" s="115"/>
      <c r="U23" s="115">
        <v>0.0</v>
      </c>
      <c r="V23" s="115">
        <v>0.0</v>
      </c>
      <c r="W23" s="115">
        <v>483.0</v>
      </c>
      <c r="X23" s="115">
        <v>215.0</v>
      </c>
      <c r="Y23" s="115">
        <v>42.0</v>
      </c>
      <c r="Z23" s="115">
        <v>93.0</v>
      </c>
      <c r="AA23" s="115">
        <v>7.0</v>
      </c>
      <c r="AB23" s="115"/>
      <c r="AC23" s="115">
        <v>3794.0</v>
      </c>
      <c r="AD23" s="115">
        <v>2411.0</v>
      </c>
      <c r="AE23" s="115">
        <v>393.0</v>
      </c>
      <c r="AF23" s="115">
        <v>647.0</v>
      </c>
      <c r="AG23" s="115">
        <v>49.0</v>
      </c>
    </row>
    <row r="24">
      <c r="A24" s="116">
        <v>46035.0</v>
      </c>
      <c r="B24" s="117">
        <v>0.20930232558139536</v>
      </c>
      <c r="C24" s="117">
        <v>9.0</v>
      </c>
      <c r="D24" s="117">
        <v>43.0</v>
      </c>
      <c r="E24" s="117">
        <v>0.14864864864864866</v>
      </c>
      <c r="F24" s="117">
        <v>55.0</v>
      </c>
      <c r="G24" s="117">
        <v>370.0</v>
      </c>
      <c r="H24" s="117">
        <v>861.0</v>
      </c>
      <c r="I24" s="117">
        <v>20607.272727272728</v>
      </c>
      <c r="J24" s="117">
        <v>1133400.0</v>
      </c>
      <c r="K24" s="117">
        <v>55.0</v>
      </c>
      <c r="L24" s="117">
        <v>69.0</v>
      </c>
      <c r="M24" s="117">
        <v>0.7118261700538203</v>
      </c>
      <c r="N24" s="117">
        <v>326616.21886100003</v>
      </c>
      <c r="O24" s="117">
        <v>1133400.0</v>
      </c>
      <c r="P24" s="117"/>
      <c r="Q24" s="117"/>
      <c r="R24" s="117"/>
      <c r="S24" s="117"/>
      <c r="T24" s="117"/>
      <c r="U24" s="117">
        <v>0.0</v>
      </c>
      <c r="V24" s="117">
        <v>0.0</v>
      </c>
      <c r="W24" s="117">
        <v>574.0</v>
      </c>
      <c r="X24" s="117">
        <v>259.0</v>
      </c>
      <c r="Y24" s="117">
        <v>46.0</v>
      </c>
      <c r="Z24" s="117">
        <v>101.0</v>
      </c>
      <c r="AA24" s="117">
        <v>7.0</v>
      </c>
      <c r="AB24" s="117"/>
      <c r="AC24" s="117">
        <v>3719.0</v>
      </c>
      <c r="AD24" s="117">
        <v>2219.0</v>
      </c>
      <c r="AE24" s="117">
        <v>324.0</v>
      </c>
      <c r="AF24" s="117">
        <v>596.0</v>
      </c>
      <c r="AG24" s="117">
        <v>48.0</v>
      </c>
    </row>
    <row r="25">
      <c r="A25" s="114">
        <v>46036.0</v>
      </c>
      <c r="B25" s="115">
        <v>0.3409090909090909</v>
      </c>
      <c r="C25" s="115">
        <v>15.0</v>
      </c>
      <c r="D25" s="115">
        <v>44.0</v>
      </c>
      <c r="E25" s="115">
        <v>0.1347708894878706</v>
      </c>
      <c r="F25" s="115">
        <v>50.0</v>
      </c>
      <c r="G25" s="115">
        <v>371.0</v>
      </c>
      <c r="H25" s="115">
        <v>821.0</v>
      </c>
      <c r="I25" s="115">
        <v>18774.0</v>
      </c>
      <c r="J25" s="115">
        <v>938700.0</v>
      </c>
      <c r="K25" s="115">
        <v>50.0</v>
      </c>
      <c r="L25" s="115">
        <v>62.0</v>
      </c>
      <c r="M25" s="115">
        <v>0.7074558512498136</v>
      </c>
      <c r="N25" s="115">
        <v>274611.1924318</v>
      </c>
      <c r="O25" s="115">
        <v>938700.0</v>
      </c>
      <c r="P25" s="115"/>
      <c r="Q25" s="115"/>
      <c r="R25" s="115"/>
      <c r="S25" s="115"/>
      <c r="T25" s="115"/>
      <c r="U25" s="115">
        <v>0.0</v>
      </c>
      <c r="V25" s="115">
        <v>0.0</v>
      </c>
      <c r="W25" s="115">
        <v>476.0</v>
      </c>
      <c r="X25" s="115">
        <v>240.0</v>
      </c>
      <c r="Y25" s="115">
        <v>40.0</v>
      </c>
      <c r="Z25" s="115">
        <v>83.0</v>
      </c>
      <c r="AA25" s="115">
        <v>7.0</v>
      </c>
      <c r="AB25" s="115"/>
      <c r="AC25" s="115">
        <v>3711.0</v>
      </c>
      <c r="AD25" s="115">
        <v>2197.0</v>
      </c>
      <c r="AE25" s="115">
        <v>331.0</v>
      </c>
      <c r="AF25" s="115">
        <v>597.0</v>
      </c>
      <c r="AG25" s="115">
        <v>43.0</v>
      </c>
    </row>
    <row r="26">
      <c r="A26" s="116">
        <v>46037.0</v>
      </c>
      <c r="B26" s="117">
        <v>0.4878048780487805</v>
      </c>
      <c r="C26" s="117">
        <v>20.0</v>
      </c>
      <c r="D26" s="117">
        <v>41.0</v>
      </c>
      <c r="E26" s="117">
        <v>0.147239263803681</v>
      </c>
      <c r="F26" s="117">
        <v>48.0</v>
      </c>
      <c r="G26" s="117">
        <v>326.0</v>
      </c>
      <c r="H26" s="117">
        <v>773.0</v>
      </c>
      <c r="I26" s="117">
        <v>15439.583333333334</v>
      </c>
      <c r="J26" s="117">
        <v>741100.0</v>
      </c>
      <c r="K26" s="117">
        <v>48.0</v>
      </c>
      <c r="L26" s="117">
        <v>55.0</v>
      </c>
      <c r="M26" s="117">
        <v>0.6777158057406558</v>
      </c>
      <c r="N26" s="117">
        <v>238844.81636559998</v>
      </c>
      <c r="O26" s="117">
        <v>741100.0</v>
      </c>
      <c r="P26" s="117"/>
      <c r="Q26" s="117"/>
      <c r="R26" s="117"/>
      <c r="S26" s="117"/>
      <c r="T26" s="117"/>
      <c r="U26" s="117">
        <v>0.0</v>
      </c>
      <c r="V26" s="117">
        <v>0.0</v>
      </c>
      <c r="W26" s="117">
        <v>779.0</v>
      </c>
      <c r="X26" s="117">
        <v>359.0</v>
      </c>
      <c r="Y26" s="117">
        <v>32.0</v>
      </c>
      <c r="Z26" s="117">
        <v>143.0</v>
      </c>
      <c r="AA26" s="117">
        <v>4.0</v>
      </c>
      <c r="AB26" s="117"/>
      <c r="AC26" s="117">
        <v>3699.0</v>
      </c>
      <c r="AD26" s="117">
        <v>2230.0</v>
      </c>
      <c r="AE26" s="117">
        <v>294.0</v>
      </c>
      <c r="AF26" s="117">
        <v>500.0</v>
      </c>
      <c r="AG26" s="117">
        <v>44.0</v>
      </c>
    </row>
    <row r="27">
      <c r="A27" s="114">
        <v>46038.0</v>
      </c>
      <c r="B27" s="115">
        <v>0.3548387096774194</v>
      </c>
      <c r="C27" s="115">
        <v>11.0</v>
      </c>
      <c r="D27" s="115">
        <v>31.0</v>
      </c>
      <c r="E27" s="115">
        <v>0.13099041533546327</v>
      </c>
      <c r="F27" s="115">
        <v>41.0</v>
      </c>
      <c r="G27" s="115">
        <v>313.0</v>
      </c>
      <c r="H27" s="115">
        <v>693.0</v>
      </c>
      <c r="I27" s="115">
        <v>19282.926829268294</v>
      </c>
      <c r="J27" s="115">
        <v>790600.0</v>
      </c>
      <c r="K27" s="115">
        <v>41.0</v>
      </c>
      <c r="L27" s="115">
        <v>43.0</v>
      </c>
      <c r="M27" s="115">
        <v>0.68378414065191</v>
      </c>
      <c r="N27" s="115">
        <v>250000.2584006</v>
      </c>
      <c r="O27" s="115">
        <v>790600.0</v>
      </c>
      <c r="P27" s="115"/>
      <c r="Q27" s="115"/>
      <c r="R27" s="115"/>
      <c r="S27" s="115"/>
      <c r="T27" s="115"/>
      <c r="U27" s="115">
        <v>0.0</v>
      </c>
      <c r="V27" s="115">
        <v>0.0</v>
      </c>
      <c r="W27" s="115">
        <v>544.0</v>
      </c>
      <c r="X27" s="115">
        <v>298.0</v>
      </c>
      <c r="Y27" s="115">
        <v>36.0</v>
      </c>
      <c r="Z27" s="115">
        <v>115.0</v>
      </c>
      <c r="AA27" s="115">
        <v>5.0</v>
      </c>
      <c r="AB27" s="115"/>
      <c r="AC27" s="115">
        <v>3767.0</v>
      </c>
      <c r="AD27" s="115">
        <v>2408.0</v>
      </c>
      <c r="AE27" s="115">
        <v>277.0</v>
      </c>
      <c r="AF27" s="115">
        <v>596.0</v>
      </c>
      <c r="AG27" s="115">
        <v>36.0</v>
      </c>
    </row>
    <row r="28">
      <c r="A28" s="116">
        <v>46039.0</v>
      </c>
      <c r="B28" s="117">
        <v>0.328125</v>
      </c>
      <c r="C28" s="117">
        <v>21.0</v>
      </c>
      <c r="D28" s="117">
        <v>64.0</v>
      </c>
      <c r="E28" s="117">
        <v>0.20116618075801748</v>
      </c>
      <c r="F28" s="117">
        <v>69.0</v>
      </c>
      <c r="G28" s="117">
        <v>343.0</v>
      </c>
      <c r="H28" s="117">
        <v>800.0</v>
      </c>
      <c r="I28" s="117">
        <v>21933.333333333332</v>
      </c>
      <c r="J28" s="117">
        <v>1513400.0</v>
      </c>
      <c r="K28" s="117">
        <v>69.0</v>
      </c>
      <c r="L28" s="117">
        <v>85.0</v>
      </c>
      <c r="M28" s="117">
        <v>0.7231678053441257</v>
      </c>
      <c r="N28" s="117">
        <v>418957.8433922</v>
      </c>
      <c r="O28" s="117">
        <v>1513400.0</v>
      </c>
      <c r="P28" s="117"/>
      <c r="Q28" s="117"/>
      <c r="R28" s="117"/>
      <c r="S28" s="117"/>
      <c r="T28" s="117"/>
      <c r="U28" s="117">
        <v>0.0</v>
      </c>
      <c r="V28" s="117">
        <v>0.0</v>
      </c>
      <c r="W28" s="117">
        <v>692.0</v>
      </c>
      <c r="X28" s="117">
        <v>296.0</v>
      </c>
      <c r="Y28" s="117">
        <v>34.0</v>
      </c>
      <c r="Z28" s="117">
        <v>119.0</v>
      </c>
      <c r="AA28" s="117">
        <v>8.0</v>
      </c>
      <c r="AB28" s="117"/>
      <c r="AC28" s="117">
        <v>5589.0</v>
      </c>
      <c r="AD28" s="117">
        <v>4572.0</v>
      </c>
      <c r="AE28" s="117">
        <v>309.0</v>
      </c>
      <c r="AF28" s="117">
        <v>846.0</v>
      </c>
      <c r="AG28" s="117">
        <v>61.0</v>
      </c>
    </row>
    <row r="29">
      <c r="A29" s="114">
        <v>46040.0</v>
      </c>
      <c r="B29" s="115">
        <v>0.4444444444444444</v>
      </c>
      <c r="C29" s="115">
        <v>24.0</v>
      </c>
      <c r="D29" s="115">
        <v>54.0</v>
      </c>
      <c r="E29" s="115">
        <v>0.18292682926829268</v>
      </c>
      <c r="F29" s="115">
        <v>60.0</v>
      </c>
      <c r="G29" s="115">
        <v>328.0</v>
      </c>
      <c r="H29" s="115">
        <v>790.0</v>
      </c>
      <c r="I29" s="115">
        <v>19063.333333333332</v>
      </c>
      <c r="J29" s="115">
        <v>1143800.0</v>
      </c>
      <c r="K29" s="115">
        <v>60.0</v>
      </c>
      <c r="L29" s="115">
        <v>68.0</v>
      </c>
      <c r="M29" s="115">
        <v>0.7375748981432069</v>
      </c>
      <c r="N29" s="115">
        <v>300161.8315038</v>
      </c>
      <c r="O29" s="115">
        <v>1143800.0</v>
      </c>
      <c r="P29" s="115"/>
      <c r="Q29" s="115"/>
      <c r="R29" s="115"/>
      <c r="S29" s="115"/>
      <c r="T29" s="115"/>
      <c r="U29" s="115">
        <v>0.0</v>
      </c>
      <c r="V29" s="115">
        <v>0.0</v>
      </c>
      <c r="W29" s="115">
        <v>785.0</v>
      </c>
      <c r="X29" s="115">
        <v>344.0</v>
      </c>
      <c r="Y29" s="115">
        <v>36.0</v>
      </c>
      <c r="Z29" s="115">
        <v>145.0</v>
      </c>
      <c r="AA29" s="115">
        <v>12.0</v>
      </c>
      <c r="AB29" s="115"/>
      <c r="AC29" s="115">
        <v>3729.0</v>
      </c>
      <c r="AD29" s="115">
        <v>2619.0</v>
      </c>
      <c r="AE29" s="115">
        <v>292.0</v>
      </c>
      <c r="AF29" s="115">
        <v>709.0</v>
      </c>
      <c r="AG29" s="115">
        <v>48.0</v>
      </c>
    </row>
    <row r="30">
      <c r="A30" s="116">
        <v>46041.0</v>
      </c>
      <c r="B30" s="117">
        <v>0.26785714285714285</v>
      </c>
      <c r="C30" s="117">
        <v>15.0</v>
      </c>
      <c r="D30" s="117">
        <v>56.0</v>
      </c>
      <c r="E30" s="117">
        <v>0.19384615384615383</v>
      </c>
      <c r="F30" s="117">
        <v>63.0</v>
      </c>
      <c r="G30" s="117">
        <v>325.0</v>
      </c>
      <c r="H30" s="117">
        <v>715.0</v>
      </c>
      <c r="I30" s="117">
        <v>18739.68253968254</v>
      </c>
      <c r="J30" s="117">
        <v>1180600.0</v>
      </c>
      <c r="K30" s="117">
        <v>63.0</v>
      </c>
      <c r="L30" s="117">
        <v>70.0</v>
      </c>
      <c r="M30" s="117">
        <v>0.6986736049644249</v>
      </c>
      <c r="N30" s="117">
        <v>355745.941979</v>
      </c>
      <c r="O30" s="117">
        <v>1180600.0</v>
      </c>
      <c r="P30" s="117"/>
      <c r="Q30" s="117"/>
      <c r="R30" s="117"/>
      <c r="S30" s="117"/>
      <c r="T30" s="117"/>
      <c r="U30" s="117">
        <v>0.0</v>
      </c>
      <c r="V30" s="117">
        <v>0.0</v>
      </c>
      <c r="W30" s="117">
        <v>478.0</v>
      </c>
      <c r="X30" s="117">
        <v>261.0</v>
      </c>
      <c r="Y30" s="117">
        <v>35.0</v>
      </c>
      <c r="Z30" s="117">
        <v>102.0</v>
      </c>
      <c r="AA30" s="117">
        <v>9.0</v>
      </c>
      <c r="AB30" s="117"/>
      <c r="AC30" s="117">
        <v>3311.0</v>
      </c>
      <c r="AD30" s="117">
        <v>2319.0</v>
      </c>
      <c r="AE30" s="117">
        <v>290.0</v>
      </c>
      <c r="AF30" s="117">
        <v>639.0</v>
      </c>
      <c r="AG30" s="117">
        <v>54.0</v>
      </c>
    </row>
    <row r="31">
      <c r="A31" s="114">
        <v>46042.0</v>
      </c>
      <c r="B31" s="115">
        <v>0.3188405797101449</v>
      </c>
      <c r="C31" s="115">
        <v>22.0</v>
      </c>
      <c r="D31" s="115">
        <v>69.0</v>
      </c>
      <c r="E31" s="115">
        <v>0.13227513227513227</v>
      </c>
      <c r="F31" s="115">
        <v>75.0</v>
      </c>
      <c r="G31" s="115">
        <v>567.0</v>
      </c>
      <c r="H31" s="115">
        <v>1396.0</v>
      </c>
      <c r="I31" s="115">
        <v>14686.666666666666</v>
      </c>
      <c r="J31" s="115">
        <v>1101500.0</v>
      </c>
      <c r="K31" s="115">
        <v>75.0</v>
      </c>
      <c r="L31" s="115">
        <v>89.0</v>
      </c>
      <c r="M31" s="115">
        <v>0.7441381919517023</v>
      </c>
      <c r="N31" s="115">
        <v>281831.7815652</v>
      </c>
      <c r="O31" s="115">
        <v>1101500.0</v>
      </c>
      <c r="P31" s="115"/>
      <c r="Q31" s="115"/>
      <c r="R31" s="115"/>
      <c r="S31" s="115"/>
      <c r="T31" s="115"/>
      <c r="U31" s="115">
        <v>0.0</v>
      </c>
      <c r="V31" s="115">
        <v>0.0</v>
      </c>
      <c r="W31" s="115">
        <v>536.0</v>
      </c>
      <c r="X31" s="115">
        <v>279.0</v>
      </c>
      <c r="Y31" s="115">
        <v>32.0</v>
      </c>
      <c r="Z31" s="115">
        <v>106.0</v>
      </c>
      <c r="AA31" s="115">
        <v>6.0</v>
      </c>
      <c r="AB31" s="115"/>
      <c r="AC31" s="115">
        <v>11210.0</v>
      </c>
      <c r="AD31" s="115">
        <v>4911.0</v>
      </c>
      <c r="AE31" s="115">
        <v>535.0</v>
      </c>
      <c r="AF31" s="115">
        <v>1245.0</v>
      </c>
      <c r="AG31" s="115">
        <v>69.0</v>
      </c>
    </row>
    <row r="32">
      <c r="A32" s="116">
        <v>46043.0</v>
      </c>
      <c r="B32" s="117">
        <v>0.3023255813953488</v>
      </c>
      <c r="C32" s="117">
        <v>26.0</v>
      </c>
      <c r="D32" s="117">
        <v>86.0</v>
      </c>
      <c r="E32" s="117">
        <v>0.17271157167530224</v>
      </c>
      <c r="F32" s="117">
        <v>100.0</v>
      </c>
      <c r="G32" s="117">
        <v>579.0</v>
      </c>
      <c r="H32" s="117">
        <v>1404.0</v>
      </c>
      <c r="I32" s="117">
        <v>16969.0</v>
      </c>
      <c r="J32" s="117">
        <v>1696900.0</v>
      </c>
      <c r="K32" s="117">
        <v>100.0</v>
      </c>
      <c r="L32" s="117">
        <v>116.0</v>
      </c>
      <c r="M32" s="117">
        <v>0.719364744976015</v>
      </c>
      <c r="N32" s="117">
        <v>476209.9642502</v>
      </c>
      <c r="O32" s="117">
        <v>1696900.0</v>
      </c>
      <c r="P32" s="117"/>
      <c r="Q32" s="117"/>
      <c r="R32" s="117"/>
      <c r="S32" s="117"/>
      <c r="T32" s="117"/>
      <c r="U32" s="117">
        <v>0.0</v>
      </c>
      <c r="V32" s="117">
        <v>0.0</v>
      </c>
      <c r="W32" s="117">
        <v>614.0</v>
      </c>
      <c r="X32" s="117">
        <v>271.0</v>
      </c>
      <c r="Y32" s="117">
        <v>34.0</v>
      </c>
      <c r="Z32" s="117">
        <v>108.0</v>
      </c>
      <c r="AA32" s="117">
        <v>9.0</v>
      </c>
      <c r="AB32" s="117"/>
      <c r="AC32" s="117">
        <v>10298.0</v>
      </c>
      <c r="AD32" s="117">
        <v>4437.0</v>
      </c>
      <c r="AE32" s="117">
        <v>545.0</v>
      </c>
      <c r="AF32" s="117">
        <v>1261.0</v>
      </c>
      <c r="AG32" s="117">
        <v>91.0</v>
      </c>
    </row>
    <row r="33">
      <c r="A33" s="114">
        <v>46044.0</v>
      </c>
      <c r="B33" s="115">
        <v>0.38095238095238093</v>
      </c>
      <c r="C33" s="115">
        <v>24.0</v>
      </c>
      <c r="D33" s="115">
        <v>63.0</v>
      </c>
      <c r="E33" s="115">
        <v>0.1595744680851064</v>
      </c>
      <c r="F33" s="115">
        <v>75.0</v>
      </c>
      <c r="G33" s="115">
        <v>470.0</v>
      </c>
      <c r="H33" s="115">
        <v>1088.0</v>
      </c>
      <c r="I33" s="115">
        <v>14108.0</v>
      </c>
      <c r="J33" s="115">
        <v>1058100.0</v>
      </c>
      <c r="K33" s="115">
        <v>75.0</v>
      </c>
      <c r="L33" s="115">
        <v>80.0</v>
      </c>
      <c r="M33" s="115">
        <v>0.7295987166575939</v>
      </c>
      <c r="N33" s="115">
        <v>286111.59790459997</v>
      </c>
      <c r="O33" s="115">
        <v>1058100.0</v>
      </c>
      <c r="P33" s="115"/>
      <c r="Q33" s="115"/>
      <c r="R33" s="115"/>
      <c r="S33" s="115"/>
      <c r="T33" s="115"/>
      <c r="U33" s="115">
        <v>0.0</v>
      </c>
      <c r="V33" s="115">
        <v>0.0</v>
      </c>
      <c r="W33" s="115">
        <v>619.0</v>
      </c>
      <c r="X33" s="115">
        <v>295.0</v>
      </c>
      <c r="Y33" s="115">
        <v>50.0</v>
      </c>
      <c r="Z33" s="115">
        <v>167.0</v>
      </c>
      <c r="AA33" s="115">
        <v>12.0</v>
      </c>
      <c r="AB33" s="115"/>
      <c r="AC33" s="115">
        <v>6096.0</v>
      </c>
      <c r="AD33" s="115">
        <v>2669.0</v>
      </c>
      <c r="AE33" s="115">
        <v>420.0</v>
      </c>
      <c r="AF33" s="115">
        <v>959.0</v>
      </c>
      <c r="AG33" s="115">
        <v>63.0</v>
      </c>
    </row>
    <row r="34">
      <c r="A34" s="116">
        <v>46045.0</v>
      </c>
      <c r="B34" s="117">
        <v>0.3</v>
      </c>
      <c r="C34" s="117">
        <v>9.0</v>
      </c>
      <c r="D34" s="117">
        <v>30.0</v>
      </c>
      <c r="E34" s="117">
        <v>0.13395638629283488</v>
      </c>
      <c r="F34" s="117">
        <v>43.0</v>
      </c>
      <c r="G34" s="117">
        <v>321.0</v>
      </c>
      <c r="H34" s="117">
        <v>750.0</v>
      </c>
      <c r="I34" s="117">
        <v>20090.697674418603</v>
      </c>
      <c r="J34" s="117">
        <v>863900.0</v>
      </c>
      <c r="K34" s="117">
        <v>43.0</v>
      </c>
      <c r="L34" s="117">
        <v>53.0</v>
      </c>
      <c r="M34" s="117">
        <v>0.7272207170001157</v>
      </c>
      <c r="N34" s="117">
        <v>235654.02258360002</v>
      </c>
      <c r="O34" s="117">
        <v>863900.0</v>
      </c>
      <c r="P34" s="117"/>
      <c r="Q34" s="117"/>
      <c r="R34" s="117"/>
      <c r="S34" s="117"/>
      <c r="T34" s="117"/>
      <c r="U34" s="117">
        <v>0.0</v>
      </c>
      <c r="V34" s="117">
        <v>0.0</v>
      </c>
      <c r="W34" s="117">
        <v>499.0</v>
      </c>
      <c r="X34" s="117">
        <v>161.0</v>
      </c>
      <c r="Y34" s="117">
        <v>28.0</v>
      </c>
      <c r="Z34" s="117">
        <v>125.0</v>
      </c>
      <c r="AA34" s="117">
        <v>2.0</v>
      </c>
      <c r="AB34" s="117"/>
      <c r="AC34" s="117">
        <v>3185.0</v>
      </c>
      <c r="AD34" s="117">
        <v>1662.0</v>
      </c>
      <c r="AE34" s="117">
        <v>293.0</v>
      </c>
      <c r="AF34" s="117">
        <v>688.0</v>
      </c>
      <c r="AG34" s="117">
        <v>41.0</v>
      </c>
    </row>
    <row r="35">
      <c r="A35" s="114">
        <v>46046.0</v>
      </c>
      <c r="B35" s="115">
        <v>0.17391304347826086</v>
      </c>
      <c r="C35" s="115">
        <v>4.0</v>
      </c>
      <c r="D35" s="115">
        <v>23.0</v>
      </c>
      <c r="E35" s="115">
        <v>0.13654618473895583</v>
      </c>
      <c r="F35" s="115">
        <v>34.0</v>
      </c>
      <c r="G35" s="115">
        <v>249.0</v>
      </c>
      <c r="H35" s="115">
        <v>577.0</v>
      </c>
      <c r="I35" s="115">
        <v>22070.58823529412</v>
      </c>
      <c r="J35" s="115">
        <v>750400.0</v>
      </c>
      <c r="K35" s="115">
        <v>34.0</v>
      </c>
      <c r="L35" s="115">
        <v>40.0</v>
      </c>
      <c r="M35" s="115">
        <v>0.746566671722015</v>
      </c>
      <c r="N35" s="115">
        <v>190176.36953979998</v>
      </c>
      <c r="O35" s="115">
        <v>750400.0</v>
      </c>
      <c r="P35" s="115"/>
      <c r="Q35" s="115"/>
      <c r="R35" s="115"/>
      <c r="S35" s="115"/>
      <c r="T35" s="115"/>
      <c r="U35" s="115">
        <v>0.0</v>
      </c>
      <c r="V35" s="115">
        <v>0.0</v>
      </c>
      <c r="W35" s="115">
        <v>483.0</v>
      </c>
      <c r="X35" s="115">
        <v>181.0</v>
      </c>
      <c r="Y35" s="115">
        <v>23.0</v>
      </c>
      <c r="Z35" s="115">
        <v>113.0</v>
      </c>
      <c r="AA35" s="115">
        <v>5.0</v>
      </c>
      <c r="AB35" s="115"/>
      <c r="AC35" s="115">
        <v>2818.0</v>
      </c>
      <c r="AD35" s="115">
        <v>1576.0</v>
      </c>
      <c r="AE35" s="115">
        <v>226.0</v>
      </c>
      <c r="AF35" s="115">
        <v>583.0</v>
      </c>
      <c r="AG35" s="115">
        <v>29.0</v>
      </c>
    </row>
    <row r="36">
      <c r="A36" s="116">
        <v>46047.0</v>
      </c>
      <c r="B36" s="117">
        <v>0.20454545454545456</v>
      </c>
      <c r="C36" s="117">
        <v>9.0</v>
      </c>
      <c r="D36" s="117">
        <v>44.0</v>
      </c>
      <c r="E36" s="117">
        <v>0.18971061093247588</v>
      </c>
      <c r="F36" s="117">
        <v>59.0</v>
      </c>
      <c r="G36" s="117">
        <v>311.0</v>
      </c>
      <c r="H36" s="117">
        <v>703.0</v>
      </c>
      <c r="I36" s="117">
        <v>21815.254237288136</v>
      </c>
      <c r="J36" s="117">
        <v>1287100.0</v>
      </c>
      <c r="K36" s="117">
        <v>59.0</v>
      </c>
      <c r="L36" s="117">
        <v>70.0</v>
      </c>
      <c r="M36" s="117">
        <v>0.7186924832776008</v>
      </c>
      <c r="N36" s="117">
        <v>362070.9047734</v>
      </c>
      <c r="O36" s="117">
        <v>1287100.0</v>
      </c>
      <c r="P36" s="117"/>
      <c r="Q36" s="117"/>
      <c r="R36" s="117"/>
      <c r="S36" s="117"/>
      <c r="T36" s="117"/>
      <c r="U36" s="117">
        <v>0.0</v>
      </c>
      <c r="V36" s="117">
        <v>0.0</v>
      </c>
      <c r="W36" s="117">
        <v>523.0</v>
      </c>
      <c r="X36" s="117">
        <v>194.0</v>
      </c>
      <c r="Y36" s="117">
        <v>38.0</v>
      </c>
      <c r="Z36" s="117">
        <v>134.0</v>
      </c>
      <c r="AA36" s="117">
        <v>9.0</v>
      </c>
      <c r="AB36" s="117"/>
      <c r="AC36" s="117">
        <v>2948.0</v>
      </c>
      <c r="AD36" s="117">
        <v>1710.0</v>
      </c>
      <c r="AE36" s="117">
        <v>273.0</v>
      </c>
      <c r="AF36" s="117">
        <v>689.0</v>
      </c>
      <c r="AG36" s="117">
        <v>50.0</v>
      </c>
    </row>
    <row r="37">
      <c r="A37" s="114">
        <v>46048.0</v>
      </c>
      <c r="B37" s="115">
        <v>0.2</v>
      </c>
      <c r="C37" s="115">
        <v>7.0</v>
      </c>
      <c r="D37" s="115">
        <v>35.0</v>
      </c>
      <c r="E37" s="115">
        <v>0.18243243243243243</v>
      </c>
      <c r="F37" s="115">
        <v>54.0</v>
      </c>
      <c r="G37" s="115">
        <v>296.0</v>
      </c>
      <c r="H37" s="115">
        <v>704.0</v>
      </c>
      <c r="I37" s="115">
        <v>14364.814814814816</v>
      </c>
      <c r="J37" s="115">
        <v>775700.0</v>
      </c>
      <c r="K37" s="115">
        <v>54.0</v>
      </c>
      <c r="L37" s="115">
        <v>60.0</v>
      </c>
      <c r="M37" s="115">
        <v>0.6984177771189892</v>
      </c>
      <c r="N37" s="115">
        <v>233937.3302888</v>
      </c>
      <c r="O37" s="115">
        <v>775700.0</v>
      </c>
      <c r="P37" s="115"/>
      <c r="Q37" s="115"/>
      <c r="R37" s="115"/>
      <c r="S37" s="115"/>
      <c r="T37" s="115"/>
      <c r="U37" s="115">
        <v>0.0</v>
      </c>
      <c r="V37" s="115">
        <v>0.0</v>
      </c>
      <c r="W37" s="115">
        <v>732.0</v>
      </c>
      <c r="X37" s="115">
        <v>238.0</v>
      </c>
      <c r="Y37" s="115">
        <v>39.0</v>
      </c>
      <c r="Z37" s="115">
        <v>158.0</v>
      </c>
      <c r="AA37" s="115">
        <v>5.0</v>
      </c>
      <c r="AB37" s="115"/>
      <c r="AC37" s="115">
        <v>3023.0</v>
      </c>
      <c r="AD37" s="115">
        <v>1740.0</v>
      </c>
      <c r="AE37" s="115">
        <v>257.0</v>
      </c>
      <c r="AF37" s="115">
        <v>594.0</v>
      </c>
      <c r="AG37" s="115">
        <v>49.0</v>
      </c>
    </row>
    <row r="38">
      <c r="A38" s="116">
        <v>46049.0</v>
      </c>
      <c r="B38" s="117">
        <v>0.20588235294117646</v>
      </c>
      <c r="C38" s="117">
        <v>7.0</v>
      </c>
      <c r="D38" s="117">
        <v>34.0</v>
      </c>
      <c r="E38" s="117">
        <v>0.08686868686868687</v>
      </c>
      <c r="F38" s="117">
        <v>43.0</v>
      </c>
      <c r="G38" s="117">
        <v>495.0</v>
      </c>
      <c r="H38" s="117">
        <v>996.0</v>
      </c>
      <c r="I38" s="117">
        <v>19553.488372093023</v>
      </c>
      <c r="J38" s="117">
        <v>840800.0</v>
      </c>
      <c r="K38" s="117">
        <v>43.0</v>
      </c>
      <c r="L38" s="117">
        <v>51.0</v>
      </c>
      <c r="M38" s="117">
        <v>0.7256357180903901</v>
      </c>
      <c r="N38" s="117">
        <v>230685.4882296</v>
      </c>
      <c r="O38" s="117">
        <v>840800.0</v>
      </c>
      <c r="P38" s="117"/>
      <c r="Q38" s="117"/>
      <c r="R38" s="117"/>
      <c r="S38" s="117"/>
      <c r="T38" s="117"/>
      <c r="U38" s="117">
        <v>0.0</v>
      </c>
      <c r="V38" s="117">
        <v>0.0</v>
      </c>
      <c r="W38" s="117">
        <v>567.0</v>
      </c>
      <c r="X38" s="117">
        <v>212.0</v>
      </c>
      <c r="Y38" s="117">
        <v>34.0</v>
      </c>
      <c r="Z38" s="117">
        <v>116.0</v>
      </c>
      <c r="AA38" s="117">
        <v>3.0</v>
      </c>
      <c r="AB38" s="117"/>
      <c r="AC38" s="117">
        <v>3815.0</v>
      </c>
      <c r="AD38" s="117">
        <v>2332.0</v>
      </c>
      <c r="AE38" s="117">
        <v>461.0</v>
      </c>
      <c r="AF38" s="117">
        <v>746.0</v>
      </c>
      <c r="AG38" s="117">
        <v>40.0</v>
      </c>
    </row>
    <row r="39">
      <c r="A39" s="114">
        <v>46050.0</v>
      </c>
      <c r="B39" s="115">
        <v>0.2903225806451613</v>
      </c>
      <c r="C39" s="115">
        <v>9.0</v>
      </c>
      <c r="D39" s="115">
        <v>31.0</v>
      </c>
      <c r="E39" s="115">
        <v>0.10396039603960396</v>
      </c>
      <c r="F39" s="115">
        <v>42.0</v>
      </c>
      <c r="G39" s="115">
        <v>404.0</v>
      </c>
      <c r="H39" s="115">
        <v>859.0</v>
      </c>
      <c r="I39" s="115">
        <v>21347.619047619046</v>
      </c>
      <c r="J39" s="115">
        <v>896600.0</v>
      </c>
      <c r="K39" s="115">
        <v>42.0</v>
      </c>
      <c r="L39" s="115">
        <v>52.0</v>
      </c>
      <c r="M39" s="115">
        <v>0.6848669899230426</v>
      </c>
      <c r="N39" s="115">
        <v>282548.256835</v>
      </c>
      <c r="O39" s="115">
        <v>896600.0</v>
      </c>
      <c r="P39" s="115"/>
      <c r="Q39" s="115"/>
      <c r="R39" s="115"/>
      <c r="S39" s="115"/>
      <c r="T39" s="115"/>
      <c r="U39" s="115">
        <v>0.0</v>
      </c>
      <c r="V39" s="115">
        <v>0.0</v>
      </c>
      <c r="W39" s="115">
        <v>766.0</v>
      </c>
      <c r="X39" s="115">
        <v>294.0</v>
      </c>
      <c r="Y39" s="115">
        <v>64.0</v>
      </c>
      <c r="Z39" s="115">
        <v>188.0</v>
      </c>
      <c r="AA39" s="115">
        <v>9.0</v>
      </c>
      <c r="AB39" s="115"/>
      <c r="AC39" s="115">
        <v>3072.0</v>
      </c>
      <c r="AD39" s="115">
        <v>1679.0</v>
      </c>
      <c r="AE39" s="115">
        <v>340.0</v>
      </c>
      <c r="AF39" s="115">
        <v>578.0</v>
      </c>
      <c r="AG39" s="115">
        <v>33.0</v>
      </c>
    </row>
    <row r="40">
      <c r="A40" s="116">
        <v>46051.0</v>
      </c>
      <c r="B40" s="117">
        <v>0.33962264150943394</v>
      </c>
      <c r="C40" s="117">
        <v>18.0</v>
      </c>
      <c r="D40" s="117">
        <v>53.0</v>
      </c>
      <c r="E40" s="117">
        <v>0.17380352644836272</v>
      </c>
      <c r="F40" s="117">
        <v>69.0</v>
      </c>
      <c r="G40" s="117">
        <v>397.0</v>
      </c>
      <c r="H40" s="117">
        <v>937.0</v>
      </c>
      <c r="I40" s="117">
        <v>16789.855072463768</v>
      </c>
      <c r="J40" s="117">
        <v>1158500.0</v>
      </c>
      <c r="K40" s="117">
        <v>69.0</v>
      </c>
      <c r="L40" s="117">
        <v>89.0</v>
      </c>
      <c r="M40" s="117">
        <v>0.7369042833873112</v>
      </c>
      <c r="N40" s="117">
        <v>304796.3876958</v>
      </c>
      <c r="O40" s="117">
        <v>1158500.0</v>
      </c>
      <c r="P40" s="117"/>
      <c r="Q40" s="117"/>
      <c r="R40" s="117"/>
      <c r="S40" s="117"/>
      <c r="T40" s="117"/>
      <c r="U40" s="117">
        <v>0.0</v>
      </c>
      <c r="V40" s="117">
        <v>0.0</v>
      </c>
      <c r="W40" s="117">
        <v>903.0</v>
      </c>
      <c r="X40" s="117">
        <v>293.0</v>
      </c>
      <c r="Y40" s="117">
        <v>92.0</v>
      </c>
      <c r="Z40" s="117">
        <v>191.0</v>
      </c>
      <c r="AA40" s="117">
        <v>23.0</v>
      </c>
      <c r="AB40" s="117"/>
      <c r="AC40" s="117">
        <v>2866.0</v>
      </c>
      <c r="AD40" s="117">
        <v>1450.0</v>
      </c>
      <c r="AE40" s="117">
        <v>305.0</v>
      </c>
      <c r="AF40" s="117">
        <v>602.0</v>
      </c>
      <c r="AG40" s="117">
        <v>46.0</v>
      </c>
    </row>
    <row r="41">
      <c r="A41" s="114">
        <v>46052.0</v>
      </c>
      <c r="B41" s="115">
        <v>0.11363636363636363</v>
      </c>
      <c r="C41" s="115">
        <v>5.0</v>
      </c>
      <c r="D41" s="115">
        <v>44.0</v>
      </c>
      <c r="E41" s="115">
        <v>0.15384615384615385</v>
      </c>
      <c r="F41" s="115">
        <v>52.0</v>
      </c>
      <c r="G41" s="115">
        <v>338.0</v>
      </c>
      <c r="H41" s="115">
        <v>795.0</v>
      </c>
      <c r="I41" s="115">
        <v>14607.692307692309</v>
      </c>
      <c r="J41" s="115">
        <v>759600.0</v>
      </c>
      <c r="K41" s="115">
        <v>52.0</v>
      </c>
      <c r="L41" s="115">
        <v>71.0</v>
      </c>
      <c r="M41" s="115">
        <v>0.7549316274310163</v>
      </c>
      <c r="N41" s="115">
        <v>186153.9358034</v>
      </c>
      <c r="O41" s="115">
        <v>759600.0</v>
      </c>
      <c r="P41" s="115"/>
      <c r="Q41" s="115"/>
      <c r="R41" s="115"/>
      <c r="S41" s="115"/>
      <c r="T41" s="115"/>
      <c r="U41" s="115">
        <v>0.0</v>
      </c>
      <c r="V41" s="115">
        <v>0.0</v>
      </c>
      <c r="W41" s="115">
        <v>887.0</v>
      </c>
      <c r="X41" s="115">
        <v>242.0</v>
      </c>
      <c r="Y41" s="115">
        <v>67.0</v>
      </c>
      <c r="Z41" s="115">
        <v>191.0</v>
      </c>
      <c r="AA41" s="115">
        <v>18.0</v>
      </c>
      <c r="AB41" s="115"/>
      <c r="AC41" s="115">
        <v>2844.0</v>
      </c>
      <c r="AD41" s="115">
        <v>1347.0</v>
      </c>
      <c r="AE41" s="115">
        <v>271.0</v>
      </c>
      <c r="AF41" s="115">
        <v>560.0</v>
      </c>
      <c r="AG41" s="115">
        <v>34.0</v>
      </c>
    </row>
    <row r="42">
      <c r="A42" s="116">
        <v>46053.0</v>
      </c>
      <c r="B42" s="117">
        <v>0.1836734693877551</v>
      </c>
      <c r="C42" s="117">
        <v>9.0</v>
      </c>
      <c r="D42" s="117">
        <v>49.0</v>
      </c>
      <c r="E42" s="117">
        <v>0.1588235294117647</v>
      </c>
      <c r="F42" s="117">
        <v>54.0</v>
      </c>
      <c r="G42" s="117">
        <v>340.0</v>
      </c>
      <c r="H42" s="117">
        <v>810.0</v>
      </c>
      <c r="I42" s="117">
        <v>16685.185185185186</v>
      </c>
      <c r="J42" s="117">
        <v>901000.0</v>
      </c>
      <c r="K42" s="117">
        <v>54.0</v>
      </c>
      <c r="L42" s="117">
        <v>76.0</v>
      </c>
      <c r="M42" s="117">
        <v>0.693791123154939</v>
      </c>
      <c r="N42" s="117">
        <v>275894.1980374</v>
      </c>
      <c r="O42" s="117">
        <v>901000.0</v>
      </c>
      <c r="P42" s="117"/>
      <c r="Q42" s="117"/>
      <c r="R42" s="117"/>
      <c r="S42" s="117"/>
      <c r="T42" s="117"/>
      <c r="U42" s="117">
        <v>0.0</v>
      </c>
      <c r="V42" s="117">
        <v>0.0</v>
      </c>
      <c r="W42" s="117">
        <v>712.0</v>
      </c>
      <c r="X42" s="117">
        <v>206.0</v>
      </c>
      <c r="Y42" s="117">
        <v>62.0</v>
      </c>
      <c r="Z42" s="117">
        <v>132.0</v>
      </c>
      <c r="AA42" s="117">
        <v>18.0</v>
      </c>
      <c r="AB42" s="117"/>
      <c r="AC42" s="117">
        <v>2597.0</v>
      </c>
      <c r="AD42" s="117">
        <v>1353.0</v>
      </c>
      <c r="AE42" s="117">
        <v>278.0</v>
      </c>
      <c r="AF42" s="117">
        <v>564.0</v>
      </c>
      <c r="AG42" s="117">
        <v>36.0</v>
      </c>
    </row>
    <row r="43">
      <c r="A43" s="114">
        <v>46054.0</v>
      </c>
      <c r="B43" s="115">
        <v>0.4444444444444444</v>
      </c>
      <c r="C43" s="115">
        <v>24.0</v>
      </c>
      <c r="D43" s="115">
        <v>54.0</v>
      </c>
      <c r="E43" s="115">
        <v>0.18926553672316385</v>
      </c>
      <c r="F43" s="115">
        <v>67.0</v>
      </c>
      <c r="G43" s="115">
        <v>354.0</v>
      </c>
      <c r="H43" s="115">
        <v>879.0</v>
      </c>
      <c r="I43" s="115">
        <v>20880.597014925374</v>
      </c>
      <c r="J43" s="115">
        <v>1399000.0</v>
      </c>
      <c r="K43" s="115">
        <v>67.0</v>
      </c>
      <c r="L43" s="115">
        <v>92.0</v>
      </c>
      <c r="M43" s="115">
        <v>0.72231469932995</v>
      </c>
      <c r="N43" s="115">
        <v>388481.7356374</v>
      </c>
      <c r="O43" s="115">
        <v>1399000.0</v>
      </c>
      <c r="P43" s="115"/>
      <c r="Q43" s="115"/>
      <c r="R43" s="115"/>
      <c r="S43" s="115"/>
      <c r="T43" s="115"/>
      <c r="U43" s="115">
        <v>0.0</v>
      </c>
      <c r="V43" s="115">
        <v>0.0</v>
      </c>
      <c r="W43" s="115">
        <v>838.0</v>
      </c>
      <c r="X43" s="115">
        <v>225.0</v>
      </c>
      <c r="Y43" s="115">
        <v>61.0</v>
      </c>
      <c r="Z43" s="115">
        <v>166.0</v>
      </c>
      <c r="AA43" s="115">
        <v>20.0</v>
      </c>
      <c r="AB43" s="115"/>
      <c r="AC43" s="115">
        <v>2719.0</v>
      </c>
      <c r="AD43" s="115">
        <v>1412.0</v>
      </c>
      <c r="AE43" s="115">
        <v>293.0</v>
      </c>
      <c r="AF43" s="115">
        <v>618.0</v>
      </c>
      <c r="AG43" s="115">
        <v>47.0</v>
      </c>
    </row>
    <row r="44">
      <c r="A44" s="116">
        <v>46055.0</v>
      </c>
      <c r="B44" s="117">
        <v>0.3488372093023256</v>
      </c>
      <c r="C44" s="117">
        <v>15.0</v>
      </c>
      <c r="D44" s="117">
        <v>43.0</v>
      </c>
      <c r="E44" s="117">
        <v>0.16298342541436464</v>
      </c>
      <c r="F44" s="117">
        <v>59.0</v>
      </c>
      <c r="G44" s="117">
        <v>362.0</v>
      </c>
      <c r="H44" s="117">
        <v>755.0</v>
      </c>
      <c r="I44" s="117">
        <v>16328.813559322034</v>
      </c>
      <c r="J44" s="117">
        <v>963400.0</v>
      </c>
      <c r="K44" s="117">
        <v>59.0</v>
      </c>
      <c r="L44" s="117">
        <v>80.0</v>
      </c>
      <c r="M44" s="117">
        <v>0.7282105521963878</v>
      </c>
      <c r="N44" s="117">
        <v>261841.95401400002</v>
      </c>
      <c r="O44" s="117">
        <v>963400.0</v>
      </c>
      <c r="P44" s="117"/>
      <c r="Q44" s="117"/>
      <c r="R44" s="117"/>
      <c r="S44" s="117"/>
      <c r="T44" s="117"/>
      <c r="U44" s="117">
        <v>0.0</v>
      </c>
      <c r="V44" s="117">
        <v>0.0</v>
      </c>
      <c r="W44" s="117">
        <v>675.0</v>
      </c>
      <c r="X44" s="117">
        <v>196.0</v>
      </c>
      <c r="Y44" s="117">
        <v>57.0</v>
      </c>
      <c r="Z44" s="117">
        <v>140.0</v>
      </c>
      <c r="AA44" s="117">
        <v>17.0</v>
      </c>
      <c r="AB44" s="117"/>
      <c r="AC44" s="117">
        <v>3048.0</v>
      </c>
      <c r="AD44" s="117">
        <v>1566.0</v>
      </c>
      <c r="AE44" s="117">
        <v>305.0</v>
      </c>
      <c r="AF44" s="117">
        <v>641.0</v>
      </c>
      <c r="AG44" s="117">
        <v>42.0</v>
      </c>
    </row>
    <row r="45">
      <c r="A45" s="114">
        <v>46056.0</v>
      </c>
      <c r="B45" s="115">
        <v>0.23255813953488372</v>
      </c>
      <c r="C45" s="115">
        <v>10.0</v>
      </c>
      <c r="D45" s="115">
        <v>43.0</v>
      </c>
      <c r="E45" s="115">
        <v>0.2</v>
      </c>
      <c r="F45" s="115">
        <v>59.0</v>
      </c>
      <c r="G45" s="115">
        <v>295.0</v>
      </c>
      <c r="H45" s="115">
        <v>627.0</v>
      </c>
      <c r="I45" s="115">
        <v>18277.966101694914</v>
      </c>
      <c r="J45" s="115">
        <v>1078400.0</v>
      </c>
      <c r="K45" s="115">
        <v>59.0</v>
      </c>
      <c r="L45" s="115">
        <v>83.0</v>
      </c>
      <c r="M45" s="115">
        <v>0.7092349521392805</v>
      </c>
      <c r="N45" s="115">
        <v>313561.027613</v>
      </c>
      <c r="O45" s="115">
        <v>1078400.0</v>
      </c>
      <c r="P45" s="115"/>
      <c r="Q45" s="115"/>
      <c r="R45" s="115"/>
      <c r="S45" s="115"/>
      <c r="T45" s="115"/>
      <c r="U45" s="115">
        <v>0.0</v>
      </c>
      <c r="V45" s="115">
        <v>0.0</v>
      </c>
      <c r="W45" s="115">
        <v>805.0</v>
      </c>
      <c r="X45" s="115">
        <v>210.0</v>
      </c>
      <c r="Y45" s="115">
        <v>49.0</v>
      </c>
      <c r="Z45" s="115">
        <v>171.0</v>
      </c>
      <c r="AA45" s="115">
        <v>16.0</v>
      </c>
      <c r="AB45" s="115"/>
      <c r="AC45" s="115">
        <v>2720.0</v>
      </c>
      <c r="AD45" s="115">
        <v>1285.0</v>
      </c>
      <c r="AE45" s="115">
        <v>246.0</v>
      </c>
      <c r="AF45" s="115">
        <v>537.0</v>
      </c>
      <c r="AG45" s="115">
        <v>43.0</v>
      </c>
    </row>
    <row r="46">
      <c r="A46" s="116">
        <v>46057.0</v>
      </c>
      <c r="B46" s="117">
        <v>0.425</v>
      </c>
      <c r="C46" s="117">
        <v>17.0</v>
      </c>
      <c r="D46" s="117">
        <v>40.0</v>
      </c>
      <c r="E46" s="117">
        <v>0.19915254237288135</v>
      </c>
      <c r="F46" s="117">
        <v>47.0</v>
      </c>
      <c r="G46" s="117">
        <v>236.0</v>
      </c>
      <c r="H46" s="117">
        <v>540.0</v>
      </c>
      <c r="I46" s="117">
        <v>17825.531914893618</v>
      </c>
      <c r="J46" s="117">
        <v>837800.0</v>
      </c>
      <c r="K46" s="117">
        <v>47.0</v>
      </c>
      <c r="L46" s="117">
        <v>66.0</v>
      </c>
      <c r="M46" s="117">
        <v>0.7428255148627357</v>
      </c>
      <c r="N46" s="117">
        <v>215460.78364799998</v>
      </c>
      <c r="O46" s="117">
        <v>837800.0</v>
      </c>
      <c r="P46" s="117"/>
      <c r="Q46" s="117"/>
      <c r="R46" s="117"/>
      <c r="S46" s="117"/>
      <c r="T46" s="117"/>
      <c r="U46" s="117">
        <v>0.0</v>
      </c>
      <c r="V46" s="117">
        <v>0.0</v>
      </c>
      <c r="W46" s="117">
        <v>658.0</v>
      </c>
      <c r="X46" s="117">
        <v>189.0</v>
      </c>
      <c r="Y46" s="117">
        <v>35.0</v>
      </c>
      <c r="Z46" s="117">
        <v>152.0</v>
      </c>
      <c r="AA46" s="117">
        <v>9.0</v>
      </c>
      <c r="AB46" s="117"/>
      <c r="AC46" s="117">
        <v>2613.0</v>
      </c>
      <c r="AD46" s="117">
        <v>1248.0</v>
      </c>
      <c r="AE46" s="117">
        <v>201.0</v>
      </c>
      <c r="AF46" s="117">
        <v>500.0</v>
      </c>
      <c r="AG46" s="117">
        <v>38.0</v>
      </c>
    </row>
    <row r="47">
      <c r="A47" s="114">
        <v>46058.0</v>
      </c>
      <c r="B47" s="115">
        <v>0.275</v>
      </c>
      <c r="C47" s="115">
        <v>11.0</v>
      </c>
      <c r="D47" s="115">
        <v>40.0</v>
      </c>
      <c r="E47" s="115">
        <v>0.19148936170212766</v>
      </c>
      <c r="F47" s="115">
        <v>54.0</v>
      </c>
      <c r="G47" s="115">
        <v>282.0</v>
      </c>
      <c r="H47" s="115">
        <v>665.0</v>
      </c>
      <c r="I47" s="115">
        <v>15861.111111111111</v>
      </c>
      <c r="J47" s="115">
        <v>856500.0</v>
      </c>
      <c r="K47" s="115">
        <v>54.0</v>
      </c>
      <c r="L47" s="115">
        <v>75.0</v>
      </c>
      <c r="M47" s="115">
        <v>0.7423898363502627</v>
      </c>
      <c r="N47" s="115">
        <v>220643.105166</v>
      </c>
      <c r="O47" s="115">
        <v>856500.0</v>
      </c>
      <c r="P47" s="115"/>
      <c r="Q47" s="115"/>
      <c r="R47" s="115"/>
      <c r="S47" s="115"/>
      <c r="T47" s="115"/>
      <c r="U47" s="115">
        <v>0.0</v>
      </c>
      <c r="V47" s="115">
        <v>0.0</v>
      </c>
      <c r="W47" s="115">
        <v>734.0</v>
      </c>
      <c r="X47" s="115">
        <v>197.0</v>
      </c>
      <c r="Y47" s="115">
        <v>49.0</v>
      </c>
      <c r="Z47" s="115">
        <v>154.0</v>
      </c>
      <c r="AA47" s="115">
        <v>14.0</v>
      </c>
      <c r="AB47" s="115"/>
      <c r="AC47" s="115">
        <v>3431.0</v>
      </c>
      <c r="AD47" s="115">
        <v>1327.0</v>
      </c>
      <c r="AE47" s="115">
        <v>233.0</v>
      </c>
      <c r="AF47" s="115">
        <v>585.0</v>
      </c>
      <c r="AG47" s="115">
        <v>40.0</v>
      </c>
    </row>
    <row r="48">
      <c r="A48" s="116">
        <v>46059.0</v>
      </c>
      <c r="B48" s="117">
        <v>0.23684210526315788</v>
      </c>
      <c r="C48" s="117">
        <v>9.0</v>
      </c>
      <c r="D48" s="117">
        <v>38.0</v>
      </c>
      <c r="E48" s="117">
        <v>0.17870722433460076</v>
      </c>
      <c r="F48" s="117">
        <v>47.0</v>
      </c>
      <c r="G48" s="117">
        <v>263.0</v>
      </c>
      <c r="H48" s="117">
        <v>571.0</v>
      </c>
      <c r="I48" s="117">
        <v>23185.106382978724</v>
      </c>
      <c r="J48" s="117">
        <v>1089700.0</v>
      </c>
      <c r="K48" s="117">
        <v>47.0</v>
      </c>
      <c r="L48" s="117">
        <v>63.0</v>
      </c>
      <c r="M48" s="117">
        <v>0.6874517499689823</v>
      </c>
      <c r="N48" s="117">
        <v>340583.8280588</v>
      </c>
      <c r="O48" s="117">
        <v>1089700.0</v>
      </c>
      <c r="P48" s="117"/>
      <c r="Q48" s="117"/>
      <c r="R48" s="117"/>
      <c r="S48" s="117"/>
      <c r="T48" s="117"/>
      <c r="U48" s="117">
        <v>0.0</v>
      </c>
      <c r="V48" s="117">
        <v>0.0</v>
      </c>
      <c r="W48" s="117">
        <v>732.0</v>
      </c>
      <c r="X48" s="117">
        <v>177.0</v>
      </c>
      <c r="Y48" s="117">
        <v>37.0</v>
      </c>
      <c r="Z48" s="117">
        <v>117.0</v>
      </c>
      <c r="AA48" s="117">
        <v>7.0</v>
      </c>
      <c r="AB48" s="117"/>
      <c r="AC48" s="117">
        <v>3614.0</v>
      </c>
      <c r="AD48" s="117">
        <v>1306.0</v>
      </c>
      <c r="AE48" s="117">
        <v>226.0</v>
      </c>
      <c r="AF48" s="117">
        <v>548.0</v>
      </c>
      <c r="AG48" s="117">
        <v>40.0</v>
      </c>
    </row>
    <row r="49">
      <c r="A49" s="114">
        <v>46060.0</v>
      </c>
      <c r="B49" s="115">
        <v>0.3157894736842105</v>
      </c>
      <c r="C49" s="115">
        <v>6.0</v>
      </c>
      <c r="D49" s="115">
        <v>19.0</v>
      </c>
      <c r="E49" s="115">
        <v>0.13733905579399142</v>
      </c>
      <c r="F49" s="115">
        <v>32.0</v>
      </c>
      <c r="G49" s="115">
        <v>233.0</v>
      </c>
      <c r="H49" s="115">
        <v>531.0</v>
      </c>
      <c r="I49" s="115">
        <v>22256.25</v>
      </c>
      <c r="J49" s="115">
        <v>712200.0</v>
      </c>
      <c r="K49" s="115">
        <v>32.0</v>
      </c>
      <c r="L49" s="115">
        <v>36.0</v>
      </c>
      <c r="M49" s="115">
        <v>0.6593375141805673</v>
      </c>
      <c r="N49" s="115">
        <v>242619.8224006</v>
      </c>
      <c r="O49" s="115">
        <v>712200.0</v>
      </c>
      <c r="P49" s="115"/>
      <c r="Q49" s="115"/>
      <c r="R49" s="115"/>
      <c r="S49" s="115"/>
      <c r="T49" s="115"/>
      <c r="U49" s="115">
        <v>0.0</v>
      </c>
      <c r="V49" s="115">
        <v>0.0</v>
      </c>
      <c r="W49" s="115">
        <v>750.0</v>
      </c>
      <c r="X49" s="115">
        <v>168.0</v>
      </c>
      <c r="Y49" s="115">
        <v>22.0</v>
      </c>
      <c r="Z49" s="115">
        <v>137.0</v>
      </c>
      <c r="AA49" s="115">
        <v>3.0</v>
      </c>
      <c r="AB49" s="115"/>
      <c r="AC49" s="115">
        <v>2993.0</v>
      </c>
      <c r="AD49" s="115">
        <v>1156.0</v>
      </c>
      <c r="AE49" s="115">
        <v>211.0</v>
      </c>
      <c r="AF49" s="115">
        <v>490.0</v>
      </c>
      <c r="AG49" s="115">
        <v>29.0</v>
      </c>
    </row>
    <row r="50">
      <c r="A50" s="116">
        <v>46061.0</v>
      </c>
      <c r="B50" s="117">
        <v>0.3684210526315789</v>
      </c>
      <c r="C50" s="117">
        <v>7.0</v>
      </c>
      <c r="D50" s="117">
        <v>19.0</v>
      </c>
      <c r="E50" s="117">
        <v>0.12875536480686695</v>
      </c>
      <c r="F50" s="117">
        <v>30.0</v>
      </c>
      <c r="G50" s="117">
        <v>233.0</v>
      </c>
      <c r="H50" s="117">
        <v>535.0</v>
      </c>
      <c r="I50" s="117">
        <v>18956.666666666668</v>
      </c>
      <c r="J50" s="117">
        <v>568700.0</v>
      </c>
      <c r="K50" s="117">
        <v>30.0</v>
      </c>
      <c r="L50" s="117">
        <v>34.0</v>
      </c>
      <c r="M50" s="117">
        <v>0.7045232307174257</v>
      </c>
      <c r="N50" s="117">
        <v>168037.638691</v>
      </c>
      <c r="O50" s="117">
        <v>568700.0</v>
      </c>
      <c r="P50" s="117"/>
      <c r="Q50" s="117"/>
      <c r="R50" s="117"/>
      <c r="S50" s="117"/>
      <c r="T50" s="117"/>
      <c r="U50" s="117">
        <v>0.0</v>
      </c>
      <c r="V50" s="117">
        <v>0.0</v>
      </c>
      <c r="W50" s="117">
        <v>827.0</v>
      </c>
      <c r="X50" s="117">
        <v>186.0</v>
      </c>
      <c r="Y50" s="117">
        <v>32.0</v>
      </c>
      <c r="Z50" s="117">
        <v>149.0</v>
      </c>
      <c r="AA50" s="117">
        <v>4.0</v>
      </c>
      <c r="AB50" s="117"/>
      <c r="AC50" s="117">
        <v>2429.0</v>
      </c>
      <c r="AD50" s="117">
        <v>1189.0</v>
      </c>
      <c r="AE50" s="117">
        <v>201.0</v>
      </c>
      <c r="AF50" s="117">
        <v>501.0</v>
      </c>
      <c r="AG50" s="117">
        <v>26.0</v>
      </c>
    </row>
    <row r="51">
      <c r="A51" s="114">
        <v>46062.0</v>
      </c>
      <c r="B51" s="115">
        <v>0.15384615384615385</v>
      </c>
      <c r="C51" s="115">
        <v>2.0</v>
      </c>
      <c r="D51" s="115">
        <v>13.0</v>
      </c>
      <c r="E51" s="115">
        <v>0.10407239819004525</v>
      </c>
      <c r="F51" s="115">
        <v>23.0</v>
      </c>
      <c r="G51" s="115">
        <v>221.0</v>
      </c>
      <c r="H51" s="115">
        <v>526.0</v>
      </c>
      <c r="I51" s="115">
        <v>16534.782608695652</v>
      </c>
      <c r="J51" s="115">
        <v>380300.0</v>
      </c>
      <c r="K51" s="115">
        <v>23.0</v>
      </c>
      <c r="L51" s="115">
        <v>23.0</v>
      </c>
      <c r="M51" s="115">
        <v>0.7160889555130161</v>
      </c>
      <c r="N51" s="115">
        <v>107971.3702184</v>
      </c>
      <c r="O51" s="115">
        <v>380300.0</v>
      </c>
      <c r="P51" s="115"/>
      <c r="Q51" s="115"/>
      <c r="R51" s="115"/>
      <c r="S51" s="115"/>
      <c r="T51" s="115"/>
      <c r="U51" s="115">
        <v>0.0</v>
      </c>
      <c r="V51" s="115">
        <v>0.0</v>
      </c>
      <c r="W51" s="115">
        <v>811.0</v>
      </c>
      <c r="X51" s="115">
        <v>179.0</v>
      </c>
      <c r="Y51" s="115">
        <v>27.0</v>
      </c>
      <c r="Z51" s="115">
        <v>117.0</v>
      </c>
      <c r="AA51" s="115">
        <v>0.0</v>
      </c>
      <c r="AB51" s="115"/>
      <c r="AC51" s="115">
        <v>2371.0</v>
      </c>
      <c r="AD51" s="115">
        <v>1160.0</v>
      </c>
      <c r="AE51" s="115">
        <v>194.0</v>
      </c>
      <c r="AF51" s="115">
        <v>462.0</v>
      </c>
      <c r="AG51" s="115">
        <v>23.0</v>
      </c>
    </row>
    <row r="52">
      <c r="A52" s="116">
        <v>46063.0</v>
      </c>
      <c r="B52" s="117">
        <v>0.42105263157894735</v>
      </c>
      <c r="C52" s="117">
        <v>8.0</v>
      </c>
      <c r="D52" s="117">
        <v>19.0</v>
      </c>
      <c r="E52" s="117">
        <v>0.099601593625498</v>
      </c>
      <c r="F52" s="117">
        <v>25.0</v>
      </c>
      <c r="G52" s="117">
        <v>251.0</v>
      </c>
      <c r="H52" s="117">
        <v>535.0</v>
      </c>
      <c r="I52" s="117">
        <v>14084.0</v>
      </c>
      <c r="J52" s="117">
        <v>352100.0</v>
      </c>
      <c r="K52" s="117">
        <v>25.0</v>
      </c>
      <c r="L52" s="117">
        <v>28.0</v>
      </c>
      <c r="M52" s="117">
        <v>0.6909015444333996</v>
      </c>
      <c r="N52" s="117">
        <v>108833.56620500001</v>
      </c>
      <c r="O52" s="117">
        <v>352100.0</v>
      </c>
      <c r="P52" s="117"/>
      <c r="Q52" s="117"/>
      <c r="R52" s="117"/>
      <c r="S52" s="117"/>
      <c r="T52" s="117"/>
      <c r="U52" s="117">
        <v>0.0</v>
      </c>
      <c r="V52" s="117">
        <v>0.0</v>
      </c>
      <c r="W52" s="117">
        <v>709.0</v>
      </c>
      <c r="X52" s="117">
        <v>207.0</v>
      </c>
      <c r="Y52" s="117">
        <v>47.0</v>
      </c>
      <c r="Z52" s="117">
        <v>142.0</v>
      </c>
      <c r="AA52" s="117">
        <v>7.0</v>
      </c>
      <c r="AB52" s="117"/>
      <c r="AC52" s="117">
        <v>2962.0</v>
      </c>
      <c r="AD52" s="117">
        <v>1612.0</v>
      </c>
      <c r="AE52" s="117">
        <v>204.0</v>
      </c>
      <c r="AF52" s="117">
        <v>464.0</v>
      </c>
      <c r="AG52" s="117">
        <v>18.0</v>
      </c>
    </row>
    <row r="53">
      <c r="A53" s="114">
        <v>46064.0</v>
      </c>
      <c r="B53" s="115">
        <v>0.391304347826087</v>
      </c>
      <c r="C53" s="115">
        <v>9.0</v>
      </c>
      <c r="D53" s="115">
        <v>23.0</v>
      </c>
      <c r="E53" s="115">
        <v>0.14351851851851852</v>
      </c>
      <c r="F53" s="115">
        <v>31.0</v>
      </c>
      <c r="G53" s="115">
        <v>216.0</v>
      </c>
      <c r="H53" s="115">
        <v>448.0</v>
      </c>
      <c r="I53" s="115">
        <v>19390.322580645163</v>
      </c>
      <c r="J53" s="115">
        <v>601100.0</v>
      </c>
      <c r="K53" s="115">
        <v>31.0</v>
      </c>
      <c r="L53" s="115">
        <v>35.0</v>
      </c>
      <c r="M53" s="115">
        <v>0.6751616015002495</v>
      </c>
      <c r="N53" s="115">
        <v>195260.3613382</v>
      </c>
      <c r="O53" s="115">
        <v>601100.0</v>
      </c>
      <c r="P53" s="115"/>
      <c r="Q53" s="115"/>
      <c r="R53" s="115"/>
      <c r="S53" s="115"/>
      <c r="T53" s="115"/>
      <c r="U53" s="115">
        <v>0.0</v>
      </c>
      <c r="V53" s="115">
        <v>0.0</v>
      </c>
      <c r="W53" s="115">
        <v>741.0</v>
      </c>
      <c r="X53" s="115">
        <v>206.0</v>
      </c>
      <c r="Y53" s="115">
        <v>33.0</v>
      </c>
      <c r="Z53" s="115">
        <v>142.0</v>
      </c>
      <c r="AA53" s="115">
        <v>2.0</v>
      </c>
      <c r="AB53" s="115"/>
      <c r="AC53" s="115">
        <v>2307.0</v>
      </c>
      <c r="AD53" s="115">
        <v>1173.0</v>
      </c>
      <c r="AE53" s="115">
        <v>183.0</v>
      </c>
      <c r="AF53" s="115">
        <v>463.0</v>
      </c>
      <c r="AG53" s="115">
        <v>29.0</v>
      </c>
    </row>
    <row r="54">
      <c r="A54" s="116">
        <v>46065.0</v>
      </c>
      <c r="B54" s="117">
        <v>0.4</v>
      </c>
      <c r="C54" s="117">
        <v>8.0</v>
      </c>
      <c r="D54" s="117">
        <v>20.0</v>
      </c>
      <c r="E54" s="117">
        <v>0.13145539906103287</v>
      </c>
      <c r="F54" s="117">
        <v>28.0</v>
      </c>
      <c r="G54" s="117">
        <v>213.0</v>
      </c>
      <c r="H54" s="117">
        <v>443.0</v>
      </c>
      <c r="I54" s="117">
        <v>20739.285714285714</v>
      </c>
      <c r="J54" s="117">
        <v>580700.0</v>
      </c>
      <c r="K54" s="117">
        <v>28.0</v>
      </c>
      <c r="L54" s="117">
        <v>31.0</v>
      </c>
      <c r="M54" s="117">
        <v>0.8029654554847597</v>
      </c>
      <c r="N54" s="117">
        <v>114417.96</v>
      </c>
      <c r="O54" s="117">
        <v>580700.0</v>
      </c>
      <c r="P54" s="117"/>
      <c r="Q54" s="117"/>
      <c r="R54" s="117"/>
      <c r="S54" s="117"/>
      <c r="T54" s="117"/>
      <c r="U54" s="117">
        <v>0.0</v>
      </c>
      <c r="V54" s="117">
        <v>0.0</v>
      </c>
      <c r="W54" s="117">
        <v>467.0</v>
      </c>
      <c r="X54" s="117">
        <v>126.0</v>
      </c>
      <c r="Y54" s="117">
        <v>22.0</v>
      </c>
      <c r="Z54" s="117">
        <v>91.0</v>
      </c>
      <c r="AA54" s="117">
        <v>4.0</v>
      </c>
      <c r="AB54" s="117"/>
      <c r="AC54" s="117">
        <v>2117.0</v>
      </c>
      <c r="AD54" s="117">
        <v>1114.0</v>
      </c>
      <c r="AE54" s="117">
        <v>191.0</v>
      </c>
      <c r="AF54" s="117">
        <v>479.0</v>
      </c>
      <c r="AG54" s="117">
        <v>24.0</v>
      </c>
    </row>
    <row r="55">
      <c r="A55" s="114">
        <v>46066.0</v>
      </c>
      <c r="B55" s="115">
        <v>0.4375</v>
      </c>
      <c r="C55" s="115">
        <v>7.0</v>
      </c>
      <c r="D55" s="115">
        <v>16.0</v>
      </c>
      <c r="E55" s="115">
        <v>0.12886597938144329</v>
      </c>
      <c r="F55" s="115">
        <v>25.0</v>
      </c>
      <c r="G55" s="115">
        <v>194.0</v>
      </c>
      <c r="H55" s="115">
        <v>428.0</v>
      </c>
      <c r="I55" s="115">
        <v>29412.0</v>
      </c>
      <c r="J55" s="115">
        <v>735300.0</v>
      </c>
      <c r="K55" s="115">
        <v>25.0</v>
      </c>
      <c r="L55" s="115">
        <v>28.0</v>
      </c>
      <c r="M55" s="115">
        <v>0.7453517747858017</v>
      </c>
      <c r="N55" s="115">
        <v>187242.84</v>
      </c>
      <c r="O55" s="115">
        <v>735300.0</v>
      </c>
      <c r="P55" s="115"/>
      <c r="Q55" s="115"/>
      <c r="R55" s="115"/>
      <c r="S55" s="115"/>
      <c r="T55" s="115"/>
      <c r="U55" s="115">
        <v>0.0</v>
      </c>
      <c r="V55" s="115">
        <v>0.0</v>
      </c>
      <c r="W55" s="115">
        <v>305.0</v>
      </c>
      <c r="X55" s="115">
        <v>102.0</v>
      </c>
      <c r="Y55" s="115">
        <v>16.0</v>
      </c>
      <c r="Z55" s="115">
        <v>61.0</v>
      </c>
      <c r="AA55" s="115">
        <v>3.0</v>
      </c>
      <c r="AB55" s="115"/>
      <c r="AC55" s="115">
        <v>6211.0</v>
      </c>
      <c r="AD55" s="115">
        <v>2897.0</v>
      </c>
      <c r="AE55" s="115">
        <v>178.0</v>
      </c>
      <c r="AF55" s="115">
        <v>443.0</v>
      </c>
      <c r="AG55" s="115">
        <v>22.0</v>
      </c>
    </row>
    <row r="56">
      <c r="A56" s="116">
        <v>46067.0</v>
      </c>
      <c r="B56" s="117">
        <v>0.38095238095238093</v>
      </c>
      <c r="C56" s="117">
        <v>8.0</v>
      </c>
      <c r="D56" s="117">
        <v>21.0</v>
      </c>
      <c r="E56" s="117">
        <v>0.15979381443298968</v>
      </c>
      <c r="F56" s="117">
        <v>31.0</v>
      </c>
      <c r="G56" s="117">
        <v>194.0</v>
      </c>
      <c r="H56" s="117">
        <v>451.0</v>
      </c>
      <c r="I56" s="117">
        <v>24316.129032258064</v>
      </c>
      <c r="J56" s="117">
        <v>753800.0</v>
      </c>
      <c r="K56" s="117">
        <v>31.0</v>
      </c>
      <c r="L56" s="117">
        <v>33.0</v>
      </c>
      <c r="M56" s="117">
        <v>0.7565579198726453</v>
      </c>
      <c r="N56" s="117">
        <v>183506.64</v>
      </c>
      <c r="O56" s="117">
        <v>753800.0</v>
      </c>
      <c r="P56" s="117"/>
      <c r="Q56" s="117"/>
      <c r="R56" s="117"/>
      <c r="S56" s="117"/>
      <c r="T56" s="117"/>
      <c r="U56" s="117">
        <v>0.0</v>
      </c>
      <c r="V56" s="117">
        <v>0.0</v>
      </c>
      <c r="W56" s="117">
        <v>232.0</v>
      </c>
      <c r="X56" s="117">
        <v>80.0</v>
      </c>
      <c r="Y56" s="117">
        <v>13.0</v>
      </c>
      <c r="Z56" s="117">
        <v>49.0</v>
      </c>
      <c r="AA56" s="117">
        <v>4.0</v>
      </c>
      <c r="AB56" s="117"/>
      <c r="AC56" s="117">
        <v>8881.0</v>
      </c>
      <c r="AD56" s="117">
        <v>3700.0</v>
      </c>
      <c r="AE56" s="117">
        <v>181.0</v>
      </c>
      <c r="AF56" s="117">
        <v>538.0</v>
      </c>
      <c r="AG56" s="117">
        <v>27.0</v>
      </c>
    </row>
    <row r="57">
      <c r="A57" s="114">
        <v>46068.0</v>
      </c>
      <c r="B57" s="115">
        <v>0.25</v>
      </c>
      <c r="C57" s="115">
        <v>6.0</v>
      </c>
      <c r="D57" s="115">
        <v>24.0</v>
      </c>
      <c r="E57" s="115">
        <v>0.16908212560386474</v>
      </c>
      <c r="F57" s="115">
        <v>35.0</v>
      </c>
      <c r="G57" s="115">
        <v>207.0</v>
      </c>
      <c r="H57" s="115">
        <v>517.0</v>
      </c>
      <c r="I57" s="115">
        <v>29754.285714285714</v>
      </c>
      <c r="J57" s="115">
        <v>1041400.0</v>
      </c>
      <c r="K57" s="115">
        <v>35.0</v>
      </c>
      <c r="L57" s="115">
        <v>49.0</v>
      </c>
      <c r="M57" s="115">
        <v>0.7416305742270022</v>
      </c>
      <c r="N57" s="115">
        <v>269065.92</v>
      </c>
      <c r="O57" s="115">
        <v>1041400.0</v>
      </c>
      <c r="P57" s="115"/>
      <c r="Q57" s="115"/>
      <c r="R57" s="115"/>
      <c r="S57" s="115"/>
      <c r="T57" s="115"/>
      <c r="U57" s="115">
        <v>0.0</v>
      </c>
      <c r="V57" s="115">
        <v>0.0</v>
      </c>
      <c r="W57" s="115">
        <v>205.0</v>
      </c>
      <c r="X57" s="115">
        <v>86.0</v>
      </c>
      <c r="Y57" s="115">
        <v>13.0</v>
      </c>
      <c r="Z57" s="115">
        <v>50.0</v>
      </c>
      <c r="AA57" s="115">
        <v>4.0</v>
      </c>
      <c r="AB57" s="115"/>
      <c r="AC57" s="115">
        <v>6590.0</v>
      </c>
      <c r="AD57" s="115">
        <v>2774.0</v>
      </c>
      <c r="AE57" s="115">
        <v>194.0</v>
      </c>
      <c r="AF57" s="115">
        <v>452.0</v>
      </c>
      <c r="AG57" s="115">
        <v>31.0</v>
      </c>
    </row>
    <row r="58">
      <c r="A58" s="116">
        <v>46069.0</v>
      </c>
      <c r="B58" s="117">
        <v>0.36363636363636365</v>
      </c>
      <c r="C58" s="117">
        <v>8.0</v>
      </c>
      <c r="D58" s="117">
        <v>22.0</v>
      </c>
      <c r="E58" s="117">
        <v>0.1625615763546798</v>
      </c>
      <c r="F58" s="117">
        <v>33.0</v>
      </c>
      <c r="G58" s="117">
        <v>203.0</v>
      </c>
      <c r="H58" s="117">
        <v>446.0</v>
      </c>
      <c r="I58" s="117">
        <v>19509.090909090908</v>
      </c>
      <c r="J58" s="117">
        <v>643800.0</v>
      </c>
      <c r="K58" s="117">
        <v>33.0</v>
      </c>
      <c r="L58" s="117">
        <v>37.0</v>
      </c>
      <c r="M58" s="117">
        <v>0.7274702702702702</v>
      </c>
      <c r="N58" s="117">
        <v>175454.64</v>
      </c>
      <c r="O58" s="117">
        <v>643800.0</v>
      </c>
      <c r="P58" s="117"/>
      <c r="Q58" s="117"/>
      <c r="R58" s="117"/>
      <c r="S58" s="117"/>
      <c r="T58" s="117"/>
      <c r="U58" s="117">
        <v>0.0</v>
      </c>
      <c r="V58" s="117">
        <v>0.0</v>
      </c>
      <c r="W58" s="117">
        <v>261.0</v>
      </c>
      <c r="X58" s="117">
        <v>98.0</v>
      </c>
      <c r="Y58" s="117">
        <v>9.0</v>
      </c>
      <c r="Z58" s="117">
        <v>44.0</v>
      </c>
      <c r="AA58" s="117">
        <v>2.0</v>
      </c>
      <c r="AB58" s="117"/>
      <c r="AC58" s="117">
        <v>6806.0</v>
      </c>
      <c r="AD58" s="117">
        <v>3138.0</v>
      </c>
      <c r="AE58" s="117">
        <v>194.0</v>
      </c>
      <c r="AF58" s="117">
        <v>544.0</v>
      </c>
      <c r="AG58" s="117">
        <v>31.0</v>
      </c>
    </row>
    <row r="59">
      <c r="A59" s="114">
        <v>46070.0</v>
      </c>
      <c r="B59" s="115">
        <v>0.4411764705882353</v>
      </c>
      <c r="C59" s="115">
        <v>15.0</v>
      </c>
      <c r="D59" s="115">
        <v>34.0</v>
      </c>
      <c r="E59" s="115">
        <v>0.2358974358974359</v>
      </c>
      <c r="F59" s="115">
        <v>46.0</v>
      </c>
      <c r="G59" s="115">
        <v>195.0</v>
      </c>
      <c r="H59" s="115">
        <v>452.0</v>
      </c>
      <c r="I59" s="115">
        <v>19856.521739130436</v>
      </c>
      <c r="J59" s="115">
        <v>913400.0</v>
      </c>
      <c r="K59" s="115">
        <v>46.0</v>
      </c>
      <c r="L59" s="115">
        <v>50.0</v>
      </c>
      <c r="M59" s="115">
        <v>0.7275864681410116</v>
      </c>
      <c r="N59" s="115">
        <v>248822.52</v>
      </c>
      <c r="O59" s="115">
        <v>913400.0</v>
      </c>
      <c r="P59" s="115"/>
      <c r="Q59" s="115"/>
      <c r="R59" s="115"/>
      <c r="S59" s="115"/>
      <c r="T59" s="115"/>
      <c r="U59" s="115">
        <v>0.0</v>
      </c>
      <c r="V59" s="115">
        <v>0.0</v>
      </c>
      <c r="W59" s="115">
        <v>231.0</v>
      </c>
      <c r="X59" s="115">
        <v>107.0</v>
      </c>
      <c r="Y59" s="115">
        <v>10.0</v>
      </c>
      <c r="Z59" s="115">
        <v>41.0</v>
      </c>
      <c r="AA59" s="115">
        <v>1.0</v>
      </c>
      <c r="AB59" s="115"/>
      <c r="AC59" s="115">
        <v>8106.0</v>
      </c>
      <c r="AD59" s="115">
        <v>3900.0</v>
      </c>
      <c r="AE59" s="115">
        <v>185.0</v>
      </c>
      <c r="AF59" s="115">
        <v>617.0</v>
      </c>
      <c r="AG59" s="115">
        <v>45.0</v>
      </c>
    </row>
    <row r="60">
      <c r="A60" s="116">
        <v>46071.0</v>
      </c>
      <c r="B60" s="117">
        <v>0.2857142857142857</v>
      </c>
      <c r="C60" s="117">
        <v>8.0</v>
      </c>
      <c r="D60" s="117">
        <v>28.0</v>
      </c>
      <c r="E60" s="117">
        <v>0.20588235294117646</v>
      </c>
      <c r="F60" s="117">
        <v>42.0</v>
      </c>
      <c r="G60" s="117">
        <v>204.0</v>
      </c>
      <c r="H60" s="117">
        <v>454.0</v>
      </c>
      <c r="I60" s="117">
        <v>27571.428571428572</v>
      </c>
      <c r="J60" s="117">
        <v>1158000.0</v>
      </c>
      <c r="K60" s="117">
        <v>42.0</v>
      </c>
      <c r="L60" s="117">
        <v>46.0</v>
      </c>
      <c r="M60" s="117">
        <v>0.715080829015544</v>
      </c>
      <c r="N60" s="117">
        <v>329936.4</v>
      </c>
      <c r="O60" s="117">
        <v>1158000.0</v>
      </c>
      <c r="P60" s="117"/>
      <c r="Q60" s="117"/>
      <c r="R60" s="117"/>
      <c r="S60" s="117"/>
      <c r="T60" s="117"/>
      <c r="U60" s="117">
        <v>0.0</v>
      </c>
      <c r="V60" s="117">
        <v>0.0</v>
      </c>
      <c r="W60" s="117">
        <v>222.0</v>
      </c>
      <c r="X60" s="117">
        <v>111.0</v>
      </c>
      <c r="Y60" s="117">
        <v>13.0</v>
      </c>
      <c r="Z60" s="117">
        <v>39.0</v>
      </c>
      <c r="AA60" s="117">
        <v>2.0</v>
      </c>
      <c r="AB60" s="117"/>
      <c r="AC60" s="117">
        <v>6308.0</v>
      </c>
      <c r="AD60" s="117">
        <v>3004.0</v>
      </c>
      <c r="AE60" s="117">
        <v>191.0</v>
      </c>
      <c r="AF60" s="117">
        <v>594.0</v>
      </c>
      <c r="AG60" s="117">
        <v>40.0</v>
      </c>
    </row>
    <row r="61">
      <c r="A61" s="114">
        <v>46072.0</v>
      </c>
      <c r="B61" s="115">
        <v>0.45454545454545453</v>
      </c>
      <c r="C61" s="115">
        <v>10.0</v>
      </c>
      <c r="D61" s="115">
        <v>22.0</v>
      </c>
      <c r="E61" s="115">
        <v>0.14953271028037382</v>
      </c>
      <c r="F61" s="115">
        <v>32.0</v>
      </c>
      <c r="G61" s="115">
        <v>214.0</v>
      </c>
      <c r="H61" s="115">
        <v>486.0</v>
      </c>
      <c r="I61" s="115">
        <v>22343.75</v>
      </c>
      <c r="J61" s="115">
        <v>715000.0</v>
      </c>
      <c r="K61" s="115">
        <v>32.0</v>
      </c>
      <c r="L61" s="115">
        <v>38.0</v>
      </c>
      <c r="M61" s="115">
        <v>0.7358615384615385</v>
      </c>
      <c r="N61" s="115">
        <v>188859.0</v>
      </c>
      <c r="O61" s="115">
        <v>715000.0</v>
      </c>
      <c r="P61" s="115"/>
      <c r="Q61" s="115"/>
      <c r="R61" s="115"/>
      <c r="S61" s="115"/>
      <c r="T61" s="115"/>
      <c r="U61" s="115">
        <v>0.0</v>
      </c>
      <c r="V61" s="115">
        <v>0.0</v>
      </c>
      <c r="W61" s="115">
        <v>248.0</v>
      </c>
      <c r="X61" s="115">
        <v>119.0</v>
      </c>
      <c r="Y61" s="115">
        <v>25.0</v>
      </c>
      <c r="Z61" s="115">
        <v>61.0</v>
      </c>
      <c r="AA61" s="115">
        <v>3.0</v>
      </c>
      <c r="AB61" s="115"/>
      <c r="AC61" s="115">
        <v>4910.0</v>
      </c>
      <c r="AD61" s="115">
        <v>2510.0</v>
      </c>
      <c r="AE61" s="115">
        <v>189.0</v>
      </c>
      <c r="AF61" s="115">
        <v>560.0</v>
      </c>
      <c r="AG61" s="115">
        <v>29.0</v>
      </c>
    </row>
    <row r="62">
      <c r="A62" s="116">
        <v>46073.0</v>
      </c>
      <c r="B62" s="117">
        <v>0.47058823529411764</v>
      </c>
      <c r="C62" s="117">
        <v>8.0</v>
      </c>
      <c r="D62" s="117">
        <v>17.0</v>
      </c>
      <c r="E62" s="117">
        <v>0.10762331838565023</v>
      </c>
      <c r="F62" s="117">
        <v>24.0</v>
      </c>
      <c r="G62" s="117">
        <v>223.0</v>
      </c>
      <c r="H62" s="117">
        <v>497.0</v>
      </c>
      <c r="I62" s="117">
        <v>21720.833333333332</v>
      </c>
      <c r="J62" s="117">
        <v>521300.0</v>
      </c>
      <c r="K62" s="117">
        <v>24.0</v>
      </c>
      <c r="L62" s="117">
        <v>30.0</v>
      </c>
      <c r="M62" s="117">
        <v>0.7299373873009782</v>
      </c>
      <c r="N62" s="117">
        <v>140783.64</v>
      </c>
      <c r="O62" s="117">
        <v>521300.0</v>
      </c>
      <c r="P62" s="117"/>
      <c r="Q62" s="117"/>
      <c r="R62" s="117"/>
      <c r="S62" s="117"/>
      <c r="T62" s="117"/>
      <c r="U62" s="117">
        <v>0.0</v>
      </c>
      <c r="V62" s="117">
        <v>0.0</v>
      </c>
      <c r="W62" s="117">
        <v>234.0</v>
      </c>
      <c r="X62" s="117">
        <v>117.0</v>
      </c>
      <c r="Y62" s="117">
        <v>36.0</v>
      </c>
      <c r="Z62" s="117">
        <v>55.0</v>
      </c>
      <c r="AA62" s="117">
        <v>3.0</v>
      </c>
      <c r="AB62" s="117"/>
      <c r="AC62" s="117">
        <v>2821.0</v>
      </c>
      <c r="AD62" s="117">
        <v>1538.0</v>
      </c>
      <c r="AE62" s="117">
        <v>187.0</v>
      </c>
      <c r="AF62" s="117">
        <v>444.0</v>
      </c>
      <c r="AG62" s="117">
        <v>21.0</v>
      </c>
    </row>
    <row r="63">
      <c r="A63" s="114">
        <v>46074.0</v>
      </c>
      <c r="B63" s="115">
        <v>0.3333333333333333</v>
      </c>
      <c r="C63" s="115">
        <v>5.0</v>
      </c>
      <c r="D63" s="115">
        <v>15.0</v>
      </c>
      <c r="E63" s="115">
        <v>0.14772727272727273</v>
      </c>
      <c r="F63" s="115">
        <v>26.0</v>
      </c>
      <c r="G63" s="115">
        <v>176.0</v>
      </c>
      <c r="H63" s="115">
        <v>388.0</v>
      </c>
      <c r="I63" s="115">
        <v>18188.46153846154</v>
      </c>
      <c r="J63" s="115">
        <v>472900.0</v>
      </c>
      <c r="K63" s="115">
        <v>26.0</v>
      </c>
      <c r="L63" s="115">
        <v>28.0</v>
      </c>
      <c r="M63" s="115">
        <v>0.742731824910129</v>
      </c>
      <c r="N63" s="115">
        <v>121662.12</v>
      </c>
      <c r="O63" s="115">
        <v>472900.0</v>
      </c>
      <c r="P63" s="115"/>
      <c r="Q63" s="115"/>
      <c r="R63" s="115"/>
      <c r="S63" s="115"/>
      <c r="T63" s="115"/>
      <c r="U63" s="115">
        <v>0.0</v>
      </c>
      <c r="V63" s="115">
        <v>0.0</v>
      </c>
      <c r="W63" s="115">
        <v>206.0</v>
      </c>
      <c r="X63" s="115">
        <v>91.0</v>
      </c>
      <c r="Y63" s="115">
        <v>24.0</v>
      </c>
      <c r="Z63" s="115">
        <v>44.0</v>
      </c>
      <c r="AA63" s="115">
        <v>0.0</v>
      </c>
      <c r="AB63" s="115"/>
      <c r="AC63" s="115">
        <v>2616.0</v>
      </c>
      <c r="AD63" s="115">
        <v>1427.0</v>
      </c>
      <c r="AE63" s="115">
        <v>152.0</v>
      </c>
      <c r="AF63" s="115">
        <v>441.0</v>
      </c>
      <c r="AG63" s="115">
        <v>26.0</v>
      </c>
    </row>
    <row r="64">
      <c r="A64" s="116">
        <v>46075.0</v>
      </c>
      <c r="B64" s="117">
        <v>0.0</v>
      </c>
      <c r="C64" s="117">
        <v>0.0</v>
      </c>
      <c r="D64" s="117">
        <v>23.0</v>
      </c>
      <c r="E64" s="117">
        <v>0.14746543778801843</v>
      </c>
      <c r="F64" s="117">
        <v>32.0</v>
      </c>
      <c r="G64" s="117">
        <v>217.0</v>
      </c>
      <c r="H64" s="117">
        <v>516.0</v>
      </c>
      <c r="I64" s="117">
        <v>25015.625</v>
      </c>
      <c r="J64" s="117">
        <v>800500.0</v>
      </c>
      <c r="K64" s="117">
        <v>32.0</v>
      </c>
      <c r="L64" s="117">
        <v>36.0</v>
      </c>
      <c r="M64" s="117">
        <v>0.7235472829481574</v>
      </c>
      <c r="N64" s="117">
        <v>221300.4</v>
      </c>
      <c r="O64" s="117">
        <v>800500.0</v>
      </c>
      <c r="P64" s="117"/>
      <c r="Q64" s="117"/>
      <c r="R64" s="117"/>
      <c r="S64" s="117"/>
      <c r="T64" s="117"/>
      <c r="U64" s="117">
        <v>0.0</v>
      </c>
      <c r="V64" s="117">
        <v>0.0</v>
      </c>
      <c r="W64" s="117">
        <v>214.0</v>
      </c>
      <c r="X64" s="117">
        <v>91.0</v>
      </c>
      <c r="Y64" s="117">
        <v>14.0</v>
      </c>
      <c r="Z64" s="117">
        <v>44.0</v>
      </c>
      <c r="AA64" s="117">
        <v>2.0</v>
      </c>
      <c r="AB64" s="117"/>
      <c r="AC64" s="117">
        <v>2553.0</v>
      </c>
      <c r="AD64" s="117">
        <v>1410.0</v>
      </c>
      <c r="AE64" s="117">
        <v>203.0</v>
      </c>
      <c r="AF64" s="117">
        <v>467.0</v>
      </c>
      <c r="AG64" s="117">
        <v>30.0</v>
      </c>
    </row>
    <row r="65">
      <c r="A65" s="114">
        <v>46076.0</v>
      </c>
      <c r="B65" s="115">
        <v>0.0</v>
      </c>
      <c r="C65" s="115">
        <v>0.0</v>
      </c>
      <c r="D65" s="115">
        <v>5.0</v>
      </c>
      <c r="E65" s="115">
        <v>0.058333333333333334</v>
      </c>
      <c r="F65" s="115">
        <v>7.0</v>
      </c>
      <c r="G65" s="115">
        <v>120.0</v>
      </c>
      <c r="H65" s="115">
        <v>275.0</v>
      </c>
      <c r="I65" s="115">
        <v>28214.285714285714</v>
      </c>
      <c r="J65" s="115">
        <v>197500.0</v>
      </c>
      <c r="K65" s="115">
        <v>7.0</v>
      </c>
      <c r="L65" s="115">
        <v>7.0</v>
      </c>
      <c r="M65" s="115">
        <v>0.7</v>
      </c>
      <c r="N65" s="115">
        <v>59250.0</v>
      </c>
      <c r="O65" s="115">
        <v>197500.0</v>
      </c>
      <c r="P65" s="115"/>
      <c r="Q65" s="115"/>
      <c r="R65" s="115"/>
      <c r="S65" s="115"/>
      <c r="T65" s="115"/>
      <c r="U65" s="115">
        <v>0.0</v>
      </c>
      <c r="V65" s="115">
        <v>0.0</v>
      </c>
      <c r="W65" s="115"/>
      <c r="X65" s="115"/>
      <c r="Y65" s="115">
        <v>0.0</v>
      </c>
      <c r="Z65" s="115"/>
      <c r="AA65" s="115">
        <v>0.0</v>
      </c>
      <c r="AB65" s="115"/>
      <c r="AC65" s="115"/>
      <c r="AD65" s="115"/>
      <c r="AE65" s="115">
        <v>120.0</v>
      </c>
      <c r="AF65" s="115"/>
      <c r="AG65" s="115">
        <v>7.0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" width="15.13"/>
    <col customWidth="1" min="2" max="2" width="16.25"/>
    <col min="3" max="11" width="15.13"/>
    <col customWidth="1" min="12" max="12" width="25.25"/>
    <col min="13" max="33" width="15.13"/>
  </cols>
  <sheetData>
    <row r="1" ht="36.0">
      <c r="A1" s="112" t="s">
        <v>146</v>
      </c>
    </row>
    <row r="2">
      <c r="A2" s="113" t="s">
        <v>129</v>
      </c>
      <c r="B2" s="113" t="s">
        <v>10</v>
      </c>
      <c r="C2" s="113" t="s">
        <v>12</v>
      </c>
      <c r="D2" s="113" t="s">
        <v>15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46013.0</v>
      </c>
      <c r="B3" s="115">
        <v>0.48917748917748916</v>
      </c>
      <c r="C3" s="115">
        <v>113.0</v>
      </c>
      <c r="D3" s="115">
        <v>231.0</v>
      </c>
      <c r="E3" s="115">
        <v>0.03232577665827036</v>
      </c>
      <c r="F3" s="115">
        <v>231.0</v>
      </c>
      <c r="G3" s="115">
        <v>7146.0</v>
      </c>
      <c r="H3" s="115">
        <v>20104.0</v>
      </c>
      <c r="I3" s="115">
        <v>47387.01298701299</v>
      </c>
      <c r="J3" s="115">
        <v>1.09464E7</v>
      </c>
      <c r="K3" s="115">
        <v>231.0</v>
      </c>
      <c r="L3" s="115">
        <v>269.0</v>
      </c>
      <c r="M3" s="115">
        <v>0.9386751497683805</v>
      </c>
      <c r="N3" s="115">
        <v>671286.3405754</v>
      </c>
      <c r="O3" s="115">
        <v>1.09464E7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2590.0</v>
      </c>
      <c r="X3" s="115">
        <v>1945.0</v>
      </c>
      <c r="Y3" s="115">
        <v>671.0</v>
      </c>
      <c r="Z3" s="115">
        <v>248.0</v>
      </c>
      <c r="AA3" s="115">
        <v>15.0</v>
      </c>
      <c r="AB3" s="115"/>
      <c r="AC3" s="115">
        <v>32523.0</v>
      </c>
      <c r="AD3" s="115">
        <v>26838.0</v>
      </c>
      <c r="AE3" s="115">
        <v>6475.0</v>
      </c>
      <c r="AF3" s="115">
        <v>4179.0</v>
      </c>
      <c r="AG3" s="115">
        <v>216.0</v>
      </c>
    </row>
    <row r="4">
      <c r="A4" s="116">
        <v>46020.0</v>
      </c>
      <c r="B4" s="117">
        <v>0.225</v>
      </c>
      <c r="C4" s="117">
        <v>36.0</v>
      </c>
      <c r="D4" s="117">
        <v>160.0</v>
      </c>
      <c r="E4" s="117">
        <v>0.03971291866028708</v>
      </c>
      <c r="F4" s="117">
        <v>166.0</v>
      </c>
      <c r="G4" s="117">
        <v>4180.0</v>
      </c>
      <c r="H4" s="117">
        <v>11810.0</v>
      </c>
      <c r="I4" s="117">
        <v>40293.3734939759</v>
      </c>
      <c r="J4" s="117">
        <v>6688700.0</v>
      </c>
      <c r="K4" s="117">
        <v>166.0</v>
      </c>
      <c r="L4" s="117">
        <v>245.0</v>
      </c>
      <c r="M4" s="117">
        <v>0.9275774726349515</v>
      </c>
      <c r="N4" s="117">
        <v>484412.5587866</v>
      </c>
      <c r="O4" s="117">
        <v>6688700.0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3231.0</v>
      </c>
      <c r="X4" s="117">
        <v>2017.0</v>
      </c>
      <c r="Y4" s="117">
        <v>414.0</v>
      </c>
      <c r="Z4" s="117">
        <v>405.0</v>
      </c>
      <c r="AA4" s="117">
        <v>13.0</v>
      </c>
      <c r="AB4" s="117"/>
      <c r="AC4" s="117">
        <v>28794.0</v>
      </c>
      <c r="AD4" s="117">
        <v>23161.0</v>
      </c>
      <c r="AE4" s="117">
        <v>3766.0</v>
      </c>
      <c r="AF4" s="117">
        <v>3470.0</v>
      </c>
      <c r="AG4" s="117">
        <v>153.0</v>
      </c>
    </row>
    <row r="5">
      <c r="A5" s="114">
        <v>46027.0</v>
      </c>
      <c r="B5" s="115">
        <v>0.5221674876847291</v>
      </c>
      <c r="C5" s="115">
        <v>106.0</v>
      </c>
      <c r="D5" s="115">
        <v>203.0</v>
      </c>
      <c r="E5" s="115">
        <v>0.06910167818361303</v>
      </c>
      <c r="F5" s="115">
        <v>210.0</v>
      </c>
      <c r="G5" s="115">
        <v>3039.0</v>
      </c>
      <c r="H5" s="115">
        <v>8440.0</v>
      </c>
      <c r="I5" s="115">
        <v>25046.190476190477</v>
      </c>
      <c r="J5" s="115">
        <v>5259700.0</v>
      </c>
      <c r="K5" s="115">
        <v>210.0</v>
      </c>
      <c r="L5" s="115">
        <v>283.0</v>
      </c>
      <c r="M5" s="115">
        <v>0.7705981523862577</v>
      </c>
      <c r="N5" s="115">
        <v>1206584.897894</v>
      </c>
      <c r="O5" s="115">
        <v>5259700.0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3225.0</v>
      </c>
      <c r="X5" s="115">
        <v>1674.0</v>
      </c>
      <c r="Y5" s="115">
        <v>357.0</v>
      </c>
      <c r="Z5" s="115">
        <v>416.0</v>
      </c>
      <c r="AA5" s="115">
        <v>30.0</v>
      </c>
      <c r="AB5" s="115"/>
      <c r="AC5" s="115">
        <v>21464.0</v>
      </c>
      <c r="AD5" s="115">
        <v>15620.0</v>
      </c>
      <c r="AE5" s="115">
        <v>2682.0</v>
      </c>
      <c r="AF5" s="115">
        <v>2842.0</v>
      </c>
      <c r="AG5" s="115">
        <v>180.0</v>
      </c>
    </row>
    <row r="6">
      <c r="A6" s="116">
        <v>46034.0</v>
      </c>
      <c r="B6" s="117">
        <v>0.44375</v>
      </c>
      <c r="C6" s="117">
        <v>142.0</v>
      </c>
      <c r="D6" s="117">
        <v>320.0</v>
      </c>
      <c r="E6" s="117">
        <v>0.1755345599204376</v>
      </c>
      <c r="F6" s="117">
        <v>353.0</v>
      </c>
      <c r="G6" s="117">
        <v>2011.0</v>
      </c>
      <c r="H6" s="117">
        <v>5712.0</v>
      </c>
      <c r="I6" s="117">
        <v>21381.303116147308</v>
      </c>
      <c r="J6" s="117">
        <v>7547600.0</v>
      </c>
      <c r="K6" s="117">
        <v>353.0</v>
      </c>
      <c r="L6" s="117">
        <v>453.0</v>
      </c>
      <c r="M6" s="117">
        <v>0.713975104271477</v>
      </c>
      <c r="N6" s="117">
        <v>2158801.5030006003</v>
      </c>
      <c r="O6" s="117">
        <v>7547600.0</v>
      </c>
      <c r="P6" s="117"/>
      <c r="Q6" s="117"/>
      <c r="R6" s="117"/>
      <c r="S6" s="117"/>
      <c r="T6" s="117"/>
      <c r="U6" s="117">
        <v>0.0</v>
      </c>
      <c r="V6" s="117">
        <v>0.0</v>
      </c>
      <c r="W6" s="117">
        <v>4771.0</v>
      </c>
      <c r="X6" s="117">
        <v>2360.0</v>
      </c>
      <c r="Y6" s="117">
        <v>304.0</v>
      </c>
      <c r="Z6" s="117">
        <v>912.0</v>
      </c>
      <c r="AA6" s="117">
        <v>59.0</v>
      </c>
      <c r="AB6" s="117"/>
      <c r="AC6" s="117">
        <v>23318.0</v>
      </c>
      <c r="AD6" s="117">
        <v>16463.0</v>
      </c>
      <c r="AE6" s="117">
        <v>1707.0</v>
      </c>
      <c r="AF6" s="117">
        <v>4145.0</v>
      </c>
      <c r="AG6" s="117">
        <v>294.0</v>
      </c>
    </row>
    <row r="7">
      <c r="A7" s="114">
        <v>46041.0</v>
      </c>
      <c r="B7" s="115">
        <v>0.29110512129380056</v>
      </c>
      <c r="C7" s="115">
        <v>108.0</v>
      </c>
      <c r="D7" s="115">
        <v>371.0</v>
      </c>
      <c r="E7" s="115">
        <v>0.17232704402515722</v>
      </c>
      <c r="F7" s="115">
        <v>411.0</v>
      </c>
      <c r="G7" s="115">
        <v>2385.0</v>
      </c>
      <c r="H7" s="115">
        <v>6633.0</v>
      </c>
      <c r="I7" s="115">
        <v>19315.08515815085</v>
      </c>
      <c r="J7" s="115">
        <v>7938500.0</v>
      </c>
      <c r="K7" s="115">
        <v>411.0</v>
      </c>
      <c r="L7" s="115">
        <v>518.0</v>
      </c>
      <c r="M7" s="115">
        <v>0.7244063006114757</v>
      </c>
      <c r="N7" s="115">
        <v>2187800.5825958</v>
      </c>
      <c r="O7" s="115">
        <v>7938500.0</v>
      </c>
      <c r="P7" s="115"/>
      <c r="Q7" s="115"/>
      <c r="R7" s="115"/>
      <c r="S7" s="115"/>
      <c r="T7" s="115"/>
      <c r="U7" s="115">
        <v>0.0</v>
      </c>
      <c r="V7" s="115">
        <v>0.0</v>
      </c>
      <c r="W7" s="115">
        <v>4178.0</v>
      </c>
      <c r="X7" s="115">
        <v>1921.0</v>
      </c>
      <c r="Y7" s="115">
        <v>289.0</v>
      </c>
      <c r="Z7" s="115">
        <v>978.0</v>
      </c>
      <c r="AA7" s="115">
        <v>59.0</v>
      </c>
      <c r="AB7" s="115"/>
      <c r="AC7" s="115">
        <v>34260.0</v>
      </c>
      <c r="AD7" s="115">
        <v>17194.0</v>
      </c>
      <c r="AE7" s="115">
        <v>2096.0</v>
      </c>
      <c r="AF7" s="115">
        <v>5669.0</v>
      </c>
      <c r="AG7" s="115">
        <v>352.0</v>
      </c>
    </row>
    <row r="8">
      <c r="A8" s="116">
        <v>46048.0</v>
      </c>
      <c r="B8" s="117">
        <v>0.39</v>
      </c>
      <c r="C8" s="117">
        <v>117.0</v>
      </c>
      <c r="D8" s="117">
        <v>300.0</v>
      </c>
      <c r="E8" s="117">
        <v>0.14491525423728813</v>
      </c>
      <c r="F8" s="117">
        <v>342.0</v>
      </c>
      <c r="G8" s="117">
        <v>2360.0</v>
      </c>
      <c r="H8" s="117">
        <v>5980.0</v>
      </c>
      <c r="I8" s="117">
        <v>19681.871345029238</v>
      </c>
      <c r="J8" s="117">
        <v>6731200.0</v>
      </c>
      <c r="K8" s="117">
        <v>342.0</v>
      </c>
      <c r="L8" s="117">
        <v>491.0</v>
      </c>
      <c r="M8" s="117">
        <v>0.7173613423271631</v>
      </c>
      <c r="N8" s="117">
        <v>1902497.3325274</v>
      </c>
      <c r="O8" s="117">
        <v>6731200.0</v>
      </c>
      <c r="P8" s="117"/>
      <c r="Q8" s="117"/>
      <c r="R8" s="117"/>
      <c r="S8" s="117"/>
      <c r="T8" s="117"/>
      <c r="U8" s="117">
        <v>0.0</v>
      </c>
      <c r="V8" s="117">
        <v>0.0</v>
      </c>
      <c r="W8" s="117">
        <v>5925.0</v>
      </c>
      <c r="X8" s="117">
        <v>2018.0</v>
      </c>
      <c r="Y8" s="117">
        <v>499.0</v>
      </c>
      <c r="Z8" s="117">
        <v>1307.0</v>
      </c>
      <c r="AA8" s="117">
        <v>109.0</v>
      </c>
      <c r="AB8" s="117"/>
      <c r="AC8" s="117">
        <v>18112.0</v>
      </c>
      <c r="AD8" s="117">
        <v>10089.0</v>
      </c>
      <c r="AE8" s="117">
        <v>1861.0</v>
      </c>
      <c r="AF8" s="117">
        <v>3886.0</v>
      </c>
      <c r="AG8" s="117">
        <v>233.0</v>
      </c>
    </row>
    <row r="9">
      <c r="A9" s="114">
        <v>46055.0</v>
      </c>
      <c r="B9" s="115">
        <v>0.36363636363636365</v>
      </c>
      <c r="C9" s="115">
        <v>88.0</v>
      </c>
      <c r="D9" s="115">
        <v>242.0</v>
      </c>
      <c r="E9" s="115">
        <v>0.1712448860315605</v>
      </c>
      <c r="F9" s="115">
        <v>293.0</v>
      </c>
      <c r="G9" s="115">
        <v>1711.0</v>
      </c>
      <c r="H9" s="115">
        <v>4224.0</v>
      </c>
      <c r="I9" s="115">
        <v>20841.9795221843</v>
      </c>
      <c r="J9" s="115">
        <v>6106700.0</v>
      </c>
      <c r="K9" s="115">
        <v>293.0</v>
      </c>
      <c r="L9" s="115">
        <v>437.0</v>
      </c>
      <c r="M9" s="115">
        <v>0.7113419425235561</v>
      </c>
      <c r="N9" s="115">
        <v>1762748.1595914</v>
      </c>
      <c r="O9" s="115">
        <v>6106700.0</v>
      </c>
      <c r="P9" s="115"/>
      <c r="Q9" s="115"/>
      <c r="R9" s="115"/>
      <c r="S9" s="115"/>
      <c r="T9" s="115"/>
      <c r="U9" s="115">
        <v>0.0</v>
      </c>
      <c r="V9" s="115">
        <v>0.0</v>
      </c>
      <c r="W9" s="115">
        <v>5642.0</v>
      </c>
      <c r="X9" s="115">
        <v>1581.0</v>
      </c>
      <c r="Y9" s="115">
        <v>332.0</v>
      </c>
      <c r="Z9" s="115">
        <v>1174.0</v>
      </c>
      <c r="AA9" s="115">
        <v>79.0</v>
      </c>
      <c r="AB9" s="115"/>
      <c r="AC9" s="115">
        <v>18083.0</v>
      </c>
      <c r="AD9" s="115">
        <v>8138.0</v>
      </c>
      <c r="AE9" s="115">
        <v>1379.0</v>
      </c>
      <c r="AF9" s="115">
        <v>3463.0</v>
      </c>
      <c r="AG9" s="115">
        <v>214.0</v>
      </c>
    </row>
    <row r="10">
      <c r="A10" s="116">
        <v>46062.0</v>
      </c>
      <c r="B10" s="117">
        <v>0.3897058823529412</v>
      </c>
      <c r="C10" s="117">
        <v>53.0</v>
      </c>
      <c r="D10" s="117">
        <v>136.0</v>
      </c>
      <c r="E10" s="117">
        <v>0.1382660687593423</v>
      </c>
      <c r="F10" s="117">
        <v>185.0</v>
      </c>
      <c r="G10" s="117">
        <v>1338.0</v>
      </c>
      <c r="H10" s="117">
        <v>3348.0</v>
      </c>
      <c r="I10" s="117">
        <v>24025.405405405407</v>
      </c>
      <c r="J10" s="117">
        <v>4444700.0</v>
      </c>
      <c r="K10" s="117">
        <v>185.0</v>
      </c>
      <c r="L10" s="117">
        <v>227.0</v>
      </c>
      <c r="M10" s="117">
        <v>0.7375978901249578</v>
      </c>
      <c r="N10" s="117">
        <v>1166298.6577616</v>
      </c>
      <c r="O10" s="117">
        <v>4444700.0</v>
      </c>
      <c r="P10" s="117"/>
      <c r="Q10" s="117"/>
      <c r="R10" s="117"/>
      <c r="S10" s="117"/>
      <c r="T10" s="117"/>
      <c r="U10" s="117">
        <v>0.0</v>
      </c>
      <c r="V10" s="117">
        <v>0.0</v>
      </c>
      <c r="W10" s="117">
        <v>3912.0</v>
      </c>
      <c r="X10" s="117">
        <v>1249.0</v>
      </c>
      <c r="Y10" s="117">
        <v>207.0</v>
      </c>
      <c r="Z10" s="117">
        <v>756.0</v>
      </c>
      <c r="AA10" s="117">
        <v>33.0</v>
      </c>
      <c r="AB10" s="117"/>
      <c r="AC10" s="117">
        <v>27238.0</v>
      </c>
      <c r="AD10" s="117">
        <v>12905.0</v>
      </c>
      <c r="AE10" s="117">
        <v>1131.0</v>
      </c>
      <c r="AF10" s="117">
        <v>3036.0</v>
      </c>
      <c r="AG10" s="117">
        <v>152.0</v>
      </c>
    </row>
    <row r="11">
      <c r="A11" s="114">
        <v>46069.0</v>
      </c>
      <c r="B11" s="115">
        <v>0.0</v>
      </c>
      <c r="C11" s="115">
        <v>0.0</v>
      </c>
      <c r="D11" s="115">
        <v>161.0</v>
      </c>
      <c r="E11" s="115">
        <v>0.16679657053780203</v>
      </c>
      <c r="F11" s="115">
        <v>214.0</v>
      </c>
      <c r="G11" s="115">
        <v>1283.0</v>
      </c>
      <c r="H11" s="115">
        <v>3239.0</v>
      </c>
      <c r="I11" s="115">
        <v>24415.420560747665</v>
      </c>
      <c r="J11" s="115">
        <v>5224900.0</v>
      </c>
      <c r="K11" s="115">
        <v>214.0</v>
      </c>
      <c r="L11" s="115">
        <v>265.0</v>
      </c>
      <c r="M11" s="115">
        <v>0.7269194204673775</v>
      </c>
      <c r="N11" s="115">
        <v>1426818.72</v>
      </c>
      <c r="O11" s="115">
        <v>5224900.0</v>
      </c>
      <c r="P11" s="115"/>
      <c r="Q11" s="115"/>
      <c r="R11" s="115"/>
      <c r="S11" s="115"/>
      <c r="T11" s="115"/>
      <c r="U11" s="115">
        <v>0.0</v>
      </c>
      <c r="V11" s="115">
        <v>0.0</v>
      </c>
      <c r="W11" s="115">
        <v>1845.0</v>
      </c>
      <c r="X11" s="115">
        <v>870.0</v>
      </c>
      <c r="Y11" s="115">
        <v>150.0</v>
      </c>
      <c r="Z11" s="115">
        <v>385.0</v>
      </c>
      <c r="AA11" s="115">
        <v>16.0</v>
      </c>
      <c r="AB11" s="115"/>
      <c r="AC11" s="115">
        <v>29733.0</v>
      </c>
      <c r="AD11" s="115">
        <v>15165.0</v>
      </c>
      <c r="AE11" s="115">
        <v>1133.0</v>
      </c>
      <c r="AF11" s="115">
        <v>3433.0</v>
      </c>
      <c r="AG11" s="115">
        <v>198.0</v>
      </c>
    </row>
    <row r="12">
      <c r="A12" s="116">
        <v>46076.0</v>
      </c>
      <c r="B12" s="117">
        <v>0.0</v>
      </c>
      <c r="C12" s="117">
        <v>0.0</v>
      </c>
      <c r="D12" s="117">
        <v>5.0</v>
      </c>
      <c r="E12" s="117">
        <v>0.058333333333333334</v>
      </c>
      <c r="F12" s="117">
        <v>7.0</v>
      </c>
      <c r="G12" s="117">
        <v>120.0</v>
      </c>
      <c r="H12" s="117">
        <v>275.0</v>
      </c>
      <c r="I12" s="117">
        <v>28214.285714285714</v>
      </c>
      <c r="J12" s="117">
        <v>197500.0</v>
      </c>
      <c r="K12" s="117">
        <v>7.0</v>
      </c>
      <c r="L12" s="117">
        <v>7.0</v>
      </c>
      <c r="M12" s="117">
        <v>0.7</v>
      </c>
      <c r="N12" s="117">
        <v>59250.0</v>
      </c>
      <c r="O12" s="117">
        <v>197500.0</v>
      </c>
      <c r="P12" s="117"/>
      <c r="Q12" s="117"/>
      <c r="R12" s="117"/>
      <c r="S12" s="117"/>
      <c r="T12" s="117"/>
      <c r="U12" s="117">
        <v>0.0</v>
      </c>
      <c r="V12" s="117">
        <v>0.0</v>
      </c>
      <c r="W12" s="117"/>
      <c r="X12" s="117"/>
      <c r="Y12" s="117">
        <v>0.0</v>
      </c>
      <c r="Z12" s="117"/>
      <c r="AA12" s="117">
        <v>0.0</v>
      </c>
      <c r="AB12" s="117"/>
      <c r="AC12" s="117"/>
      <c r="AD12" s="117"/>
      <c r="AE12" s="117">
        <v>120.0</v>
      </c>
      <c r="AF12" s="117"/>
      <c r="AG12" s="117">
        <v>7.0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" width="15.13"/>
    <col customWidth="1" min="2" max="2" width="16.25"/>
    <col min="3" max="33" width="15.13"/>
  </cols>
  <sheetData>
    <row r="1" ht="36.0">
      <c r="A1" s="112" t="s">
        <v>147</v>
      </c>
    </row>
    <row r="2">
      <c r="A2" s="113" t="s">
        <v>129</v>
      </c>
      <c r="B2" s="113" t="s">
        <v>10</v>
      </c>
      <c r="C2" s="113" t="s">
        <v>13</v>
      </c>
      <c r="D2" s="113" t="s">
        <v>16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45992.0</v>
      </c>
      <c r="B3" s="115">
        <v>0.4652567975830816</v>
      </c>
      <c r="C3" s="115">
        <v>154.0</v>
      </c>
      <c r="D3" s="115">
        <v>331.0</v>
      </c>
      <c r="E3" s="115">
        <v>0.008843410189959657</v>
      </c>
      <c r="F3" s="115">
        <v>331.0</v>
      </c>
      <c r="G3" s="115">
        <v>37429.0</v>
      </c>
      <c r="H3" s="115">
        <v>130759.0</v>
      </c>
      <c r="I3" s="115">
        <v>46621.752265861025</v>
      </c>
      <c r="J3" s="115">
        <v>1.54318E7</v>
      </c>
      <c r="K3" s="115">
        <v>331.0</v>
      </c>
      <c r="L3" s="115">
        <v>416.0</v>
      </c>
      <c r="M3" s="115">
        <v>0.8754949644911028</v>
      </c>
      <c r="N3" s="115">
        <v>1921336.8069662</v>
      </c>
      <c r="O3" s="115">
        <v>1.54318E7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15147.0</v>
      </c>
      <c r="X3" s="115">
        <v>10816.0</v>
      </c>
      <c r="Y3" s="115">
        <v>6386.0</v>
      </c>
      <c r="Z3" s="115">
        <v>620.0</v>
      </c>
      <c r="AA3" s="115">
        <v>27.0</v>
      </c>
      <c r="AB3" s="115"/>
      <c r="AC3" s="115">
        <v>85079.0</v>
      </c>
      <c r="AD3" s="115">
        <v>64956.0</v>
      </c>
      <c r="AE3" s="115">
        <v>31043.0</v>
      </c>
      <c r="AF3" s="115">
        <v>5355.0</v>
      </c>
      <c r="AG3" s="115">
        <v>304.0</v>
      </c>
    </row>
    <row r="4">
      <c r="A4" s="116">
        <v>46023.0</v>
      </c>
      <c r="B4" s="117">
        <v>0.44333333333333336</v>
      </c>
      <c r="C4" s="117">
        <v>532.0</v>
      </c>
      <c r="D4" s="117">
        <v>1200.0</v>
      </c>
      <c r="E4" s="117">
        <v>0.12107979356887653</v>
      </c>
      <c r="F4" s="117">
        <v>1220.0</v>
      </c>
      <c r="G4" s="117">
        <v>10076.0</v>
      </c>
      <c r="H4" s="117">
        <v>32185.0</v>
      </c>
      <c r="I4" s="117">
        <v>23181.39344262295</v>
      </c>
      <c r="J4" s="117">
        <v>2.82813E7</v>
      </c>
      <c r="K4" s="117">
        <v>1220.0</v>
      </c>
      <c r="L4" s="117">
        <v>1751.0</v>
      </c>
      <c r="M4" s="117">
        <v>0.7434944156057607</v>
      </c>
      <c r="N4" s="117">
        <v>7254311.3839288</v>
      </c>
      <c r="O4" s="117">
        <v>2.82813E7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20716.0</v>
      </c>
      <c r="X4" s="117">
        <v>9802.0</v>
      </c>
      <c r="Y4" s="117">
        <v>1755.0</v>
      </c>
      <c r="Z4" s="117">
        <v>4056.0</v>
      </c>
      <c r="AA4" s="117">
        <v>275.0</v>
      </c>
      <c r="AB4" s="117"/>
      <c r="AC4" s="117">
        <v>88004.0</v>
      </c>
      <c r="AD4" s="117">
        <v>58080.0</v>
      </c>
      <c r="AE4" s="117">
        <v>8321.0</v>
      </c>
      <c r="AF4" s="117">
        <v>16121.0</v>
      </c>
      <c r="AG4" s="117">
        <v>945.0</v>
      </c>
    </row>
    <row r="5">
      <c r="A5" s="114">
        <v>46054.0</v>
      </c>
      <c r="B5" s="115">
        <v>0.0</v>
      </c>
      <c r="C5" s="115">
        <v>0.0</v>
      </c>
      <c r="D5" s="115">
        <v>598.0</v>
      </c>
      <c r="E5" s="115">
        <v>0.15896151218401275</v>
      </c>
      <c r="F5" s="115">
        <v>698.0</v>
      </c>
      <c r="G5" s="115">
        <v>4391.0</v>
      </c>
      <c r="H5" s="115">
        <v>11965.0</v>
      </c>
      <c r="I5" s="115">
        <v>24889.398280802292</v>
      </c>
      <c r="J5" s="115">
        <v>1.73728E7</v>
      </c>
      <c r="K5" s="115">
        <v>698.0</v>
      </c>
      <c r="L5" s="115">
        <v>1028.0</v>
      </c>
      <c r="M5" s="115">
        <v>0.7234989596961687</v>
      </c>
      <c r="N5" s="115">
        <v>4803597.2729904</v>
      </c>
      <c r="O5" s="115">
        <v>1.73728E7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13219.0</v>
      </c>
      <c r="X5" s="115">
        <v>4487.0</v>
      </c>
      <c r="Y5" s="115">
        <v>825.0</v>
      </c>
      <c r="Z5" s="115">
        <v>2699.0</v>
      </c>
      <c r="AA5" s="115">
        <v>159.0</v>
      </c>
      <c r="AB5" s="115"/>
      <c r="AC5" s="115">
        <v>65321.0</v>
      </c>
      <c r="AD5" s="115">
        <v>32715.0</v>
      </c>
      <c r="AE5" s="115">
        <v>3566.0</v>
      </c>
      <c r="AF5" s="115">
        <v>9761.0</v>
      </c>
      <c r="AG5" s="115">
        <v>539.0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62</v>
      </c>
      <c r="D1" s="125" t="s">
        <v>64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46014.0</v>
      </c>
      <c r="B2" s="127">
        <v>0.42857142857142855</v>
      </c>
      <c r="C2" s="127">
        <v>3.0</v>
      </c>
      <c r="D2" s="127">
        <v>7.0</v>
      </c>
      <c r="E2" s="127">
        <v>0.004146919431279621</v>
      </c>
      <c r="F2" s="127">
        <v>7.0</v>
      </c>
      <c r="G2" s="127">
        <v>1688.0</v>
      </c>
      <c r="H2" s="127">
        <v>4069.0</v>
      </c>
      <c r="I2" s="127">
        <v>16571.428571428572</v>
      </c>
      <c r="J2" s="127">
        <v>116000.0</v>
      </c>
      <c r="K2" s="127">
        <v>7.0</v>
      </c>
      <c r="L2" s="127">
        <v>7.0</v>
      </c>
      <c r="M2" s="127">
        <v>0.9772</v>
      </c>
      <c r="N2" s="127">
        <v>2644.8</v>
      </c>
      <c r="O2" s="127">
        <v>116000.0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313.0</v>
      </c>
      <c r="X2" s="127">
        <v>217.0</v>
      </c>
      <c r="Y2" s="127">
        <v>138.0</v>
      </c>
      <c r="Z2" s="127">
        <v>16.0</v>
      </c>
      <c r="AA2" s="127">
        <v>0.0</v>
      </c>
      <c r="AB2" s="127"/>
      <c r="AC2" s="127">
        <v>4131.0</v>
      </c>
      <c r="AD2" s="127">
        <v>2777.0</v>
      </c>
      <c r="AE2" s="127">
        <v>1550.0</v>
      </c>
      <c r="AF2" s="127">
        <v>162.0</v>
      </c>
      <c r="AG2" s="127">
        <v>7.0</v>
      </c>
    </row>
    <row r="3">
      <c r="A3" s="126">
        <v>46015.0</v>
      </c>
      <c r="B3" s="127">
        <v>0.0</v>
      </c>
      <c r="C3" s="127">
        <v>0.0</v>
      </c>
      <c r="D3" s="127">
        <v>4.0</v>
      </c>
      <c r="E3" s="127">
        <v>0.005307855626326964</v>
      </c>
      <c r="F3" s="127">
        <v>5.0</v>
      </c>
      <c r="G3" s="127">
        <v>942.0</v>
      </c>
      <c r="H3" s="127">
        <v>2084.0</v>
      </c>
      <c r="I3" s="127">
        <v>18120.0</v>
      </c>
      <c r="J3" s="127">
        <v>90600.0</v>
      </c>
      <c r="K3" s="127">
        <v>5.0</v>
      </c>
      <c r="L3" s="127">
        <v>5.0</v>
      </c>
      <c r="M3" s="127">
        <v>0.6059369133134658</v>
      </c>
      <c r="N3" s="127">
        <v>35702.1156538</v>
      </c>
      <c r="O3" s="127">
        <v>90600.0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253.0</v>
      </c>
      <c r="X3" s="127">
        <v>186.0</v>
      </c>
      <c r="Y3" s="127">
        <v>52.0</v>
      </c>
      <c r="Z3" s="127">
        <v>29.0</v>
      </c>
      <c r="AA3" s="127">
        <v>0.0</v>
      </c>
      <c r="AB3" s="127"/>
      <c r="AC3" s="127">
        <v>6033.0</v>
      </c>
      <c r="AD3" s="127">
        <v>4889.0</v>
      </c>
      <c r="AE3" s="127">
        <v>890.0</v>
      </c>
      <c r="AF3" s="127">
        <v>678.0</v>
      </c>
      <c r="AG3" s="127">
        <v>5.0</v>
      </c>
    </row>
    <row r="4">
      <c r="A4" s="126">
        <v>46016.0</v>
      </c>
      <c r="B4" s="127">
        <v>0.5</v>
      </c>
      <c r="C4" s="127">
        <v>6.0</v>
      </c>
      <c r="D4" s="127">
        <v>12.0</v>
      </c>
      <c r="E4" s="127">
        <v>0.01600985221674877</v>
      </c>
      <c r="F4" s="127">
        <v>13.0</v>
      </c>
      <c r="G4" s="127">
        <v>812.0</v>
      </c>
      <c r="H4" s="127">
        <v>1929.0</v>
      </c>
      <c r="I4" s="127">
        <v>35876.92307692308</v>
      </c>
      <c r="J4" s="127">
        <v>466400.0</v>
      </c>
      <c r="K4" s="127">
        <v>13.0</v>
      </c>
      <c r="L4" s="127">
        <v>17.0</v>
      </c>
      <c r="M4" s="127">
        <v>0.910536018201115</v>
      </c>
      <c r="N4" s="127">
        <v>41726.001111</v>
      </c>
      <c r="O4" s="127">
        <v>466400.0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246.0</v>
      </c>
      <c r="X4" s="127">
        <v>181.0</v>
      </c>
      <c r="Y4" s="127">
        <v>43.0</v>
      </c>
      <c r="Z4" s="127">
        <v>30.0</v>
      </c>
      <c r="AA4" s="127">
        <v>3.0</v>
      </c>
      <c r="AB4" s="127"/>
      <c r="AC4" s="127">
        <v>4808.0</v>
      </c>
      <c r="AD4" s="127">
        <v>4011.0</v>
      </c>
      <c r="AE4" s="127">
        <v>769.0</v>
      </c>
      <c r="AF4" s="127">
        <v>544.0</v>
      </c>
      <c r="AG4" s="127">
        <v>10.0</v>
      </c>
    </row>
    <row r="5">
      <c r="A5" s="126">
        <v>46017.0</v>
      </c>
      <c r="B5" s="127">
        <v>0.3333333333333333</v>
      </c>
      <c r="C5" s="127">
        <v>3.0</v>
      </c>
      <c r="D5" s="127">
        <v>9.0</v>
      </c>
      <c r="E5" s="127">
        <v>0.014844804318488529</v>
      </c>
      <c r="F5" s="127">
        <v>11.0</v>
      </c>
      <c r="G5" s="127">
        <v>741.0</v>
      </c>
      <c r="H5" s="127">
        <v>1731.0</v>
      </c>
      <c r="I5" s="127">
        <v>33090.90909090909</v>
      </c>
      <c r="J5" s="127">
        <v>364000.0</v>
      </c>
      <c r="K5" s="127">
        <v>11.0</v>
      </c>
      <c r="L5" s="127">
        <v>17.0</v>
      </c>
      <c r="M5" s="127">
        <v>0.8798711648846154</v>
      </c>
      <c r="N5" s="127">
        <v>43726.895982</v>
      </c>
      <c r="O5" s="127">
        <v>364000.0</v>
      </c>
      <c r="P5" s="127"/>
      <c r="Q5" s="127"/>
      <c r="R5" s="127"/>
      <c r="S5" s="127"/>
      <c r="T5" s="127"/>
      <c r="U5" s="127">
        <v>0.0</v>
      </c>
      <c r="V5" s="127">
        <v>0.0</v>
      </c>
      <c r="W5" s="127">
        <v>282.0</v>
      </c>
      <c r="X5" s="127">
        <v>206.0</v>
      </c>
      <c r="Y5" s="127">
        <v>55.0</v>
      </c>
      <c r="Z5" s="127">
        <v>36.0</v>
      </c>
      <c r="AA5" s="127">
        <v>3.0</v>
      </c>
      <c r="AB5" s="127"/>
      <c r="AC5" s="127">
        <v>4233.0</v>
      </c>
      <c r="AD5" s="127">
        <v>3329.0</v>
      </c>
      <c r="AE5" s="127">
        <v>686.0</v>
      </c>
      <c r="AF5" s="127">
        <v>530.0</v>
      </c>
      <c r="AG5" s="127">
        <v>8.0</v>
      </c>
    </row>
    <row r="6">
      <c r="A6" s="126">
        <v>46018.0</v>
      </c>
      <c r="B6" s="127">
        <v>0.45454545454545453</v>
      </c>
      <c r="C6" s="127">
        <v>5.0</v>
      </c>
      <c r="D6" s="127">
        <v>11.0</v>
      </c>
      <c r="E6" s="127">
        <v>0.016853932584269662</v>
      </c>
      <c r="F6" s="127">
        <v>12.0</v>
      </c>
      <c r="G6" s="127">
        <v>712.0</v>
      </c>
      <c r="H6" s="127">
        <v>1759.0</v>
      </c>
      <c r="I6" s="127">
        <v>54325.0</v>
      </c>
      <c r="J6" s="127">
        <v>651900.0</v>
      </c>
      <c r="K6" s="127">
        <v>12.0</v>
      </c>
      <c r="L6" s="127">
        <v>21.0</v>
      </c>
      <c r="M6" s="127">
        <v>0.9215153748065654</v>
      </c>
      <c r="N6" s="127">
        <v>51164.1271636</v>
      </c>
      <c r="O6" s="127">
        <v>651900.0</v>
      </c>
      <c r="P6" s="127"/>
      <c r="Q6" s="127"/>
      <c r="R6" s="127"/>
      <c r="S6" s="127"/>
      <c r="T6" s="127"/>
      <c r="U6" s="127">
        <v>0.0</v>
      </c>
      <c r="V6" s="127">
        <v>0.0</v>
      </c>
      <c r="W6" s="127">
        <v>269.0</v>
      </c>
      <c r="X6" s="127">
        <v>197.0</v>
      </c>
      <c r="Y6" s="127">
        <v>38.0</v>
      </c>
      <c r="Z6" s="127">
        <v>27.0</v>
      </c>
      <c r="AA6" s="127">
        <v>1.0</v>
      </c>
      <c r="AB6" s="127"/>
      <c r="AC6" s="127">
        <v>3660.0</v>
      </c>
      <c r="AD6" s="127">
        <v>3056.0</v>
      </c>
      <c r="AE6" s="127">
        <v>674.0</v>
      </c>
      <c r="AF6" s="127">
        <v>329.0</v>
      </c>
      <c r="AG6" s="127">
        <v>11.0</v>
      </c>
    </row>
    <row r="7">
      <c r="A7" s="126">
        <v>46019.0</v>
      </c>
      <c r="B7" s="127">
        <v>0.21808510638297873</v>
      </c>
      <c r="C7" s="127">
        <v>41.0</v>
      </c>
      <c r="D7" s="127">
        <v>188.0</v>
      </c>
      <c r="E7" s="127">
        <v>0.12998624484181567</v>
      </c>
      <c r="F7" s="127">
        <v>189.0</v>
      </c>
      <c r="G7" s="127">
        <v>1454.0</v>
      </c>
      <c r="H7" s="127">
        <v>3623.0</v>
      </c>
      <c r="I7" s="127">
        <v>48981.48148148148</v>
      </c>
      <c r="J7" s="127">
        <v>9257500.0</v>
      </c>
      <c r="K7" s="127">
        <v>189.0</v>
      </c>
      <c r="L7" s="127">
        <v>202.0</v>
      </c>
      <c r="M7" s="127">
        <v>0.947238323143138</v>
      </c>
      <c r="N7" s="127">
        <v>488441.2235024</v>
      </c>
      <c r="O7" s="127">
        <v>9257500.0</v>
      </c>
      <c r="P7" s="127"/>
      <c r="Q7" s="127"/>
      <c r="R7" s="127"/>
      <c r="S7" s="127"/>
      <c r="T7" s="127"/>
      <c r="U7" s="127">
        <v>0.0</v>
      </c>
      <c r="V7" s="127">
        <v>0.0</v>
      </c>
      <c r="W7" s="127">
        <v>407.0</v>
      </c>
      <c r="X7" s="127">
        <v>342.0</v>
      </c>
      <c r="Y7" s="127">
        <v>62.0</v>
      </c>
      <c r="Z7" s="127">
        <v>59.0</v>
      </c>
      <c r="AA7" s="127">
        <v>4.0</v>
      </c>
      <c r="AB7" s="127"/>
      <c r="AC7" s="127">
        <v>10978.0</v>
      </c>
      <c r="AD7" s="127">
        <v>10149.0</v>
      </c>
      <c r="AE7" s="127">
        <v>1392.0</v>
      </c>
      <c r="AF7" s="127">
        <v>2115.0</v>
      </c>
      <c r="AG7" s="127">
        <v>185.0</v>
      </c>
    </row>
    <row r="8">
      <c r="A8" s="126">
        <v>46020.0</v>
      </c>
      <c r="B8" s="127">
        <v>0.2459016393442623</v>
      </c>
      <c r="C8" s="127">
        <v>15.0</v>
      </c>
      <c r="D8" s="127">
        <v>61.0</v>
      </c>
      <c r="E8" s="127">
        <v>0.06528497409326425</v>
      </c>
      <c r="F8" s="127">
        <v>63.0</v>
      </c>
      <c r="G8" s="127">
        <v>965.0</v>
      </c>
      <c r="H8" s="127">
        <v>2326.0</v>
      </c>
      <c r="I8" s="127">
        <v>45303.1746031746</v>
      </c>
      <c r="J8" s="127">
        <v>2854100.0</v>
      </c>
      <c r="K8" s="127">
        <v>63.0</v>
      </c>
      <c r="L8" s="127">
        <v>84.0</v>
      </c>
      <c r="M8" s="127">
        <v>0.9383366296625206</v>
      </c>
      <c r="N8" s="127">
        <v>175993.4252802</v>
      </c>
      <c r="O8" s="127">
        <v>2854100.0</v>
      </c>
      <c r="P8" s="127"/>
      <c r="Q8" s="127"/>
      <c r="R8" s="127"/>
      <c r="S8" s="127"/>
      <c r="T8" s="127"/>
      <c r="U8" s="127">
        <v>0.0</v>
      </c>
      <c r="V8" s="127">
        <v>0.0</v>
      </c>
      <c r="W8" s="127">
        <v>382.0</v>
      </c>
      <c r="X8" s="127">
        <v>301.0</v>
      </c>
      <c r="Y8" s="127">
        <v>60.0</v>
      </c>
      <c r="Z8" s="127">
        <v>37.0</v>
      </c>
      <c r="AA8" s="127">
        <v>1.0</v>
      </c>
      <c r="AB8" s="127"/>
      <c r="AC8" s="127">
        <v>6469.0</v>
      </c>
      <c r="AD8" s="127">
        <v>5504.0</v>
      </c>
      <c r="AE8" s="127">
        <v>905.0</v>
      </c>
      <c r="AF8" s="127">
        <v>701.0</v>
      </c>
      <c r="AG8" s="127">
        <v>62.0</v>
      </c>
    </row>
    <row r="9">
      <c r="A9" s="126">
        <v>46021.0</v>
      </c>
      <c r="B9" s="127">
        <v>0.22727272727272727</v>
      </c>
      <c r="C9" s="127">
        <v>5.0</v>
      </c>
      <c r="D9" s="127">
        <v>22.0</v>
      </c>
      <c r="E9" s="127">
        <v>0.0321285140562249</v>
      </c>
      <c r="F9" s="127">
        <v>24.0</v>
      </c>
      <c r="G9" s="127">
        <v>747.0</v>
      </c>
      <c r="H9" s="127">
        <v>1687.0</v>
      </c>
      <c r="I9" s="127">
        <v>39795.833333333336</v>
      </c>
      <c r="J9" s="127">
        <v>955100.0</v>
      </c>
      <c r="K9" s="127">
        <v>24.0</v>
      </c>
      <c r="L9" s="127">
        <v>38.0</v>
      </c>
      <c r="M9" s="127">
        <v>0.9311871474882212</v>
      </c>
      <c r="N9" s="127">
        <v>65723.155434</v>
      </c>
      <c r="O9" s="127">
        <v>955100.0</v>
      </c>
      <c r="P9" s="127"/>
      <c r="Q9" s="127"/>
      <c r="R9" s="127"/>
      <c r="S9" s="127"/>
      <c r="T9" s="127"/>
      <c r="U9" s="127">
        <v>0.0</v>
      </c>
      <c r="V9" s="127">
        <v>0.0</v>
      </c>
      <c r="W9" s="127">
        <v>310.0</v>
      </c>
      <c r="X9" s="127">
        <v>225.0</v>
      </c>
      <c r="Y9" s="127">
        <v>55.0</v>
      </c>
      <c r="Z9" s="127">
        <v>30.0</v>
      </c>
      <c r="AA9" s="127">
        <v>2.0</v>
      </c>
      <c r="AB9" s="127"/>
      <c r="AC9" s="127">
        <v>4334.0</v>
      </c>
      <c r="AD9" s="127">
        <v>3462.0</v>
      </c>
      <c r="AE9" s="127">
        <v>692.0</v>
      </c>
      <c r="AF9" s="127">
        <v>343.0</v>
      </c>
      <c r="AG9" s="127">
        <v>22.0</v>
      </c>
    </row>
    <row r="10">
      <c r="A10" s="126">
        <v>46022.0</v>
      </c>
      <c r="B10" s="127">
        <v>0.29411764705882354</v>
      </c>
      <c r="C10" s="127">
        <v>5.0</v>
      </c>
      <c r="D10" s="127">
        <v>17.0</v>
      </c>
      <c r="E10" s="127">
        <v>0.02857142857142857</v>
      </c>
      <c r="F10" s="127">
        <v>18.0</v>
      </c>
      <c r="G10" s="127">
        <v>630.0</v>
      </c>
      <c r="H10" s="127">
        <v>1498.0</v>
      </c>
      <c r="I10" s="127">
        <v>37566.666666666664</v>
      </c>
      <c r="J10" s="127">
        <v>676200.0</v>
      </c>
      <c r="K10" s="127">
        <v>18.0</v>
      </c>
      <c r="L10" s="127">
        <v>25.0</v>
      </c>
      <c r="M10" s="127">
        <v>0.9177947729606625</v>
      </c>
      <c r="N10" s="127">
        <v>55587.174524</v>
      </c>
      <c r="O10" s="127">
        <v>676200.0</v>
      </c>
      <c r="P10" s="127"/>
      <c r="Q10" s="127"/>
      <c r="R10" s="127"/>
      <c r="S10" s="127"/>
      <c r="T10" s="127"/>
      <c r="U10" s="127">
        <v>0.0</v>
      </c>
      <c r="V10" s="127">
        <v>0.0</v>
      </c>
      <c r="W10" s="127">
        <v>318.0</v>
      </c>
      <c r="X10" s="127">
        <v>193.0</v>
      </c>
      <c r="Y10" s="127">
        <v>42.0</v>
      </c>
      <c r="Z10" s="127">
        <v>47.0</v>
      </c>
      <c r="AA10" s="127">
        <v>0.0</v>
      </c>
      <c r="AB10" s="127"/>
      <c r="AC10" s="127">
        <v>4415.0</v>
      </c>
      <c r="AD10" s="127">
        <v>3492.0</v>
      </c>
      <c r="AE10" s="127">
        <v>588.0</v>
      </c>
      <c r="AF10" s="127">
        <v>529.0</v>
      </c>
      <c r="AG10" s="127">
        <v>18.0</v>
      </c>
    </row>
    <row r="11">
      <c r="A11" s="126">
        <v>46023.0</v>
      </c>
      <c r="B11" s="127">
        <v>0.27586206896551724</v>
      </c>
      <c r="C11" s="127">
        <v>8.0</v>
      </c>
      <c r="D11" s="127">
        <v>29.0</v>
      </c>
      <c r="E11" s="127">
        <v>0.03686635944700461</v>
      </c>
      <c r="F11" s="127">
        <v>32.0</v>
      </c>
      <c r="G11" s="127">
        <v>868.0</v>
      </c>
      <c r="H11" s="127">
        <v>2031.0</v>
      </c>
      <c r="I11" s="127">
        <v>35596.875</v>
      </c>
      <c r="J11" s="127">
        <v>1139100.0</v>
      </c>
      <c r="K11" s="127">
        <v>32.0</v>
      </c>
      <c r="L11" s="127">
        <v>44.0</v>
      </c>
      <c r="M11" s="127">
        <v>0.9305634362203494</v>
      </c>
      <c r="N11" s="127">
        <v>79095.1898014</v>
      </c>
      <c r="O11" s="127">
        <v>1139100.0</v>
      </c>
      <c r="P11" s="127"/>
      <c r="Q11" s="127"/>
      <c r="R11" s="127"/>
      <c r="S11" s="127"/>
      <c r="T11" s="127"/>
      <c r="U11" s="127">
        <v>0.0</v>
      </c>
      <c r="V11" s="127">
        <v>0.0</v>
      </c>
      <c r="W11" s="127">
        <v>501.0</v>
      </c>
      <c r="X11" s="127">
        <v>284.0</v>
      </c>
      <c r="Y11" s="127">
        <v>47.0</v>
      </c>
      <c r="Z11" s="127">
        <v>70.0</v>
      </c>
      <c r="AA11" s="127">
        <v>2.0</v>
      </c>
      <c r="AB11" s="127"/>
      <c r="AC11" s="127">
        <v>6587.0</v>
      </c>
      <c r="AD11" s="127">
        <v>5590.0</v>
      </c>
      <c r="AE11" s="127">
        <v>821.0</v>
      </c>
      <c r="AF11" s="127">
        <v>845.0</v>
      </c>
      <c r="AG11" s="127">
        <v>30.0</v>
      </c>
    </row>
    <row r="12">
      <c r="A12" s="126">
        <v>46024.0</v>
      </c>
      <c r="B12" s="127">
        <v>0.25</v>
      </c>
      <c r="C12" s="127">
        <v>4.0</v>
      </c>
      <c r="D12" s="127">
        <v>16.0</v>
      </c>
      <c r="E12" s="127">
        <v>0.03349282296650718</v>
      </c>
      <c r="F12" s="127">
        <v>21.0</v>
      </c>
      <c r="G12" s="127">
        <v>627.0</v>
      </c>
      <c r="H12" s="127">
        <v>1433.0</v>
      </c>
      <c r="I12" s="127">
        <v>28090.47619047619</v>
      </c>
      <c r="J12" s="127">
        <v>589900.0</v>
      </c>
      <c r="K12" s="127">
        <v>21.0</v>
      </c>
      <c r="L12" s="127">
        <v>27.0</v>
      </c>
      <c r="M12" s="127">
        <v>0.9109422192876758</v>
      </c>
      <c r="N12" s="127">
        <v>52535.184842200004</v>
      </c>
      <c r="O12" s="127">
        <v>589900.0</v>
      </c>
      <c r="P12" s="127"/>
      <c r="Q12" s="127"/>
      <c r="R12" s="127"/>
      <c r="S12" s="127"/>
      <c r="T12" s="127"/>
      <c r="U12" s="127">
        <v>0.0</v>
      </c>
      <c r="V12" s="127">
        <v>0.0</v>
      </c>
      <c r="W12" s="127">
        <v>425.0</v>
      </c>
      <c r="X12" s="127">
        <v>247.0</v>
      </c>
      <c r="Y12" s="127">
        <v>48.0</v>
      </c>
      <c r="Z12" s="127">
        <v>53.0</v>
      </c>
      <c r="AA12" s="127">
        <v>0.0</v>
      </c>
      <c r="AB12" s="127"/>
      <c r="AC12" s="127">
        <v>4327.0</v>
      </c>
      <c r="AD12" s="127">
        <v>3274.0</v>
      </c>
      <c r="AE12" s="127">
        <v>579.0</v>
      </c>
      <c r="AF12" s="127">
        <v>468.0</v>
      </c>
      <c r="AG12" s="127">
        <v>21.0</v>
      </c>
    </row>
    <row r="13">
      <c r="A13" s="126">
        <v>46025.0</v>
      </c>
      <c r="B13" s="127">
        <v>0.4444444444444444</v>
      </c>
      <c r="C13" s="127">
        <v>4.0</v>
      </c>
      <c r="D13" s="127">
        <v>9.0</v>
      </c>
      <c r="E13" s="127">
        <v>0.020442930153321975</v>
      </c>
      <c r="F13" s="127">
        <v>12.0</v>
      </c>
      <c r="G13" s="127">
        <v>587.0</v>
      </c>
      <c r="H13" s="127">
        <v>1411.0</v>
      </c>
      <c r="I13" s="127">
        <v>24575.0</v>
      </c>
      <c r="J13" s="127">
        <v>294900.0</v>
      </c>
      <c r="K13" s="127">
        <v>12.0</v>
      </c>
      <c r="L13" s="127">
        <v>16.0</v>
      </c>
      <c r="M13" s="127">
        <v>0.8917755975822312</v>
      </c>
      <c r="N13" s="127">
        <v>31915.376273</v>
      </c>
      <c r="O13" s="127">
        <v>294900.0</v>
      </c>
      <c r="P13" s="127"/>
      <c r="Q13" s="127"/>
      <c r="R13" s="127"/>
      <c r="S13" s="127"/>
      <c r="T13" s="127"/>
      <c r="U13" s="127">
        <v>0.0</v>
      </c>
      <c r="V13" s="127">
        <v>0.0</v>
      </c>
      <c r="W13" s="127">
        <v>457.0</v>
      </c>
      <c r="X13" s="127">
        <v>227.0</v>
      </c>
      <c r="Y13" s="127">
        <v>54.0</v>
      </c>
      <c r="Z13" s="127">
        <v>43.0</v>
      </c>
      <c r="AA13" s="127">
        <v>3.0</v>
      </c>
      <c r="AB13" s="127"/>
      <c r="AC13" s="127">
        <v>3667.0</v>
      </c>
      <c r="AD13" s="127">
        <v>2551.0</v>
      </c>
      <c r="AE13" s="127">
        <v>533.0</v>
      </c>
      <c r="AF13" s="127">
        <v>411.0</v>
      </c>
      <c r="AG13" s="127">
        <v>9.0</v>
      </c>
    </row>
    <row r="14">
      <c r="A14" s="126">
        <v>46026.0</v>
      </c>
      <c r="B14" s="127">
        <v>0.5</v>
      </c>
      <c r="C14" s="127">
        <v>3.0</v>
      </c>
      <c r="D14" s="127">
        <v>6.0</v>
      </c>
      <c r="E14" s="127">
        <v>0.014084507042253521</v>
      </c>
      <c r="F14" s="127">
        <v>8.0</v>
      </c>
      <c r="G14" s="127">
        <v>568.0</v>
      </c>
      <c r="H14" s="127">
        <v>1424.0</v>
      </c>
      <c r="I14" s="127">
        <v>22425.0</v>
      </c>
      <c r="J14" s="127">
        <v>179400.0</v>
      </c>
      <c r="K14" s="127">
        <v>8.0</v>
      </c>
      <c r="L14" s="127">
        <v>11.0</v>
      </c>
      <c r="M14" s="127">
        <v>0.868656339845039</v>
      </c>
      <c r="N14" s="127">
        <v>23563.0526318</v>
      </c>
      <c r="O14" s="127">
        <v>179400.0</v>
      </c>
      <c r="P14" s="127"/>
      <c r="Q14" s="127"/>
      <c r="R14" s="127"/>
      <c r="S14" s="127"/>
      <c r="T14" s="127"/>
      <c r="U14" s="127">
        <v>0.0</v>
      </c>
      <c r="V14" s="127">
        <v>0.0</v>
      </c>
      <c r="W14" s="127">
        <v>474.0</v>
      </c>
      <c r="X14" s="127">
        <v>240.0</v>
      </c>
      <c r="Y14" s="127">
        <v>48.0</v>
      </c>
      <c r="Z14" s="127">
        <v>54.0</v>
      </c>
      <c r="AA14" s="127">
        <v>2.0</v>
      </c>
      <c r="AB14" s="127"/>
      <c r="AC14" s="127">
        <v>3596.0</v>
      </c>
      <c r="AD14" s="127">
        <v>2541.0</v>
      </c>
      <c r="AE14" s="127">
        <v>520.0</v>
      </c>
      <c r="AF14" s="127">
        <v>426.0</v>
      </c>
      <c r="AG14" s="127">
        <v>6.0</v>
      </c>
    </row>
    <row r="15">
      <c r="A15" s="126">
        <v>46027.0</v>
      </c>
      <c r="B15" s="127">
        <v>0.5</v>
      </c>
      <c r="C15" s="127">
        <v>6.0</v>
      </c>
      <c r="D15" s="127">
        <v>12.0</v>
      </c>
      <c r="E15" s="127">
        <v>0.026833631484794274</v>
      </c>
      <c r="F15" s="127">
        <v>15.0</v>
      </c>
      <c r="G15" s="127">
        <v>559.0</v>
      </c>
      <c r="H15" s="127">
        <v>1308.0</v>
      </c>
      <c r="I15" s="127">
        <v>30500.0</v>
      </c>
      <c r="J15" s="127">
        <v>457500.0</v>
      </c>
      <c r="K15" s="127">
        <v>15.0</v>
      </c>
      <c r="L15" s="127">
        <v>20.0</v>
      </c>
      <c r="M15" s="127">
        <v>0.9117200136493989</v>
      </c>
      <c r="N15" s="127">
        <v>40388.0937554</v>
      </c>
      <c r="O15" s="127">
        <v>457500.0</v>
      </c>
      <c r="P15" s="127"/>
      <c r="Q15" s="127"/>
      <c r="R15" s="127"/>
      <c r="S15" s="127"/>
      <c r="T15" s="127"/>
      <c r="U15" s="127">
        <v>0.0</v>
      </c>
      <c r="V15" s="127">
        <v>0.0</v>
      </c>
      <c r="W15" s="127">
        <v>452.0</v>
      </c>
      <c r="X15" s="127">
        <v>212.0</v>
      </c>
      <c r="Y15" s="127">
        <v>45.0</v>
      </c>
      <c r="Z15" s="127">
        <v>57.0</v>
      </c>
      <c r="AA15" s="127">
        <v>2.0</v>
      </c>
      <c r="AB15" s="127"/>
      <c r="AC15" s="127">
        <v>3542.0</v>
      </c>
      <c r="AD15" s="127">
        <v>2528.0</v>
      </c>
      <c r="AE15" s="127">
        <v>514.0</v>
      </c>
      <c r="AF15" s="127">
        <v>401.0</v>
      </c>
      <c r="AG15" s="127">
        <v>13.0</v>
      </c>
    </row>
    <row r="16">
      <c r="A16" s="126">
        <v>46028.0</v>
      </c>
      <c r="B16" s="127">
        <v>0.26666666666666666</v>
      </c>
      <c r="C16" s="127">
        <v>4.0</v>
      </c>
      <c r="D16" s="127">
        <v>15.0</v>
      </c>
      <c r="E16" s="127">
        <v>0.03345070422535211</v>
      </c>
      <c r="F16" s="127">
        <v>19.0</v>
      </c>
      <c r="G16" s="127">
        <v>568.0</v>
      </c>
      <c r="H16" s="127">
        <v>1286.0</v>
      </c>
      <c r="I16" s="127">
        <v>27689.473684210527</v>
      </c>
      <c r="J16" s="127">
        <v>526100.0</v>
      </c>
      <c r="K16" s="127">
        <v>19.0</v>
      </c>
      <c r="L16" s="127">
        <v>24.0</v>
      </c>
      <c r="M16" s="127">
        <v>0.8922498991993918</v>
      </c>
      <c r="N16" s="127">
        <v>56687.3280312</v>
      </c>
      <c r="O16" s="127">
        <v>526100.0</v>
      </c>
      <c r="P16" s="127"/>
      <c r="Q16" s="127"/>
      <c r="R16" s="127"/>
      <c r="S16" s="127"/>
      <c r="T16" s="127"/>
      <c r="U16" s="127">
        <v>0.0</v>
      </c>
      <c r="V16" s="127">
        <v>0.0</v>
      </c>
      <c r="W16" s="127">
        <v>395.0</v>
      </c>
      <c r="X16" s="127">
        <v>211.0</v>
      </c>
      <c r="Y16" s="127">
        <v>65.0</v>
      </c>
      <c r="Z16" s="127">
        <v>41.0</v>
      </c>
      <c r="AA16" s="127">
        <v>5.0</v>
      </c>
      <c r="AB16" s="127"/>
      <c r="AC16" s="127">
        <v>3790.0</v>
      </c>
      <c r="AD16" s="127">
        <v>2809.0</v>
      </c>
      <c r="AE16" s="127">
        <v>503.0</v>
      </c>
      <c r="AF16" s="127">
        <v>306.0</v>
      </c>
      <c r="AG16" s="127">
        <v>14.0</v>
      </c>
    </row>
    <row r="17">
      <c r="A17" s="126">
        <v>46029.0</v>
      </c>
      <c r="B17" s="127">
        <v>0.2727272727272727</v>
      </c>
      <c r="C17" s="127">
        <v>3.0</v>
      </c>
      <c r="D17" s="127">
        <v>11.0</v>
      </c>
      <c r="E17" s="127">
        <v>0.02023608768971332</v>
      </c>
      <c r="F17" s="127">
        <v>12.0</v>
      </c>
      <c r="G17" s="127">
        <v>593.0</v>
      </c>
      <c r="H17" s="127">
        <v>1380.0</v>
      </c>
      <c r="I17" s="127">
        <v>19000.0</v>
      </c>
      <c r="J17" s="127">
        <v>228000.0</v>
      </c>
      <c r="K17" s="127">
        <v>12.0</v>
      </c>
      <c r="L17" s="127">
        <v>15.0</v>
      </c>
      <c r="M17" s="127">
        <v>0.8678121189622807</v>
      </c>
      <c r="N17" s="127">
        <v>30138.836876600002</v>
      </c>
      <c r="O17" s="127">
        <v>228000.0</v>
      </c>
      <c r="P17" s="127"/>
      <c r="Q17" s="127"/>
      <c r="R17" s="127"/>
      <c r="S17" s="127"/>
      <c r="T17" s="127"/>
      <c r="U17" s="127">
        <v>0.0</v>
      </c>
      <c r="V17" s="127">
        <v>0.0</v>
      </c>
      <c r="W17" s="127">
        <v>414.0</v>
      </c>
      <c r="X17" s="127">
        <v>214.0</v>
      </c>
      <c r="Y17" s="127">
        <v>44.0</v>
      </c>
      <c r="Z17" s="127">
        <v>22.0</v>
      </c>
      <c r="AA17" s="127">
        <v>4.0</v>
      </c>
      <c r="AB17" s="127"/>
      <c r="AC17" s="127">
        <v>3790.0</v>
      </c>
      <c r="AD17" s="127">
        <v>2802.0</v>
      </c>
      <c r="AE17" s="127">
        <v>549.0</v>
      </c>
      <c r="AF17" s="127">
        <v>124.0</v>
      </c>
      <c r="AG17" s="127">
        <v>8.0</v>
      </c>
    </row>
    <row r="18">
      <c r="A18" s="126">
        <v>46030.0</v>
      </c>
      <c r="B18" s="127">
        <v>0.53125</v>
      </c>
      <c r="C18" s="127">
        <v>17.0</v>
      </c>
      <c r="D18" s="127">
        <v>32.0</v>
      </c>
      <c r="E18" s="127">
        <v>0.06218487394957983</v>
      </c>
      <c r="F18" s="127">
        <v>37.0</v>
      </c>
      <c r="G18" s="127">
        <v>595.0</v>
      </c>
      <c r="H18" s="127">
        <v>1411.0</v>
      </c>
      <c r="I18" s="127">
        <v>23218.91891891892</v>
      </c>
      <c r="J18" s="127">
        <v>859100.0</v>
      </c>
      <c r="K18" s="127">
        <v>37.0</v>
      </c>
      <c r="L18" s="127">
        <v>46.0</v>
      </c>
      <c r="M18" s="127">
        <v>0.7678773827514841</v>
      </c>
      <c r="N18" s="127">
        <v>199416.5404782</v>
      </c>
      <c r="O18" s="127">
        <v>859100.0</v>
      </c>
      <c r="P18" s="127"/>
      <c r="Q18" s="127"/>
      <c r="R18" s="127"/>
      <c r="S18" s="127"/>
      <c r="T18" s="127"/>
      <c r="U18" s="127">
        <v>0.0</v>
      </c>
      <c r="V18" s="127">
        <v>0.0</v>
      </c>
      <c r="W18" s="127">
        <v>472.0</v>
      </c>
      <c r="X18" s="127">
        <v>238.0</v>
      </c>
      <c r="Y18" s="127">
        <v>46.0</v>
      </c>
      <c r="Z18" s="127">
        <v>43.0</v>
      </c>
      <c r="AA18" s="127">
        <v>5.0</v>
      </c>
      <c r="AB18" s="127"/>
      <c r="AC18" s="127">
        <v>3579.0</v>
      </c>
      <c r="AD18" s="127">
        <v>2607.0</v>
      </c>
      <c r="AE18" s="127">
        <v>549.0</v>
      </c>
      <c r="AF18" s="127">
        <v>330.0</v>
      </c>
      <c r="AG18" s="127">
        <v>32.0</v>
      </c>
    </row>
    <row r="19">
      <c r="A19" s="126">
        <v>46031.0</v>
      </c>
      <c r="B19" s="127">
        <v>0.2857142857142857</v>
      </c>
      <c r="C19" s="127">
        <v>12.0</v>
      </c>
      <c r="D19" s="127">
        <v>42.0</v>
      </c>
      <c r="E19" s="127">
        <v>0.1</v>
      </c>
      <c r="F19" s="127">
        <v>46.0</v>
      </c>
      <c r="G19" s="127">
        <v>460.0</v>
      </c>
      <c r="H19" s="127">
        <v>998.0</v>
      </c>
      <c r="I19" s="127">
        <v>20354.347826086956</v>
      </c>
      <c r="J19" s="127">
        <v>936300.0</v>
      </c>
      <c r="K19" s="127">
        <v>46.0</v>
      </c>
      <c r="L19" s="127">
        <v>51.0</v>
      </c>
      <c r="M19" s="127">
        <v>0.7184941457776354</v>
      </c>
      <c r="N19" s="127">
        <v>263573.9313084</v>
      </c>
      <c r="O19" s="127">
        <v>936300.0</v>
      </c>
      <c r="P19" s="127"/>
      <c r="Q19" s="127"/>
      <c r="R19" s="127"/>
      <c r="S19" s="127"/>
      <c r="T19" s="127"/>
      <c r="U19" s="127">
        <v>0.0</v>
      </c>
      <c r="V19" s="127">
        <v>0.0</v>
      </c>
      <c r="W19" s="127">
        <v>370.0</v>
      </c>
      <c r="X19" s="127">
        <v>190.0</v>
      </c>
      <c r="Y19" s="127">
        <v>44.0</v>
      </c>
      <c r="Z19" s="127">
        <v>71.0</v>
      </c>
      <c r="AA19" s="127">
        <v>4.0</v>
      </c>
      <c r="AB19" s="127"/>
      <c r="AC19" s="127">
        <v>3371.0</v>
      </c>
      <c r="AD19" s="127">
        <v>2187.0</v>
      </c>
      <c r="AE19" s="127">
        <v>416.0</v>
      </c>
      <c r="AF19" s="127">
        <v>550.0</v>
      </c>
      <c r="AG19" s="127">
        <v>42.0</v>
      </c>
    </row>
    <row r="20">
      <c r="A20" s="126">
        <v>46032.0</v>
      </c>
      <c r="B20" s="127">
        <v>0.27450980392156865</v>
      </c>
      <c r="C20" s="127">
        <v>14.0</v>
      </c>
      <c r="D20" s="127">
        <v>51.0</v>
      </c>
      <c r="E20" s="127">
        <v>0.11363636363636363</v>
      </c>
      <c r="F20" s="127">
        <v>55.0</v>
      </c>
      <c r="G20" s="127">
        <v>484.0</v>
      </c>
      <c r="H20" s="127">
        <v>1118.0</v>
      </c>
      <c r="I20" s="127">
        <v>22749.090909090908</v>
      </c>
      <c r="J20" s="127">
        <v>1251200.0</v>
      </c>
      <c r="K20" s="127">
        <v>55.0</v>
      </c>
      <c r="L20" s="127">
        <v>70.0</v>
      </c>
      <c r="M20" s="127">
        <v>0.7211580695231777</v>
      </c>
      <c r="N20" s="127">
        <v>348887.0234126</v>
      </c>
      <c r="O20" s="127">
        <v>1251200.0</v>
      </c>
      <c r="P20" s="127"/>
      <c r="Q20" s="127"/>
      <c r="R20" s="127"/>
      <c r="S20" s="127"/>
      <c r="T20" s="127"/>
      <c r="U20" s="127">
        <v>0.0</v>
      </c>
      <c r="V20" s="127">
        <v>0.0</v>
      </c>
      <c r="W20" s="127">
        <v>398.0</v>
      </c>
      <c r="X20" s="127">
        <v>173.0</v>
      </c>
      <c r="Y20" s="127">
        <v>36.0</v>
      </c>
      <c r="Z20" s="127">
        <v>48.0</v>
      </c>
      <c r="AA20" s="127">
        <v>5.0</v>
      </c>
      <c r="AB20" s="127"/>
      <c r="AC20" s="127">
        <v>3710.0</v>
      </c>
      <c r="AD20" s="127">
        <v>2556.0</v>
      </c>
      <c r="AE20" s="127">
        <v>448.0</v>
      </c>
      <c r="AF20" s="127">
        <v>719.0</v>
      </c>
      <c r="AG20" s="127">
        <v>50.0</v>
      </c>
    </row>
    <row r="21">
      <c r="A21" s="126">
        <v>46033.0</v>
      </c>
      <c r="B21" s="127">
        <v>0.3</v>
      </c>
      <c r="C21" s="127">
        <v>12.0</v>
      </c>
      <c r="D21" s="127">
        <v>40.0</v>
      </c>
      <c r="E21" s="127">
        <v>0.11574074074074074</v>
      </c>
      <c r="F21" s="127">
        <v>50.0</v>
      </c>
      <c r="G21" s="127">
        <v>432.0</v>
      </c>
      <c r="H21" s="127">
        <v>939.0</v>
      </c>
      <c r="I21" s="127">
        <v>20030.0</v>
      </c>
      <c r="J21" s="127">
        <v>1001500.0</v>
      </c>
      <c r="K21" s="127">
        <v>50.0</v>
      </c>
      <c r="L21" s="127">
        <v>57.0</v>
      </c>
      <c r="M21" s="127">
        <v>0.7329074947263106</v>
      </c>
      <c r="N21" s="127">
        <v>267493.1440316</v>
      </c>
      <c r="O21" s="127">
        <v>1001500.0</v>
      </c>
      <c r="P21" s="127"/>
      <c r="Q21" s="127"/>
      <c r="R21" s="127"/>
      <c r="S21" s="127"/>
      <c r="T21" s="127"/>
      <c r="U21" s="127">
        <v>0.0</v>
      </c>
      <c r="V21" s="127">
        <v>0.0</v>
      </c>
      <c r="W21" s="127">
        <v>400.0</v>
      </c>
      <c r="X21" s="127">
        <v>182.0</v>
      </c>
      <c r="Y21" s="127">
        <v>32.0</v>
      </c>
      <c r="Z21" s="127">
        <v>65.0</v>
      </c>
      <c r="AA21" s="127">
        <v>2.0</v>
      </c>
      <c r="AB21" s="127"/>
      <c r="AC21" s="127">
        <v>3346.0</v>
      </c>
      <c r="AD21" s="127">
        <v>2357.0</v>
      </c>
      <c r="AE21" s="127">
        <v>400.0</v>
      </c>
      <c r="AF21" s="127">
        <v>639.0</v>
      </c>
      <c r="AG21" s="127">
        <v>48.0</v>
      </c>
    </row>
    <row r="22">
      <c r="A22" s="126">
        <v>46034.0</v>
      </c>
      <c r="B22" s="127">
        <v>0.32558139534883723</v>
      </c>
      <c r="C22" s="127">
        <v>14.0</v>
      </c>
      <c r="D22" s="127">
        <v>43.0</v>
      </c>
      <c r="E22" s="127">
        <v>0.12873563218390804</v>
      </c>
      <c r="F22" s="127">
        <v>56.0</v>
      </c>
      <c r="G22" s="127">
        <v>435.0</v>
      </c>
      <c r="H22" s="127">
        <v>974.0</v>
      </c>
      <c r="I22" s="127">
        <v>22975.0</v>
      </c>
      <c r="J22" s="127">
        <v>1286600.0</v>
      </c>
      <c r="K22" s="127">
        <v>56.0</v>
      </c>
      <c r="L22" s="127">
        <v>71.0</v>
      </c>
      <c r="M22" s="127">
        <v>0.7282688154472252</v>
      </c>
      <c r="N22" s="127">
        <v>349609.3420456</v>
      </c>
      <c r="O22" s="127">
        <v>1286600.0</v>
      </c>
      <c r="P22" s="127"/>
      <c r="Q22" s="127"/>
      <c r="R22" s="127"/>
      <c r="S22" s="127"/>
      <c r="T22" s="127"/>
      <c r="U22" s="127">
        <v>0.0</v>
      </c>
      <c r="V22" s="127">
        <v>0.0</v>
      </c>
      <c r="W22" s="127">
        <v>483.0</v>
      </c>
      <c r="X22" s="127">
        <v>215.0</v>
      </c>
      <c r="Y22" s="127">
        <v>42.0</v>
      </c>
      <c r="Z22" s="127">
        <v>93.0</v>
      </c>
      <c r="AA22" s="127">
        <v>7.0</v>
      </c>
      <c r="AB22" s="127"/>
      <c r="AC22" s="127">
        <v>3794.0</v>
      </c>
      <c r="AD22" s="127">
        <v>2411.0</v>
      </c>
      <c r="AE22" s="127">
        <v>393.0</v>
      </c>
      <c r="AF22" s="127">
        <v>647.0</v>
      </c>
      <c r="AG22" s="127">
        <v>49.0</v>
      </c>
    </row>
    <row r="23">
      <c r="A23" s="126">
        <v>46035.0</v>
      </c>
      <c r="B23" s="127">
        <v>0.20930232558139536</v>
      </c>
      <c r="C23" s="127">
        <v>9.0</v>
      </c>
      <c r="D23" s="127">
        <v>43.0</v>
      </c>
      <c r="E23" s="127">
        <v>0.14864864864864866</v>
      </c>
      <c r="F23" s="127">
        <v>55.0</v>
      </c>
      <c r="G23" s="127">
        <v>370.0</v>
      </c>
      <c r="H23" s="127">
        <v>861.0</v>
      </c>
      <c r="I23" s="127">
        <v>20607.272727272728</v>
      </c>
      <c r="J23" s="127">
        <v>1133400.0</v>
      </c>
      <c r="K23" s="127">
        <v>55.0</v>
      </c>
      <c r="L23" s="127">
        <v>69.0</v>
      </c>
      <c r="M23" s="127">
        <v>0.7118261700538203</v>
      </c>
      <c r="N23" s="127">
        <v>326616.21886100003</v>
      </c>
      <c r="O23" s="127">
        <v>1133400.0</v>
      </c>
      <c r="P23" s="127"/>
      <c r="Q23" s="127"/>
      <c r="R23" s="127"/>
      <c r="S23" s="127"/>
      <c r="T23" s="127"/>
      <c r="U23" s="127">
        <v>0.0</v>
      </c>
      <c r="V23" s="127">
        <v>0.0</v>
      </c>
      <c r="W23" s="127">
        <v>574.0</v>
      </c>
      <c r="X23" s="127">
        <v>259.0</v>
      </c>
      <c r="Y23" s="127">
        <v>46.0</v>
      </c>
      <c r="Z23" s="127">
        <v>101.0</v>
      </c>
      <c r="AA23" s="127">
        <v>7.0</v>
      </c>
      <c r="AB23" s="127"/>
      <c r="AC23" s="127">
        <v>3719.0</v>
      </c>
      <c r="AD23" s="127">
        <v>2219.0</v>
      </c>
      <c r="AE23" s="127">
        <v>324.0</v>
      </c>
      <c r="AF23" s="127">
        <v>596.0</v>
      </c>
      <c r="AG23" s="127">
        <v>48.0</v>
      </c>
    </row>
    <row r="24">
      <c r="A24" s="126">
        <v>46036.0</v>
      </c>
      <c r="B24" s="127">
        <v>0.3409090909090909</v>
      </c>
      <c r="C24" s="127">
        <v>15.0</v>
      </c>
      <c r="D24" s="127">
        <v>44.0</v>
      </c>
      <c r="E24" s="127">
        <v>0.1347708894878706</v>
      </c>
      <c r="F24" s="127">
        <v>50.0</v>
      </c>
      <c r="G24" s="127">
        <v>371.0</v>
      </c>
      <c r="H24" s="127">
        <v>821.0</v>
      </c>
      <c r="I24" s="127">
        <v>18774.0</v>
      </c>
      <c r="J24" s="127">
        <v>938700.0</v>
      </c>
      <c r="K24" s="127">
        <v>50.0</v>
      </c>
      <c r="L24" s="127">
        <v>62.0</v>
      </c>
      <c r="M24" s="127">
        <v>0.7074558512498136</v>
      </c>
      <c r="N24" s="127">
        <v>274611.1924318</v>
      </c>
      <c r="O24" s="127">
        <v>938700.0</v>
      </c>
      <c r="P24" s="127"/>
      <c r="Q24" s="127"/>
      <c r="R24" s="127"/>
      <c r="S24" s="127"/>
      <c r="T24" s="127"/>
      <c r="U24" s="127">
        <v>0.0</v>
      </c>
      <c r="V24" s="127">
        <v>0.0</v>
      </c>
      <c r="W24" s="127">
        <v>476.0</v>
      </c>
      <c r="X24" s="127">
        <v>240.0</v>
      </c>
      <c r="Y24" s="127">
        <v>40.0</v>
      </c>
      <c r="Z24" s="127">
        <v>83.0</v>
      </c>
      <c r="AA24" s="127">
        <v>7.0</v>
      </c>
      <c r="AB24" s="127"/>
      <c r="AC24" s="127">
        <v>3711.0</v>
      </c>
      <c r="AD24" s="127">
        <v>2197.0</v>
      </c>
      <c r="AE24" s="127">
        <v>331.0</v>
      </c>
      <c r="AF24" s="127">
        <v>597.0</v>
      </c>
      <c r="AG24" s="127">
        <v>43.0</v>
      </c>
    </row>
    <row r="25">
      <c r="A25" s="126">
        <v>46037.0</v>
      </c>
      <c r="B25" s="127">
        <v>0.4878048780487805</v>
      </c>
      <c r="C25" s="127">
        <v>20.0</v>
      </c>
      <c r="D25" s="127">
        <v>41.0</v>
      </c>
      <c r="E25" s="127">
        <v>0.147239263803681</v>
      </c>
      <c r="F25" s="127">
        <v>48.0</v>
      </c>
      <c r="G25" s="127">
        <v>326.0</v>
      </c>
      <c r="H25" s="127">
        <v>773.0</v>
      </c>
      <c r="I25" s="127">
        <v>15439.583333333334</v>
      </c>
      <c r="J25" s="127">
        <v>741100.0</v>
      </c>
      <c r="K25" s="127">
        <v>48.0</v>
      </c>
      <c r="L25" s="127">
        <v>55.0</v>
      </c>
      <c r="M25" s="127">
        <v>0.6777158057406558</v>
      </c>
      <c r="N25" s="127">
        <v>238844.81636559998</v>
      </c>
      <c r="O25" s="127">
        <v>741100.0</v>
      </c>
      <c r="P25" s="127"/>
      <c r="Q25" s="127"/>
      <c r="R25" s="127"/>
      <c r="S25" s="127"/>
      <c r="T25" s="127"/>
      <c r="U25" s="127">
        <v>0.0</v>
      </c>
      <c r="V25" s="127">
        <v>0.0</v>
      </c>
      <c r="W25" s="127">
        <v>779.0</v>
      </c>
      <c r="X25" s="127">
        <v>359.0</v>
      </c>
      <c r="Y25" s="127">
        <v>32.0</v>
      </c>
      <c r="Z25" s="127">
        <v>143.0</v>
      </c>
      <c r="AA25" s="127">
        <v>4.0</v>
      </c>
      <c r="AB25" s="127"/>
      <c r="AC25" s="127">
        <v>3699.0</v>
      </c>
      <c r="AD25" s="127">
        <v>2230.0</v>
      </c>
      <c r="AE25" s="127">
        <v>294.0</v>
      </c>
      <c r="AF25" s="127">
        <v>500.0</v>
      </c>
      <c r="AG25" s="127">
        <v>44.0</v>
      </c>
    </row>
    <row r="26">
      <c r="A26" s="126">
        <v>46038.0</v>
      </c>
      <c r="B26" s="127">
        <v>0.3548387096774194</v>
      </c>
      <c r="C26" s="127">
        <v>11.0</v>
      </c>
      <c r="D26" s="127">
        <v>31.0</v>
      </c>
      <c r="E26" s="127">
        <v>0.13099041533546327</v>
      </c>
      <c r="F26" s="127">
        <v>41.0</v>
      </c>
      <c r="G26" s="127">
        <v>313.0</v>
      </c>
      <c r="H26" s="127">
        <v>693.0</v>
      </c>
      <c r="I26" s="127">
        <v>19282.926829268294</v>
      </c>
      <c r="J26" s="127">
        <v>790600.0</v>
      </c>
      <c r="K26" s="127">
        <v>41.0</v>
      </c>
      <c r="L26" s="127">
        <v>43.0</v>
      </c>
      <c r="M26" s="127">
        <v>0.68378414065191</v>
      </c>
      <c r="N26" s="127">
        <v>250000.2584006</v>
      </c>
      <c r="O26" s="127">
        <v>790600.0</v>
      </c>
      <c r="P26" s="127"/>
      <c r="Q26" s="127"/>
      <c r="R26" s="127"/>
      <c r="S26" s="127"/>
      <c r="T26" s="127"/>
      <c r="U26" s="127">
        <v>0.0</v>
      </c>
      <c r="V26" s="127">
        <v>0.0</v>
      </c>
      <c r="W26" s="127">
        <v>544.0</v>
      </c>
      <c r="X26" s="127">
        <v>298.0</v>
      </c>
      <c r="Y26" s="127">
        <v>36.0</v>
      </c>
      <c r="Z26" s="127">
        <v>115.0</v>
      </c>
      <c r="AA26" s="127">
        <v>5.0</v>
      </c>
      <c r="AB26" s="127"/>
      <c r="AC26" s="127">
        <v>3767.0</v>
      </c>
      <c r="AD26" s="127">
        <v>2408.0</v>
      </c>
      <c r="AE26" s="127">
        <v>277.0</v>
      </c>
      <c r="AF26" s="127">
        <v>596.0</v>
      </c>
      <c r="AG26" s="127">
        <v>36.0</v>
      </c>
    </row>
    <row r="27">
      <c r="A27" s="126">
        <v>46039.0</v>
      </c>
      <c r="B27" s="127">
        <v>0.328125</v>
      </c>
      <c r="C27" s="127">
        <v>21.0</v>
      </c>
      <c r="D27" s="127">
        <v>64.0</v>
      </c>
      <c r="E27" s="127">
        <v>0.20116618075801748</v>
      </c>
      <c r="F27" s="127">
        <v>69.0</v>
      </c>
      <c r="G27" s="127">
        <v>343.0</v>
      </c>
      <c r="H27" s="127">
        <v>800.0</v>
      </c>
      <c r="I27" s="127">
        <v>21933.333333333332</v>
      </c>
      <c r="J27" s="127">
        <v>1513400.0</v>
      </c>
      <c r="K27" s="127">
        <v>69.0</v>
      </c>
      <c r="L27" s="127">
        <v>85.0</v>
      </c>
      <c r="M27" s="127">
        <v>0.7231678053441257</v>
      </c>
      <c r="N27" s="127">
        <v>418957.8433922</v>
      </c>
      <c r="O27" s="127">
        <v>1513400.0</v>
      </c>
      <c r="P27" s="127"/>
      <c r="Q27" s="127"/>
      <c r="R27" s="127"/>
      <c r="S27" s="127"/>
      <c r="T27" s="127"/>
      <c r="U27" s="127">
        <v>0.0</v>
      </c>
      <c r="V27" s="127">
        <v>0.0</v>
      </c>
      <c r="W27" s="127">
        <v>692.0</v>
      </c>
      <c r="X27" s="127">
        <v>296.0</v>
      </c>
      <c r="Y27" s="127">
        <v>34.0</v>
      </c>
      <c r="Z27" s="127">
        <v>119.0</v>
      </c>
      <c r="AA27" s="127">
        <v>8.0</v>
      </c>
      <c r="AB27" s="127"/>
      <c r="AC27" s="127">
        <v>5589.0</v>
      </c>
      <c r="AD27" s="127">
        <v>4572.0</v>
      </c>
      <c r="AE27" s="127">
        <v>309.0</v>
      </c>
      <c r="AF27" s="127">
        <v>846.0</v>
      </c>
      <c r="AG27" s="127">
        <v>61.0</v>
      </c>
    </row>
    <row r="28">
      <c r="A28" s="126">
        <v>46040.0</v>
      </c>
      <c r="B28" s="127">
        <v>0.4444444444444444</v>
      </c>
      <c r="C28" s="127">
        <v>24.0</v>
      </c>
      <c r="D28" s="127">
        <v>54.0</v>
      </c>
      <c r="E28" s="127">
        <v>0.18292682926829268</v>
      </c>
      <c r="F28" s="127">
        <v>60.0</v>
      </c>
      <c r="G28" s="127">
        <v>328.0</v>
      </c>
      <c r="H28" s="127">
        <v>790.0</v>
      </c>
      <c r="I28" s="127">
        <v>19063.333333333332</v>
      </c>
      <c r="J28" s="127">
        <v>1143800.0</v>
      </c>
      <c r="K28" s="127">
        <v>60.0</v>
      </c>
      <c r="L28" s="127">
        <v>68.0</v>
      </c>
      <c r="M28" s="127">
        <v>0.7375748981432069</v>
      </c>
      <c r="N28" s="127">
        <v>300161.8315038</v>
      </c>
      <c r="O28" s="127">
        <v>1143800.0</v>
      </c>
      <c r="P28" s="127"/>
      <c r="Q28" s="127"/>
      <c r="R28" s="127"/>
      <c r="S28" s="127"/>
      <c r="T28" s="127"/>
      <c r="U28" s="127">
        <v>0.0</v>
      </c>
      <c r="V28" s="127">
        <v>0.0</v>
      </c>
      <c r="W28" s="127">
        <v>785.0</v>
      </c>
      <c r="X28" s="127">
        <v>344.0</v>
      </c>
      <c r="Y28" s="127">
        <v>36.0</v>
      </c>
      <c r="Z28" s="127">
        <v>145.0</v>
      </c>
      <c r="AA28" s="127">
        <v>12.0</v>
      </c>
      <c r="AB28" s="127"/>
      <c r="AC28" s="127">
        <v>3729.0</v>
      </c>
      <c r="AD28" s="127">
        <v>2619.0</v>
      </c>
      <c r="AE28" s="127">
        <v>292.0</v>
      </c>
      <c r="AF28" s="127">
        <v>709.0</v>
      </c>
      <c r="AG28" s="127">
        <v>48.0</v>
      </c>
    </row>
    <row r="29">
      <c r="A29" s="126">
        <v>46041.0</v>
      </c>
      <c r="B29" s="127">
        <v>0.26785714285714285</v>
      </c>
      <c r="C29" s="127">
        <v>15.0</v>
      </c>
      <c r="D29" s="127">
        <v>56.0</v>
      </c>
      <c r="E29" s="127">
        <v>0.19384615384615383</v>
      </c>
      <c r="F29" s="127">
        <v>63.0</v>
      </c>
      <c r="G29" s="127">
        <v>325.0</v>
      </c>
      <c r="H29" s="127">
        <v>715.0</v>
      </c>
      <c r="I29" s="127">
        <v>18739.68253968254</v>
      </c>
      <c r="J29" s="127">
        <v>1180600.0</v>
      </c>
      <c r="K29" s="127">
        <v>63.0</v>
      </c>
      <c r="L29" s="127">
        <v>70.0</v>
      </c>
      <c r="M29" s="127">
        <v>0.6986736049644249</v>
      </c>
      <c r="N29" s="127">
        <v>355745.941979</v>
      </c>
      <c r="O29" s="127">
        <v>1180600.0</v>
      </c>
      <c r="P29" s="127"/>
      <c r="Q29" s="127"/>
      <c r="R29" s="127"/>
      <c r="S29" s="127"/>
      <c r="T29" s="127"/>
      <c r="U29" s="127">
        <v>0.0</v>
      </c>
      <c r="V29" s="127">
        <v>0.0</v>
      </c>
      <c r="W29" s="127">
        <v>478.0</v>
      </c>
      <c r="X29" s="127">
        <v>261.0</v>
      </c>
      <c r="Y29" s="127">
        <v>35.0</v>
      </c>
      <c r="Z29" s="127">
        <v>102.0</v>
      </c>
      <c r="AA29" s="127">
        <v>9.0</v>
      </c>
      <c r="AB29" s="127"/>
      <c r="AC29" s="127">
        <v>3311.0</v>
      </c>
      <c r="AD29" s="127">
        <v>2319.0</v>
      </c>
      <c r="AE29" s="127">
        <v>290.0</v>
      </c>
      <c r="AF29" s="127">
        <v>639.0</v>
      </c>
      <c r="AG29" s="127">
        <v>54.0</v>
      </c>
    </row>
    <row r="30">
      <c r="A30" s="126">
        <v>46042.0</v>
      </c>
      <c r="B30" s="127">
        <v>0.3188405797101449</v>
      </c>
      <c r="C30" s="127">
        <v>22.0</v>
      </c>
      <c r="D30" s="127">
        <v>69.0</v>
      </c>
      <c r="E30" s="127">
        <v>0.13227513227513227</v>
      </c>
      <c r="F30" s="127">
        <v>75.0</v>
      </c>
      <c r="G30" s="127">
        <v>567.0</v>
      </c>
      <c r="H30" s="127">
        <v>1396.0</v>
      </c>
      <c r="I30" s="127">
        <v>14686.666666666666</v>
      </c>
      <c r="J30" s="127">
        <v>1101500.0</v>
      </c>
      <c r="K30" s="127">
        <v>75.0</v>
      </c>
      <c r="L30" s="127">
        <v>89.0</v>
      </c>
      <c r="M30" s="127">
        <v>0.7441381919517023</v>
      </c>
      <c r="N30" s="127">
        <v>281831.7815652</v>
      </c>
      <c r="O30" s="127">
        <v>1101500.0</v>
      </c>
      <c r="P30" s="127"/>
      <c r="Q30" s="127"/>
      <c r="R30" s="127"/>
      <c r="S30" s="127"/>
      <c r="T30" s="127"/>
      <c r="U30" s="127">
        <v>0.0</v>
      </c>
      <c r="V30" s="127">
        <v>0.0</v>
      </c>
      <c r="W30" s="127">
        <v>536.0</v>
      </c>
      <c r="X30" s="127">
        <v>279.0</v>
      </c>
      <c r="Y30" s="127">
        <v>32.0</v>
      </c>
      <c r="Z30" s="127">
        <v>106.0</v>
      </c>
      <c r="AA30" s="127">
        <v>6.0</v>
      </c>
      <c r="AB30" s="127"/>
      <c r="AC30" s="127">
        <v>11210.0</v>
      </c>
      <c r="AD30" s="127">
        <v>4911.0</v>
      </c>
      <c r="AE30" s="127">
        <v>535.0</v>
      </c>
      <c r="AF30" s="127">
        <v>1245.0</v>
      </c>
      <c r="AG30" s="127">
        <v>69.0</v>
      </c>
    </row>
    <row r="31">
      <c r="A31" s="126">
        <v>46043.0</v>
      </c>
      <c r="B31" s="127">
        <v>0.3023255813953488</v>
      </c>
      <c r="C31" s="127">
        <v>26.0</v>
      </c>
      <c r="D31" s="127">
        <v>86.0</v>
      </c>
      <c r="E31" s="127">
        <v>0.17271157167530224</v>
      </c>
      <c r="F31" s="127">
        <v>100.0</v>
      </c>
      <c r="G31" s="127">
        <v>579.0</v>
      </c>
      <c r="H31" s="127">
        <v>1404.0</v>
      </c>
      <c r="I31" s="127">
        <v>16969.0</v>
      </c>
      <c r="J31" s="127">
        <v>1696900.0</v>
      </c>
      <c r="K31" s="127">
        <v>100.0</v>
      </c>
      <c r="L31" s="127">
        <v>116.0</v>
      </c>
      <c r="M31" s="127">
        <v>0.719364744976015</v>
      </c>
      <c r="N31" s="127">
        <v>476209.9642502</v>
      </c>
      <c r="O31" s="127">
        <v>1696900.0</v>
      </c>
      <c r="P31" s="127"/>
      <c r="Q31" s="127"/>
      <c r="R31" s="127"/>
      <c r="S31" s="127"/>
      <c r="T31" s="127"/>
      <c r="U31" s="127">
        <v>0.0</v>
      </c>
      <c r="V31" s="127">
        <v>0.0</v>
      </c>
      <c r="W31" s="127">
        <v>614.0</v>
      </c>
      <c r="X31" s="127">
        <v>271.0</v>
      </c>
      <c r="Y31" s="127">
        <v>34.0</v>
      </c>
      <c r="Z31" s="127">
        <v>108.0</v>
      </c>
      <c r="AA31" s="127">
        <v>9.0</v>
      </c>
      <c r="AB31" s="127"/>
      <c r="AC31" s="127">
        <v>10298.0</v>
      </c>
      <c r="AD31" s="127">
        <v>4437.0</v>
      </c>
      <c r="AE31" s="127">
        <v>545.0</v>
      </c>
      <c r="AF31" s="127">
        <v>1261.0</v>
      </c>
      <c r="AG31" s="127">
        <v>91.0</v>
      </c>
    </row>
    <row r="32">
      <c r="A32" s="126">
        <v>46044.0</v>
      </c>
      <c r="B32" s="127">
        <v>0.38095238095238093</v>
      </c>
      <c r="C32" s="127">
        <v>24.0</v>
      </c>
      <c r="D32" s="127">
        <v>63.0</v>
      </c>
      <c r="E32" s="127">
        <v>0.1595744680851064</v>
      </c>
      <c r="F32" s="127">
        <v>75.0</v>
      </c>
      <c r="G32" s="127">
        <v>470.0</v>
      </c>
      <c r="H32" s="127">
        <v>1088.0</v>
      </c>
      <c r="I32" s="127">
        <v>14108.0</v>
      </c>
      <c r="J32" s="127">
        <v>1058100.0</v>
      </c>
      <c r="K32" s="127">
        <v>75.0</v>
      </c>
      <c r="L32" s="127">
        <v>80.0</v>
      </c>
      <c r="M32" s="127">
        <v>0.7295987166575939</v>
      </c>
      <c r="N32" s="127">
        <v>286111.59790459997</v>
      </c>
      <c r="O32" s="127">
        <v>1058100.0</v>
      </c>
      <c r="P32" s="127"/>
      <c r="Q32" s="127"/>
      <c r="R32" s="127"/>
      <c r="S32" s="127"/>
      <c r="T32" s="127"/>
      <c r="U32" s="127">
        <v>0.0</v>
      </c>
      <c r="V32" s="127">
        <v>0.0</v>
      </c>
      <c r="W32" s="127">
        <v>619.0</v>
      </c>
      <c r="X32" s="127">
        <v>295.0</v>
      </c>
      <c r="Y32" s="127">
        <v>50.0</v>
      </c>
      <c r="Z32" s="127">
        <v>167.0</v>
      </c>
      <c r="AA32" s="127">
        <v>12.0</v>
      </c>
      <c r="AB32" s="127"/>
      <c r="AC32" s="127">
        <v>6096.0</v>
      </c>
      <c r="AD32" s="127">
        <v>2669.0</v>
      </c>
      <c r="AE32" s="127">
        <v>420.0</v>
      </c>
      <c r="AF32" s="127">
        <v>959.0</v>
      </c>
      <c r="AG32" s="127">
        <v>63.0</v>
      </c>
    </row>
    <row r="33">
      <c r="A33" s="126">
        <v>46045.0</v>
      </c>
      <c r="B33" s="127">
        <v>0.3</v>
      </c>
      <c r="C33" s="127">
        <v>9.0</v>
      </c>
      <c r="D33" s="127">
        <v>30.0</v>
      </c>
      <c r="E33" s="127">
        <v>0.13395638629283488</v>
      </c>
      <c r="F33" s="127">
        <v>43.0</v>
      </c>
      <c r="G33" s="127">
        <v>321.0</v>
      </c>
      <c r="H33" s="127">
        <v>750.0</v>
      </c>
      <c r="I33" s="127">
        <v>20090.697674418603</v>
      </c>
      <c r="J33" s="127">
        <v>863900.0</v>
      </c>
      <c r="K33" s="127">
        <v>43.0</v>
      </c>
      <c r="L33" s="127">
        <v>53.0</v>
      </c>
      <c r="M33" s="127">
        <v>0.7272207170001157</v>
      </c>
      <c r="N33" s="127">
        <v>235654.02258360002</v>
      </c>
      <c r="O33" s="127">
        <v>863900.0</v>
      </c>
      <c r="P33" s="127"/>
      <c r="Q33" s="127"/>
      <c r="R33" s="127"/>
      <c r="S33" s="127"/>
      <c r="T33" s="127"/>
      <c r="U33" s="127">
        <v>0.0</v>
      </c>
      <c r="V33" s="127">
        <v>0.0</v>
      </c>
      <c r="W33" s="127">
        <v>499.0</v>
      </c>
      <c r="X33" s="127">
        <v>161.0</v>
      </c>
      <c r="Y33" s="127">
        <v>28.0</v>
      </c>
      <c r="Z33" s="127">
        <v>125.0</v>
      </c>
      <c r="AA33" s="127">
        <v>2.0</v>
      </c>
      <c r="AB33" s="127"/>
      <c r="AC33" s="127">
        <v>3185.0</v>
      </c>
      <c r="AD33" s="127">
        <v>1662.0</v>
      </c>
      <c r="AE33" s="127">
        <v>293.0</v>
      </c>
      <c r="AF33" s="127">
        <v>688.0</v>
      </c>
      <c r="AG33" s="127">
        <v>41.0</v>
      </c>
    </row>
    <row r="34">
      <c r="A34" s="126">
        <v>46046.0</v>
      </c>
      <c r="B34" s="127">
        <v>0.17391304347826086</v>
      </c>
      <c r="C34" s="127">
        <v>4.0</v>
      </c>
      <c r="D34" s="127">
        <v>23.0</v>
      </c>
      <c r="E34" s="127">
        <v>0.13654618473895583</v>
      </c>
      <c r="F34" s="127">
        <v>34.0</v>
      </c>
      <c r="G34" s="127">
        <v>249.0</v>
      </c>
      <c r="H34" s="127">
        <v>577.0</v>
      </c>
      <c r="I34" s="127">
        <v>22070.58823529412</v>
      </c>
      <c r="J34" s="127">
        <v>750400.0</v>
      </c>
      <c r="K34" s="127">
        <v>34.0</v>
      </c>
      <c r="L34" s="127">
        <v>40.0</v>
      </c>
      <c r="M34" s="127">
        <v>0.746566671722015</v>
      </c>
      <c r="N34" s="127">
        <v>190176.36953979998</v>
      </c>
      <c r="O34" s="127">
        <v>750400.0</v>
      </c>
      <c r="P34" s="127"/>
      <c r="Q34" s="127"/>
      <c r="R34" s="127"/>
      <c r="S34" s="127"/>
      <c r="T34" s="127"/>
      <c r="U34" s="127">
        <v>0.0</v>
      </c>
      <c r="V34" s="127">
        <v>0.0</v>
      </c>
      <c r="W34" s="127">
        <v>483.0</v>
      </c>
      <c r="X34" s="127">
        <v>181.0</v>
      </c>
      <c r="Y34" s="127">
        <v>23.0</v>
      </c>
      <c r="Z34" s="127">
        <v>113.0</v>
      </c>
      <c r="AA34" s="127">
        <v>5.0</v>
      </c>
      <c r="AB34" s="127"/>
      <c r="AC34" s="127">
        <v>2818.0</v>
      </c>
      <c r="AD34" s="127">
        <v>1576.0</v>
      </c>
      <c r="AE34" s="127">
        <v>226.0</v>
      </c>
      <c r="AF34" s="127">
        <v>583.0</v>
      </c>
      <c r="AG34" s="127">
        <v>29.0</v>
      </c>
    </row>
    <row r="35">
      <c r="A35" s="126">
        <v>46047.0</v>
      </c>
      <c r="B35" s="127">
        <v>0.20454545454545456</v>
      </c>
      <c r="C35" s="127">
        <v>9.0</v>
      </c>
      <c r="D35" s="127">
        <v>44.0</v>
      </c>
      <c r="E35" s="127">
        <v>0.18971061093247588</v>
      </c>
      <c r="F35" s="127">
        <v>59.0</v>
      </c>
      <c r="G35" s="127">
        <v>311.0</v>
      </c>
      <c r="H35" s="127">
        <v>703.0</v>
      </c>
      <c r="I35" s="127">
        <v>21815.254237288136</v>
      </c>
      <c r="J35" s="127">
        <v>1287100.0</v>
      </c>
      <c r="K35" s="127">
        <v>59.0</v>
      </c>
      <c r="L35" s="127">
        <v>70.0</v>
      </c>
      <c r="M35" s="127">
        <v>0.7186924832776008</v>
      </c>
      <c r="N35" s="127">
        <v>362070.9047734</v>
      </c>
      <c r="O35" s="127">
        <v>1287100.0</v>
      </c>
      <c r="P35" s="127"/>
      <c r="Q35" s="127"/>
      <c r="R35" s="127"/>
      <c r="S35" s="127"/>
      <c r="T35" s="127"/>
      <c r="U35" s="127">
        <v>0.0</v>
      </c>
      <c r="V35" s="127">
        <v>0.0</v>
      </c>
      <c r="W35" s="127">
        <v>523.0</v>
      </c>
      <c r="X35" s="127">
        <v>194.0</v>
      </c>
      <c r="Y35" s="127">
        <v>38.0</v>
      </c>
      <c r="Z35" s="127">
        <v>134.0</v>
      </c>
      <c r="AA35" s="127">
        <v>9.0</v>
      </c>
      <c r="AB35" s="127"/>
      <c r="AC35" s="127">
        <v>2948.0</v>
      </c>
      <c r="AD35" s="127">
        <v>1710.0</v>
      </c>
      <c r="AE35" s="127">
        <v>273.0</v>
      </c>
      <c r="AF35" s="127">
        <v>689.0</v>
      </c>
      <c r="AG35" s="127">
        <v>50.0</v>
      </c>
    </row>
    <row r="36">
      <c r="A36" s="126">
        <v>46048.0</v>
      </c>
      <c r="B36" s="127">
        <v>0.2</v>
      </c>
      <c r="C36" s="127">
        <v>7.0</v>
      </c>
      <c r="D36" s="127">
        <v>35.0</v>
      </c>
      <c r="E36" s="127">
        <v>0.18243243243243243</v>
      </c>
      <c r="F36" s="127">
        <v>54.0</v>
      </c>
      <c r="G36" s="127">
        <v>296.0</v>
      </c>
      <c r="H36" s="127">
        <v>704.0</v>
      </c>
      <c r="I36" s="127">
        <v>14364.814814814816</v>
      </c>
      <c r="J36" s="127">
        <v>775700.0</v>
      </c>
      <c r="K36" s="127">
        <v>54.0</v>
      </c>
      <c r="L36" s="127">
        <v>60.0</v>
      </c>
      <c r="M36" s="127">
        <v>0.6984177771189892</v>
      </c>
      <c r="N36" s="127">
        <v>233937.3302888</v>
      </c>
      <c r="O36" s="127">
        <v>775700.0</v>
      </c>
      <c r="P36" s="127"/>
      <c r="Q36" s="127"/>
      <c r="R36" s="127"/>
      <c r="S36" s="127"/>
      <c r="T36" s="127"/>
      <c r="U36" s="127">
        <v>0.0</v>
      </c>
      <c r="V36" s="127">
        <v>0.0</v>
      </c>
      <c r="W36" s="127">
        <v>732.0</v>
      </c>
      <c r="X36" s="127">
        <v>238.0</v>
      </c>
      <c r="Y36" s="127">
        <v>39.0</v>
      </c>
      <c r="Z36" s="127">
        <v>158.0</v>
      </c>
      <c r="AA36" s="127">
        <v>5.0</v>
      </c>
      <c r="AB36" s="127"/>
      <c r="AC36" s="127">
        <v>3023.0</v>
      </c>
      <c r="AD36" s="127">
        <v>1740.0</v>
      </c>
      <c r="AE36" s="127">
        <v>257.0</v>
      </c>
      <c r="AF36" s="127">
        <v>594.0</v>
      </c>
      <c r="AG36" s="127">
        <v>49.0</v>
      </c>
    </row>
    <row r="37">
      <c r="A37" s="126">
        <v>46049.0</v>
      </c>
      <c r="B37" s="127">
        <v>0.20588235294117646</v>
      </c>
      <c r="C37" s="127">
        <v>7.0</v>
      </c>
      <c r="D37" s="127">
        <v>34.0</v>
      </c>
      <c r="E37" s="127">
        <v>0.08686868686868687</v>
      </c>
      <c r="F37" s="127">
        <v>43.0</v>
      </c>
      <c r="G37" s="127">
        <v>495.0</v>
      </c>
      <c r="H37" s="127">
        <v>996.0</v>
      </c>
      <c r="I37" s="127">
        <v>19553.488372093023</v>
      </c>
      <c r="J37" s="127">
        <v>840800.0</v>
      </c>
      <c r="K37" s="127">
        <v>43.0</v>
      </c>
      <c r="L37" s="127">
        <v>51.0</v>
      </c>
      <c r="M37" s="127">
        <v>0.7256357180903901</v>
      </c>
      <c r="N37" s="127">
        <v>230685.4882296</v>
      </c>
      <c r="O37" s="127">
        <v>840800.0</v>
      </c>
      <c r="P37" s="127"/>
      <c r="Q37" s="127"/>
      <c r="R37" s="127"/>
      <c r="S37" s="127"/>
      <c r="T37" s="127"/>
      <c r="U37" s="127">
        <v>0.0</v>
      </c>
      <c r="V37" s="127">
        <v>0.0</v>
      </c>
      <c r="W37" s="127">
        <v>567.0</v>
      </c>
      <c r="X37" s="127">
        <v>212.0</v>
      </c>
      <c r="Y37" s="127">
        <v>34.0</v>
      </c>
      <c r="Z37" s="127">
        <v>116.0</v>
      </c>
      <c r="AA37" s="127">
        <v>3.0</v>
      </c>
      <c r="AB37" s="127"/>
      <c r="AC37" s="127">
        <v>3815.0</v>
      </c>
      <c r="AD37" s="127">
        <v>2332.0</v>
      </c>
      <c r="AE37" s="127">
        <v>461.0</v>
      </c>
      <c r="AF37" s="127">
        <v>746.0</v>
      </c>
      <c r="AG37" s="127">
        <v>40.0</v>
      </c>
    </row>
    <row r="38">
      <c r="A38" s="126">
        <v>46050.0</v>
      </c>
      <c r="B38" s="127">
        <v>0.2903225806451613</v>
      </c>
      <c r="C38" s="127">
        <v>9.0</v>
      </c>
      <c r="D38" s="127">
        <v>31.0</v>
      </c>
      <c r="E38" s="127">
        <v>0.10396039603960396</v>
      </c>
      <c r="F38" s="127">
        <v>42.0</v>
      </c>
      <c r="G38" s="127">
        <v>404.0</v>
      </c>
      <c r="H38" s="127">
        <v>859.0</v>
      </c>
      <c r="I38" s="127">
        <v>21347.619047619046</v>
      </c>
      <c r="J38" s="127">
        <v>896600.0</v>
      </c>
      <c r="K38" s="127">
        <v>42.0</v>
      </c>
      <c r="L38" s="127">
        <v>52.0</v>
      </c>
      <c r="M38" s="127">
        <v>0.6848669899230426</v>
      </c>
      <c r="N38" s="127">
        <v>282548.256835</v>
      </c>
      <c r="O38" s="127">
        <v>896600.0</v>
      </c>
      <c r="P38" s="127"/>
      <c r="Q38" s="127"/>
      <c r="R38" s="127"/>
      <c r="S38" s="127"/>
      <c r="T38" s="127"/>
      <c r="U38" s="127">
        <v>0.0</v>
      </c>
      <c r="V38" s="127">
        <v>0.0</v>
      </c>
      <c r="W38" s="127">
        <v>766.0</v>
      </c>
      <c r="X38" s="127">
        <v>294.0</v>
      </c>
      <c r="Y38" s="127">
        <v>64.0</v>
      </c>
      <c r="Z38" s="127">
        <v>188.0</v>
      </c>
      <c r="AA38" s="127">
        <v>9.0</v>
      </c>
      <c r="AB38" s="127"/>
      <c r="AC38" s="127">
        <v>3072.0</v>
      </c>
      <c r="AD38" s="127">
        <v>1679.0</v>
      </c>
      <c r="AE38" s="127">
        <v>340.0</v>
      </c>
      <c r="AF38" s="127">
        <v>578.0</v>
      </c>
      <c r="AG38" s="127">
        <v>33.0</v>
      </c>
    </row>
    <row r="39">
      <c r="A39" s="126">
        <v>46051.0</v>
      </c>
      <c r="B39" s="127">
        <v>0.33962264150943394</v>
      </c>
      <c r="C39" s="127">
        <v>18.0</v>
      </c>
      <c r="D39" s="127">
        <v>53.0</v>
      </c>
      <c r="E39" s="127">
        <v>0.17380352644836272</v>
      </c>
      <c r="F39" s="127">
        <v>69.0</v>
      </c>
      <c r="G39" s="127">
        <v>397.0</v>
      </c>
      <c r="H39" s="127">
        <v>937.0</v>
      </c>
      <c r="I39" s="127">
        <v>16789.855072463768</v>
      </c>
      <c r="J39" s="127">
        <v>1158500.0</v>
      </c>
      <c r="K39" s="127">
        <v>69.0</v>
      </c>
      <c r="L39" s="127">
        <v>89.0</v>
      </c>
      <c r="M39" s="127">
        <v>0.7369042833873112</v>
      </c>
      <c r="N39" s="127">
        <v>304796.3876958</v>
      </c>
      <c r="O39" s="127">
        <v>1158500.0</v>
      </c>
      <c r="P39" s="127"/>
      <c r="Q39" s="127"/>
      <c r="R39" s="127"/>
      <c r="S39" s="127"/>
      <c r="T39" s="127"/>
      <c r="U39" s="127">
        <v>0.0</v>
      </c>
      <c r="V39" s="127">
        <v>0.0</v>
      </c>
      <c r="W39" s="127">
        <v>903.0</v>
      </c>
      <c r="X39" s="127">
        <v>293.0</v>
      </c>
      <c r="Y39" s="127">
        <v>92.0</v>
      </c>
      <c r="Z39" s="127">
        <v>191.0</v>
      </c>
      <c r="AA39" s="127">
        <v>23.0</v>
      </c>
      <c r="AB39" s="127"/>
      <c r="AC39" s="127">
        <v>2866.0</v>
      </c>
      <c r="AD39" s="127">
        <v>1450.0</v>
      </c>
      <c r="AE39" s="127">
        <v>305.0</v>
      </c>
      <c r="AF39" s="127">
        <v>602.0</v>
      </c>
      <c r="AG39" s="127">
        <v>46.0</v>
      </c>
    </row>
    <row r="40">
      <c r="A40" s="126">
        <v>46052.0</v>
      </c>
      <c r="B40" s="127">
        <v>0.11363636363636363</v>
      </c>
      <c r="C40" s="127">
        <v>5.0</v>
      </c>
      <c r="D40" s="127">
        <v>44.0</v>
      </c>
      <c r="E40" s="127">
        <v>0.15384615384615385</v>
      </c>
      <c r="F40" s="127">
        <v>52.0</v>
      </c>
      <c r="G40" s="127">
        <v>338.0</v>
      </c>
      <c r="H40" s="127">
        <v>795.0</v>
      </c>
      <c r="I40" s="127">
        <v>14607.692307692309</v>
      </c>
      <c r="J40" s="127">
        <v>759600.0</v>
      </c>
      <c r="K40" s="127">
        <v>52.0</v>
      </c>
      <c r="L40" s="127">
        <v>71.0</v>
      </c>
      <c r="M40" s="127">
        <v>0.7549316274310163</v>
      </c>
      <c r="N40" s="127">
        <v>186153.9358034</v>
      </c>
      <c r="O40" s="127">
        <v>759600.0</v>
      </c>
      <c r="P40" s="127"/>
      <c r="Q40" s="127"/>
      <c r="R40" s="127"/>
      <c r="S40" s="127"/>
      <c r="T40" s="127"/>
      <c r="U40" s="127">
        <v>0.0</v>
      </c>
      <c r="V40" s="127">
        <v>0.0</v>
      </c>
      <c r="W40" s="127">
        <v>887.0</v>
      </c>
      <c r="X40" s="127">
        <v>242.0</v>
      </c>
      <c r="Y40" s="127">
        <v>67.0</v>
      </c>
      <c r="Z40" s="127">
        <v>191.0</v>
      </c>
      <c r="AA40" s="127">
        <v>18.0</v>
      </c>
      <c r="AB40" s="127"/>
      <c r="AC40" s="127">
        <v>2844.0</v>
      </c>
      <c r="AD40" s="127">
        <v>1347.0</v>
      </c>
      <c r="AE40" s="127">
        <v>271.0</v>
      </c>
      <c r="AF40" s="127">
        <v>560.0</v>
      </c>
      <c r="AG40" s="127">
        <v>34.0</v>
      </c>
    </row>
    <row r="41">
      <c r="A41" s="126">
        <v>46053.0</v>
      </c>
      <c r="B41" s="127">
        <v>0.1836734693877551</v>
      </c>
      <c r="C41" s="127">
        <v>9.0</v>
      </c>
      <c r="D41" s="127">
        <v>49.0</v>
      </c>
      <c r="E41" s="127">
        <v>0.1588235294117647</v>
      </c>
      <c r="F41" s="127">
        <v>54.0</v>
      </c>
      <c r="G41" s="127">
        <v>340.0</v>
      </c>
      <c r="H41" s="127">
        <v>810.0</v>
      </c>
      <c r="I41" s="127">
        <v>16685.185185185186</v>
      </c>
      <c r="J41" s="127">
        <v>901000.0</v>
      </c>
      <c r="K41" s="127">
        <v>54.0</v>
      </c>
      <c r="L41" s="127">
        <v>76.0</v>
      </c>
      <c r="M41" s="127">
        <v>0.693791123154939</v>
      </c>
      <c r="N41" s="127">
        <v>275894.1980374</v>
      </c>
      <c r="O41" s="127">
        <v>901000.0</v>
      </c>
      <c r="P41" s="127"/>
      <c r="Q41" s="127"/>
      <c r="R41" s="127"/>
      <c r="S41" s="127"/>
      <c r="T41" s="127"/>
      <c r="U41" s="127">
        <v>0.0</v>
      </c>
      <c r="V41" s="127">
        <v>0.0</v>
      </c>
      <c r="W41" s="127">
        <v>712.0</v>
      </c>
      <c r="X41" s="127">
        <v>206.0</v>
      </c>
      <c r="Y41" s="127">
        <v>62.0</v>
      </c>
      <c r="Z41" s="127">
        <v>132.0</v>
      </c>
      <c r="AA41" s="127">
        <v>18.0</v>
      </c>
      <c r="AB41" s="127"/>
      <c r="AC41" s="127">
        <v>2597.0</v>
      </c>
      <c r="AD41" s="127">
        <v>1353.0</v>
      </c>
      <c r="AE41" s="127">
        <v>278.0</v>
      </c>
      <c r="AF41" s="127">
        <v>564.0</v>
      </c>
      <c r="AG41" s="127">
        <v>36.0</v>
      </c>
    </row>
    <row r="42">
      <c r="A42" s="126">
        <v>46054.0</v>
      </c>
      <c r="B42" s="127">
        <v>0.4444444444444444</v>
      </c>
      <c r="C42" s="127">
        <v>24.0</v>
      </c>
      <c r="D42" s="127">
        <v>54.0</v>
      </c>
      <c r="E42" s="127">
        <v>0.18926553672316385</v>
      </c>
      <c r="F42" s="127">
        <v>67.0</v>
      </c>
      <c r="G42" s="127">
        <v>354.0</v>
      </c>
      <c r="H42" s="127">
        <v>879.0</v>
      </c>
      <c r="I42" s="127">
        <v>20880.597014925374</v>
      </c>
      <c r="J42" s="127">
        <v>1399000.0</v>
      </c>
      <c r="K42" s="127">
        <v>67.0</v>
      </c>
      <c r="L42" s="127">
        <v>92.0</v>
      </c>
      <c r="M42" s="127">
        <v>0.72231469932995</v>
      </c>
      <c r="N42" s="127">
        <v>388481.7356374</v>
      </c>
      <c r="O42" s="127">
        <v>1399000.0</v>
      </c>
      <c r="P42" s="127"/>
      <c r="Q42" s="127"/>
      <c r="R42" s="127"/>
      <c r="S42" s="127"/>
      <c r="T42" s="127"/>
      <c r="U42" s="127">
        <v>0.0</v>
      </c>
      <c r="V42" s="127">
        <v>0.0</v>
      </c>
      <c r="W42" s="127">
        <v>838.0</v>
      </c>
      <c r="X42" s="127">
        <v>225.0</v>
      </c>
      <c r="Y42" s="127">
        <v>61.0</v>
      </c>
      <c r="Z42" s="127">
        <v>166.0</v>
      </c>
      <c r="AA42" s="127">
        <v>20.0</v>
      </c>
      <c r="AB42" s="127"/>
      <c r="AC42" s="127">
        <v>2719.0</v>
      </c>
      <c r="AD42" s="127">
        <v>1412.0</v>
      </c>
      <c r="AE42" s="127">
        <v>293.0</v>
      </c>
      <c r="AF42" s="127">
        <v>618.0</v>
      </c>
      <c r="AG42" s="127">
        <v>47.0</v>
      </c>
    </row>
    <row r="43">
      <c r="A43" s="126">
        <v>46055.0</v>
      </c>
      <c r="B43" s="127">
        <v>0.3488372093023256</v>
      </c>
      <c r="C43" s="127">
        <v>15.0</v>
      </c>
      <c r="D43" s="127">
        <v>43.0</v>
      </c>
      <c r="E43" s="127">
        <v>0.16298342541436464</v>
      </c>
      <c r="F43" s="127">
        <v>59.0</v>
      </c>
      <c r="G43" s="127">
        <v>362.0</v>
      </c>
      <c r="H43" s="127">
        <v>755.0</v>
      </c>
      <c r="I43" s="127">
        <v>16328.813559322034</v>
      </c>
      <c r="J43" s="127">
        <v>963400.0</v>
      </c>
      <c r="K43" s="127">
        <v>59.0</v>
      </c>
      <c r="L43" s="127">
        <v>80.0</v>
      </c>
      <c r="M43" s="127">
        <v>0.7282105521963878</v>
      </c>
      <c r="N43" s="127">
        <v>261841.95401400002</v>
      </c>
      <c r="O43" s="127">
        <v>963400.0</v>
      </c>
      <c r="P43" s="127"/>
      <c r="Q43" s="127"/>
      <c r="R43" s="127"/>
      <c r="S43" s="127"/>
      <c r="T43" s="127"/>
      <c r="U43" s="127">
        <v>0.0</v>
      </c>
      <c r="V43" s="127">
        <v>0.0</v>
      </c>
      <c r="W43" s="127">
        <v>675.0</v>
      </c>
      <c r="X43" s="127">
        <v>196.0</v>
      </c>
      <c r="Y43" s="127">
        <v>57.0</v>
      </c>
      <c r="Z43" s="127">
        <v>140.0</v>
      </c>
      <c r="AA43" s="127">
        <v>17.0</v>
      </c>
      <c r="AB43" s="127"/>
      <c r="AC43" s="127">
        <v>3048.0</v>
      </c>
      <c r="AD43" s="127">
        <v>1566.0</v>
      </c>
      <c r="AE43" s="127">
        <v>305.0</v>
      </c>
      <c r="AF43" s="127">
        <v>641.0</v>
      </c>
      <c r="AG43" s="127">
        <v>42.0</v>
      </c>
    </row>
    <row r="44">
      <c r="A44" s="126">
        <v>46056.0</v>
      </c>
      <c r="B44" s="127">
        <v>0.23255813953488372</v>
      </c>
      <c r="C44" s="127">
        <v>10.0</v>
      </c>
      <c r="D44" s="127">
        <v>43.0</v>
      </c>
      <c r="E44" s="127">
        <v>0.2</v>
      </c>
      <c r="F44" s="127">
        <v>59.0</v>
      </c>
      <c r="G44" s="127">
        <v>295.0</v>
      </c>
      <c r="H44" s="127">
        <v>627.0</v>
      </c>
      <c r="I44" s="127">
        <v>18277.966101694914</v>
      </c>
      <c r="J44" s="127">
        <v>1078400.0</v>
      </c>
      <c r="K44" s="127">
        <v>59.0</v>
      </c>
      <c r="L44" s="127">
        <v>83.0</v>
      </c>
      <c r="M44" s="127">
        <v>0.7092349521392805</v>
      </c>
      <c r="N44" s="127">
        <v>313561.027613</v>
      </c>
      <c r="O44" s="127">
        <v>1078400.0</v>
      </c>
      <c r="P44" s="127"/>
      <c r="Q44" s="127"/>
      <c r="R44" s="127"/>
      <c r="S44" s="127"/>
      <c r="T44" s="127"/>
      <c r="U44" s="127">
        <v>0.0</v>
      </c>
      <c r="V44" s="127">
        <v>0.0</v>
      </c>
      <c r="W44" s="127">
        <v>805.0</v>
      </c>
      <c r="X44" s="127">
        <v>210.0</v>
      </c>
      <c r="Y44" s="127">
        <v>49.0</v>
      </c>
      <c r="Z44" s="127">
        <v>171.0</v>
      </c>
      <c r="AA44" s="127">
        <v>16.0</v>
      </c>
      <c r="AB44" s="127"/>
      <c r="AC44" s="127">
        <v>2720.0</v>
      </c>
      <c r="AD44" s="127">
        <v>1285.0</v>
      </c>
      <c r="AE44" s="127">
        <v>246.0</v>
      </c>
      <c r="AF44" s="127">
        <v>537.0</v>
      </c>
      <c r="AG44" s="127">
        <v>43.0</v>
      </c>
    </row>
    <row r="45">
      <c r="A45" s="126">
        <v>46057.0</v>
      </c>
      <c r="B45" s="127">
        <v>0.425</v>
      </c>
      <c r="C45" s="127">
        <v>17.0</v>
      </c>
      <c r="D45" s="127">
        <v>40.0</v>
      </c>
      <c r="E45" s="127">
        <v>0.19915254237288135</v>
      </c>
      <c r="F45" s="127">
        <v>47.0</v>
      </c>
      <c r="G45" s="127">
        <v>236.0</v>
      </c>
      <c r="H45" s="127">
        <v>540.0</v>
      </c>
      <c r="I45" s="127">
        <v>17825.531914893618</v>
      </c>
      <c r="J45" s="127">
        <v>837800.0</v>
      </c>
      <c r="K45" s="127">
        <v>47.0</v>
      </c>
      <c r="L45" s="127">
        <v>66.0</v>
      </c>
      <c r="M45" s="127">
        <v>0.7428255148627357</v>
      </c>
      <c r="N45" s="127">
        <v>215460.78364799998</v>
      </c>
      <c r="O45" s="127">
        <v>837800.0</v>
      </c>
      <c r="P45" s="127"/>
      <c r="Q45" s="127"/>
      <c r="R45" s="127"/>
      <c r="S45" s="127"/>
      <c r="T45" s="127"/>
      <c r="U45" s="127">
        <v>0.0</v>
      </c>
      <c r="V45" s="127">
        <v>0.0</v>
      </c>
      <c r="W45" s="127">
        <v>658.0</v>
      </c>
      <c r="X45" s="127">
        <v>189.0</v>
      </c>
      <c r="Y45" s="127">
        <v>35.0</v>
      </c>
      <c r="Z45" s="127">
        <v>152.0</v>
      </c>
      <c r="AA45" s="127">
        <v>9.0</v>
      </c>
      <c r="AB45" s="127"/>
      <c r="AC45" s="127">
        <v>2613.0</v>
      </c>
      <c r="AD45" s="127">
        <v>1248.0</v>
      </c>
      <c r="AE45" s="127">
        <v>201.0</v>
      </c>
      <c r="AF45" s="127">
        <v>500.0</v>
      </c>
      <c r="AG45" s="127">
        <v>38.0</v>
      </c>
    </row>
    <row r="46">
      <c r="A46" s="126">
        <v>46058.0</v>
      </c>
      <c r="B46" s="127">
        <v>0.275</v>
      </c>
      <c r="C46" s="127">
        <v>11.0</v>
      </c>
      <c r="D46" s="127">
        <v>40.0</v>
      </c>
      <c r="E46" s="127">
        <v>0.19148936170212766</v>
      </c>
      <c r="F46" s="127">
        <v>54.0</v>
      </c>
      <c r="G46" s="127">
        <v>282.0</v>
      </c>
      <c r="H46" s="127">
        <v>665.0</v>
      </c>
      <c r="I46" s="127">
        <v>15861.111111111111</v>
      </c>
      <c r="J46" s="127">
        <v>856500.0</v>
      </c>
      <c r="K46" s="127">
        <v>54.0</v>
      </c>
      <c r="L46" s="127">
        <v>75.0</v>
      </c>
      <c r="M46" s="127">
        <v>0.7423898363502627</v>
      </c>
      <c r="N46" s="127">
        <v>220643.105166</v>
      </c>
      <c r="O46" s="127">
        <v>856500.0</v>
      </c>
      <c r="P46" s="127"/>
      <c r="Q46" s="127"/>
      <c r="R46" s="127"/>
      <c r="S46" s="127"/>
      <c r="T46" s="127"/>
      <c r="U46" s="127">
        <v>0.0</v>
      </c>
      <c r="V46" s="127">
        <v>0.0</v>
      </c>
      <c r="W46" s="127">
        <v>734.0</v>
      </c>
      <c r="X46" s="127">
        <v>197.0</v>
      </c>
      <c r="Y46" s="127">
        <v>49.0</v>
      </c>
      <c r="Z46" s="127">
        <v>154.0</v>
      </c>
      <c r="AA46" s="127">
        <v>14.0</v>
      </c>
      <c r="AB46" s="127"/>
      <c r="AC46" s="127">
        <v>3431.0</v>
      </c>
      <c r="AD46" s="127">
        <v>1327.0</v>
      </c>
      <c r="AE46" s="127">
        <v>233.0</v>
      </c>
      <c r="AF46" s="127">
        <v>585.0</v>
      </c>
      <c r="AG46" s="127">
        <v>40.0</v>
      </c>
    </row>
    <row r="47">
      <c r="A47" s="126">
        <v>46059.0</v>
      </c>
      <c r="B47" s="127">
        <v>0.23684210526315788</v>
      </c>
      <c r="C47" s="127">
        <v>9.0</v>
      </c>
      <c r="D47" s="127">
        <v>38.0</v>
      </c>
      <c r="E47" s="127">
        <v>0.17870722433460076</v>
      </c>
      <c r="F47" s="127">
        <v>47.0</v>
      </c>
      <c r="G47" s="127">
        <v>263.0</v>
      </c>
      <c r="H47" s="127">
        <v>571.0</v>
      </c>
      <c r="I47" s="127">
        <v>23185.106382978724</v>
      </c>
      <c r="J47" s="127">
        <v>1089700.0</v>
      </c>
      <c r="K47" s="127">
        <v>47.0</v>
      </c>
      <c r="L47" s="127">
        <v>63.0</v>
      </c>
      <c r="M47" s="127">
        <v>0.6874517499689823</v>
      </c>
      <c r="N47" s="127">
        <v>340583.8280588</v>
      </c>
      <c r="O47" s="127">
        <v>1089700.0</v>
      </c>
      <c r="P47" s="127"/>
      <c r="Q47" s="127"/>
      <c r="R47" s="127"/>
      <c r="S47" s="127"/>
      <c r="T47" s="127"/>
      <c r="U47" s="127">
        <v>0.0</v>
      </c>
      <c r="V47" s="127">
        <v>0.0</v>
      </c>
      <c r="W47" s="127">
        <v>732.0</v>
      </c>
      <c r="X47" s="127">
        <v>177.0</v>
      </c>
      <c r="Y47" s="127">
        <v>37.0</v>
      </c>
      <c r="Z47" s="127">
        <v>117.0</v>
      </c>
      <c r="AA47" s="127">
        <v>7.0</v>
      </c>
      <c r="AB47" s="127"/>
      <c r="AC47" s="127">
        <v>3614.0</v>
      </c>
      <c r="AD47" s="127">
        <v>1306.0</v>
      </c>
      <c r="AE47" s="127">
        <v>226.0</v>
      </c>
      <c r="AF47" s="127">
        <v>548.0</v>
      </c>
      <c r="AG47" s="127">
        <v>40.0</v>
      </c>
    </row>
    <row r="48">
      <c r="A48" s="126">
        <v>46060.0</v>
      </c>
      <c r="B48" s="127">
        <v>0.3157894736842105</v>
      </c>
      <c r="C48" s="127">
        <v>6.0</v>
      </c>
      <c r="D48" s="127">
        <v>19.0</v>
      </c>
      <c r="E48" s="127">
        <v>0.13733905579399142</v>
      </c>
      <c r="F48" s="127">
        <v>32.0</v>
      </c>
      <c r="G48" s="127">
        <v>233.0</v>
      </c>
      <c r="H48" s="127">
        <v>531.0</v>
      </c>
      <c r="I48" s="127">
        <v>22256.25</v>
      </c>
      <c r="J48" s="127">
        <v>712200.0</v>
      </c>
      <c r="K48" s="127">
        <v>32.0</v>
      </c>
      <c r="L48" s="127">
        <v>36.0</v>
      </c>
      <c r="M48" s="127">
        <v>0.6593375141805673</v>
      </c>
      <c r="N48" s="127">
        <v>242619.8224006</v>
      </c>
      <c r="O48" s="127">
        <v>712200.0</v>
      </c>
      <c r="P48" s="127"/>
      <c r="Q48" s="127"/>
      <c r="R48" s="127"/>
      <c r="S48" s="127"/>
      <c r="T48" s="127"/>
      <c r="U48" s="127">
        <v>0.0</v>
      </c>
      <c r="V48" s="127">
        <v>0.0</v>
      </c>
      <c r="W48" s="127">
        <v>750.0</v>
      </c>
      <c r="X48" s="127">
        <v>168.0</v>
      </c>
      <c r="Y48" s="127">
        <v>22.0</v>
      </c>
      <c r="Z48" s="127">
        <v>137.0</v>
      </c>
      <c r="AA48" s="127">
        <v>3.0</v>
      </c>
      <c r="AB48" s="127"/>
      <c r="AC48" s="127">
        <v>2993.0</v>
      </c>
      <c r="AD48" s="127">
        <v>1156.0</v>
      </c>
      <c r="AE48" s="127">
        <v>211.0</v>
      </c>
      <c r="AF48" s="127">
        <v>490.0</v>
      </c>
      <c r="AG48" s="127">
        <v>29.0</v>
      </c>
    </row>
    <row r="49">
      <c r="A49" s="126">
        <v>46061.0</v>
      </c>
      <c r="B49" s="127">
        <v>0.3684210526315789</v>
      </c>
      <c r="C49" s="127">
        <v>7.0</v>
      </c>
      <c r="D49" s="127">
        <v>19.0</v>
      </c>
      <c r="E49" s="127">
        <v>0.12875536480686695</v>
      </c>
      <c r="F49" s="127">
        <v>30.0</v>
      </c>
      <c r="G49" s="127">
        <v>233.0</v>
      </c>
      <c r="H49" s="127">
        <v>535.0</v>
      </c>
      <c r="I49" s="127">
        <v>18956.666666666668</v>
      </c>
      <c r="J49" s="127">
        <v>568700.0</v>
      </c>
      <c r="K49" s="127">
        <v>30.0</v>
      </c>
      <c r="L49" s="127">
        <v>34.0</v>
      </c>
      <c r="M49" s="127">
        <v>0.7045232307174257</v>
      </c>
      <c r="N49" s="127">
        <v>168037.638691</v>
      </c>
      <c r="O49" s="127">
        <v>568700.0</v>
      </c>
      <c r="P49" s="127"/>
      <c r="Q49" s="127"/>
      <c r="R49" s="127"/>
      <c r="S49" s="127"/>
      <c r="T49" s="127"/>
      <c r="U49" s="127">
        <v>0.0</v>
      </c>
      <c r="V49" s="127">
        <v>0.0</v>
      </c>
      <c r="W49" s="127">
        <v>827.0</v>
      </c>
      <c r="X49" s="127">
        <v>186.0</v>
      </c>
      <c r="Y49" s="127">
        <v>32.0</v>
      </c>
      <c r="Z49" s="127">
        <v>149.0</v>
      </c>
      <c r="AA49" s="127">
        <v>4.0</v>
      </c>
      <c r="AB49" s="127"/>
      <c r="AC49" s="127">
        <v>2429.0</v>
      </c>
      <c r="AD49" s="127">
        <v>1189.0</v>
      </c>
      <c r="AE49" s="127">
        <v>201.0</v>
      </c>
      <c r="AF49" s="127">
        <v>501.0</v>
      </c>
      <c r="AG49" s="127">
        <v>26.0</v>
      </c>
    </row>
    <row r="50">
      <c r="A50" s="126">
        <v>46062.0</v>
      </c>
      <c r="B50" s="127">
        <v>0.15384615384615385</v>
      </c>
      <c r="C50" s="127">
        <v>2.0</v>
      </c>
      <c r="D50" s="127">
        <v>13.0</v>
      </c>
      <c r="E50" s="127">
        <v>0.10407239819004525</v>
      </c>
      <c r="F50" s="127">
        <v>23.0</v>
      </c>
      <c r="G50" s="127">
        <v>221.0</v>
      </c>
      <c r="H50" s="127">
        <v>526.0</v>
      </c>
      <c r="I50" s="127">
        <v>16534.782608695652</v>
      </c>
      <c r="J50" s="127">
        <v>380300.0</v>
      </c>
      <c r="K50" s="127">
        <v>23.0</v>
      </c>
      <c r="L50" s="127">
        <v>23.0</v>
      </c>
      <c r="M50" s="127">
        <v>0.7160889555130161</v>
      </c>
      <c r="N50" s="127">
        <v>107971.3702184</v>
      </c>
      <c r="O50" s="127">
        <v>380300.0</v>
      </c>
      <c r="P50" s="127"/>
      <c r="Q50" s="127"/>
      <c r="R50" s="127"/>
      <c r="S50" s="127"/>
      <c r="T50" s="127"/>
      <c r="U50" s="127">
        <v>0.0</v>
      </c>
      <c r="V50" s="127">
        <v>0.0</v>
      </c>
      <c r="W50" s="127">
        <v>811.0</v>
      </c>
      <c r="X50" s="127">
        <v>179.0</v>
      </c>
      <c r="Y50" s="127">
        <v>27.0</v>
      </c>
      <c r="Z50" s="127">
        <v>117.0</v>
      </c>
      <c r="AA50" s="127">
        <v>0.0</v>
      </c>
      <c r="AB50" s="127"/>
      <c r="AC50" s="127">
        <v>2371.0</v>
      </c>
      <c r="AD50" s="127">
        <v>1160.0</v>
      </c>
      <c r="AE50" s="127">
        <v>194.0</v>
      </c>
      <c r="AF50" s="127">
        <v>462.0</v>
      </c>
      <c r="AG50" s="127">
        <v>23.0</v>
      </c>
    </row>
    <row r="51">
      <c r="A51" s="126">
        <v>46063.0</v>
      </c>
      <c r="B51" s="127">
        <v>0.42105263157894735</v>
      </c>
      <c r="C51" s="127">
        <v>8.0</v>
      </c>
      <c r="D51" s="127">
        <v>19.0</v>
      </c>
      <c r="E51" s="127">
        <v>0.099601593625498</v>
      </c>
      <c r="F51" s="127">
        <v>25.0</v>
      </c>
      <c r="G51" s="127">
        <v>251.0</v>
      </c>
      <c r="H51" s="127">
        <v>535.0</v>
      </c>
      <c r="I51" s="127">
        <v>14084.0</v>
      </c>
      <c r="J51" s="127">
        <v>352100.0</v>
      </c>
      <c r="K51" s="127">
        <v>25.0</v>
      </c>
      <c r="L51" s="127">
        <v>28.0</v>
      </c>
      <c r="M51" s="127">
        <v>0.6909015444333996</v>
      </c>
      <c r="N51" s="127">
        <v>108833.56620500001</v>
      </c>
      <c r="O51" s="127">
        <v>352100.0</v>
      </c>
      <c r="P51" s="127"/>
      <c r="Q51" s="127"/>
      <c r="R51" s="127"/>
      <c r="S51" s="127"/>
      <c r="T51" s="127"/>
      <c r="U51" s="127">
        <v>0.0</v>
      </c>
      <c r="V51" s="127">
        <v>0.0</v>
      </c>
      <c r="W51" s="127">
        <v>709.0</v>
      </c>
      <c r="X51" s="127">
        <v>207.0</v>
      </c>
      <c r="Y51" s="127">
        <v>47.0</v>
      </c>
      <c r="Z51" s="127">
        <v>142.0</v>
      </c>
      <c r="AA51" s="127">
        <v>7.0</v>
      </c>
      <c r="AB51" s="127"/>
      <c r="AC51" s="127">
        <v>2962.0</v>
      </c>
      <c r="AD51" s="127">
        <v>1612.0</v>
      </c>
      <c r="AE51" s="127">
        <v>204.0</v>
      </c>
      <c r="AF51" s="127">
        <v>464.0</v>
      </c>
      <c r="AG51" s="127">
        <v>18.0</v>
      </c>
    </row>
    <row r="52">
      <c r="A52" s="126">
        <v>46064.0</v>
      </c>
      <c r="B52" s="127">
        <v>0.391304347826087</v>
      </c>
      <c r="C52" s="127">
        <v>9.0</v>
      </c>
      <c r="D52" s="127">
        <v>23.0</v>
      </c>
      <c r="E52" s="127">
        <v>0.14351851851851852</v>
      </c>
      <c r="F52" s="127">
        <v>31.0</v>
      </c>
      <c r="G52" s="127">
        <v>216.0</v>
      </c>
      <c r="H52" s="127">
        <v>448.0</v>
      </c>
      <c r="I52" s="127">
        <v>19390.322580645163</v>
      </c>
      <c r="J52" s="127">
        <v>601100.0</v>
      </c>
      <c r="K52" s="127">
        <v>31.0</v>
      </c>
      <c r="L52" s="127">
        <v>35.0</v>
      </c>
      <c r="M52" s="127">
        <v>0.6751616015002495</v>
      </c>
      <c r="N52" s="127">
        <v>195260.3613382</v>
      </c>
      <c r="O52" s="127">
        <v>601100.0</v>
      </c>
      <c r="P52" s="127"/>
      <c r="Q52" s="127"/>
      <c r="R52" s="127"/>
      <c r="S52" s="127"/>
      <c r="T52" s="127"/>
      <c r="U52" s="127">
        <v>0.0</v>
      </c>
      <c r="V52" s="127">
        <v>0.0</v>
      </c>
      <c r="W52" s="127">
        <v>741.0</v>
      </c>
      <c r="X52" s="127">
        <v>206.0</v>
      </c>
      <c r="Y52" s="127">
        <v>33.0</v>
      </c>
      <c r="Z52" s="127">
        <v>142.0</v>
      </c>
      <c r="AA52" s="127">
        <v>2.0</v>
      </c>
      <c r="AB52" s="127"/>
      <c r="AC52" s="127">
        <v>2307.0</v>
      </c>
      <c r="AD52" s="127">
        <v>1173.0</v>
      </c>
      <c r="AE52" s="127">
        <v>183.0</v>
      </c>
      <c r="AF52" s="127">
        <v>463.0</v>
      </c>
      <c r="AG52" s="127">
        <v>29.0</v>
      </c>
    </row>
    <row r="53">
      <c r="A53" s="126">
        <v>46065.0</v>
      </c>
      <c r="B53" s="127">
        <v>0.4</v>
      </c>
      <c r="C53" s="127">
        <v>8.0</v>
      </c>
      <c r="D53" s="127">
        <v>20.0</v>
      </c>
      <c r="E53" s="127">
        <v>0.13145539906103287</v>
      </c>
      <c r="F53" s="127">
        <v>28.0</v>
      </c>
      <c r="G53" s="127">
        <v>213.0</v>
      </c>
      <c r="H53" s="127">
        <v>443.0</v>
      </c>
      <c r="I53" s="127">
        <v>20739.285714285714</v>
      </c>
      <c r="J53" s="127">
        <v>580700.0</v>
      </c>
      <c r="K53" s="127">
        <v>28.0</v>
      </c>
      <c r="L53" s="127">
        <v>31.0</v>
      </c>
      <c r="M53" s="127">
        <v>0.8029654554847597</v>
      </c>
      <c r="N53" s="127">
        <v>114417.96</v>
      </c>
      <c r="O53" s="127">
        <v>580700.0</v>
      </c>
      <c r="P53" s="127"/>
      <c r="Q53" s="127"/>
      <c r="R53" s="127"/>
      <c r="S53" s="127"/>
      <c r="T53" s="127"/>
      <c r="U53" s="127">
        <v>0.0</v>
      </c>
      <c r="V53" s="127">
        <v>0.0</v>
      </c>
      <c r="W53" s="127">
        <v>467.0</v>
      </c>
      <c r="X53" s="127">
        <v>126.0</v>
      </c>
      <c r="Y53" s="127">
        <v>22.0</v>
      </c>
      <c r="Z53" s="127">
        <v>91.0</v>
      </c>
      <c r="AA53" s="127">
        <v>4.0</v>
      </c>
      <c r="AB53" s="127"/>
      <c r="AC53" s="127">
        <v>2117.0</v>
      </c>
      <c r="AD53" s="127">
        <v>1114.0</v>
      </c>
      <c r="AE53" s="127">
        <v>191.0</v>
      </c>
      <c r="AF53" s="127">
        <v>479.0</v>
      </c>
      <c r="AG53" s="127">
        <v>24.0</v>
      </c>
    </row>
    <row r="54">
      <c r="A54" s="126">
        <v>46066.0</v>
      </c>
      <c r="B54" s="127">
        <v>0.4375</v>
      </c>
      <c r="C54" s="127">
        <v>7.0</v>
      </c>
      <c r="D54" s="127">
        <v>16.0</v>
      </c>
      <c r="E54" s="127">
        <v>0.12886597938144329</v>
      </c>
      <c r="F54" s="127">
        <v>25.0</v>
      </c>
      <c r="G54" s="127">
        <v>194.0</v>
      </c>
      <c r="H54" s="127">
        <v>428.0</v>
      </c>
      <c r="I54" s="127">
        <v>29412.0</v>
      </c>
      <c r="J54" s="127">
        <v>735300.0</v>
      </c>
      <c r="K54" s="127">
        <v>25.0</v>
      </c>
      <c r="L54" s="127">
        <v>28.0</v>
      </c>
      <c r="M54" s="127">
        <v>0.7453517747858017</v>
      </c>
      <c r="N54" s="127">
        <v>187242.84</v>
      </c>
      <c r="O54" s="127">
        <v>735300.0</v>
      </c>
      <c r="P54" s="127"/>
      <c r="Q54" s="127"/>
      <c r="R54" s="127"/>
      <c r="S54" s="127"/>
      <c r="T54" s="127"/>
      <c r="U54" s="127">
        <v>0.0</v>
      </c>
      <c r="V54" s="127">
        <v>0.0</v>
      </c>
      <c r="W54" s="127">
        <v>305.0</v>
      </c>
      <c r="X54" s="127">
        <v>102.0</v>
      </c>
      <c r="Y54" s="127">
        <v>16.0</v>
      </c>
      <c r="Z54" s="127">
        <v>61.0</v>
      </c>
      <c r="AA54" s="127">
        <v>3.0</v>
      </c>
      <c r="AB54" s="127"/>
      <c r="AC54" s="127">
        <v>6211.0</v>
      </c>
      <c r="AD54" s="127">
        <v>2897.0</v>
      </c>
      <c r="AE54" s="127">
        <v>178.0</v>
      </c>
      <c r="AF54" s="127">
        <v>443.0</v>
      </c>
      <c r="AG54" s="127">
        <v>22.0</v>
      </c>
    </row>
    <row r="55">
      <c r="A55" s="126">
        <v>46067.0</v>
      </c>
      <c r="B55" s="127">
        <v>0.38095238095238093</v>
      </c>
      <c r="C55" s="127">
        <v>8.0</v>
      </c>
      <c r="D55" s="127">
        <v>21.0</v>
      </c>
      <c r="E55" s="127">
        <v>0.15979381443298968</v>
      </c>
      <c r="F55" s="127">
        <v>31.0</v>
      </c>
      <c r="G55" s="127">
        <v>194.0</v>
      </c>
      <c r="H55" s="127">
        <v>451.0</v>
      </c>
      <c r="I55" s="127">
        <v>24316.129032258064</v>
      </c>
      <c r="J55" s="127">
        <v>753800.0</v>
      </c>
      <c r="K55" s="127">
        <v>31.0</v>
      </c>
      <c r="L55" s="127">
        <v>33.0</v>
      </c>
      <c r="M55" s="127">
        <v>0.7565579198726453</v>
      </c>
      <c r="N55" s="127">
        <v>183506.64</v>
      </c>
      <c r="O55" s="127">
        <v>753800.0</v>
      </c>
      <c r="P55" s="127"/>
      <c r="Q55" s="127"/>
      <c r="R55" s="127"/>
      <c r="S55" s="127"/>
      <c r="T55" s="127"/>
      <c r="U55" s="127">
        <v>0.0</v>
      </c>
      <c r="V55" s="127">
        <v>0.0</v>
      </c>
      <c r="W55" s="127">
        <v>232.0</v>
      </c>
      <c r="X55" s="127">
        <v>80.0</v>
      </c>
      <c r="Y55" s="127">
        <v>13.0</v>
      </c>
      <c r="Z55" s="127">
        <v>49.0</v>
      </c>
      <c r="AA55" s="127">
        <v>4.0</v>
      </c>
      <c r="AB55" s="127"/>
      <c r="AC55" s="127">
        <v>8881.0</v>
      </c>
      <c r="AD55" s="127">
        <v>3700.0</v>
      </c>
      <c r="AE55" s="127">
        <v>181.0</v>
      </c>
      <c r="AF55" s="127">
        <v>538.0</v>
      </c>
      <c r="AG55" s="127">
        <v>27.0</v>
      </c>
    </row>
    <row r="56">
      <c r="A56" s="126">
        <v>46068.0</v>
      </c>
      <c r="B56" s="127">
        <v>0.25</v>
      </c>
      <c r="C56" s="127">
        <v>6.0</v>
      </c>
      <c r="D56" s="127">
        <v>24.0</v>
      </c>
      <c r="E56" s="127">
        <v>0.16908212560386474</v>
      </c>
      <c r="F56" s="127">
        <v>35.0</v>
      </c>
      <c r="G56" s="127">
        <v>207.0</v>
      </c>
      <c r="H56" s="127">
        <v>517.0</v>
      </c>
      <c r="I56" s="127">
        <v>29754.285714285714</v>
      </c>
      <c r="J56" s="127">
        <v>1041400.0</v>
      </c>
      <c r="K56" s="127">
        <v>35.0</v>
      </c>
      <c r="L56" s="127">
        <v>49.0</v>
      </c>
      <c r="M56" s="127">
        <v>0.7416305742270022</v>
      </c>
      <c r="N56" s="127">
        <v>269065.92</v>
      </c>
      <c r="O56" s="127">
        <v>1041400.0</v>
      </c>
      <c r="P56" s="127"/>
      <c r="Q56" s="127"/>
      <c r="R56" s="127"/>
      <c r="S56" s="127"/>
      <c r="T56" s="127"/>
      <c r="U56" s="127">
        <v>0.0</v>
      </c>
      <c r="V56" s="127">
        <v>0.0</v>
      </c>
      <c r="W56" s="127">
        <v>205.0</v>
      </c>
      <c r="X56" s="127">
        <v>86.0</v>
      </c>
      <c r="Y56" s="127">
        <v>13.0</v>
      </c>
      <c r="Z56" s="127">
        <v>50.0</v>
      </c>
      <c r="AA56" s="127">
        <v>4.0</v>
      </c>
      <c r="AB56" s="127"/>
      <c r="AC56" s="127">
        <v>6590.0</v>
      </c>
      <c r="AD56" s="127">
        <v>2774.0</v>
      </c>
      <c r="AE56" s="127">
        <v>194.0</v>
      </c>
      <c r="AF56" s="127">
        <v>452.0</v>
      </c>
      <c r="AG56" s="127">
        <v>31.0</v>
      </c>
    </row>
    <row r="57">
      <c r="A57" s="126">
        <v>46069.0</v>
      </c>
      <c r="B57" s="127">
        <v>0.36363636363636365</v>
      </c>
      <c r="C57" s="127">
        <v>8.0</v>
      </c>
      <c r="D57" s="127">
        <v>22.0</v>
      </c>
      <c r="E57" s="127">
        <v>0.1625615763546798</v>
      </c>
      <c r="F57" s="127">
        <v>33.0</v>
      </c>
      <c r="G57" s="127">
        <v>203.0</v>
      </c>
      <c r="H57" s="127">
        <v>446.0</v>
      </c>
      <c r="I57" s="127">
        <v>19509.090909090908</v>
      </c>
      <c r="J57" s="127">
        <v>643800.0</v>
      </c>
      <c r="K57" s="127">
        <v>33.0</v>
      </c>
      <c r="L57" s="127">
        <v>37.0</v>
      </c>
      <c r="M57" s="127">
        <v>0.7274702702702702</v>
      </c>
      <c r="N57" s="127">
        <v>175454.64</v>
      </c>
      <c r="O57" s="127">
        <v>643800.0</v>
      </c>
      <c r="P57" s="127"/>
      <c r="Q57" s="127"/>
      <c r="R57" s="127"/>
      <c r="S57" s="127"/>
      <c r="T57" s="127"/>
      <c r="U57" s="127">
        <v>0.0</v>
      </c>
      <c r="V57" s="127">
        <v>0.0</v>
      </c>
      <c r="W57" s="127">
        <v>261.0</v>
      </c>
      <c r="X57" s="127">
        <v>98.0</v>
      </c>
      <c r="Y57" s="127">
        <v>9.0</v>
      </c>
      <c r="Z57" s="127">
        <v>44.0</v>
      </c>
      <c r="AA57" s="127">
        <v>2.0</v>
      </c>
      <c r="AB57" s="127"/>
      <c r="AC57" s="127">
        <v>6806.0</v>
      </c>
      <c r="AD57" s="127">
        <v>3138.0</v>
      </c>
      <c r="AE57" s="127">
        <v>194.0</v>
      </c>
      <c r="AF57" s="127">
        <v>544.0</v>
      </c>
      <c r="AG57" s="127">
        <v>31.0</v>
      </c>
    </row>
    <row r="58">
      <c r="A58" s="126">
        <v>46070.0</v>
      </c>
      <c r="B58" s="127">
        <v>0.4411764705882353</v>
      </c>
      <c r="C58" s="127">
        <v>15.0</v>
      </c>
      <c r="D58" s="127">
        <v>34.0</v>
      </c>
      <c r="E58" s="127">
        <v>0.2358974358974359</v>
      </c>
      <c r="F58" s="127">
        <v>46.0</v>
      </c>
      <c r="G58" s="127">
        <v>195.0</v>
      </c>
      <c r="H58" s="127">
        <v>452.0</v>
      </c>
      <c r="I58" s="127">
        <v>19856.521739130436</v>
      </c>
      <c r="J58" s="127">
        <v>913400.0</v>
      </c>
      <c r="K58" s="127">
        <v>46.0</v>
      </c>
      <c r="L58" s="127">
        <v>50.0</v>
      </c>
      <c r="M58" s="127">
        <v>0.7275864681410116</v>
      </c>
      <c r="N58" s="127">
        <v>248822.52</v>
      </c>
      <c r="O58" s="127">
        <v>913400.0</v>
      </c>
      <c r="P58" s="127"/>
      <c r="Q58" s="127"/>
      <c r="R58" s="127"/>
      <c r="S58" s="127"/>
      <c r="T58" s="127"/>
      <c r="U58" s="127">
        <v>0.0</v>
      </c>
      <c r="V58" s="127">
        <v>0.0</v>
      </c>
      <c r="W58" s="127">
        <v>231.0</v>
      </c>
      <c r="X58" s="127">
        <v>107.0</v>
      </c>
      <c r="Y58" s="127">
        <v>10.0</v>
      </c>
      <c r="Z58" s="127">
        <v>41.0</v>
      </c>
      <c r="AA58" s="127">
        <v>1.0</v>
      </c>
      <c r="AB58" s="127"/>
      <c r="AC58" s="127">
        <v>8106.0</v>
      </c>
      <c r="AD58" s="127">
        <v>3900.0</v>
      </c>
      <c r="AE58" s="127">
        <v>185.0</v>
      </c>
      <c r="AF58" s="127">
        <v>617.0</v>
      </c>
      <c r="AG58" s="127">
        <v>45.0</v>
      </c>
    </row>
    <row r="59">
      <c r="A59" s="126">
        <v>46071.0</v>
      </c>
      <c r="B59" s="127">
        <v>0.2857142857142857</v>
      </c>
      <c r="C59" s="127">
        <v>8.0</v>
      </c>
      <c r="D59" s="127">
        <v>28.0</v>
      </c>
      <c r="E59" s="127">
        <v>0.20588235294117646</v>
      </c>
      <c r="F59" s="127">
        <v>42.0</v>
      </c>
      <c r="G59" s="127">
        <v>204.0</v>
      </c>
      <c r="H59" s="127">
        <v>454.0</v>
      </c>
      <c r="I59" s="127">
        <v>27571.428571428572</v>
      </c>
      <c r="J59" s="127">
        <v>1158000.0</v>
      </c>
      <c r="K59" s="127">
        <v>42.0</v>
      </c>
      <c r="L59" s="127">
        <v>46.0</v>
      </c>
      <c r="M59" s="127">
        <v>0.715080829015544</v>
      </c>
      <c r="N59" s="127">
        <v>329936.4</v>
      </c>
      <c r="O59" s="127">
        <v>1158000.0</v>
      </c>
      <c r="P59" s="127"/>
      <c r="Q59" s="127"/>
      <c r="R59" s="127"/>
      <c r="S59" s="127"/>
      <c r="T59" s="127"/>
      <c r="U59" s="127">
        <v>0.0</v>
      </c>
      <c r="V59" s="127">
        <v>0.0</v>
      </c>
      <c r="W59" s="127">
        <v>222.0</v>
      </c>
      <c r="X59" s="127">
        <v>111.0</v>
      </c>
      <c r="Y59" s="127">
        <v>13.0</v>
      </c>
      <c r="Z59" s="127">
        <v>39.0</v>
      </c>
      <c r="AA59" s="127">
        <v>2.0</v>
      </c>
      <c r="AB59" s="127"/>
      <c r="AC59" s="127">
        <v>6308.0</v>
      </c>
      <c r="AD59" s="127">
        <v>3004.0</v>
      </c>
      <c r="AE59" s="127">
        <v>191.0</v>
      </c>
      <c r="AF59" s="127">
        <v>594.0</v>
      </c>
      <c r="AG59" s="127">
        <v>40.0</v>
      </c>
    </row>
    <row r="60">
      <c r="A60" s="126">
        <v>46072.0</v>
      </c>
      <c r="B60" s="127">
        <v>0.45454545454545453</v>
      </c>
      <c r="C60" s="127">
        <v>10.0</v>
      </c>
      <c r="D60" s="127">
        <v>22.0</v>
      </c>
      <c r="E60" s="127">
        <v>0.14953271028037382</v>
      </c>
      <c r="F60" s="127">
        <v>32.0</v>
      </c>
      <c r="G60" s="127">
        <v>214.0</v>
      </c>
      <c r="H60" s="127">
        <v>486.0</v>
      </c>
      <c r="I60" s="127">
        <v>22343.75</v>
      </c>
      <c r="J60" s="127">
        <v>715000.0</v>
      </c>
      <c r="K60" s="127">
        <v>32.0</v>
      </c>
      <c r="L60" s="127">
        <v>38.0</v>
      </c>
      <c r="M60" s="127">
        <v>0.7358615384615385</v>
      </c>
      <c r="N60" s="127">
        <v>188859.0</v>
      </c>
      <c r="O60" s="127">
        <v>715000.0</v>
      </c>
      <c r="P60" s="127"/>
      <c r="Q60" s="127"/>
      <c r="R60" s="127"/>
      <c r="S60" s="127"/>
      <c r="T60" s="127"/>
      <c r="U60" s="127">
        <v>0.0</v>
      </c>
      <c r="V60" s="127">
        <v>0.0</v>
      </c>
      <c r="W60" s="127">
        <v>248.0</v>
      </c>
      <c r="X60" s="127">
        <v>119.0</v>
      </c>
      <c r="Y60" s="127">
        <v>25.0</v>
      </c>
      <c r="Z60" s="127">
        <v>61.0</v>
      </c>
      <c r="AA60" s="127">
        <v>3.0</v>
      </c>
      <c r="AB60" s="127"/>
      <c r="AC60" s="127">
        <v>4910.0</v>
      </c>
      <c r="AD60" s="127">
        <v>2510.0</v>
      </c>
      <c r="AE60" s="127">
        <v>189.0</v>
      </c>
      <c r="AF60" s="127">
        <v>560.0</v>
      </c>
      <c r="AG60" s="127">
        <v>29.0</v>
      </c>
    </row>
    <row r="61">
      <c r="A61" s="126">
        <v>46073.0</v>
      </c>
      <c r="B61" s="127">
        <v>0.47058823529411764</v>
      </c>
      <c r="C61" s="127">
        <v>8.0</v>
      </c>
      <c r="D61" s="127">
        <v>17.0</v>
      </c>
      <c r="E61" s="127">
        <v>0.10762331838565023</v>
      </c>
      <c r="F61" s="127">
        <v>24.0</v>
      </c>
      <c r="G61" s="127">
        <v>223.0</v>
      </c>
      <c r="H61" s="127">
        <v>497.0</v>
      </c>
      <c r="I61" s="127">
        <v>21720.833333333332</v>
      </c>
      <c r="J61" s="127">
        <v>521300.0</v>
      </c>
      <c r="K61" s="127">
        <v>24.0</v>
      </c>
      <c r="L61" s="127">
        <v>30.0</v>
      </c>
      <c r="M61" s="127">
        <v>0.7299373873009782</v>
      </c>
      <c r="N61" s="127">
        <v>140783.64</v>
      </c>
      <c r="O61" s="127">
        <v>521300.0</v>
      </c>
      <c r="P61" s="127"/>
      <c r="Q61" s="127"/>
      <c r="R61" s="127"/>
      <c r="S61" s="127"/>
      <c r="T61" s="127"/>
      <c r="U61" s="127">
        <v>0.0</v>
      </c>
      <c r="V61" s="127">
        <v>0.0</v>
      </c>
      <c r="W61" s="127">
        <v>234.0</v>
      </c>
      <c r="X61" s="127">
        <v>117.0</v>
      </c>
      <c r="Y61" s="127">
        <v>36.0</v>
      </c>
      <c r="Z61" s="127">
        <v>55.0</v>
      </c>
      <c r="AA61" s="127">
        <v>3.0</v>
      </c>
      <c r="AB61" s="127"/>
      <c r="AC61" s="127">
        <v>2821.0</v>
      </c>
      <c r="AD61" s="127">
        <v>1538.0</v>
      </c>
      <c r="AE61" s="127">
        <v>187.0</v>
      </c>
      <c r="AF61" s="127">
        <v>444.0</v>
      </c>
      <c r="AG61" s="127">
        <v>21.0</v>
      </c>
    </row>
    <row r="62">
      <c r="A62" s="126">
        <v>46074.0</v>
      </c>
      <c r="B62" s="127">
        <v>0.3333333333333333</v>
      </c>
      <c r="C62" s="127">
        <v>5.0</v>
      </c>
      <c r="D62" s="127">
        <v>15.0</v>
      </c>
      <c r="E62" s="127">
        <v>0.14772727272727273</v>
      </c>
      <c r="F62" s="127">
        <v>26.0</v>
      </c>
      <c r="G62" s="127">
        <v>176.0</v>
      </c>
      <c r="H62" s="127">
        <v>388.0</v>
      </c>
      <c r="I62" s="127">
        <v>18188.46153846154</v>
      </c>
      <c r="J62" s="127">
        <v>472900.0</v>
      </c>
      <c r="K62" s="127">
        <v>26.0</v>
      </c>
      <c r="L62" s="127">
        <v>28.0</v>
      </c>
      <c r="M62" s="127">
        <v>0.742731824910129</v>
      </c>
      <c r="N62" s="127">
        <v>121662.12</v>
      </c>
      <c r="O62" s="127">
        <v>472900.0</v>
      </c>
      <c r="P62" s="127"/>
      <c r="Q62" s="127"/>
      <c r="R62" s="127"/>
      <c r="S62" s="127"/>
      <c r="T62" s="127"/>
      <c r="U62" s="127">
        <v>0.0</v>
      </c>
      <c r="V62" s="127">
        <v>0.0</v>
      </c>
      <c r="W62" s="127">
        <v>206.0</v>
      </c>
      <c r="X62" s="127">
        <v>91.0</v>
      </c>
      <c r="Y62" s="127">
        <v>24.0</v>
      </c>
      <c r="Z62" s="127">
        <v>44.0</v>
      </c>
      <c r="AA62" s="127">
        <v>0.0</v>
      </c>
      <c r="AB62" s="127"/>
      <c r="AC62" s="127">
        <v>2616.0</v>
      </c>
      <c r="AD62" s="127">
        <v>1427.0</v>
      </c>
      <c r="AE62" s="127">
        <v>152.0</v>
      </c>
      <c r="AF62" s="127">
        <v>441.0</v>
      </c>
      <c r="AG62" s="127">
        <v>26.0</v>
      </c>
    </row>
    <row r="63">
      <c r="A63" s="126">
        <v>46075.0</v>
      </c>
      <c r="B63" s="127">
        <v>0.0</v>
      </c>
      <c r="C63" s="127">
        <v>0.0</v>
      </c>
      <c r="D63" s="127">
        <v>23.0</v>
      </c>
      <c r="E63" s="127">
        <v>0.14746543778801843</v>
      </c>
      <c r="F63" s="127">
        <v>32.0</v>
      </c>
      <c r="G63" s="127">
        <v>217.0</v>
      </c>
      <c r="H63" s="127">
        <v>516.0</v>
      </c>
      <c r="I63" s="127">
        <v>25015.625</v>
      </c>
      <c r="J63" s="127">
        <v>800500.0</v>
      </c>
      <c r="K63" s="127">
        <v>32.0</v>
      </c>
      <c r="L63" s="127">
        <v>36.0</v>
      </c>
      <c r="M63" s="127">
        <v>0.7235472829481574</v>
      </c>
      <c r="N63" s="127">
        <v>221300.4</v>
      </c>
      <c r="O63" s="127">
        <v>800500.0</v>
      </c>
      <c r="P63" s="127"/>
      <c r="Q63" s="127"/>
      <c r="R63" s="127"/>
      <c r="S63" s="127"/>
      <c r="T63" s="127"/>
      <c r="U63" s="127">
        <v>0.0</v>
      </c>
      <c r="V63" s="127">
        <v>0.0</v>
      </c>
      <c r="W63" s="127">
        <v>214.0</v>
      </c>
      <c r="X63" s="127">
        <v>91.0</v>
      </c>
      <c r="Y63" s="127">
        <v>14.0</v>
      </c>
      <c r="Z63" s="127">
        <v>44.0</v>
      </c>
      <c r="AA63" s="127">
        <v>2.0</v>
      </c>
      <c r="AB63" s="127"/>
      <c r="AC63" s="127">
        <v>2553.0</v>
      </c>
      <c r="AD63" s="127">
        <v>1410.0</v>
      </c>
      <c r="AE63" s="127">
        <v>203.0</v>
      </c>
      <c r="AF63" s="127">
        <v>467.0</v>
      </c>
      <c r="AG63" s="127">
        <v>30.0</v>
      </c>
    </row>
    <row r="64">
      <c r="A64" s="126">
        <v>46076.0</v>
      </c>
      <c r="B64" s="127">
        <v>0.0</v>
      </c>
      <c r="C64" s="127">
        <v>0.0</v>
      </c>
      <c r="D64" s="127">
        <v>5.0</v>
      </c>
      <c r="E64" s="127">
        <v>0.058333333333333334</v>
      </c>
      <c r="F64" s="127">
        <v>7.0</v>
      </c>
      <c r="G64" s="127">
        <v>120.0</v>
      </c>
      <c r="H64" s="127">
        <v>275.0</v>
      </c>
      <c r="I64" s="127">
        <v>28214.285714285714</v>
      </c>
      <c r="J64" s="127">
        <v>197500.0</v>
      </c>
      <c r="K64" s="127">
        <v>7.0</v>
      </c>
      <c r="L64" s="127">
        <v>7.0</v>
      </c>
      <c r="M64" s="127">
        <v>0.7</v>
      </c>
      <c r="N64" s="127">
        <v>59250.0</v>
      </c>
      <c r="O64" s="127">
        <v>197500.0</v>
      </c>
      <c r="P64" s="127"/>
      <c r="Q64" s="127"/>
      <c r="R64" s="127"/>
      <c r="S64" s="127"/>
      <c r="T64" s="127"/>
      <c r="U64" s="127">
        <v>0.0</v>
      </c>
      <c r="V64" s="127">
        <v>0.0</v>
      </c>
      <c r="W64" s="127"/>
      <c r="X64" s="127"/>
      <c r="Y64" s="127">
        <v>0.0</v>
      </c>
      <c r="Z64" s="127"/>
      <c r="AA64" s="127">
        <v>0.0</v>
      </c>
      <c r="AB64" s="127"/>
      <c r="AC64" s="127"/>
      <c r="AD64" s="127"/>
      <c r="AE64" s="127">
        <v>120.0</v>
      </c>
      <c r="AF64" s="127"/>
      <c r="AG64" s="127">
        <v>7.0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12</v>
      </c>
      <c r="D1" s="125" t="s">
        <v>15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46013.0</v>
      </c>
      <c r="B2" s="127">
        <v>0.48917748917748916</v>
      </c>
      <c r="C2" s="127">
        <v>113.0</v>
      </c>
      <c r="D2" s="127">
        <v>231.0</v>
      </c>
      <c r="E2" s="127">
        <v>0.03232577665827036</v>
      </c>
      <c r="F2" s="127">
        <v>231.0</v>
      </c>
      <c r="G2" s="127">
        <v>7146.0</v>
      </c>
      <c r="H2" s="127">
        <v>20104.0</v>
      </c>
      <c r="I2" s="127">
        <v>47387.01298701299</v>
      </c>
      <c r="J2" s="127">
        <v>1.09464E7</v>
      </c>
      <c r="K2" s="127">
        <v>231.0</v>
      </c>
      <c r="L2" s="127">
        <v>269.0</v>
      </c>
      <c r="M2" s="127">
        <v>0.9386751497683805</v>
      </c>
      <c r="N2" s="127">
        <v>671286.3405754</v>
      </c>
      <c r="O2" s="127">
        <v>1.09464E7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2590.0</v>
      </c>
      <c r="X2" s="127">
        <v>1945.0</v>
      </c>
      <c r="Y2" s="127">
        <v>671.0</v>
      </c>
      <c r="Z2" s="127">
        <v>248.0</v>
      </c>
      <c r="AA2" s="127">
        <v>15.0</v>
      </c>
      <c r="AB2" s="127"/>
      <c r="AC2" s="127">
        <v>32523.0</v>
      </c>
      <c r="AD2" s="127">
        <v>26838.0</v>
      </c>
      <c r="AE2" s="127">
        <v>6475.0</v>
      </c>
      <c r="AF2" s="127">
        <v>4179.0</v>
      </c>
      <c r="AG2" s="127">
        <v>216.0</v>
      </c>
    </row>
    <row r="3">
      <c r="A3" s="126">
        <v>46020.0</v>
      </c>
      <c r="B3" s="127">
        <v>0.225</v>
      </c>
      <c r="C3" s="127">
        <v>36.0</v>
      </c>
      <c r="D3" s="127">
        <v>160.0</v>
      </c>
      <c r="E3" s="127">
        <v>0.03971291866028708</v>
      </c>
      <c r="F3" s="127">
        <v>166.0</v>
      </c>
      <c r="G3" s="127">
        <v>4180.0</v>
      </c>
      <c r="H3" s="127">
        <v>11810.0</v>
      </c>
      <c r="I3" s="127">
        <v>40293.3734939759</v>
      </c>
      <c r="J3" s="127">
        <v>6688700.0</v>
      </c>
      <c r="K3" s="127">
        <v>166.0</v>
      </c>
      <c r="L3" s="127">
        <v>245.0</v>
      </c>
      <c r="M3" s="127">
        <v>0.9275774726349515</v>
      </c>
      <c r="N3" s="127">
        <v>484412.5587866</v>
      </c>
      <c r="O3" s="127">
        <v>6688700.0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3231.0</v>
      </c>
      <c r="X3" s="127">
        <v>2017.0</v>
      </c>
      <c r="Y3" s="127">
        <v>414.0</v>
      </c>
      <c r="Z3" s="127">
        <v>405.0</v>
      </c>
      <c r="AA3" s="127">
        <v>13.0</v>
      </c>
      <c r="AB3" s="127"/>
      <c r="AC3" s="127">
        <v>28794.0</v>
      </c>
      <c r="AD3" s="127">
        <v>23161.0</v>
      </c>
      <c r="AE3" s="127">
        <v>3766.0</v>
      </c>
      <c r="AF3" s="127">
        <v>3470.0</v>
      </c>
      <c r="AG3" s="127">
        <v>153.0</v>
      </c>
    </row>
    <row r="4">
      <c r="A4" s="126">
        <v>46027.0</v>
      </c>
      <c r="B4" s="127">
        <v>0.5221674876847291</v>
      </c>
      <c r="C4" s="127">
        <v>106.0</v>
      </c>
      <c r="D4" s="127">
        <v>203.0</v>
      </c>
      <c r="E4" s="127">
        <v>0.06910167818361303</v>
      </c>
      <c r="F4" s="127">
        <v>210.0</v>
      </c>
      <c r="G4" s="127">
        <v>3039.0</v>
      </c>
      <c r="H4" s="127">
        <v>8440.0</v>
      </c>
      <c r="I4" s="127">
        <v>25046.190476190477</v>
      </c>
      <c r="J4" s="127">
        <v>5259700.0</v>
      </c>
      <c r="K4" s="127">
        <v>210.0</v>
      </c>
      <c r="L4" s="127">
        <v>283.0</v>
      </c>
      <c r="M4" s="127">
        <v>0.7705981523862577</v>
      </c>
      <c r="N4" s="127">
        <v>1206584.897894</v>
      </c>
      <c r="O4" s="127">
        <v>5259700.0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3225.0</v>
      </c>
      <c r="X4" s="127">
        <v>1674.0</v>
      </c>
      <c r="Y4" s="127">
        <v>357.0</v>
      </c>
      <c r="Z4" s="127">
        <v>416.0</v>
      </c>
      <c r="AA4" s="127">
        <v>30.0</v>
      </c>
      <c r="AB4" s="127"/>
      <c r="AC4" s="127">
        <v>21464.0</v>
      </c>
      <c r="AD4" s="127">
        <v>15620.0</v>
      </c>
      <c r="AE4" s="127">
        <v>2682.0</v>
      </c>
      <c r="AF4" s="127">
        <v>2842.0</v>
      </c>
      <c r="AG4" s="127">
        <v>180.0</v>
      </c>
    </row>
    <row r="5">
      <c r="A5" s="126">
        <v>46034.0</v>
      </c>
      <c r="B5" s="127">
        <v>0.44375</v>
      </c>
      <c r="C5" s="127">
        <v>142.0</v>
      </c>
      <c r="D5" s="127">
        <v>320.0</v>
      </c>
      <c r="E5" s="127">
        <v>0.1755345599204376</v>
      </c>
      <c r="F5" s="127">
        <v>353.0</v>
      </c>
      <c r="G5" s="127">
        <v>2011.0</v>
      </c>
      <c r="H5" s="127">
        <v>5712.0</v>
      </c>
      <c r="I5" s="127">
        <v>21381.303116147308</v>
      </c>
      <c r="J5" s="127">
        <v>7547600.0</v>
      </c>
      <c r="K5" s="127">
        <v>353.0</v>
      </c>
      <c r="L5" s="127">
        <v>453.0</v>
      </c>
      <c r="M5" s="127">
        <v>0.713975104271477</v>
      </c>
      <c r="N5" s="127">
        <v>2158801.5030006003</v>
      </c>
      <c r="O5" s="127">
        <v>7547600.0</v>
      </c>
      <c r="P5" s="127"/>
      <c r="Q5" s="127"/>
      <c r="R5" s="127"/>
      <c r="S5" s="127"/>
      <c r="T5" s="127"/>
      <c r="U5" s="127">
        <v>0.0</v>
      </c>
      <c r="V5" s="127">
        <v>0.0</v>
      </c>
      <c r="W5" s="127">
        <v>4771.0</v>
      </c>
      <c r="X5" s="127">
        <v>2360.0</v>
      </c>
      <c r="Y5" s="127">
        <v>304.0</v>
      </c>
      <c r="Z5" s="127">
        <v>912.0</v>
      </c>
      <c r="AA5" s="127">
        <v>59.0</v>
      </c>
      <c r="AB5" s="127"/>
      <c r="AC5" s="127">
        <v>23318.0</v>
      </c>
      <c r="AD5" s="127">
        <v>16463.0</v>
      </c>
      <c r="AE5" s="127">
        <v>1707.0</v>
      </c>
      <c r="AF5" s="127">
        <v>4145.0</v>
      </c>
      <c r="AG5" s="127">
        <v>294.0</v>
      </c>
    </row>
    <row r="6">
      <c r="A6" s="126">
        <v>46041.0</v>
      </c>
      <c r="B6" s="127">
        <v>0.29110512129380056</v>
      </c>
      <c r="C6" s="127">
        <v>108.0</v>
      </c>
      <c r="D6" s="127">
        <v>371.0</v>
      </c>
      <c r="E6" s="127">
        <v>0.17232704402515722</v>
      </c>
      <c r="F6" s="127">
        <v>411.0</v>
      </c>
      <c r="G6" s="127">
        <v>2385.0</v>
      </c>
      <c r="H6" s="127">
        <v>6633.0</v>
      </c>
      <c r="I6" s="127">
        <v>19315.08515815085</v>
      </c>
      <c r="J6" s="127">
        <v>7938500.0</v>
      </c>
      <c r="K6" s="127">
        <v>411.0</v>
      </c>
      <c r="L6" s="127">
        <v>518.0</v>
      </c>
      <c r="M6" s="127">
        <v>0.7244063006114757</v>
      </c>
      <c r="N6" s="127">
        <v>2187800.5825958</v>
      </c>
      <c r="O6" s="127">
        <v>7938500.0</v>
      </c>
      <c r="P6" s="127"/>
      <c r="Q6" s="127"/>
      <c r="R6" s="127"/>
      <c r="S6" s="127"/>
      <c r="T6" s="127"/>
      <c r="U6" s="127">
        <v>0.0</v>
      </c>
      <c r="V6" s="127">
        <v>0.0</v>
      </c>
      <c r="W6" s="127">
        <v>4178.0</v>
      </c>
      <c r="X6" s="127">
        <v>1921.0</v>
      </c>
      <c r="Y6" s="127">
        <v>289.0</v>
      </c>
      <c r="Z6" s="127">
        <v>978.0</v>
      </c>
      <c r="AA6" s="127">
        <v>59.0</v>
      </c>
      <c r="AB6" s="127"/>
      <c r="AC6" s="127">
        <v>34260.0</v>
      </c>
      <c r="AD6" s="127">
        <v>17194.0</v>
      </c>
      <c r="AE6" s="127">
        <v>2096.0</v>
      </c>
      <c r="AF6" s="127">
        <v>5669.0</v>
      </c>
      <c r="AG6" s="127">
        <v>352.0</v>
      </c>
    </row>
    <row r="7">
      <c r="A7" s="126">
        <v>46048.0</v>
      </c>
      <c r="B7" s="127">
        <v>0.39</v>
      </c>
      <c r="C7" s="127">
        <v>117.0</v>
      </c>
      <c r="D7" s="127">
        <v>300.0</v>
      </c>
      <c r="E7" s="127">
        <v>0.14491525423728813</v>
      </c>
      <c r="F7" s="127">
        <v>342.0</v>
      </c>
      <c r="G7" s="127">
        <v>2360.0</v>
      </c>
      <c r="H7" s="127">
        <v>5980.0</v>
      </c>
      <c r="I7" s="127">
        <v>19681.871345029238</v>
      </c>
      <c r="J7" s="127">
        <v>6731200.0</v>
      </c>
      <c r="K7" s="127">
        <v>342.0</v>
      </c>
      <c r="L7" s="127">
        <v>491.0</v>
      </c>
      <c r="M7" s="127">
        <v>0.7173613423271631</v>
      </c>
      <c r="N7" s="127">
        <v>1902497.3325274</v>
      </c>
      <c r="O7" s="127">
        <v>6731200.0</v>
      </c>
      <c r="P7" s="127"/>
      <c r="Q7" s="127"/>
      <c r="R7" s="127"/>
      <c r="S7" s="127"/>
      <c r="T7" s="127"/>
      <c r="U7" s="127">
        <v>0.0</v>
      </c>
      <c r="V7" s="127">
        <v>0.0</v>
      </c>
      <c r="W7" s="127">
        <v>5925.0</v>
      </c>
      <c r="X7" s="127">
        <v>2018.0</v>
      </c>
      <c r="Y7" s="127">
        <v>499.0</v>
      </c>
      <c r="Z7" s="127">
        <v>1307.0</v>
      </c>
      <c r="AA7" s="127">
        <v>109.0</v>
      </c>
      <c r="AB7" s="127"/>
      <c r="AC7" s="127">
        <v>18112.0</v>
      </c>
      <c r="AD7" s="127">
        <v>10089.0</v>
      </c>
      <c r="AE7" s="127">
        <v>1861.0</v>
      </c>
      <c r="AF7" s="127">
        <v>3886.0</v>
      </c>
      <c r="AG7" s="127">
        <v>233.0</v>
      </c>
    </row>
    <row r="8">
      <c r="A8" s="126">
        <v>46055.0</v>
      </c>
      <c r="B8" s="127">
        <v>0.36363636363636365</v>
      </c>
      <c r="C8" s="127">
        <v>88.0</v>
      </c>
      <c r="D8" s="127">
        <v>242.0</v>
      </c>
      <c r="E8" s="127">
        <v>0.1712448860315605</v>
      </c>
      <c r="F8" s="127">
        <v>293.0</v>
      </c>
      <c r="G8" s="127">
        <v>1711.0</v>
      </c>
      <c r="H8" s="127">
        <v>4224.0</v>
      </c>
      <c r="I8" s="127">
        <v>20841.9795221843</v>
      </c>
      <c r="J8" s="127">
        <v>6106700.0</v>
      </c>
      <c r="K8" s="127">
        <v>293.0</v>
      </c>
      <c r="L8" s="127">
        <v>437.0</v>
      </c>
      <c r="M8" s="127">
        <v>0.7113419425235561</v>
      </c>
      <c r="N8" s="127">
        <v>1762748.1595914</v>
      </c>
      <c r="O8" s="127">
        <v>6106700.0</v>
      </c>
      <c r="P8" s="127"/>
      <c r="Q8" s="127"/>
      <c r="R8" s="127"/>
      <c r="S8" s="127"/>
      <c r="T8" s="127"/>
      <c r="U8" s="127">
        <v>0.0</v>
      </c>
      <c r="V8" s="127">
        <v>0.0</v>
      </c>
      <c r="W8" s="127">
        <v>5642.0</v>
      </c>
      <c r="X8" s="127">
        <v>1581.0</v>
      </c>
      <c r="Y8" s="127">
        <v>332.0</v>
      </c>
      <c r="Z8" s="127">
        <v>1174.0</v>
      </c>
      <c r="AA8" s="127">
        <v>79.0</v>
      </c>
      <c r="AB8" s="127"/>
      <c r="AC8" s="127">
        <v>18083.0</v>
      </c>
      <c r="AD8" s="127">
        <v>8138.0</v>
      </c>
      <c r="AE8" s="127">
        <v>1379.0</v>
      </c>
      <c r="AF8" s="127">
        <v>3463.0</v>
      </c>
      <c r="AG8" s="127">
        <v>214.0</v>
      </c>
    </row>
    <row r="9">
      <c r="A9" s="126">
        <v>46062.0</v>
      </c>
      <c r="B9" s="127">
        <v>0.3897058823529412</v>
      </c>
      <c r="C9" s="127">
        <v>53.0</v>
      </c>
      <c r="D9" s="127">
        <v>136.0</v>
      </c>
      <c r="E9" s="127">
        <v>0.1382660687593423</v>
      </c>
      <c r="F9" s="127">
        <v>185.0</v>
      </c>
      <c r="G9" s="127">
        <v>1338.0</v>
      </c>
      <c r="H9" s="127">
        <v>3348.0</v>
      </c>
      <c r="I9" s="127">
        <v>24025.405405405407</v>
      </c>
      <c r="J9" s="127">
        <v>4444700.0</v>
      </c>
      <c r="K9" s="127">
        <v>185.0</v>
      </c>
      <c r="L9" s="127">
        <v>227.0</v>
      </c>
      <c r="M9" s="127">
        <v>0.7375978901249578</v>
      </c>
      <c r="N9" s="127">
        <v>1166298.6577616</v>
      </c>
      <c r="O9" s="127">
        <v>4444700.0</v>
      </c>
      <c r="P9" s="127"/>
      <c r="Q9" s="127"/>
      <c r="R9" s="127"/>
      <c r="S9" s="127"/>
      <c r="T9" s="127"/>
      <c r="U9" s="127">
        <v>0.0</v>
      </c>
      <c r="V9" s="127">
        <v>0.0</v>
      </c>
      <c r="W9" s="127">
        <v>3912.0</v>
      </c>
      <c r="X9" s="127">
        <v>1249.0</v>
      </c>
      <c r="Y9" s="127">
        <v>207.0</v>
      </c>
      <c r="Z9" s="127">
        <v>756.0</v>
      </c>
      <c r="AA9" s="127">
        <v>33.0</v>
      </c>
      <c r="AB9" s="127"/>
      <c r="AC9" s="127">
        <v>27238.0</v>
      </c>
      <c r="AD9" s="127">
        <v>12905.0</v>
      </c>
      <c r="AE9" s="127">
        <v>1131.0</v>
      </c>
      <c r="AF9" s="127">
        <v>3036.0</v>
      </c>
      <c r="AG9" s="127">
        <v>152.0</v>
      </c>
    </row>
    <row r="10">
      <c r="A10" s="126">
        <v>46069.0</v>
      </c>
      <c r="B10" s="127">
        <v>0.0</v>
      </c>
      <c r="C10" s="127">
        <v>0.0</v>
      </c>
      <c r="D10" s="127">
        <v>161.0</v>
      </c>
      <c r="E10" s="127">
        <v>0.16679657053780203</v>
      </c>
      <c r="F10" s="127">
        <v>214.0</v>
      </c>
      <c r="G10" s="127">
        <v>1283.0</v>
      </c>
      <c r="H10" s="127">
        <v>3239.0</v>
      </c>
      <c r="I10" s="127">
        <v>24415.420560747665</v>
      </c>
      <c r="J10" s="127">
        <v>5224900.0</v>
      </c>
      <c r="K10" s="127">
        <v>214.0</v>
      </c>
      <c r="L10" s="127">
        <v>265.0</v>
      </c>
      <c r="M10" s="127">
        <v>0.7269194204673775</v>
      </c>
      <c r="N10" s="127">
        <v>1426818.72</v>
      </c>
      <c r="O10" s="127">
        <v>5224900.0</v>
      </c>
      <c r="P10" s="127"/>
      <c r="Q10" s="127"/>
      <c r="R10" s="127"/>
      <c r="S10" s="127"/>
      <c r="T10" s="127"/>
      <c r="U10" s="127">
        <v>0.0</v>
      </c>
      <c r="V10" s="127">
        <v>0.0</v>
      </c>
      <c r="W10" s="127">
        <v>1845.0</v>
      </c>
      <c r="X10" s="127">
        <v>870.0</v>
      </c>
      <c r="Y10" s="127">
        <v>150.0</v>
      </c>
      <c r="Z10" s="127">
        <v>385.0</v>
      </c>
      <c r="AA10" s="127">
        <v>16.0</v>
      </c>
      <c r="AB10" s="127"/>
      <c r="AC10" s="127">
        <v>29733.0</v>
      </c>
      <c r="AD10" s="127">
        <v>15165.0</v>
      </c>
      <c r="AE10" s="127">
        <v>1133.0</v>
      </c>
      <c r="AF10" s="127">
        <v>3433.0</v>
      </c>
      <c r="AG10" s="127">
        <v>198.0</v>
      </c>
    </row>
    <row r="11">
      <c r="A11" s="126">
        <v>46076.0</v>
      </c>
      <c r="B11" s="127">
        <v>0.0</v>
      </c>
      <c r="C11" s="127">
        <v>0.0</v>
      </c>
      <c r="D11" s="127">
        <v>5.0</v>
      </c>
      <c r="E11" s="127">
        <v>0.058333333333333334</v>
      </c>
      <c r="F11" s="127">
        <v>7.0</v>
      </c>
      <c r="G11" s="127">
        <v>120.0</v>
      </c>
      <c r="H11" s="127">
        <v>275.0</v>
      </c>
      <c r="I11" s="127">
        <v>28214.285714285714</v>
      </c>
      <c r="J11" s="127">
        <v>197500.0</v>
      </c>
      <c r="K11" s="127">
        <v>7.0</v>
      </c>
      <c r="L11" s="127">
        <v>7.0</v>
      </c>
      <c r="M11" s="127">
        <v>0.7</v>
      </c>
      <c r="N11" s="127">
        <v>59250.0</v>
      </c>
      <c r="O11" s="127">
        <v>197500.0</v>
      </c>
      <c r="P11" s="127"/>
      <c r="Q11" s="127"/>
      <c r="R11" s="127"/>
      <c r="S11" s="127"/>
      <c r="T11" s="127"/>
      <c r="U11" s="127">
        <v>0.0</v>
      </c>
      <c r="V11" s="127">
        <v>0.0</v>
      </c>
      <c r="W11" s="127"/>
      <c r="X11" s="127"/>
      <c r="Y11" s="127">
        <v>0.0</v>
      </c>
      <c r="Z11" s="127"/>
      <c r="AA11" s="127">
        <v>0.0</v>
      </c>
      <c r="AB11" s="127"/>
      <c r="AC11" s="127"/>
      <c r="AD11" s="127"/>
      <c r="AE11" s="127">
        <v>120.0</v>
      </c>
      <c r="AF11" s="127"/>
      <c r="AG11" s="127">
        <v>7.0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13</v>
      </c>
      <c r="D1" s="125" t="s">
        <v>16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45992.0</v>
      </c>
      <c r="B2" s="127">
        <v>0.4652567975830816</v>
      </c>
      <c r="C2" s="127">
        <v>154.0</v>
      </c>
      <c r="D2" s="127">
        <v>331.0</v>
      </c>
      <c r="E2" s="127">
        <v>0.008843410189959657</v>
      </c>
      <c r="F2" s="127">
        <v>331.0</v>
      </c>
      <c r="G2" s="127">
        <v>37429.0</v>
      </c>
      <c r="H2" s="127">
        <v>130759.0</v>
      </c>
      <c r="I2" s="127">
        <v>46621.752265861025</v>
      </c>
      <c r="J2" s="127">
        <v>1.54318E7</v>
      </c>
      <c r="K2" s="127">
        <v>331.0</v>
      </c>
      <c r="L2" s="127">
        <v>416.0</v>
      </c>
      <c r="M2" s="127">
        <v>0.8754949644911028</v>
      </c>
      <c r="N2" s="127">
        <v>1921336.8069662</v>
      </c>
      <c r="O2" s="127">
        <v>1.54318E7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15147.0</v>
      </c>
      <c r="X2" s="127">
        <v>10816.0</v>
      </c>
      <c r="Y2" s="127">
        <v>6386.0</v>
      </c>
      <c r="Z2" s="127">
        <v>620.0</v>
      </c>
      <c r="AA2" s="127">
        <v>27.0</v>
      </c>
      <c r="AB2" s="127"/>
      <c r="AC2" s="127">
        <v>85079.0</v>
      </c>
      <c r="AD2" s="127">
        <v>64956.0</v>
      </c>
      <c r="AE2" s="127">
        <v>31043.0</v>
      </c>
      <c r="AF2" s="127">
        <v>5355.0</v>
      </c>
      <c r="AG2" s="127">
        <v>304.0</v>
      </c>
    </row>
    <row r="3">
      <c r="A3" s="126">
        <v>46023.0</v>
      </c>
      <c r="B3" s="127">
        <v>0.44333333333333336</v>
      </c>
      <c r="C3" s="127">
        <v>532.0</v>
      </c>
      <c r="D3" s="127">
        <v>1200.0</v>
      </c>
      <c r="E3" s="127">
        <v>0.12107979356887653</v>
      </c>
      <c r="F3" s="127">
        <v>1220.0</v>
      </c>
      <c r="G3" s="127">
        <v>10076.0</v>
      </c>
      <c r="H3" s="127">
        <v>32185.0</v>
      </c>
      <c r="I3" s="127">
        <v>23181.39344262295</v>
      </c>
      <c r="J3" s="127">
        <v>2.82813E7</v>
      </c>
      <c r="K3" s="127">
        <v>1220.0</v>
      </c>
      <c r="L3" s="127">
        <v>1751.0</v>
      </c>
      <c r="M3" s="127">
        <v>0.7434944156057607</v>
      </c>
      <c r="N3" s="127">
        <v>7254311.3839288</v>
      </c>
      <c r="O3" s="127">
        <v>2.82813E7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20716.0</v>
      </c>
      <c r="X3" s="127">
        <v>9802.0</v>
      </c>
      <c r="Y3" s="127">
        <v>1755.0</v>
      </c>
      <c r="Z3" s="127">
        <v>4056.0</v>
      </c>
      <c r="AA3" s="127">
        <v>275.0</v>
      </c>
      <c r="AB3" s="127"/>
      <c r="AC3" s="127">
        <v>88004.0</v>
      </c>
      <c r="AD3" s="127">
        <v>58080.0</v>
      </c>
      <c r="AE3" s="127">
        <v>8321.0</v>
      </c>
      <c r="AF3" s="127">
        <v>16121.0</v>
      </c>
      <c r="AG3" s="127">
        <v>945.0</v>
      </c>
    </row>
    <row r="4">
      <c r="A4" s="126">
        <v>46054.0</v>
      </c>
      <c r="B4" s="127">
        <v>0.0</v>
      </c>
      <c r="C4" s="127">
        <v>0.0</v>
      </c>
      <c r="D4" s="127">
        <v>598.0</v>
      </c>
      <c r="E4" s="127">
        <v>0.15896151218401275</v>
      </c>
      <c r="F4" s="127">
        <v>698.0</v>
      </c>
      <c r="G4" s="127">
        <v>4391.0</v>
      </c>
      <c r="H4" s="127">
        <v>11965.0</v>
      </c>
      <c r="I4" s="127">
        <v>24889.398280802292</v>
      </c>
      <c r="J4" s="127">
        <v>1.73728E7</v>
      </c>
      <c r="K4" s="127">
        <v>698.0</v>
      </c>
      <c r="L4" s="127">
        <v>1028.0</v>
      </c>
      <c r="M4" s="127">
        <v>0.7234989596961687</v>
      </c>
      <c r="N4" s="127">
        <v>4803597.2729904</v>
      </c>
      <c r="O4" s="127">
        <v>1.73728E7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13219.0</v>
      </c>
      <c r="X4" s="127">
        <v>4487.0</v>
      </c>
      <c r="Y4" s="127">
        <v>825.0</v>
      </c>
      <c r="Z4" s="127">
        <v>2699.0</v>
      </c>
      <c r="AA4" s="127">
        <v>159.0</v>
      </c>
      <c r="AB4" s="127"/>
      <c r="AC4" s="127">
        <v>65321.0</v>
      </c>
      <c r="AD4" s="127">
        <v>32715.0</v>
      </c>
      <c r="AE4" s="127">
        <v>3566.0</v>
      </c>
      <c r="AF4" s="127">
        <v>9761.0</v>
      </c>
      <c r="AG4" s="127">
        <v>539.0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hidden="1" min="1" max="1" width="33.25"/>
    <col customWidth="1" min="2" max="2" width="46.13"/>
    <col customWidth="1" min="3" max="17" width="10.13"/>
  </cols>
  <sheetData>
    <row r="1">
      <c r="A1" s="1"/>
      <c r="B1" s="35" t="s">
        <v>61</v>
      </c>
      <c r="C1" s="36" t="s">
        <v>148</v>
      </c>
      <c r="D1" s="36" t="s">
        <v>95</v>
      </c>
      <c r="E1" s="36" t="s">
        <v>96</v>
      </c>
      <c r="F1" s="36" t="s">
        <v>97</v>
      </c>
      <c r="G1" s="36" t="s">
        <v>99</v>
      </c>
      <c r="H1" s="36" t="s">
        <v>99</v>
      </c>
      <c r="I1" s="36" t="s">
        <v>100</v>
      </c>
      <c r="J1" s="36" t="s">
        <v>101</v>
      </c>
      <c r="K1" s="36" t="s">
        <v>102</v>
      </c>
      <c r="L1" s="36" t="s">
        <v>103</v>
      </c>
      <c r="M1" s="36" t="s">
        <v>104</v>
      </c>
      <c r="N1" s="36" t="s">
        <v>105</v>
      </c>
      <c r="O1" s="36" t="s">
        <v>106</v>
      </c>
      <c r="P1" s="36" t="s">
        <v>107</v>
      </c>
      <c r="Q1" s="36" t="s">
        <v>108</v>
      </c>
    </row>
    <row r="2" ht="22.5" customHeight="1">
      <c r="A2" s="7" t="s">
        <v>3</v>
      </c>
      <c r="C2" s="40">
        <v>46013.0</v>
      </c>
      <c r="D2" s="40">
        <v>46020.0</v>
      </c>
      <c r="E2" s="40">
        <f t="shared" ref="E2:Q2" si="1">D2+7</f>
        <v>46027</v>
      </c>
      <c r="F2" s="40">
        <f t="shared" si="1"/>
        <v>46034</v>
      </c>
      <c r="G2" s="40">
        <f t="shared" si="1"/>
        <v>46041</v>
      </c>
      <c r="H2" s="40">
        <f t="shared" si="1"/>
        <v>46048</v>
      </c>
      <c r="I2" s="40">
        <f t="shared" si="1"/>
        <v>46055</v>
      </c>
      <c r="J2" s="40">
        <f t="shared" si="1"/>
        <v>46062</v>
      </c>
      <c r="K2" s="40">
        <f t="shared" si="1"/>
        <v>46069</v>
      </c>
      <c r="L2" s="40">
        <f t="shared" si="1"/>
        <v>46076</v>
      </c>
      <c r="M2" s="40">
        <f t="shared" si="1"/>
        <v>46083</v>
      </c>
      <c r="N2" s="40">
        <f t="shared" si="1"/>
        <v>46090</v>
      </c>
      <c r="O2" s="40">
        <f t="shared" si="1"/>
        <v>46097</v>
      </c>
      <c r="P2" s="40">
        <f t="shared" si="1"/>
        <v>46104</v>
      </c>
      <c r="Q2" s="40">
        <f t="shared" si="1"/>
        <v>46111</v>
      </c>
    </row>
    <row r="3" ht="18.75" customHeight="1">
      <c r="A3" s="11" t="s">
        <v>10</v>
      </c>
      <c r="B3" s="12" t="s">
        <v>139</v>
      </c>
      <c r="C3" s="92">
        <f t="array" ref="C3">LET(val, IFERROR(INDEX('Weekly 스피킹 raw'!$A:$AAQ, MATCH(C$2, 'Weekly 스피킹 raw'!$A:$A, 0), MATCH($A3, 'Weekly 스피킹 raw'!$1:$1, 0)), ""), IF(val=0, "", val))</f>
        <v>0.9333333333</v>
      </c>
      <c r="D3" s="92">
        <f t="array" ref="D3">LET(val, IFERROR(INDEX('Weekly 스피킹 raw'!$A:$AAQ, MATCH(D$2, 'Weekly 스피킹 raw'!$A:$A, 0), MATCH($A3, 'Weekly 스피킹 raw'!$1:$1, 0)), ""), IF(val=0, "", val))</f>
        <v>0.7808219178</v>
      </c>
      <c r="E3" s="92">
        <f t="array" ref="E3">LET(val, IFERROR(INDEX('Weekly 스피킹 raw'!$A:$AAQ, MATCH(E$2, 'Weekly 스피킹 raw'!$A:$A, 0), MATCH($A3, 'Weekly 스피킹 raw'!$1:$1, 0)), ""), IF(val=0, "", val))</f>
        <v>0.8333333333</v>
      </c>
      <c r="F3" s="92">
        <f t="array" ref="F3">LET(val, IFERROR(INDEX('Weekly 스피킹 raw'!$A:$AAQ, MATCH(F$2, 'Weekly 스피킹 raw'!$A:$A, 0), MATCH($A3, 'Weekly 스피킹 raw'!$1:$1, 0)), ""), IF(val=0, "", val))</f>
        <v>0.7906976744</v>
      </c>
      <c r="G3" s="92">
        <f t="array" ref="G3">LET(val, IFERROR(INDEX('Weekly 스피킹 raw'!$A:$AAQ, MATCH(G$2, 'Weekly 스피킹 raw'!$A:$A, 0), MATCH($A3, 'Weekly 스피킹 raw'!$1:$1, 0)), ""), IF(val=0, "", val))</f>
        <v>0.8604651163</v>
      </c>
      <c r="H3" s="92">
        <f t="array" ref="H3">LET(val, IFERROR(INDEX('Weekly 스피킹 raw'!$A:$AAQ, MATCH(H$2, 'Weekly 스피킹 raw'!$A:$A, 0), MATCH($A3, 'Weekly 스피킹 raw'!$1:$1, 0)), ""), IF(val=0, "", val))</f>
        <v>0.8260869565</v>
      </c>
      <c r="I3" s="92">
        <f t="array" ref="I3">LET(val, IFERROR(INDEX('Weekly 스피킹 raw'!$A:$AAQ, MATCH(I$2, 'Weekly 스피킹 raw'!$A:$A, 0), MATCH($A3, 'Weekly 스피킹 raw'!$1:$1, 0)), ""), IF(val=0, "", val))</f>
        <v>0.8918918919</v>
      </c>
      <c r="J3" s="92">
        <f t="array" ref="J3">LET(val, IFERROR(INDEX('Weekly 스피킹 raw'!$A:$AAQ, MATCH(J$2, 'Weekly 스피킹 raw'!$A:$A, 0), MATCH($A3, 'Weekly 스피킹 raw'!$1:$1, 0)), ""), IF(val=0, "", val))</f>
        <v>0.9</v>
      </c>
      <c r="K3" s="92" t="str">
        <f t="array" ref="K3">LET(val, IFERROR(INDEX('Weekly 스피킹 raw'!$A:$AAQ, MATCH(K$2, 'Weekly 스피킹 raw'!$A:$A, 0), MATCH($A3, 'Weekly 스피킹 raw'!$1:$1, 0)), ""), IF(val=0, "", val))</f>
        <v/>
      </c>
      <c r="L3" s="92" t="str">
        <f t="array" ref="L3">LET(val, IFERROR(INDEX('Weekly 스피킹 raw'!$A:$AAQ, MATCH(L$2, 'Weekly 스피킹 raw'!$A:$A, 0), MATCH($A3, 'Weekly 스피킹 raw'!$1:$1, 0)), ""), IF(val=0, "", val))</f>
        <v/>
      </c>
      <c r="M3" s="92" t="str">
        <f t="array" ref="M3">LET(val, IFERROR(INDEX('Weekly 스피킹 raw'!$A:$AAQ, MATCH(M$2, 'Weekly 스피킹 raw'!$A:$A, 0), MATCH($A3, 'Weekly 스피킹 raw'!$1:$1, 0)), ""), IF(val=0, "", val))</f>
        <v/>
      </c>
      <c r="N3" s="92" t="str">
        <f t="array" ref="N3">LET(val, IFERROR(INDEX('Weekly 스피킹 raw'!$A:$AAQ, MATCH(N$2, 'Weekly 스피킹 raw'!$A:$A, 0), MATCH($A3, 'Weekly 스피킹 raw'!$1:$1, 0)), ""), IF(val=0, "", val))</f>
        <v/>
      </c>
      <c r="O3" s="128"/>
      <c r="P3" s="128"/>
      <c r="Q3" s="128"/>
    </row>
    <row r="4" ht="18.75" customHeight="1">
      <c r="A4" s="16" t="s">
        <v>12</v>
      </c>
      <c r="B4" s="17" t="s">
        <v>149</v>
      </c>
      <c r="C4" s="58">
        <f t="array" ref="C4">LET(val, IFERROR(INDEX('Weekly 스피킹 raw'!$A:$AAQ, MATCH(C$2, 'Weekly 스피킹 raw'!$A:$A, 0), MATCH($A4, 'Weekly 스피킹 raw'!$1:$1, 0)), ""), IF(val=0, "", val))</f>
        <v>14</v>
      </c>
      <c r="D4" s="58">
        <f t="array" ref="D4">LET(val, IFERROR(INDEX('Weekly 스피킹 raw'!$A:$AAQ, MATCH(D$2, 'Weekly 스피킹 raw'!$A:$A, 0), MATCH($A4, 'Weekly 스피킹 raw'!$1:$1, 0)), ""), IF(val=0, "", val))</f>
        <v>57</v>
      </c>
      <c r="E4" s="58">
        <f t="array" ref="E4">LET(val, IFERROR(INDEX('Weekly 스피킹 raw'!$A:$AAQ, MATCH(E$2, 'Weekly 스피킹 raw'!$A:$A, 0), MATCH($A4, 'Weekly 스피킹 raw'!$1:$1, 0)), ""), IF(val=0, "", val))</f>
        <v>35</v>
      </c>
      <c r="F4" s="58">
        <f t="array" ref="F4">LET(val, IFERROR(INDEX('Weekly 스피킹 raw'!$A:$AAQ, MATCH(F$2, 'Weekly 스피킹 raw'!$A:$A, 0), MATCH($A4, 'Weekly 스피킹 raw'!$1:$1, 0)), ""), IF(val=0, "", val))</f>
        <v>34</v>
      </c>
      <c r="G4" s="58">
        <f t="array" ref="G4">LET(val, IFERROR(INDEX('Weekly 스피킹 raw'!$A:$AAQ, MATCH(G$2, 'Weekly 스피킹 raw'!$A:$A, 0), MATCH($A4, 'Weekly 스피킹 raw'!$1:$1, 0)), ""), IF(val=0, "", val))</f>
        <v>37</v>
      </c>
      <c r="H4" s="58">
        <f t="array" ref="H4">LET(val, IFERROR(INDEX('Weekly 스피킹 raw'!$A:$AAQ, MATCH(H$2, 'Weekly 스피킹 raw'!$A:$A, 0), MATCH($A4, 'Weekly 스피킹 raw'!$1:$1, 0)), ""), IF(val=0, "", val))</f>
        <v>19</v>
      </c>
      <c r="I4" s="58">
        <f t="array" ref="I4">LET(val, IFERROR(INDEX('Weekly 스피킹 raw'!$A:$AAQ, MATCH(I$2, 'Weekly 스피킹 raw'!$A:$A, 0), MATCH($A4, 'Weekly 스피킹 raw'!$1:$1, 0)), ""), IF(val=0, "", val))</f>
        <v>33</v>
      </c>
      <c r="J4" s="58">
        <f t="array" ref="J4">LET(val, IFERROR(INDEX('Weekly 스피킹 raw'!$A:$AAQ, MATCH(J$2, 'Weekly 스피킹 raw'!$A:$A, 0), MATCH($A4, 'Weekly 스피킹 raw'!$1:$1, 0)), ""), IF(val=0, "", val))</f>
        <v>18</v>
      </c>
      <c r="K4" s="58" t="str">
        <f t="array" ref="K4">LET(val, IFERROR(INDEX('Weekly 스피킹 raw'!$A:$AAQ, MATCH(K$2, 'Weekly 스피킹 raw'!$A:$A, 0), MATCH($A4, 'Weekly 스피킹 raw'!$1:$1, 0)), ""), IF(val=0, "", val))</f>
        <v/>
      </c>
      <c r="L4" s="58" t="str">
        <f t="array" ref="L4">LET(val, IFERROR(INDEX('Weekly 스피킹 raw'!$A:$AAQ, MATCH(L$2, 'Weekly 스피킹 raw'!$A:$A, 0), MATCH($A4, 'Weekly 스피킹 raw'!$1:$1, 0)), ""), IF(val=0, "", val))</f>
        <v/>
      </c>
      <c r="M4" s="58" t="str">
        <f t="array" ref="M4">LET(val, IFERROR(INDEX('Weekly 스피킹 raw'!$A:$AAQ, MATCH(M$2, 'Weekly 스피킹 raw'!$A:$A, 0), MATCH($A4, 'Weekly 스피킹 raw'!$1:$1, 0)), ""), IF(val=0, "", val))</f>
        <v/>
      </c>
      <c r="N4" s="58" t="str">
        <f t="array" ref="N4">LET(val, IFERROR(INDEX('Weekly 스피킹 raw'!$A:$AAQ, MATCH(N$2, 'Weekly 스피킹 raw'!$A:$A, 0), MATCH($A4, 'Weekly 스피킹 raw'!$1:$1, 0)), ""), IF(val=0, "", val))</f>
        <v/>
      </c>
      <c r="O4" s="129"/>
      <c r="P4" s="129"/>
      <c r="Q4" s="129"/>
    </row>
    <row r="5" ht="18.75" customHeight="1">
      <c r="A5" s="16" t="s">
        <v>15</v>
      </c>
      <c r="B5" s="17" t="s">
        <v>150</v>
      </c>
      <c r="C5" s="58">
        <f t="array" ref="C5">LET(val, IFERROR(INDEX('Weekly 스피킹 raw'!$A:$AAQ, MATCH(C$2, 'Weekly 스피킹 raw'!$A:$A, 0), MATCH($A5, 'Weekly 스피킹 raw'!$1:$1, 0)), ""), IF(val=0, "", val))</f>
        <v>15</v>
      </c>
      <c r="D5" s="58">
        <f t="array" ref="D5">LET(val, IFERROR(INDEX('Weekly 스피킹 raw'!$A:$AAQ, MATCH(D$2, 'Weekly 스피킹 raw'!$A:$A, 0), MATCH($A5, 'Weekly 스피킹 raw'!$1:$1, 0)), ""), IF(val=0, "", val))</f>
        <v>73</v>
      </c>
      <c r="E5" s="58">
        <f t="array" ref="E5">LET(val, IFERROR(INDEX('Weekly 스피킹 raw'!$A:$AAQ, MATCH(E$2, 'Weekly 스피킹 raw'!$A:$A, 0), MATCH($A5, 'Weekly 스피킹 raw'!$1:$1, 0)), ""), IF(val=0, "", val))</f>
        <v>42</v>
      </c>
      <c r="F5" s="58">
        <f t="array" ref="F5">LET(val, IFERROR(INDEX('Weekly 스피킹 raw'!$A:$AAQ, MATCH(F$2, 'Weekly 스피킹 raw'!$A:$A, 0), MATCH($A5, 'Weekly 스피킹 raw'!$1:$1, 0)), ""), IF(val=0, "", val))</f>
        <v>43</v>
      </c>
      <c r="G5" s="58">
        <f t="array" ref="G5">LET(val, IFERROR(INDEX('Weekly 스피킹 raw'!$A:$AAQ, MATCH(G$2, 'Weekly 스피킹 raw'!$A:$A, 0), MATCH($A5, 'Weekly 스피킹 raw'!$1:$1, 0)), ""), IF(val=0, "", val))</f>
        <v>43</v>
      </c>
      <c r="H5" s="58">
        <f t="array" ref="H5">LET(val, IFERROR(INDEX('Weekly 스피킹 raw'!$A:$AAQ, MATCH(H$2, 'Weekly 스피킹 raw'!$A:$A, 0), MATCH($A5, 'Weekly 스피킹 raw'!$1:$1, 0)), ""), IF(val=0, "", val))</f>
        <v>23</v>
      </c>
      <c r="I5" s="58">
        <f t="array" ref="I5">LET(val, IFERROR(INDEX('Weekly 스피킹 raw'!$A:$AAQ, MATCH(I$2, 'Weekly 스피킹 raw'!$A:$A, 0), MATCH($A5, 'Weekly 스피킹 raw'!$1:$1, 0)), ""), IF(val=0, "", val))</f>
        <v>37</v>
      </c>
      <c r="J5" s="58">
        <f t="array" ref="J5">LET(val, IFERROR(INDEX('Weekly 스피킹 raw'!$A:$AAQ, MATCH(J$2, 'Weekly 스피킹 raw'!$A:$A, 0), MATCH($A5, 'Weekly 스피킹 raw'!$1:$1, 0)), ""), IF(val=0, "", val))</f>
        <v>20</v>
      </c>
      <c r="K5" s="58">
        <f t="array" ref="K5">LET(val, IFERROR(INDEX('Weekly 스피킹 raw'!$A:$AAQ, MATCH(K$2, 'Weekly 스피킹 raw'!$A:$A, 0), MATCH($A5, 'Weekly 스피킹 raw'!$1:$1, 0)), ""), IF(val=0, "", val))</f>
        <v>23</v>
      </c>
      <c r="L5" s="58" t="str">
        <f t="array" ref="L5">LET(val, IFERROR(INDEX('Weekly 스피킹 raw'!$A:$AAQ, MATCH(L$2, 'Weekly 스피킹 raw'!$A:$A, 0), MATCH($A5, 'Weekly 스피킹 raw'!$1:$1, 0)), ""), IF(val=0, "", val))</f>
        <v/>
      </c>
      <c r="M5" s="58" t="str">
        <f t="array" ref="M5">LET(val, IFERROR(INDEX('Weekly 스피킹 raw'!$A:$AAQ, MATCH(M$2, 'Weekly 스피킹 raw'!$A:$A, 0), MATCH($A5, 'Weekly 스피킹 raw'!$1:$1, 0)), ""), IF(val=0, "", val))</f>
        <v/>
      </c>
      <c r="N5" s="58" t="str">
        <f t="array" ref="N5">LET(val, IFERROR(INDEX('Weekly 스피킹 raw'!$A:$AAQ, MATCH(N$2, 'Weekly 스피킹 raw'!$A:$A, 0), MATCH($A5, 'Weekly 스피킹 raw'!$1:$1, 0)), ""), IF(val=0, "", val))</f>
        <v/>
      </c>
      <c r="O5" s="129"/>
      <c r="P5" s="129"/>
      <c r="Q5" s="129"/>
    </row>
    <row r="6" ht="18.75" customHeight="1">
      <c r="A6" s="11" t="s">
        <v>18</v>
      </c>
      <c r="B6" s="1" t="s">
        <v>18</v>
      </c>
      <c r="C6" s="97">
        <f t="array" ref="C6">LET(val, IFERROR(INDEX('Weekly 스피킹 raw'!$A:$AAQ, MATCH(C$2, 'Weekly 스피킹 raw'!$A:$A, 0), MATCH($A6, 'Weekly 스피킹 raw'!$1:$1, 0)), ""), IF(val=0, "", val))</f>
        <v>0.00161987041</v>
      </c>
      <c r="D6" s="97">
        <f t="array" ref="D6">LET(val, IFERROR(INDEX('Weekly 스피킹 raw'!$A:$AAQ, MATCH(D$2, 'Weekly 스피킹 raw'!$A:$A, 0), MATCH($A6, 'Weekly 스피킹 raw'!$1:$1, 0)), ""), IF(val=0, "", val))</f>
        <v>0.004771115409</v>
      </c>
      <c r="E6" s="97">
        <f t="array" ref="E6">LET(val, IFERROR(INDEX('Weekly 스피킹 raw'!$A:$AAQ, MATCH(E$2, 'Weekly 스피킹 raw'!$A:$A, 0), MATCH($A6, 'Weekly 스피킹 raw'!$1:$1, 0)), ""), IF(val=0, "", val))</f>
        <v>0.003196788343</v>
      </c>
      <c r="F6" s="97">
        <f t="array" ref="F6">LET(val, IFERROR(INDEX('Weekly 스피킹 raw'!$A:$AAQ, MATCH(F$2, 'Weekly 스피킹 raw'!$A:$A, 0), MATCH($A6, 'Weekly 스피킹 raw'!$1:$1, 0)), ""), IF(val=0, "", val))</f>
        <v>0.003223146691</v>
      </c>
      <c r="G6" s="97">
        <f t="array" ref="G6">LET(val, IFERROR(INDEX('Weekly 스피킹 raw'!$A:$AAQ, MATCH(G$2, 'Weekly 스피킹 raw'!$A:$A, 0), MATCH($A6, 'Weekly 스피킹 raw'!$1:$1, 0)), ""), IF(val=0, "", val))</f>
        <v>0.003281941688</v>
      </c>
      <c r="H6" s="97">
        <f t="array" ref="H6">LET(val, IFERROR(INDEX('Weekly 스피킹 raw'!$A:$AAQ, MATCH(H$2, 'Weekly 스피킹 raw'!$A:$A, 0), MATCH($A6, 'Weekly 스피킹 raw'!$1:$1, 0)), ""), IF(val=0, "", val))</f>
        <v>0.002552037643</v>
      </c>
      <c r="I6" s="97">
        <f t="array" ref="I6">LET(val, IFERROR(INDEX('Weekly 스피킹 raw'!$A:$AAQ, MATCH(I$2, 'Weekly 스피킹 raw'!$A:$A, 0), MATCH($A6, 'Weekly 스피킹 raw'!$1:$1, 0)), ""), IF(val=0, "", val))</f>
        <v>0.004827330115</v>
      </c>
      <c r="J6" s="97">
        <f t="array" ref="J6">LET(val, IFERROR(INDEX('Weekly 스피킹 raw'!$A:$AAQ, MATCH(J$2, 'Weekly 스피킹 raw'!$A:$A, 0), MATCH($A6, 'Weekly 스피킹 raw'!$1:$1, 0)), ""), IF(val=0, "", val))</f>
        <v>0.002963114335</v>
      </c>
      <c r="K6" s="97">
        <f t="array" ref="K6">LET(val, IFERROR(INDEX('Weekly 스피킹 raw'!$A:$AAQ, MATCH(K$2, 'Weekly 스피킹 raw'!$A:$A, 0), MATCH($A6, 'Weekly 스피킹 raw'!$1:$1, 0)), ""), IF(val=0, "", val))</f>
        <v>0.003446636558</v>
      </c>
      <c r="L6" s="97" t="str">
        <f t="array" ref="L6">LET(val, IFERROR(INDEX('Weekly 스피킹 raw'!$A:$AAQ, MATCH(L$2, 'Weekly 스피킹 raw'!$A:$A, 0), MATCH($A6, 'Weekly 스피킹 raw'!$1:$1, 0)), ""), IF(val=0, "", val))</f>
        <v/>
      </c>
      <c r="M6" s="97" t="str">
        <f t="array" ref="M6">LET(val, IFERROR(INDEX('Weekly 스피킹 raw'!$A:$AAQ, MATCH(M$2, 'Weekly 스피킹 raw'!$A:$A, 0), MATCH($A6, 'Weekly 스피킹 raw'!$1:$1, 0)), ""), IF(val=0, "", val))</f>
        <v/>
      </c>
      <c r="N6" s="97" t="str">
        <f t="array" ref="N6">LET(val, IFERROR(INDEX('Weekly 스피킹 raw'!$A:$AAQ, MATCH(N$2, 'Weekly 스피킹 raw'!$A:$A, 0), MATCH($A6, 'Weekly 스피킹 raw'!$1:$1, 0)), ""), IF(val=0, "", val))</f>
        <v/>
      </c>
      <c r="O6" s="130"/>
      <c r="P6" s="130"/>
      <c r="Q6" s="130"/>
    </row>
    <row r="7" ht="18.75" customHeight="1">
      <c r="A7" s="23" t="s">
        <v>19</v>
      </c>
      <c r="B7" s="17" t="s">
        <v>20</v>
      </c>
      <c r="C7" s="58">
        <f t="array" ref="C7">LET(val, IFERROR(INDEX('Weekly 스피킹 raw'!$A:$AAQ, MATCH(C$2, 'Weekly 스피킹 raw'!$A:$A, 0), MATCH($A7, 'Weekly 스피킹 raw'!$1:$1, 0)), ""), IF(val=0, "", val))</f>
        <v>15</v>
      </c>
      <c r="D7" s="58">
        <f t="array" ref="D7">LET(val, IFERROR(INDEX('Weekly 스피킹 raw'!$A:$AAQ, MATCH(D$2, 'Weekly 스피킹 raw'!$A:$A, 0), MATCH($A7, 'Weekly 스피킹 raw'!$1:$1, 0)), ""), IF(val=0, "", val))</f>
        <v>74</v>
      </c>
      <c r="E7" s="58">
        <f t="array" ref="E7">LET(val, IFERROR(INDEX('Weekly 스피킹 raw'!$A:$AAQ, MATCH(E$2, 'Weekly 스피킹 raw'!$A:$A, 0), MATCH($A7, 'Weekly 스피킹 raw'!$1:$1, 0)), ""), IF(val=0, "", val))</f>
        <v>43</v>
      </c>
      <c r="F7" s="58">
        <f t="array" ref="F7">LET(val, IFERROR(INDEX('Weekly 스피킹 raw'!$A:$AAQ, MATCH(F$2, 'Weekly 스피킹 raw'!$A:$A, 0), MATCH($A7, 'Weekly 스피킹 raw'!$1:$1, 0)), ""), IF(val=0, "", val))</f>
        <v>43</v>
      </c>
      <c r="G7" s="58">
        <f t="array" ref="G7">LET(val, IFERROR(INDEX('Weekly 스피킹 raw'!$A:$AAQ, MATCH(G$2, 'Weekly 스피킹 raw'!$A:$A, 0), MATCH($A7, 'Weekly 스피킹 raw'!$1:$1, 0)), ""), IF(val=0, "", val))</f>
        <v>43</v>
      </c>
      <c r="H7" s="58">
        <f t="array" ref="H7">LET(val, IFERROR(INDEX('Weekly 스피킹 raw'!$A:$AAQ, MATCH(H$2, 'Weekly 스피킹 raw'!$A:$A, 0), MATCH($A7, 'Weekly 스피킹 raw'!$1:$1, 0)), ""), IF(val=0, "", val))</f>
        <v>32</v>
      </c>
      <c r="I7" s="58">
        <f t="array" ref="I7">LET(val, IFERROR(INDEX('Weekly 스피킹 raw'!$A:$AAQ, MATCH(I$2, 'Weekly 스피킹 raw'!$A:$A, 0), MATCH($A7, 'Weekly 스피킹 raw'!$1:$1, 0)), ""), IF(val=0, "", val))</f>
        <v>52</v>
      </c>
      <c r="J7" s="58">
        <f t="array" ref="J7">LET(val, IFERROR(INDEX('Weekly 스피킹 raw'!$A:$AAQ, MATCH(J$2, 'Weekly 스피킹 raw'!$A:$A, 0), MATCH($A7, 'Weekly 스피킹 raw'!$1:$1, 0)), ""), IF(val=0, "", val))</f>
        <v>29</v>
      </c>
      <c r="K7" s="58">
        <f t="array" ref="K7">LET(val, IFERROR(INDEX('Weekly 스피킹 raw'!$A:$AAQ, MATCH(K$2, 'Weekly 스피킹 raw'!$A:$A, 0), MATCH($A7, 'Weekly 스피킹 raw'!$1:$1, 0)), ""), IF(val=0, "", val))</f>
        <v>29</v>
      </c>
      <c r="L7" s="58" t="str">
        <f t="array" ref="L7">LET(val, IFERROR(INDEX('Weekly 스피킹 raw'!$A:$AAQ, MATCH(L$2, 'Weekly 스피킹 raw'!$A:$A, 0), MATCH($A7, 'Weekly 스피킹 raw'!$1:$1, 0)), ""), IF(val=0, "", val))</f>
        <v/>
      </c>
      <c r="M7" s="58" t="str">
        <f t="array" ref="M7">LET(val, IFERROR(INDEX('Weekly 스피킹 raw'!$A:$AAQ, MATCH(M$2, 'Weekly 스피킹 raw'!$A:$A, 0), MATCH($A7, 'Weekly 스피킹 raw'!$1:$1, 0)), ""), IF(val=0, "", val))</f>
        <v/>
      </c>
      <c r="N7" s="58" t="str">
        <f t="array" ref="N7">LET(val, IFERROR(INDEX('Weekly 스피킹 raw'!$A:$AAQ, MATCH(N$2, 'Weekly 스피킹 raw'!$A:$A, 0), MATCH($A7, 'Weekly 스피킹 raw'!$1:$1, 0)), ""), IF(val=0, "", val))</f>
        <v/>
      </c>
      <c r="O7" s="129"/>
      <c r="P7" s="129"/>
      <c r="Q7" s="129"/>
    </row>
    <row r="8" ht="18.75" customHeight="1">
      <c r="A8" s="23" t="s">
        <v>21</v>
      </c>
      <c r="B8" s="17" t="s">
        <v>22</v>
      </c>
      <c r="C8" s="58">
        <f t="array" ref="C8">LET(val, IFERROR(INDEX('Weekly 스피킹 raw'!$A:$AAQ, MATCH(C$2, 'Weekly 스피킹 raw'!$A:$A, 0), MATCH($A8, 'Weekly 스피킹 raw'!$1:$1, 0)), ""), IF(val=0, "", val))</f>
        <v>9260</v>
      </c>
      <c r="D8" s="58">
        <f t="array" ref="D8">LET(val, IFERROR(INDEX('Weekly 스피킹 raw'!$A:$AAQ, MATCH(D$2, 'Weekly 스피킹 raw'!$A:$A, 0), MATCH($A8, 'Weekly 스피킹 raw'!$1:$1, 0)), ""), IF(val=0, "", val))</f>
        <v>15510</v>
      </c>
      <c r="E8" s="58">
        <f t="array" ref="E8">LET(val, IFERROR(INDEX('Weekly 스피킹 raw'!$A:$AAQ, MATCH(E$2, 'Weekly 스피킹 raw'!$A:$A, 0), MATCH($A8, 'Weekly 스피킹 raw'!$1:$1, 0)), ""), IF(val=0, "", val))</f>
        <v>13451</v>
      </c>
      <c r="F8" s="58">
        <f t="array" ref="F8">LET(val, IFERROR(INDEX('Weekly 스피킹 raw'!$A:$AAQ, MATCH(F$2, 'Weekly 스피킹 raw'!$A:$A, 0), MATCH($A8, 'Weekly 스피킹 raw'!$1:$1, 0)), ""), IF(val=0, "", val))</f>
        <v>13341</v>
      </c>
      <c r="G8" s="58">
        <f t="array" ref="G8">LET(val, IFERROR(INDEX('Weekly 스피킹 raw'!$A:$AAQ, MATCH(G$2, 'Weekly 스피킹 raw'!$A:$A, 0), MATCH($A8, 'Weekly 스피킹 raw'!$1:$1, 0)), ""), IF(val=0, "", val))</f>
        <v>13102</v>
      </c>
      <c r="H8" s="58">
        <f t="array" ref="H8">LET(val, IFERROR(INDEX('Weekly 스피킹 raw'!$A:$AAQ, MATCH(H$2, 'Weekly 스피킹 raw'!$A:$A, 0), MATCH($A8, 'Weekly 스피킹 raw'!$1:$1, 0)), ""), IF(val=0, "", val))</f>
        <v>12539</v>
      </c>
      <c r="I8" s="58">
        <f t="array" ref="I8">LET(val, IFERROR(INDEX('Weekly 스피킹 raw'!$A:$AAQ, MATCH(I$2, 'Weekly 스피킹 raw'!$A:$A, 0), MATCH($A8, 'Weekly 스피킹 raw'!$1:$1, 0)), ""), IF(val=0, "", val))</f>
        <v>10772</v>
      </c>
      <c r="J8" s="58">
        <f t="array" ref="J8">LET(val, IFERROR(INDEX('Weekly 스피킹 raw'!$A:$AAQ, MATCH(J$2, 'Weekly 스피킹 raw'!$A:$A, 0), MATCH($A8, 'Weekly 스피킹 raw'!$1:$1, 0)), ""), IF(val=0, "", val))</f>
        <v>9787</v>
      </c>
      <c r="K8" s="58">
        <f t="array" ref="K8">LET(val, IFERROR(INDEX('Weekly 스피킹 raw'!$A:$AAQ, MATCH(K$2, 'Weekly 스피킹 raw'!$A:$A, 0), MATCH($A8, 'Weekly 스피킹 raw'!$1:$1, 0)), ""), IF(val=0, "", val))</f>
        <v>8414</v>
      </c>
      <c r="L8" s="58" t="str">
        <f t="array" ref="L8">LET(val, IFERROR(INDEX('Weekly 스피킹 raw'!$A:$AAQ, MATCH(L$2, 'Weekly 스피킹 raw'!$A:$A, 0), MATCH($A8, 'Weekly 스피킹 raw'!$1:$1, 0)), ""), IF(val=0, "", val))</f>
        <v/>
      </c>
      <c r="M8" s="58" t="str">
        <f t="array" ref="M8">LET(val, IFERROR(INDEX('Weekly 스피킹 raw'!$A:$AAQ, MATCH(M$2, 'Weekly 스피킹 raw'!$A:$A, 0), MATCH($A8, 'Weekly 스피킹 raw'!$1:$1, 0)), ""), IF(val=0, "", val))</f>
        <v/>
      </c>
      <c r="N8" s="58" t="str">
        <f t="array" ref="N8">LET(val, IFERROR(INDEX('Weekly 스피킹 raw'!$A:$AAQ, MATCH(N$2, 'Weekly 스피킹 raw'!$A:$A, 0), MATCH($A8, 'Weekly 스피킹 raw'!$1:$1, 0)), ""), IF(val=0, "", val))</f>
        <v/>
      </c>
      <c r="O8" s="129"/>
      <c r="P8" s="129"/>
      <c r="Q8" s="129"/>
    </row>
    <row r="9" ht="18.75" customHeight="1">
      <c r="A9" s="23" t="s">
        <v>23</v>
      </c>
      <c r="B9" s="17" t="s">
        <v>24</v>
      </c>
      <c r="C9" s="58">
        <f t="array" ref="C9">LET(val, IFERROR(INDEX('Weekly 스피킹 raw'!$A:$AAQ, MATCH(C$2, 'Weekly 스피킹 raw'!$A:$A, 0), MATCH($A9, 'Weekly 스피킹 raw'!$1:$1, 0)), ""), IF(val=0, "", val))</f>
        <v>152160</v>
      </c>
      <c r="D9" s="58">
        <f t="array" ref="D9">LET(val, IFERROR(INDEX('Weekly 스피킹 raw'!$A:$AAQ, MATCH(D$2, 'Weekly 스피킹 raw'!$A:$A, 0), MATCH($A9, 'Weekly 스피킹 raw'!$1:$1, 0)), ""), IF(val=0, "", val))</f>
        <v>209007</v>
      </c>
      <c r="E9" s="58">
        <f t="array" ref="E9">LET(val, IFERROR(INDEX('Weekly 스피킹 raw'!$A:$AAQ, MATCH(E$2, 'Weekly 스피킹 raw'!$A:$A, 0), MATCH($A9, 'Weekly 스피킹 raw'!$1:$1, 0)), ""), IF(val=0, "", val))</f>
        <v>208461</v>
      </c>
      <c r="F9" s="58">
        <f t="array" ref="F9">LET(val, IFERROR(INDEX('Weekly 스피킹 raw'!$A:$AAQ, MATCH(F$2, 'Weekly 스피킹 raw'!$A:$A, 0), MATCH($A9, 'Weekly 스피킹 raw'!$1:$1, 0)), ""), IF(val=0, "", val))</f>
        <v>180992</v>
      </c>
      <c r="G9" s="58">
        <f t="array" ref="G9">LET(val, IFERROR(INDEX('Weekly 스피킹 raw'!$A:$AAQ, MATCH(G$2, 'Weekly 스피킹 raw'!$A:$A, 0), MATCH($A9, 'Weekly 스피킹 raw'!$1:$1, 0)), ""), IF(val=0, "", val))</f>
        <v>141951</v>
      </c>
      <c r="H9" s="58">
        <f t="array" ref="H9">LET(val, IFERROR(INDEX('Weekly 스피킹 raw'!$A:$AAQ, MATCH(H$2, 'Weekly 스피킹 raw'!$A:$A, 0), MATCH($A9, 'Weekly 스피킹 raw'!$1:$1, 0)), ""), IF(val=0, "", val))</f>
        <v>154215</v>
      </c>
      <c r="I9" s="58">
        <f t="array" ref="I9">LET(val, IFERROR(INDEX('Weekly 스피킹 raw'!$A:$AAQ, MATCH(I$2, 'Weekly 스피킹 raw'!$A:$A, 0), MATCH($A9, 'Weekly 스피킹 raw'!$1:$1, 0)), ""), IF(val=0, "", val))</f>
        <v>115946</v>
      </c>
      <c r="J9" s="58">
        <f t="array" ref="J9">LET(val, IFERROR(INDEX('Weekly 스피킹 raw'!$A:$AAQ, MATCH(J$2, 'Weekly 스피킹 raw'!$A:$A, 0), MATCH($A9, 'Weekly 스피킹 raw'!$1:$1, 0)), ""), IF(val=0, "", val))</f>
        <v>88753</v>
      </c>
      <c r="K9" s="58">
        <f t="array" ref="K9">LET(val, IFERROR(INDEX('Weekly 스피킹 raw'!$A:$AAQ, MATCH(K$2, 'Weekly 스피킹 raw'!$A:$A, 0), MATCH($A9, 'Weekly 스피킹 raw'!$1:$1, 0)), ""), IF(val=0, "", val))</f>
        <v>67528</v>
      </c>
      <c r="L9" s="58" t="str">
        <f t="array" ref="L9">LET(val, IFERROR(INDEX('Weekly 스피킹 raw'!$A:$AAQ, MATCH(L$2, 'Weekly 스피킹 raw'!$A:$A, 0), MATCH($A9, 'Weekly 스피킹 raw'!$1:$1, 0)), ""), IF(val=0, "", val))</f>
        <v/>
      </c>
      <c r="M9" s="58" t="str">
        <f t="array" ref="M9">LET(val, IFERROR(INDEX('Weekly 스피킹 raw'!$A:$AAQ, MATCH(M$2, 'Weekly 스피킹 raw'!$A:$A, 0), MATCH($A9, 'Weekly 스피킹 raw'!$1:$1, 0)), ""), IF(val=0, "", val))</f>
        <v/>
      </c>
      <c r="N9" s="58" t="str">
        <f t="array" ref="N9">LET(val, IFERROR(INDEX('Weekly 스피킹 raw'!$A:$AAQ, MATCH(N$2, 'Weekly 스피킹 raw'!$A:$A, 0), MATCH($A9, 'Weekly 스피킹 raw'!$1:$1, 0)), ""), IF(val=0, "", val))</f>
        <v/>
      </c>
      <c r="O9" s="129"/>
      <c r="P9" s="129"/>
      <c r="Q9" s="129"/>
    </row>
    <row r="10" ht="18.75" customHeight="1">
      <c r="A10" s="23" t="s">
        <v>25</v>
      </c>
      <c r="B10" s="1" t="s">
        <v>25</v>
      </c>
      <c r="C10" s="58">
        <f t="array" ref="C10">LET(val, IFERROR(INDEX('Weekly 스피킹 raw'!$A:$AAQ, MATCH(C$2, 'Weekly 스피킹 raw'!$A:$A, 0), MATCH($A10, 'Weekly 스피킹 raw'!$1:$1, 0)), ""), IF(val=0, "", val))</f>
        <v>93733.33333</v>
      </c>
      <c r="D10" s="58">
        <f t="array" ref="D10">LET(val, IFERROR(INDEX('Weekly 스피킹 raw'!$A:$AAQ, MATCH(D$2, 'Weekly 스피킹 raw'!$A:$A, 0), MATCH($A10, 'Weekly 스피킹 raw'!$1:$1, 0)), ""), IF(val=0, "", val))</f>
        <v>79918.91892</v>
      </c>
      <c r="E10" s="58">
        <f t="array" ref="E10">LET(val, IFERROR(INDEX('Weekly 스피킹 raw'!$A:$AAQ, MATCH(E$2, 'Weekly 스피킹 raw'!$A:$A, 0), MATCH($A10, 'Weekly 스피킹 raw'!$1:$1, 0)), ""), IF(val=0, "", val))</f>
        <v>85790.69767</v>
      </c>
      <c r="F10" s="58">
        <f t="array" ref="F10">LET(val, IFERROR(INDEX('Weekly 스피킹 raw'!$A:$AAQ, MATCH(F$2, 'Weekly 스피킹 raw'!$A:$A, 0), MATCH($A10, 'Weekly 스피킹 raw'!$1:$1, 0)), ""), IF(val=0, "", val))</f>
        <v>87441.86047</v>
      </c>
      <c r="G10" s="58">
        <f t="array" ref="G10">LET(val, IFERROR(INDEX('Weekly 스피킹 raw'!$A:$AAQ, MATCH(G$2, 'Weekly 스피킹 raw'!$A:$A, 0), MATCH($A10, 'Weekly 스피킹 raw'!$1:$1, 0)), ""), IF(val=0, "", val))</f>
        <v>83465.11628</v>
      </c>
      <c r="H10" s="58">
        <f t="array" ref="H10">LET(val, IFERROR(INDEX('Weekly 스피킹 raw'!$A:$AAQ, MATCH(H$2, 'Weekly 스피킹 raw'!$A:$A, 0), MATCH($A10, 'Weekly 스피킹 raw'!$1:$1, 0)), ""), IF(val=0, "", val))</f>
        <v>52593.75</v>
      </c>
      <c r="I10" s="58">
        <f t="array" ref="I10">LET(val, IFERROR(INDEX('Weekly 스피킹 raw'!$A:$AAQ, MATCH(I$2, 'Weekly 스피킹 raw'!$A:$A, 0), MATCH($A10, 'Weekly 스피킹 raw'!$1:$1, 0)), ""), IF(val=0, "", val))</f>
        <v>78134.61538</v>
      </c>
      <c r="J10" s="58">
        <f t="array" ref="J10">LET(val, IFERROR(INDEX('Weekly 스피킹 raw'!$A:$AAQ, MATCH(J$2, 'Weekly 스피킹 raw'!$A:$A, 0), MATCH($A10, 'Weekly 스피킹 raw'!$1:$1, 0)), ""), IF(val=0, "", val))</f>
        <v>59034.48276</v>
      </c>
      <c r="K10" s="58">
        <f t="array" ref="K10">LET(val, IFERROR(INDEX('Weekly 스피킹 raw'!$A:$AAQ, MATCH(K$2, 'Weekly 스피킹 raw'!$A:$A, 0), MATCH($A10, 'Weekly 스피킹 raw'!$1:$1, 0)), ""), IF(val=0, "", val))</f>
        <v>76275.86207</v>
      </c>
      <c r="L10" s="58" t="str">
        <f t="array" ref="L10">LET(val, IFERROR(INDEX('Weekly 스피킹 raw'!$A:$AAQ, MATCH(L$2, 'Weekly 스피킹 raw'!$A:$A, 0), MATCH($A10, 'Weekly 스피킹 raw'!$1:$1, 0)), ""), IF(val=0, "", val))</f>
        <v/>
      </c>
      <c r="M10" s="58" t="str">
        <f t="array" ref="M10">LET(val, IFERROR(INDEX('Weekly 스피킹 raw'!$A:$AAQ, MATCH(M$2, 'Weekly 스피킹 raw'!$A:$A, 0), MATCH($A10, 'Weekly 스피킹 raw'!$1:$1, 0)), ""), IF(val=0, "", val))</f>
        <v/>
      </c>
      <c r="N10" s="58" t="str">
        <f t="array" ref="N10">LET(val, IFERROR(INDEX('Weekly 스피킹 raw'!$A:$AAQ, MATCH(N$2, 'Weekly 스피킹 raw'!$A:$A, 0), MATCH($A10, 'Weekly 스피킹 raw'!$1:$1, 0)), ""), IF(val=0, "", val))</f>
        <v/>
      </c>
      <c r="O10" s="131"/>
      <c r="P10" s="131"/>
      <c r="Q10" s="131"/>
    </row>
    <row r="11" ht="18.75" customHeight="1">
      <c r="A11" s="23" t="s">
        <v>26</v>
      </c>
      <c r="B11" s="28" t="s">
        <v>27</v>
      </c>
      <c r="C11" s="104">
        <f t="array" ref="C11">LET(val, IFERROR(INDEX('Weekly 스피킹 raw'!$A:$AAQ, MATCH(C$2, 'Weekly 스피킹 raw'!$A:$A, 0), MATCH($A11, 'Weekly 스피킹 raw'!$1:$1, 0)), ""), IF(val=0, "", val))</f>
        <v>1406000</v>
      </c>
      <c r="D11" s="104">
        <f t="array" ref="D11">LET(val, IFERROR(INDEX('Weekly 스피킹 raw'!$A:$AAQ, MATCH(D$2, 'Weekly 스피킹 raw'!$A:$A, 0), MATCH($A11, 'Weekly 스피킹 raw'!$1:$1, 0)), ""), IF(val=0, "", val))</f>
        <v>5914000</v>
      </c>
      <c r="E11" s="104">
        <f t="array" ref="E11">LET(val, IFERROR(INDEX('Weekly 스피킹 raw'!$A:$AAQ, MATCH(E$2, 'Weekly 스피킹 raw'!$A:$A, 0), MATCH($A11, 'Weekly 스피킹 raw'!$1:$1, 0)), ""), IF(val=0, "", val))</f>
        <v>3689000</v>
      </c>
      <c r="F11" s="104">
        <f t="array" ref="F11">LET(val, IFERROR(INDEX('Weekly 스피킹 raw'!$A:$AAQ, MATCH(F$2, 'Weekly 스피킹 raw'!$A:$A, 0), MATCH($A11, 'Weekly 스피킹 raw'!$1:$1, 0)), ""), IF(val=0, "", val))</f>
        <v>3760000</v>
      </c>
      <c r="G11" s="104">
        <f t="array" ref="G11">LET(val, IFERROR(INDEX('Weekly 스피킹 raw'!$A:$AAQ, MATCH(G$2, 'Weekly 스피킹 raw'!$A:$A, 0), MATCH($A11, 'Weekly 스피킹 raw'!$1:$1, 0)), ""), IF(val=0, "", val))</f>
        <v>3589000</v>
      </c>
      <c r="H11" s="104">
        <f t="array" ref="H11">LET(val, IFERROR(INDEX('Weekly 스피킹 raw'!$A:$AAQ, MATCH(H$2, 'Weekly 스피킹 raw'!$A:$A, 0), MATCH($A11, 'Weekly 스피킹 raw'!$1:$1, 0)), ""), IF(val=0, "", val))</f>
        <v>1683000</v>
      </c>
      <c r="I11" s="104">
        <f t="array" ref="I11">LET(val, IFERROR(INDEX('Weekly 스피킹 raw'!$A:$AAQ, MATCH(I$2, 'Weekly 스피킹 raw'!$A:$A, 0), MATCH($A11, 'Weekly 스피킹 raw'!$1:$1, 0)), ""), IF(val=0, "", val))</f>
        <v>4063000</v>
      </c>
      <c r="J11" s="104">
        <f t="array" ref="J11">LET(val, IFERROR(INDEX('Weekly 스피킹 raw'!$A:$AAQ, MATCH(J$2, 'Weekly 스피킹 raw'!$A:$A, 0), MATCH($A11, 'Weekly 스피킹 raw'!$1:$1, 0)), ""), IF(val=0, "", val))</f>
        <v>1712000</v>
      </c>
      <c r="K11" s="104">
        <f t="array" ref="K11">LET(val, IFERROR(INDEX('Weekly 스피킹 raw'!$A:$AAQ, MATCH(K$2, 'Weekly 스피킹 raw'!$A:$A, 0), MATCH($A11, 'Weekly 스피킹 raw'!$1:$1, 0)), ""), IF(val=0, "", val))</f>
        <v>2212000</v>
      </c>
      <c r="L11" s="104" t="str">
        <f t="array" ref="L11">LET(val, IFERROR(INDEX('Weekly 스피킹 raw'!$A:$AAQ, MATCH(L$2, 'Weekly 스피킹 raw'!$A:$A, 0), MATCH($A11, 'Weekly 스피킹 raw'!$1:$1, 0)), ""), IF(val=0, "", val))</f>
        <v/>
      </c>
      <c r="M11" s="104" t="str">
        <f t="array" ref="M11">LET(val, IFERROR(INDEX('Weekly 스피킹 raw'!$A:$AAQ, MATCH(M$2, 'Weekly 스피킹 raw'!$A:$A, 0), MATCH($A11, 'Weekly 스피킹 raw'!$1:$1, 0)), ""), IF(val=0, "", val))</f>
        <v/>
      </c>
      <c r="N11" s="104" t="str">
        <f t="array" ref="N11">LET(val, IFERROR(INDEX('Weekly 스피킹 raw'!$A:$AAQ, MATCH(N$2, 'Weekly 스피킹 raw'!$A:$A, 0), MATCH($A11, 'Weekly 스피킹 raw'!$1:$1, 0)), ""), IF(val=0, "", val))</f>
        <v/>
      </c>
      <c r="O11" s="131"/>
      <c r="P11" s="131"/>
      <c r="Q11" s="131"/>
    </row>
    <row r="12" ht="18.75" customHeight="1">
      <c r="A12" s="23" t="s">
        <v>28</v>
      </c>
      <c r="B12" s="17" t="s">
        <v>20</v>
      </c>
      <c r="C12" s="58">
        <f t="array" ref="C12">LET(val, IFERROR(INDEX('Weekly 스피킹 raw'!$A:$AAQ, MATCH(C$2, 'Weekly 스피킹 raw'!$A:$A, 0), MATCH($A12, 'Weekly 스피킹 raw'!$1:$1, 0)), ""), IF(val=0, "", val))</f>
        <v>15</v>
      </c>
      <c r="D12" s="58">
        <f t="array" ref="D12">LET(val, IFERROR(INDEX('Weekly 스피킹 raw'!$A:$AAQ, MATCH(D$2, 'Weekly 스피킹 raw'!$A:$A, 0), MATCH($A12, 'Weekly 스피킹 raw'!$1:$1, 0)), ""), IF(val=0, "", val))</f>
        <v>74</v>
      </c>
      <c r="E12" s="58">
        <f t="array" ref="E12">LET(val, IFERROR(INDEX('Weekly 스피킹 raw'!$A:$AAQ, MATCH(E$2, 'Weekly 스피킹 raw'!$A:$A, 0), MATCH($A12, 'Weekly 스피킹 raw'!$1:$1, 0)), ""), IF(val=0, "", val))</f>
        <v>43</v>
      </c>
      <c r="F12" s="58">
        <f t="array" ref="F12">LET(val, IFERROR(INDEX('Weekly 스피킹 raw'!$A:$AAQ, MATCH(F$2, 'Weekly 스피킹 raw'!$A:$A, 0), MATCH($A12, 'Weekly 스피킹 raw'!$1:$1, 0)), ""), IF(val=0, "", val))</f>
        <v>43</v>
      </c>
      <c r="G12" s="58">
        <f t="array" ref="G12">LET(val, IFERROR(INDEX('Weekly 스피킹 raw'!$A:$AAQ, MATCH(G$2, 'Weekly 스피킹 raw'!$A:$A, 0), MATCH($A12, 'Weekly 스피킹 raw'!$1:$1, 0)), ""), IF(val=0, "", val))</f>
        <v>43</v>
      </c>
      <c r="H12" s="58">
        <f t="array" ref="H12">LET(val, IFERROR(INDEX('Weekly 스피킹 raw'!$A:$AAQ, MATCH(H$2, 'Weekly 스피킹 raw'!$A:$A, 0), MATCH($A12, 'Weekly 스피킹 raw'!$1:$1, 0)), ""), IF(val=0, "", val))</f>
        <v>32</v>
      </c>
      <c r="I12" s="58">
        <f t="array" ref="I12">LET(val, IFERROR(INDEX('Weekly 스피킹 raw'!$A:$AAQ, MATCH(I$2, 'Weekly 스피킹 raw'!$A:$A, 0), MATCH($A12, 'Weekly 스피킹 raw'!$1:$1, 0)), ""), IF(val=0, "", val))</f>
        <v>52</v>
      </c>
      <c r="J12" s="58">
        <f t="array" ref="J12">LET(val, IFERROR(INDEX('Weekly 스피킹 raw'!$A:$AAQ, MATCH(J$2, 'Weekly 스피킹 raw'!$A:$A, 0), MATCH($A12, 'Weekly 스피킹 raw'!$1:$1, 0)), ""), IF(val=0, "", val))</f>
        <v>29</v>
      </c>
      <c r="K12" s="58">
        <f t="array" ref="K12">LET(val, IFERROR(INDEX('Weekly 스피킹 raw'!$A:$AAQ, MATCH(K$2, 'Weekly 스피킹 raw'!$A:$A, 0), MATCH($A12, 'Weekly 스피킹 raw'!$1:$1, 0)), ""), IF(val=0, "", val))</f>
        <v>29</v>
      </c>
      <c r="L12" s="58" t="str">
        <f t="array" ref="L12">LET(val, IFERROR(INDEX('Weekly 스피킹 raw'!$A:$AAQ, MATCH(L$2, 'Weekly 스피킹 raw'!$A:$A, 0), MATCH($A12, 'Weekly 스피킹 raw'!$1:$1, 0)), ""), IF(val=0, "", val))</f>
        <v/>
      </c>
      <c r="M12" s="58" t="str">
        <f t="array" ref="M12">LET(val, IFERROR(INDEX('Weekly 스피킹 raw'!$A:$AAQ, MATCH(M$2, 'Weekly 스피킹 raw'!$A:$A, 0), MATCH($A12, 'Weekly 스피킹 raw'!$1:$1, 0)), ""), IF(val=0, "", val))</f>
        <v/>
      </c>
      <c r="N12" s="58" t="str">
        <f t="array" ref="N12">LET(val, IFERROR(INDEX('Weekly 스피킹 raw'!$A:$AAQ, MATCH(N$2, 'Weekly 스피킹 raw'!$A:$A, 0), MATCH($A12, 'Weekly 스피킹 raw'!$1:$1, 0)), ""), IF(val=0, "", val))</f>
        <v/>
      </c>
      <c r="O12" s="129"/>
      <c r="P12" s="129"/>
      <c r="Q12" s="129"/>
    </row>
    <row r="13" ht="18.75" customHeight="1">
      <c r="A13" s="23" t="s">
        <v>29</v>
      </c>
      <c r="B13" s="17" t="s">
        <v>30</v>
      </c>
      <c r="C13" s="58">
        <f t="array" ref="C13">LET(val, IFERROR(INDEX('Weekly 스피킹 raw'!$A:$AAQ, MATCH(C$2, 'Weekly 스피킹 raw'!$A:$A, 0), MATCH($A13, 'Weekly 스피킹 raw'!$1:$1, 0)), ""), IF(val=0, "", val))</f>
        <v>15</v>
      </c>
      <c r="D13" s="58">
        <f t="array" ref="D13">LET(val, IFERROR(INDEX('Weekly 스피킹 raw'!$A:$AAQ, MATCH(D$2, 'Weekly 스피킹 raw'!$A:$A, 0), MATCH($A13, 'Weekly 스피킹 raw'!$1:$1, 0)), ""), IF(val=0, "", val))</f>
        <v>74</v>
      </c>
      <c r="E13" s="58">
        <f t="array" ref="E13">LET(val, IFERROR(INDEX('Weekly 스피킹 raw'!$A:$AAQ, MATCH(E$2, 'Weekly 스피킹 raw'!$A:$A, 0), MATCH($A13, 'Weekly 스피킹 raw'!$1:$1, 0)), ""), IF(val=0, "", val))</f>
        <v>43</v>
      </c>
      <c r="F13" s="58">
        <f t="array" ref="F13">LET(val, IFERROR(INDEX('Weekly 스피킹 raw'!$A:$AAQ, MATCH(F$2, 'Weekly 스피킹 raw'!$A:$A, 0), MATCH($A13, 'Weekly 스피킹 raw'!$1:$1, 0)), ""), IF(val=0, "", val))</f>
        <v>43</v>
      </c>
      <c r="G13" s="58">
        <f t="array" ref="G13">LET(val, IFERROR(INDEX('Weekly 스피킹 raw'!$A:$AAQ, MATCH(G$2, 'Weekly 스피킹 raw'!$A:$A, 0), MATCH($A13, 'Weekly 스피킹 raw'!$1:$1, 0)), ""), IF(val=0, "", val))</f>
        <v>43</v>
      </c>
      <c r="H13" s="58">
        <f t="array" ref="H13">LET(val, IFERROR(INDEX('Weekly 스피킹 raw'!$A:$AAQ, MATCH(H$2, 'Weekly 스피킹 raw'!$A:$A, 0), MATCH($A13, 'Weekly 스피킹 raw'!$1:$1, 0)), ""), IF(val=0, "", val))</f>
        <v>32</v>
      </c>
      <c r="I13" s="58">
        <f t="array" ref="I13">LET(val, IFERROR(INDEX('Weekly 스피킹 raw'!$A:$AAQ, MATCH(I$2, 'Weekly 스피킹 raw'!$A:$A, 0), MATCH($A13, 'Weekly 스피킹 raw'!$1:$1, 0)), ""), IF(val=0, "", val))</f>
        <v>53</v>
      </c>
      <c r="J13" s="58">
        <f t="array" ref="J13">LET(val, IFERROR(INDEX('Weekly 스피킹 raw'!$A:$AAQ, MATCH(J$2, 'Weekly 스피킹 raw'!$A:$A, 0), MATCH($A13, 'Weekly 스피킹 raw'!$1:$1, 0)), ""), IF(val=0, "", val))</f>
        <v>29</v>
      </c>
      <c r="K13" s="58">
        <f t="array" ref="K13">LET(val, IFERROR(INDEX('Weekly 스피킹 raw'!$A:$AAQ, MATCH(K$2, 'Weekly 스피킹 raw'!$A:$A, 0), MATCH($A13, 'Weekly 스피킹 raw'!$1:$1, 0)), ""), IF(val=0, "", val))</f>
        <v>29</v>
      </c>
      <c r="L13" s="58" t="str">
        <f t="array" ref="L13">LET(val, IFERROR(INDEX('Weekly 스피킹 raw'!$A:$AAQ, MATCH(L$2, 'Weekly 스피킹 raw'!$A:$A, 0), MATCH($A13, 'Weekly 스피킹 raw'!$1:$1, 0)), ""), IF(val=0, "", val))</f>
        <v/>
      </c>
      <c r="M13" s="58" t="str">
        <f t="array" ref="M13">LET(val, IFERROR(INDEX('Weekly 스피킹 raw'!$A:$AAQ, MATCH(M$2, 'Weekly 스피킹 raw'!$A:$A, 0), MATCH($A13, 'Weekly 스피킹 raw'!$1:$1, 0)), ""), IF(val=0, "", val))</f>
        <v/>
      </c>
      <c r="N13" s="58" t="str">
        <f t="array" ref="N13">LET(val, IFERROR(INDEX('Weekly 스피킹 raw'!$A:$AAQ, MATCH(N$2, 'Weekly 스피킹 raw'!$A:$A, 0), MATCH($A13, 'Weekly 스피킹 raw'!$1:$1, 0)), ""), IF(val=0, "", val))</f>
        <v/>
      </c>
      <c r="O13" s="129"/>
      <c r="P13" s="129"/>
      <c r="Q13" s="129"/>
    </row>
    <row r="14" ht="18.75" customHeight="1">
      <c r="A14" s="11" t="s">
        <v>31</v>
      </c>
      <c r="B14" s="1" t="s">
        <v>32</v>
      </c>
      <c r="C14" s="92">
        <f t="shared" ref="C14:J14" si="2"> 1 - (C15 / C16)</f>
        <v>-0.9792391352</v>
      </c>
      <c r="D14" s="92">
        <f t="shared" si="2"/>
        <v>0.09143104135</v>
      </c>
      <c r="E14" s="92">
        <f t="shared" si="2"/>
        <v>-0.3332442642</v>
      </c>
      <c r="F14" s="92">
        <f t="shared" si="2"/>
        <v>-0.07258945171</v>
      </c>
      <c r="G14" s="92">
        <f t="shared" si="2"/>
        <v>0.3933925885</v>
      </c>
      <c r="H14" s="92">
        <f t="shared" si="2"/>
        <v>-0.06537492573</v>
      </c>
      <c r="I14" s="92">
        <f t="shared" si="2"/>
        <v>0.5419173025</v>
      </c>
      <c r="J14" s="92">
        <f t="shared" si="2"/>
        <v>0.3168399533</v>
      </c>
      <c r="K14" s="92"/>
      <c r="L14" s="92"/>
      <c r="M14" s="92"/>
      <c r="N14" s="92"/>
      <c r="O14" s="130"/>
      <c r="P14" s="130"/>
      <c r="Q14" s="130"/>
    </row>
    <row r="15" ht="18.75" customHeight="1">
      <c r="A15" s="23" t="s">
        <v>33</v>
      </c>
      <c r="B15" s="17" t="s">
        <v>151</v>
      </c>
      <c r="C15" s="104">
        <f t="array" ref="C15">IFERROR(INDEX('Weekly 스피킹 raw'!$A:$AAQ, MATCH(C$2, 'Weekly 스피킹 raw'!$A:$A, 0), MATCH($A15, 'Weekly 스피킹 raw'!$1:$1, 0)), 0) + (1444.82 * 1400)</f>
        <v>2782810.224</v>
      </c>
      <c r="D15" s="104">
        <f t="array" ref="D15">IFERROR(INDEX('Weekly 스피킹 raw'!$A:$AAQ, MATCH(D$2, 'Weekly 스피킹 raw'!$A:$A, 0), MATCH($A15, 'Weekly 스피킹 raw'!$1:$1, 0)), 0) + (2184.57 * 1400)</f>
        <v>5373276.821</v>
      </c>
      <c r="E15" s="104">
        <f t="array" ref="E15">IFERROR(INDEX('Weekly 스피킹 raw'!$A:$AAQ, MATCH(E$2, 'Weekly 스피킹 raw'!$A:$A, 0), MATCH($A15, 'Weekly 스피킹 raw'!$1:$1, 0)), 0) + (2377.37 * 1400)</f>
        <v>4918338.09</v>
      </c>
      <c r="F15" s="104">
        <f>IFERROR(SUM('Daily 스피킹'!W15:AC15), "")</f>
        <v>4032936.338</v>
      </c>
      <c r="G15" s="104">
        <f>IFERROR(SUM('Daily 스피킹'!AD15:AJ15), "")</f>
        <v>2177114</v>
      </c>
      <c r="H15" s="104">
        <f>IFERROR(SUM('Daily 스피킹'!AK15:AQ15), "")</f>
        <v>1793026</v>
      </c>
      <c r="I15" s="104">
        <f>IFERROR(SUM('Daily 스피킹'!AL15:AR15), "")</f>
        <v>1861190</v>
      </c>
      <c r="J15" s="104">
        <f>IFERROR(SUM('Daily 스피킹'!AY15:BE15), "")</f>
        <v>1169570</v>
      </c>
      <c r="K15" s="104"/>
      <c r="L15" s="104"/>
      <c r="M15" s="104"/>
      <c r="N15" s="104"/>
      <c r="O15" s="132"/>
      <c r="P15" s="132"/>
      <c r="Q15" s="132"/>
    </row>
    <row r="16" ht="18.75" customHeight="1">
      <c r="A16" s="23" t="s">
        <v>35</v>
      </c>
      <c r="B16" s="17" t="s">
        <v>27</v>
      </c>
      <c r="C16" s="104">
        <f t="array" ref="C16">LET(val, IFERROR(INDEX('Weekly 스피킹 raw'!$A:$AAQ, MATCH(C$2, 'Weekly 스피킹 raw'!$A:$A, 0), MATCH($A16, 'Weekly 스피킹 raw'!$1:$1, 0)), ""), IF(val=0, "", val))</f>
        <v>1406000</v>
      </c>
      <c r="D16" s="104">
        <f t="array" ref="D16">LET(val, IFERROR(INDEX('Weekly 스피킹 raw'!$A:$AAQ, MATCH(D$2, 'Weekly 스피킹 raw'!$A:$A, 0), MATCH($A16, 'Weekly 스피킹 raw'!$1:$1, 0)), ""), IF(val=0, "", val))</f>
        <v>5914000</v>
      </c>
      <c r="E16" s="104">
        <f t="array" ref="E16">LET(val, IFERROR(INDEX('Weekly 스피킹 raw'!$A:$AAQ, MATCH(E$2, 'Weekly 스피킹 raw'!$A:$A, 0), MATCH($A16, 'Weekly 스피킹 raw'!$1:$1, 0)), ""), IF(val=0, "", val))</f>
        <v>3689000</v>
      </c>
      <c r="F16" s="104">
        <f t="array" ref="F16">LET(val, IFERROR(INDEX('Weekly 스피킹 raw'!$A:$AAQ, MATCH(F$2, 'Weekly 스피킹 raw'!$A:$A, 0), MATCH($A16, 'Weekly 스피킹 raw'!$1:$1, 0)), ""), IF(val=0, "", val))</f>
        <v>3760000</v>
      </c>
      <c r="G16" s="104">
        <f t="array" ref="G16">LET(val, IFERROR(INDEX('Weekly 스피킹 raw'!$A:$AAQ, MATCH(G$2, 'Weekly 스피킹 raw'!$A:$A, 0), MATCH($A16, 'Weekly 스피킹 raw'!$1:$1, 0)), ""), IF(val=0, "", val))</f>
        <v>3589000</v>
      </c>
      <c r="H16" s="104">
        <f t="array" ref="H16">LET(val, IFERROR(INDEX('Weekly 스피킹 raw'!$A:$AAQ, MATCH(H$2, 'Weekly 스피킹 raw'!$A:$A, 0), MATCH($A16, 'Weekly 스피킹 raw'!$1:$1, 0)), ""), IF(val=0, "", val))</f>
        <v>1683000</v>
      </c>
      <c r="I16" s="104">
        <f t="array" ref="I16">LET(val, IFERROR(INDEX('Weekly 스피킹 raw'!$A:$AAQ, MATCH(I$2, 'Weekly 스피킹 raw'!$A:$A, 0), MATCH($A16, 'Weekly 스피킹 raw'!$1:$1, 0)), ""), IF(val=0, "", val))</f>
        <v>4063000</v>
      </c>
      <c r="J16" s="104">
        <f t="array" ref="J16">LET(val, IFERROR(INDEX('Weekly 스피킹 raw'!$A:$AAQ, MATCH(J$2, 'Weekly 스피킹 raw'!$A:$A, 0), MATCH($A16, 'Weekly 스피킹 raw'!$1:$1, 0)), ""), IF(val=0, "", val))</f>
        <v>1712000</v>
      </c>
      <c r="K16" s="104">
        <f t="array" ref="K16">LET(val, IFERROR(INDEX('Weekly 스피킹 raw'!$A:$AAQ, MATCH(K$2, 'Weekly 스피킹 raw'!$A:$A, 0), MATCH($A16, 'Weekly 스피킹 raw'!$1:$1, 0)), ""), IF(val=0, "", val))</f>
        <v>2212000</v>
      </c>
      <c r="L16" s="104" t="str">
        <f t="array" ref="L16">LET(val, IFERROR(INDEX('Weekly 스피킹 raw'!$A:$AAQ, MATCH(L$2, 'Weekly 스피킹 raw'!$A:$A, 0), MATCH($A16, 'Weekly 스피킹 raw'!$1:$1, 0)), ""), IF(val=0, "", val))</f>
        <v/>
      </c>
      <c r="M16" s="104" t="str">
        <f t="array" ref="M16">LET(val, IFERROR(INDEX('Weekly 스피킹 raw'!$A:$AAQ, MATCH(M$2, 'Weekly 스피킹 raw'!$A:$A, 0), MATCH($A16, 'Weekly 스피킹 raw'!$1:$1, 0)), ""), IF(val=0, "", val))</f>
        <v/>
      </c>
      <c r="N16" s="104" t="str">
        <f t="array" ref="N16">LET(val, IFERROR(INDEX('Weekly 스피킹 raw'!$A:$AAQ, MATCH(N$2, 'Weekly 스피킹 raw'!$A:$A, 0), MATCH($A16, 'Weekly 스피킹 raw'!$1:$1, 0)), ""), IF(val=0, "", val))</f>
        <v/>
      </c>
      <c r="O16" s="132"/>
      <c r="P16" s="132"/>
      <c r="Q16" s="132"/>
    </row>
    <row r="17" ht="18.75" hidden="1" customHeight="1">
      <c r="A17" s="1"/>
      <c r="B17" s="1" t="s">
        <v>115</v>
      </c>
      <c r="C17" s="58">
        <f t="array" ref="C17">IFERROR(INDEX('Weekly 쨈 raw'!$A:$AAQ, MATCH(C$2, 'Weekly 쨈 raw'!$A:$A, 0), MATCH($A17, 'Weekly 쨈 raw'!$1:$1, 0)), 0)</f>
        <v>0</v>
      </c>
      <c r="D17" s="58">
        <f t="array" ref="D17">IFERROR(INDEX('Weekly 쨈 raw'!$A:$AAQ, MATCH(D$2, 'Weekly 쨈 raw'!$A:$A, 0), MATCH($A17, 'Weekly 쨈 raw'!$1:$1, 0)), 0)</f>
        <v>0</v>
      </c>
      <c r="E17" s="58">
        <f t="array" ref="E17">IFERROR(INDEX('Weekly 쨈 raw'!$A:$AAQ, MATCH(E$2, 'Weekly 쨈 raw'!$A:$A, 0), MATCH($A17, 'Weekly 쨈 raw'!$1:$1, 0)), 0)</f>
        <v>0</v>
      </c>
      <c r="F17" s="58">
        <f t="array" ref="F17">IFERROR(INDEX('Weekly 쨈 raw'!$A:$AAQ, MATCH(F$2, 'Weekly 쨈 raw'!$A:$A, 0), MATCH($A17, 'Weekly 쨈 raw'!$1:$1, 0)), 0)</f>
        <v>0</v>
      </c>
      <c r="G17" s="58">
        <f t="array" ref="G17">IFERROR(INDEX('Weekly 쨈 raw'!$A:$AAQ, MATCH(G$2, 'Weekly 쨈 raw'!$A:$A, 0), MATCH($A17, 'Weekly 쨈 raw'!$1:$1, 0)), 0)</f>
        <v>0</v>
      </c>
      <c r="H17" s="58">
        <f t="array" ref="H17">IFERROR(INDEX('Weekly 쨈 raw'!$A:$AAQ, MATCH(H$2, 'Weekly 쨈 raw'!$A:$A, 0), MATCH($A17, 'Weekly 쨈 raw'!$1:$1, 0)), 0)</f>
        <v>0</v>
      </c>
      <c r="I17" s="58">
        <f t="array" ref="I17">IFERROR(INDEX('Weekly 쨈 raw'!$A:$AAQ, MATCH(I$2, 'Weekly 쨈 raw'!$A:$A, 0), MATCH($A17, 'Weekly 쨈 raw'!$1:$1, 0)), 0)</f>
        <v>0</v>
      </c>
      <c r="J17" s="58">
        <f t="array" ref="J17">IFERROR(INDEX('Weekly 쨈 raw'!$A:$AAQ, MATCH(J$2, 'Weekly 쨈 raw'!$A:$A, 0), MATCH($A17, 'Weekly 쨈 raw'!$1:$1, 0)), 0)</f>
        <v>0</v>
      </c>
      <c r="K17" s="58">
        <f t="array" ref="K17">IFERROR(INDEX('Weekly 쨈 raw'!$A:$AAQ, MATCH(K$2, 'Weekly 쨈 raw'!$A:$A, 0), MATCH($A17, 'Weekly 쨈 raw'!$1:$1, 0)), 0)</f>
        <v>0</v>
      </c>
      <c r="L17" s="58">
        <f t="array" ref="L17">IFERROR(INDEX('Weekly 쨈 raw'!$A:$AAQ, MATCH(L$2, 'Weekly 쨈 raw'!$A:$A, 0), MATCH($A17, 'Weekly 쨈 raw'!$1:$1, 0)), 0)</f>
        <v>0</v>
      </c>
      <c r="M17" s="58">
        <f t="array" ref="M17">IFERROR(INDEX('Weekly 쨈 raw'!$A:$AAQ, MATCH(M$2, 'Weekly 쨈 raw'!$A:$A, 0), MATCH($A17, 'Weekly 쨈 raw'!$1:$1, 0)), 0)</f>
        <v>0</v>
      </c>
      <c r="N17" s="58">
        <f t="array" ref="N17">IFERROR(INDEX('Weekly 쨈 raw'!$A:$AAQ, MATCH(N$2, 'Weekly 쨈 raw'!$A:$A, 0), MATCH($A17, 'Weekly 쨈 raw'!$1:$1, 0)), 0)</f>
        <v>0</v>
      </c>
      <c r="O17" s="133"/>
      <c r="P17" s="133"/>
      <c r="Q17" s="133"/>
    </row>
    <row r="18" ht="18.75" hidden="1" customHeight="1">
      <c r="A18" s="1"/>
      <c r="B18" s="17" t="s">
        <v>116</v>
      </c>
      <c r="C18" s="58">
        <f t="array" ref="C18">IFERROR(INDEX('Weekly 쨈 raw'!$A:$AAQ, MATCH(C$2, 'Weekly 쨈 raw'!$A:$A, 0), MATCH($A18, 'Weekly 쨈 raw'!$1:$1, 0)), 0)</f>
        <v>0</v>
      </c>
      <c r="D18" s="58">
        <f t="array" ref="D18">IFERROR(INDEX('Weekly 쨈 raw'!$A:$AAQ, MATCH(D$2, 'Weekly 쨈 raw'!$A:$A, 0), MATCH($A18, 'Weekly 쨈 raw'!$1:$1, 0)), 0)</f>
        <v>0</v>
      </c>
      <c r="E18" s="58">
        <f t="array" ref="E18">IFERROR(INDEX('Weekly 쨈 raw'!$A:$AAQ, MATCH(E$2, 'Weekly 쨈 raw'!$A:$A, 0), MATCH($A18, 'Weekly 쨈 raw'!$1:$1, 0)), 0)</f>
        <v>0</v>
      </c>
      <c r="F18" s="58">
        <f t="array" ref="F18">IFERROR(INDEX('Weekly 쨈 raw'!$A:$AAQ, MATCH(F$2, 'Weekly 쨈 raw'!$A:$A, 0), MATCH($A18, 'Weekly 쨈 raw'!$1:$1, 0)), 0)</f>
        <v>0</v>
      </c>
      <c r="G18" s="58">
        <f t="array" ref="G18">IFERROR(INDEX('Weekly 쨈 raw'!$A:$AAQ, MATCH(G$2, 'Weekly 쨈 raw'!$A:$A, 0), MATCH($A18, 'Weekly 쨈 raw'!$1:$1, 0)), 0)</f>
        <v>0</v>
      </c>
      <c r="H18" s="58">
        <f t="array" ref="H18">IFERROR(INDEX('Weekly 쨈 raw'!$A:$AAQ, MATCH(H$2, 'Weekly 쨈 raw'!$A:$A, 0), MATCH($A18, 'Weekly 쨈 raw'!$1:$1, 0)), 0)</f>
        <v>0</v>
      </c>
      <c r="I18" s="58">
        <f t="array" ref="I18">IFERROR(INDEX('Weekly 쨈 raw'!$A:$AAQ, MATCH(I$2, 'Weekly 쨈 raw'!$A:$A, 0), MATCH($A18, 'Weekly 쨈 raw'!$1:$1, 0)), 0)</f>
        <v>0</v>
      </c>
      <c r="J18" s="58">
        <f t="array" ref="J18">IFERROR(INDEX('Weekly 쨈 raw'!$A:$AAQ, MATCH(J$2, 'Weekly 쨈 raw'!$A:$A, 0), MATCH($A18, 'Weekly 쨈 raw'!$1:$1, 0)), 0)</f>
        <v>0</v>
      </c>
      <c r="K18" s="58">
        <f t="array" ref="K18">IFERROR(INDEX('Weekly 쨈 raw'!$A:$AAQ, MATCH(K$2, 'Weekly 쨈 raw'!$A:$A, 0), MATCH($A18, 'Weekly 쨈 raw'!$1:$1, 0)), 0)</f>
        <v>0</v>
      </c>
      <c r="L18" s="58">
        <f t="array" ref="L18">IFERROR(INDEX('Weekly 쨈 raw'!$A:$AAQ, MATCH(L$2, 'Weekly 쨈 raw'!$A:$A, 0), MATCH($A18, 'Weekly 쨈 raw'!$1:$1, 0)), 0)</f>
        <v>0</v>
      </c>
      <c r="M18" s="58">
        <f t="array" ref="M18">IFERROR(INDEX('Weekly 쨈 raw'!$A:$AAQ, MATCH(M$2, 'Weekly 쨈 raw'!$A:$A, 0), MATCH($A18, 'Weekly 쨈 raw'!$1:$1, 0)), 0)</f>
        <v>0</v>
      </c>
      <c r="N18" s="58">
        <f t="array" ref="N18">IFERROR(INDEX('Weekly 쨈 raw'!$A:$AAQ, MATCH(N$2, 'Weekly 쨈 raw'!$A:$A, 0), MATCH($A18, 'Weekly 쨈 raw'!$1:$1, 0)), 0)</f>
        <v>0</v>
      </c>
      <c r="O18" s="133"/>
      <c r="P18" s="133"/>
      <c r="Q18" s="133"/>
    </row>
    <row r="19" ht="18.75" hidden="1" customHeight="1">
      <c r="A19" s="1"/>
      <c r="B19" s="17" t="s">
        <v>117</v>
      </c>
      <c r="C19" s="58">
        <f t="array" ref="C19">IFERROR(INDEX('Weekly 쨈 raw'!$A:$AAQ, MATCH(C$2, 'Weekly 쨈 raw'!$A:$A, 0), MATCH($A19, 'Weekly 쨈 raw'!$1:$1, 0)), 0)</f>
        <v>0</v>
      </c>
      <c r="D19" s="58">
        <f t="array" ref="D19">IFERROR(INDEX('Weekly 쨈 raw'!$A:$AAQ, MATCH(D$2, 'Weekly 쨈 raw'!$A:$A, 0), MATCH($A19, 'Weekly 쨈 raw'!$1:$1, 0)), 0)</f>
        <v>0</v>
      </c>
      <c r="E19" s="58">
        <f t="array" ref="E19">IFERROR(INDEX('Weekly 쨈 raw'!$A:$AAQ, MATCH(E$2, 'Weekly 쨈 raw'!$A:$A, 0), MATCH($A19, 'Weekly 쨈 raw'!$1:$1, 0)), 0)</f>
        <v>0</v>
      </c>
      <c r="F19" s="58">
        <f t="array" ref="F19">IFERROR(INDEX('Weekly 쨈 raw'!$A:$AAQ, MATCH(F$2, 'Weekly 쨈 raw'!$A:$A, 0), MATCH($A19, 'Weekly 쨈 raw'!$1:$1, 0)), 0)</f>
        <v>0</v>
      </c>
      <c r="G19" s="58">
        <f t="array" ref="G19">IFERROR(INDEX('Weekly 쨈 raw'!$A:$AAQ, MATCH(G$2, 'Weekly 쨈 raw'!$A:$A, 0), MATCH($A19, 'Weekly 쨈 raw'!$1:$1, 0)), 0)</f>
        <v>0</v>
      </c>
      <c r="H19" s="58">
        <f t="array" ref="H19">IFERROR(INDEX('Weekly 쨈 raw'!$A:$AAQ, MATCH(H$2, 'Weekly 쨈 raw'!$A:$A, 0), MATCH($A19, 'Weekly 쨈 raw'!$1:$1, 0)), 0)</f>
        <v>0</v>
      </c>
      <c r="I19" s="58">
        <f t="array" ref="I19">IFERROR(INDEX('Weekly 쨈 raw'!$A:$AAQ, MATCH(I$2, 'Weekly 쨈 raw'!$A:$A, 0), MATCH($A19, 'Weekly 쨈 raw'!$1:$1, 0)), 0)</f>
        <v>0</v>
      </c>
      <c r="J19" s="58">
        <f t="array" ref="J19">IFERROR(INDEX('Weekly 쨈 raw'!$A:$AAQ, MATCH(J$2, 'Weekly 쨈 raw'!$A:$A, 0), MATCH($A19, 'Weekly 쨈 raw'!$1:$1, 0)), 0)</f>
        <v>0</v>
      </c>
      <c r="K19" s="58">
        <f t="array" ref="K19">IFERROR(INDEX('Weekly 쨈 raw'!$A:$AAQ, MATCH(K$2, 'Weekly 쨈 raw'!$A:$A, 0), MATCH($A19, 'Weekly 쨈 raw'!$1:$1, 0)), 0)</f>
        <v>0</v>
      </c>
      <c r="L19" s="58">
        <f t="array" ref="L19">IFERROR(INDEX('Weekly 쨈 raw'!$A:$AAQ, MATCH(L$2, 'Weekly 쨈 raw'!$A:$A, 0), MATCH($A19, 'Weekly 쨈 raw'!$1:$1, 0)), 0)</f>
        <v>0</v>
      </c>
      <c r="M19" s="58">
        <f t="array" ref="M19">IFERROR(INDEX('Weekly 쨈 raw'!$A:$AAQ, MATCH(M$2, 'Weekly 쨈 raw'!$A:$A, 0), MATCH($A19, 'Weekly 쨈 raw'!$1:$1, 0)), 0)</f>
        <v>0</v>
      </c>
      <c r="N19" s="58">
        <f t="array" ref="N19">IFERROR(INDEX('Weekly 쨈 raw'!$A:$AAQ, MATCH(N$2, 'Weekly 쨈 raw'!$A:$A, 0), MATCH($A19, 'Weekly 쨈 raw'!$1:$1, 0)), 0)</f>
        <v>0</v>
      </c>
      <c r="O19" s="133"/>
      <c r="P19" s="133"/>
      <c r="Q19" s="133"/>
    </row>
    <row r="20" ht="18.75" hidden="1" customHeight="1">
      <c r="A20" s="1"/>
      <c r="B20" s="17" t="s">
        <v>118</v>
      </c>
      <c r="C20" s="58">
        <f t="array" ref="C20">IFERROR(INDEX('Weekly 쨈 raw'!$A:$AAQ, MATCH(C$2, 'Weekly 쨈 raw'!$A:$A, 0), MATCH($A20, 'Weekly 쨈 raw'!$1:$1, 0)), 0)</f>
        <v>0</v>
      </c>
      <c r="D20" s="58">
        <f t="array" ref="D20">IFERROR(INDEX('Weekly 쨈 raw'!$A:$AAQ, MATCH(D$2, 'Weekly 쨈 raw'!$A:$A, 0), MATCH($A20, 'Weekly 쨈 raw'!$1:$1, 0)), 0)</f>
        <v>0</v>
      </c>
      <c r="E20" s="58">
        <f t="array" ref="E20">IFERROR(INDEX('Weekly 쨈 raw'!$A:$AAQ, MATCH(E$2, 'Weekly 쨈 raw'!$A:$A, 0), MATCH($A20, 'Weekly 쨈 raw'!$1:$1, 0)), 0)</f>
        <v>0</v>
      </c>
      <c r="F20" s="58">
        <f t="array" ref="F20">IFERROR(INDEX('Weekly 쨈 raw'!$A:$AAQ, MATCH(F$2, 'Weekly 쨈 raw'!$A:$A, 0), MATCH($A20, 'Weekly 쨈 raw'!$1:$1, 0)), 0)</f>
        <v>0</v>
      </c>
      <c r="G20" s="58">
        <f t="array" ref="G20">IFERROR(INDEX('Weekly 쨈 raw'!$A:$AAQ, MATCH(G$2, 'Weekly 쨈 raw'!$A:$A, 0), MATCH($A20, 'Weekly 쨈 raw'!$1:$1, 0)), 0)</f>
        <v>0</v>
      </c>
      <c r="H20" s="58">
        <f t="array" ref="H20">IFERROR(INDEX('Weekly 쨈 raw'!$A:$AAQ, MATCH(H$2, 'Weekly 쨈 raw'!$A:$A, 0), MATCH($A20, 'Weekly 쨈 raw'!$1:$1, 0)), 0)</f>
        <v>0</v>
      </c>
      <c r="I20" s="58">
        <f t="array" ref="I20">IFERROR(INDEX('Weekly 쨈 raw'!$A:$AAQ, MATCH(I$2, 'Weekly 쨈 raw'!$A:$A, 0), MATCH($A20, 'Weekly 쨈 raw'!$1:$1, 0)), 0)</f>
        <v>0</v>
      </c>
      <c r="J20" s="58">
        <f t="array" ref="J20">IFERROR(INDEX('Weekly 쨈 raw'!$A:$AAQ, MATCH(J$2, 'Weekly 쨈 raw'!$A:$A, 0), MATCH($A20, 'Weekly 쨈 raw'!$1:$1, 0)), 0)</f>
        <v>0</v>
      </c>
      <c r="K20" s="58">
        <f t="array" ref="K20">IFERROR(INDEX('Weekly 쨈 raw'!$A:$AAQ, MATCH(K$2, 'Weekly 쨈 raw'!$A:$A, 0), MATCH($A20, 'Weekly 쨈 raw'!$1:$1, 0)), 0)</f>
        <v>0</v>
      </c>
      <c r="L20" s="58">
        <f t="array" ref="L20">IFERROR(INDEX('Weekly 쨈 raw'!$A:$AAQ, MATCH(L$2, 'Weekly 쨈 raw'!$A:$A, 0), MATCH($A20, 'Weekly 쨈 raw'!$1:$1, 0)), 0)</f>
        <v>0</v>
      </c>
      <c r="M20" s="58">
        <f t="array" ref="M20">IFERROR(INDEX('Weekly 쨈 raw'!$A:$AAQ, MATCH(M$2, 'Weekly 쨈 raw'!$A:$A, 0), MATCH($A20, 'Weekly 쨈 raw'!$1:$1, 0)), 0)</f>
        <v>0</v>
      </c>
      <c r="N20" s="58">
        <f t="array" ref="N20">IFERROR(INDEX('Weekly 쨈 raw'!$A:$AAQ, MATCH(N$2, 'Weekly 쨈 raw'!$A:$A, 0), MATCH($A20, 'Weekly 쨈 raw'!$1:$1, 0)), 0)</f>
        <v>0</v>
      </c>
      <c r="O20" s="133"/>
      <c r="P20" s="133"/>
      <c r="Q20" s="133"/>
    </row>
    <row r="21" ht="18.75" customHeight="1">
      <c r="A21" s="16"/>
      <c r="B21" s="30" t="s">
        <v>36</v>
      </c>
      <c r="C21" s="58" t="str">
        <f t="array" ref="C21">LET(val, IFERROR(INDEX('Weekly 스피킹 raw'!$A:$AAQ, MATCH(C$2, 'Weekly 스피킹 raw'!$A:$A, 0), MATCH($A21, 'Weekly 스피킹 raw'!$1:$1, 0)), ""), IF(val=0, "", val))</f>
        <v/>
      </c>
      <c r="D21" s="58" t="str">
        <f t="array" ref="D21">LET(val, IFERROR(INDEX('Weekly 스피킹 raw'!$A:$AAQ, MATCH(D$2, 'Weekly 스피킹 raw'!$A:$A, 0), MATCH($A21, 'Weekly 스피킹 raw'!$1:$1, 0)), ""), IF(val=0, "", val))</f>
        <v/>
      </c>
      <c r="E21" s="58" t="str">
        <f t="array" ref="E21">LET(val, IFERROR(INDEX('Weekly 스피킹 raw'!$A:$AAQ, MATCH(E$2, 'Weekly 스피킹 raw'!$A:$A, 0), MATCH($A21, 'Weekly 스피킹 raw'!$1:$1, 0)), ""), IF(val=0, "", val))</f>
        <v/>
      </c>
      <c r="F21" s="58" t="str">
        <f t="array" ref="F21">LET(val, IFERROR(INDEX('Weekly 스피킹 raw'!$A:$AAQ, MATCH(F$2, 'Weekly 스피킹 raw'!$A:$A, 0), MATCH($A21, 'Weekly 스피킹 raw'!$1:$1, 0)), ""), IF(val=0, "", val))</f>
        <v/>
      </c>
      <c r="G21" s="58" t="str">
        <f t="array" ref="G21">LET(val, IFERROR(INDEX('Weekly 스피킹 raw'!$A:$AAQ, MATCH(G$2, 'Weekly 스피킹 raw'!$A:$A, 0), MATCH($A21, 'Weekly 스피킹 raw'!$1:$1, 0)), ""), IF(val=0, "", val))</f>
        <v/>
      </c>
      <c r="H21" s="58" t="str">
        <f t="array" ref="H21">LET(val, IFERROR(INDEX('Weekly 스피킹 raw'!$A:$AAQ, MATCH(H$2, 'Weekly 스피킹 raw'!$A:$A, 0), MATCH($A21, 'Weekly 스피킹 raw'!$1:$1, 0)), ""), IF(val=0, "", val))</f>
        <v/>
      </c>
      <c r="I21" s="58" t="str">
        <f t="array" ref="I21">LET(val, IFERROR(INDEX('Weekly 스피킹 raw'!$A:$AAQ, MATCH(I$2, 'Weekly 스피킹 raw'!$A:$A, 0), MATCH($A21, 'Weekly 스피킹 raw'!$1:$1, 0)), ""), IF(val=0, "", val))</f>
        <v/>
      </c>
      <c r="J21" s="58" t="str">
        <f t="array" ref="J21">LET(val, IFERROR(INDEX('Weekly 스피킹 raw'!$A:$AAQ, MATCH(J$2, 'Weekly 스피킹 raw'!$A:$A, 0), MATCH($A21, 'Weekly 스피킹 raw'!$1:$1, 0)), ""), IF(val=0, "", val))</f>
        <v/>
      </c>
      <c r="K21" s="58" t="str">
        <f t="array" ref="K21">LET(val, IFERROR(INDEX('Weekly 스피킹 raw'!$A:$AAQ, MATCH(K$2, 'Weekly 스피킹 raw'!$A:$A, 0), MATCH($A21, 'Weekly 스피킹 raw'!$1:$1, 0)), ""), IF(val=0, "", val))</f>
        <v/>
      </c>
      <c r="L21" s="58" t="str">
        <f t="array" ref="L21">LET(val, IFERROR(INDEX('Weekly 스피킹 raw'!$A:$AAQ, MATCH(L$2, 'Weekly 스피킹 raw'!$A:$A, 0), MATCH($A21, 'Weekly 스피킹 raw'!$1:$1, 0)), ""), IF(val=0, "", val))</f>
        <v/>
      </c>
      <c r="M21" s="58" t="str">
        <f t="array" ref="M21">LET(val, IFERROR(INDEX('Weekly 스피킹 raw'!$A:$AAQ, MATCH(M$2, 'Weekly 스피킹 raw'!$A:$A, 0), MATCH($A21, 'Weekly 스피킹 raw'!$1:$1, 0)), ""), IF(val=0, "", val))</f>
        <v/>
      </c>
      <c r="N21" s="58" t="str">
        <f t="array" ref="N21">LET(val, IFERROR(INDEX('Weekly 스피킹 raw'!$A:$AAQ, MATCH(N$2, 'Weekly 스피킹 raw'!$A:$A, 0), MATCH($A21, 'Weekly 스피킹 raw'!$1:$1, 0)), ""), IF(val=0, "", val))</f>
        <v/>
      </c>
      <c r="O21" s="59"/>
      <c r="P21" s="59"/>
      <c r="Q21" s="59"/>
    </row>
    <row r="22" ht="18.75" customHeight="1">
      <c r="A22" s="16" t="s">
        <v>37</v>
      </c>
      <c r="B22" s="17" t="s">
        <v>38</v>
      </c>
      <c r="C22" s="58" t="str">
        <f t="array" ref="C22">LET(val, IFERROR(INDEX('Weekly 스피킹 raw'!$A:$AAQ, MATCH(C$2, 'Weekly 스피킹 raw'!$A:$A, 0), MATCH($A22, 'Weekly 스피킹 raw'!$1:$1, 0)), ""), IF(val=0, "", val))</f>
        <v/>
      </c>
      <c r="D22" s="58" t="str">
        <f t="array" ref="D22">LET(val, IFERROR(INDEX('Weekly 스피킹 raw'!$A:$AAQ, MATCH(D$2, 'Weekly 스피킹 raw'!$A:$A, 0), MATCH($A22, 'Weekly 스피킹 raw'!$1:$1, 0)), ""), IF(val=0, "", val))</f>
        <v/>
      </c>
      <c r="E22" s="58" t="str">
        <f t="array" ref="E22">LET(val, IFERROR(INDEX('Weekly 스피킹 raw'!$A:$AAQ, MATCH(E$2, 'Weekly 스피킹 raw'!$A:$A, 0), MATCH($A22, 'Weekly 스피킹 raw'!$1:$1, 0)), ""), IF(val=0, "", val))</f>
        <v/>
      </c>
      <c r="F22" s="58" t="str">
        <f t="array" ref="F22">LET(val, IFERROR(INDEX('Weekly 스피킹 raw'!$A:$AAQ, MATCH(F$2, 'Weekly 스피킹 raw'!$A:$A, 0), MATCH($A22, 'Weekly 스피킹 raw'!$1:$1, 0)), ""), IF(val=0, "", val))</f>
        <v/>
      </c>
      <c r="G22" s="58" t="str">
        <f t="array" ref="G22">LET(val, IFERROR(INDEX('Weekly 스피킹 raw'!$A:$AAQ, MATCH(G$2, 'Weekly 스피킹 raw'!$A:$A, 0), MATCH($A22, 'Weekly 스피킹 raw'!$1:$1, 0)), ""), IF(val=0, "", val))</f>
        <v/>
      </c>
      <c r="H22" s="58" t="str">
        <f t="array" ref="H22">LET(val, IFERROR(INDEX('Weekly 스피킹 raw'!$A:$AAQ, MATCH(H$2, 'Weekly 스피킹 raw'!$A:$A, 0), MATCH($A22, 'Weekly 스피킹 raw'!$1:$1, 0)), ""), IF(val=0, "", val))</f>
        <v/>
      </c>
      <c r="I22" s="58" t="str">
        <f t="array" ref="I22">LET(val, IFERROR(INDEX('Weekly 스피킹 raw'!$A:$AAQ, MATCH(I$2, 'Weekly 스피킹 raw'!$A:$A, 0), MATCH($A22, 'Weekly 스피킹 raw'!$1:$1, 0)), ""), IF(val=0, "", val))</f>
        <v/>
      </c>
      <c r="J22" s="58" t="str">
        <f t="array" ref="J22">LET(val, IFERROR(INDEX('Weekly 스피킹 raw'!$A:$AAQ, MATCH(J$2, 'Weekly 스피킹 raw'!$A:$A, 0), MATCH($A22, 'Weekly 스피킹 raw'!$1:$1, 0)), ""), IF(val=0, "", val))</f>
        <v/>
      </c>
      <c r="K22" s="58" t="str">
        <f t="array" ref="K22">LET(val, IFERROR(INDEX('Weekly 스피킹 raw'!$A:$AAQ, MATCH(K$2, 'Weekly 스피킹 raw'!$A:$A, 0), MATCH($A22, 'Weekly 스피킹 raw'!$1:$1, 0)), ""), IF(val=0, "", val))</f>
        <v/>
      </c>
      <c r="L22" s="58" t="str">
        <f t="array" ref="L22">LET(val, IFERROR(INDEX('Weekly 스피킹 raw'!$A:$AAQ, MATCH(L$2, 'Weekly 스피킹 raw'!$A:$A, 0), MATCH($A22, 'Weekly 스피킹 raw'!$1:$1, 0)), ""), IF(val=0, "", val))</f>
        <v/>
      </c>
      <c r="M22" s="58" t="str">
        <f t="array" ref="M22">LET(val, IFERROR(INDEX('Weekly 스피킹 raw'!$A:$AAQ, MATCH(M$2, 'Weekly 스피킹 raw'!$A:$A, 0), MATCH($A22, 'Weekly 스피킹 raw'!$1:$1, 0)), ""), IF(val=0, "", val))</f>
        <v/>
      </c>
      <c r="N22" s="58" t="str">
        <f t="array" ref="N22">LET(val, IFERROR(INDEX('Weekly 스피킹 raw'!$A:$AAQ, MATCH(N$2, 'Weekly 스피킹 raw'!$A:$A, 0), MATCH($A22, 'Weekly 스피킹 raw'!$1:$1, 0)), ""), IF(val=0, "", val))</f>
        <v/>
      </c>
      <c r="O22" s="59"/>
      <c r="P22" s="59"/>
      <c r="Q22" s="59"/>
    </row>
    <row r="23" ht="18.75" customHeight="1">
      <c r="A23" s="16" t="s">
        <v>39</v>
      </c>
      <c r="B23" s="17" t="s">
        <v>40</v>
      </c>
      <c r="C23" s="58" t="str">
        <f t="array" ref="C23">LET(val, IFERROR(INDEX('Weekly 스피킹 raw'!$A:$AAQ, MATCH(C$2, 'Weekly 스피킹 raw'!$A:$A, 0), MATCH($A23, 'Weekly 스피킹 raw'!$1:$1, 0)), ""), IF(val=0, "", val))</f>
        <v/>
      </c>
      <c r="D23" s="58" t="str">
        <f t="array" ref="D23">LET(val, IFERROR(INDEX('Weekly 스피킹 raw'!$A:$AAQ, MATCH(D$2, 'Weekly 스피킹 raw'!$A:$A, 0), MATCH($A23, 'Weekly 스피킹 raw'!$1:$1, 0)), ""), IF(val=0, "", val))</f>
        <v/>
      </c>
      <c r="E23" s="58" t="str">
        <f t="array" ref="E23">LET(val, IFERROR(INDEX('Weekly 스피킹 raw'!$A:$AAQ, MATCH(E$2, 'Weekly 스피킹 raw'!$A:$A, 0), MATCH($A23, 'Weekly 스피킹 raw'!$1:$1, 0)), ""), IF(val=0, "", val))</f>
        <v/>
      </c>
      <c r="F23" s="58" t="str">
        <f t="array" ref="F23">LET(val, IFERROR(INDEX('Weekly 스피킹 raw'!$A:$AAQ, MATCH(F$2, 'Weekly 스피킹 raw'!$A:$A, 0), MATCH($A23, 'Weekly 스피킹 raw'!$1:$1, 0)), ""), IF(val=0, "", val))</f>
        <v/>
      </c>
      <c r="G23" s="58" t="str">
        <f t="array" ref="G23">LET(val, IFERROR(INDEX('Weekly 스피킹 raw'!$A:$AAQ, MATCH(G$2, 'Weekly 스피킹 raw'!$A:$A, 0), MATCH($A23, 'Weekly 스피킹 raw'!$1:$1, 0)), ""), IF(val=0, "", val))</f>
        <v/>
      </c>
      <c r="H23" s="58" t="str">
        <f t="array" ref="H23">LET(val, IFERROR(INDEX('Weekly 스피킹 raw'!$A:$AAQ, MATCH(H$2, 'Weekly 스피킹 raw'!$A:$A, 0), MATCH($A23, 'Weekly 스피킹 raw'!$1:$1, 0)), ""), IF(val=0, "", val))</f>
        <v/>
      </c>
      <c r="I23" s="58" t="str">
        <f t="array" ref="I23">LET(val, IFERROR(INDEX('Weekly 스피킹 raw'!$A:$AAQ, MATCH(I$2, 'Weekly 스피킹 raw'!$A:$A, 0), MATCH($A23, 'Weekly 스피킹 raw'!$1:$1, 0)), ""), IF(val=0, "", val))</f>
        <v/>
      </c>
      <c r="J23" s="58" t="str">
        <f t="array" ref="J23">LET(val, IFERROR(INDEX('Weekly 스피킹 raw'!$A:$AAQ, MATCH(J$2, 'Weekly 스피킹 raw'!$A:$A, 0), MATCH($A23, 'Weekly 스피킹 raw'!$1:$1, 0)), ""), IF(val=0, "", val))</f>
        <v/>
      </c>
      <c r="K23" s="58" t="str">
        <f t="array" ref="K23">LET(val, IFERROR(INDEX('Weekly 스피킹 raw'!$A:$AAQ, MATCH(K$2, 'Weekly 스피킹 raw'!$A:$A, 0), MATCH($A23, 'Weekly 스피킹 raw'!$1:$1, 0)), ""), IF(val=0, "", val))</f>
        <v/>
      </c>
      <c r="L23" s="58" t="str">
        <f t="array" ref="L23">LET(val, IFERROR(INDEX('Weekly 스피킹 raw'!$A:$AAQ, MATCH(L$2, 'Weekly 스피킹 raw'!$A:$A, 0), MATCH($A23, 'Weekly 스피킹 raw'!$1:$1, 0)), ""), IF(val=0, "", val))</f>
        <v/>
      </c>
      <c r="M23" s="58" t="str">
        <f t="array" ref="M23">LET(val, IFERROR(INDEX('Weekly 스피킹 raw'!$A:$AAQ, MATCH(M$2, 'Weekly 스피킹 raw'!$A:$A, 0), MATCH($A23, 'Weekly 스피킹 raw'!$1:$1, 0)), ""), IF(val=0, "", val))</f>
        <v/>
      </c>
      <c r="N23" s="58" t="str">
        <f t="array" ref="N23">LET(val, IFERROR(INDEX('Weekly 스피킹 raw'!$A:$AAQ, MATCH(N$2, 'Weekly 스피킹 raw'!$A:$A, 0), MATCH($A23, 'Weekly 스피킹 raw'!$1:$1, 0)), ""), IF(val=0, "", val))</f>
        <v/>
      </c>
      <c r="O23" s="59"/>
      <c r="P23" s="59"/>
      <c r="Q23" s="59"/>
    </row>
    <row r="24" ht="18.75" customHeight="1">
      <c r="A24" s="16" t="s">
        <v>41</v>
      </c>
      <c r="B24" s="17" t="s">
        <v>42</v>
      </c>
      <c r="C24" s="58">
        <f t="array" ref="C24">LET(val, IFERROR(INDEX('Weekly 스피킹 raw'!$A:$AAQ, MATCH(C$2, 'Weekly 스피킹 raw'!$A:$A, 0), MATCH($A24, 'Weekly 스피킹 raw'!$1:$1, 0)), ""), IF(val=0, "", val))</f>
        <v>1799</v>
      </c>
      <c r="D24" s="58">
        <f t="array" ref="D24">LET(val, IFERROR(INDEX('Weekly 스피킹 raw'!$A:$AAQ, MATCH(D$2, 'Weekly 스피킹 raw'!$A:$A, 0), MATCH($A24, 'Weekly 스피킹 raw'!$1:$1, 0)), ""), IF(val=0, "", val))</f>
        <v>2845</v>
      </c>
      <c r="E24" s="58">
        <f t="array" ref="E24">LET(val, IFERROR(INDEX('Weekly 스피킹 raw'!$A:$AAQ, MATCH(E$2, 'Weekly 스피킹 raw'!$A:$A, 0), MATCH($A24, 'Weekly 스피킹 raw'!$1:$1, 0)), ""), IF(val=0, "", val))</f>
        <v>2435</v>
      </c>
      <c r="F24" s="58">
        <f t="array" ref="F24">LET(val, IFERROR(INDEX('Weekly 스피킹 raw'!$A:$AAQ, MATCH(F$2, 'Weekly 스피킹 raw'!$A:$A, 0), MATCH($A24, 'Weekly 스피킹 raw'!$1:$1, 0)), ""), IF(val=0, "", val))</f>
        <v>3652</v>
      </c>
      <c r="G24" s="58">
        <f t="array" ref="G24">LET(val, IFERROR(INDEX('Weekly 스피킹 raw'!$A:$AAQ, MATCH(G$2, 'Weekly 스피킹 raw'!$A:$A, 0), MATCH($A24, 'Weekly 스피킹 raw'!$1:$1, 0)), ""), IF(val=0, "", val))</f>
        <v>2994</v>
      </c>
      <c r="H24" s="58">
        <f t="array" ref="H24">LET(val, IFERROR(INDEX('Weekly 스피킹 raw'!$A:$AAQ, MATCH(H$2, 'Weekly 스피킹 raw'!$A:$A, 0), MATCH($A24, 'Weekly 스피킹 raw'!$1:$1, 0)), ""), IF(val=0, "", val))</f>
        <v>4514</v>
      </c>
      <c r="I24" s="58">
        <f t="array" ref="I24">LET(val, IFERROR(INDEX('Weekly 스피킹 raw'!$A:$AAQ, MATCH(I$2, 'Weekly 스피킹 raw'!$A:$A, 0), MATCH($A24, 'Weekly 스피킹 raw'!$1:$1, 0)), ""), IF(val=0, "", val))</f>
        <v>4363</v>
      </c>
      <c r="J24" s="58">
        <f t="array" ref="J24">LET(val, IFERROR(INDEX('Weekly 스피킹 raw'!$A:$AAQ, MATCH(J$2, 'Weekly 스피킹 raw'!$A:$A, 0), MATCH($A24, 'Weekly 스피킹 raw'!$1:$1, 0)), ""), IF(val=0, "", val))</f>
        <v>3452</v>
      </c>
      <c r="K24" s="58">
        <f t="array" ref="K24">LET(val, IFERROR(INDEX('Weekly 스피킹 raw'!$A:$AAQ, MATCH(K$2, 'Weekly 스피킹 raw'!$A:$A, 0), MATCH($A24, 'Weekly 스피킹 raw'!$1:$1, 0)), ""), IF(val=0, "", val))</f>
        <v>1453</v>
      </c>
      <c r="L24" s="58" t="str">
        <f t="array" ref="L24">LET(val, IFERROR(INDEX('Weekly 스피킹 raw'!$A:$AAQ, MATCH(L$2, 'Weekly 스피킹 raw'!$A:$A, 0), MATCH($A24, 'Weekly 스피킹 raw'!$1:$1, 0)), ""), IF(val=0, "", val))</f>
        <v/>
      </c>
      <c r="M24" s="58" t="str">
        <f t="array" ref="M24">LET(val, IFERROR(INDEX('Weekly 스피킹 raw'!$A:$AAQ, MATCH(M$2, 'Weekly 스피킹 raw'!$A:$A, 0), MATCH($A24, 'Weekly 스피킹 raw'!$1:$1, 0)), ""), IF(val=0, "", val))</f>
        <v/>
      </c>
      <c r="N24" s="58" t="str">
        <f t="array" ref="N24">LET(val, IFERROR(INDEX('Weekly 스피킹 raw'!$A:$AAQ, MATCH(N$2, 'Weekly 스피킹 raw'!$A:$A, 0), MATCH($A24, 'Weekly 스피킹 raw'!$1:$1, 0)), ""), IF(val=0, "", val))</f>
        <v/>
      </c>
      <c r="O24" s="59"/>
      <c r="P24" s="59"/>
      <c r="Q24" s="59"/>
    </row>
    <row r="25" ht="18.75" customHeight="1">
      <c r="A25" s="16" t="s">
        <v>43</v>
      </c>
      <c r="B25" s="17" t="s">
        <v>44</v>
      </c>
      <c r="C25" s="58">
        <f t="array" ref="C25">LET(val, IFERROR(INDEX('Weekly 스피킹 raw'!$A:$AAQ, MATCH(C$2, 'Weekly 스피킹 raw'!$A:$A, 0), MATCH($A25, 'Weekly 스피킹 raw'!$1:$1, 0)), ""), IF(val=0, "", val))</f>
        <v>627</v>
      </c>
      <c r="D25" s="58">
        <f t="array" ref="D25">LET(val, IFERROR(INDEX('Weekly 스피킹 raw'!$A:$AAQ, MATCH(D$2, 'Weekly 스피킹 raw'!$A:$A, 0), MATCH($A25, 'Weekly 스피킹 raw'!$1:$1, 0)), ""), IF(val=0, "", val))</f>
        <v>1140</v>
      </c>
      <c r="E25" s="58">
        <f t="array" ref="E25">LET(val, IFERROR(INDEX('Weekly 스피킹 raw'!$A:$AAQ, MATCH(E$2, 'Weekly 스피킹 raw'!$A:$A, 0), MATCH($A25, 'Weekly 스피킹 raw'!$1:$1, 0)), ""), IF(val=0, "", val))</f>
        <v>989</v>
      </c>
      <c r="F25" s="58">
        <f t="array" ref="F25">LET(val, IFERROR(INDEX('Weekly 스피킹 raw'!$A:$AAQ, MATCH(F$2, 'Weekly 스피킹 raw'!$A:$A, 0), MATCH($A25, 'Weekly 스피킹 raw'!$1:$1, 0)), ""), IF(val=0, "", val))</f>
        <v>1132</v>
      </c>
      <c r="G25" s="58">
        <f t="array" ref="G25">LET(val, IFERROR(INDEX('Weekly 스피킹 raw'!$A:$AAQ, MATCH(G$2, 'Weekly 스피킹 raw'!$A:$A, 0), MATCH($A25, 'Weekly 스피킹 raw'!$1:$1, 0)), ""), IF(val=0, "", val))</f>
        <v>990</v>
      </c>
      <c r="H25" s="58">
        <f t="array" ref="H25">LET(val, IFERROR(INDEX('Weekly 스피킹 raw'!$A:$AAQ, MATCH(H$2, 'Weekly 스피킹 raw'!$A:$A, 0), MATCH($A25, 'Weekly 스피킹 raw'!$1:$1, 0)), ""), IF(val=0, "", val))</f>
        <v>1356</v>
      </c>
      <c r="I25" s="58">
        <f t="array" ref="I25">LET(val, IFERROR(INDEX('Weekly 스피킹 raw'!$A:$AAQ, MATCH(I$2, 'Weekly 스피킹 raw'!$A:$A, 0), MATCH($A25, 'Weekly 스피킹 raw'!$1:$1, 0)), ""), IF(val=0, "", val))</f>
        <v>1187</v>
      </c>
      <c r="J25" s="58">
        <f t="array" ref="J25">LET(val, IFERROR(INDEX('Weekly 스피킹 raw'!$A:$AAQ, MATCH(J$2, 'Weekly 스피킹 raw'!$A:$A, 0), MATCH($A25, 'Weekly 스피킹 raw'!$1:$1, 0)), ""), IF(val=0, "", val))</f>
        <v>925</v>
      </c>
      <c r="K25" s="58">
        <f t="array" ref="K25">LET(val, IFERROR(INDEX('Weekly 스피킹 raw'!$A:$AAQ, MATCH(K$2, 'Weekly 스피킹 raw'!$A:$A, 0), MATCH($A25, 'Weekly 스피킹 raw'!$1:$1, 0)), ""), IF(val=0, "", val))</f>
        <v>498</v>
      </c>
      <c r="L25" s="58" t="str">
        <f t="array" ref="L25">LET(val, IFERROR(INDEX('Weekly 스피킹 raw'!$A:$AAQ, MATCH(L$2, 'Weekly 스피킹 raw'!$A:$A, 0), MATCH($A25, 'Weekly 스피킹 raw'!$1:$1, 0)), ""), IF(val=0, "", val))</f>
        <v/>
      </c>
      <c r="M25" s="58" t="str">
        <f t="array" ref="M25">LET(val, IFERROR(INDEX('Weekly 스피킹 raw'!$A:$AAQ, MATCH(M$2, 'Weekly 스피킹 raw'!$A:$A, 0), MATCH($A25, 'Weekly 스피킹 raw'!$1:$1, 0)), ""), IF(val=0, "", val))</f>
        <v/>
      </c>
      <c r="N25" s="58" t="str">
        <f t="array" ref="N25">LET(val, IFERROR(INDEX('Weekly 스피킹 raw'!$A:$AAQ, MATCH(N$2, 'Weekly 스피킹 raw'!$A:$A, 0), MATCH($A25, 'Weekly 스피킹 raw'!$1:$1, 0)), ""), IF(val=0, "", val))</f>
        <v/>
      </c>
      <c r="O25" s="59"/>
      <c r="P25" s="59"/>
      <c r="Q25" s="59"/>
    </row>
    <row r="26" ht="18.75" customHeight="1">
      <c r="A26" s="16" t="s">
        <v>45</v>
      </c>
      <c r="B26" s="17" t="s">
        <v>22</v>
      </c>
      <c r="C26" s="58">
        <f t="array" ref="C26">LET(val, IFERROR(INDEX('Weekly 스피킹 raw'!$A:$AAQ, MATCH(C$2, 'Weekly 스피킹 raw'!$A:$A, 0), MATCH($A26, 'Weekly 스피킹 raw'!$1:$1, 0)), ""), IF(val=0, "", val))</f>
        <v>590</v>
      </c>
      <c r="D26" s="58">
        <f t="array" ref="D26">LET(val, IFERROR(INDEX('Weekly 스피킹 raw'!$A:$AAQ, MATCH(D$2, 'Weekly 스피킹 raw'!$A:$A, 0), MATCH($A26, 'Weekly 스피킹 raw'!$1:$1, 0)), ""), IF(val=0, "", val))</f>
        <v>1058</v>
      </c>
      <c r="E26" s="58">
        <f t="array" ref="E26">LET(val, IFERROR(INDEX('Weekly 스피킹 raw'!$A:$AAQ, MATCH(E$2, 'Weekly 스피킹 raw'!$A:$A, 0), MATCH($A26, 'Weekly 스피킹 raw'!$1:$1, 0)), ""), IF(val=0, "", val))</f>
        <v>940</v>
      </c>
      <c r="F26" s="58">
        <f t="array" ref="F26">LET(val, IFERROR(INDEX('Weekly 스피킹 raw'!$A:$AAQ, MATCH(F$2, 'Weekly 스피킹 raw'!$A:$A, 0), MATCH($A26, 'Weekly 스피킹 raw'!$1:$1, 0)), ""), IF(val=0, "", val))</f>
        <v>1063</v>
      </c>
      <c r="G26" s="58">
        <f t="array" ref="G26">LET(val, IFERROR(INDEX('Weekly 스피킹 raw'!$A:$AAQ, MATCH(G$2, 'Weekly 스피킹 raw'!$A:$A, 0), MATCH($A26, 'Weekly 스피킹 raw'!$1:$1, 0)), ""), IF(val=0, "", val))</f>
        <v>918</v>
      </c>
      <c r="H26" s="58">
        <f t="array" ref="H26">LET(val, IFERROR(INDEX('Weekly 스피킹 raw'!$A:$AAQ, MATCH(H$2, 'Weekly 스피킹 raw'!$A:$A, 0), MATCH($A26, 'Weekly 스피킹 raw'!$1:$1, 0)), ""), IF(val=0, "", val))</f>
        <v>1272</v>
      </c>
      <c r="I26" s="58">
        <f t="array" ref="I26">LET(val, IFERROR(INDEX('Weekly 스피킹 raw'!$A:$AAQ, MATCH(I$2, 'Weekly 스피킹 raw'!$A:$A, 0), MATCH($A26, 'Weekly 스피킹 raw'!$1:$1, 0)), ""), IF(val=0, "", val))</f>
        <v>1104</v>
      </c>
      <c r="J26" s="58">
        <f t="array" ref="J26">LET(val, IFERROR(INDEX('Weekly 스피킹 raw'!$A:$AAQ, MATCH(J$2, 'Weekly 스피킹 raw'!$A:$A, 0), MATCH($A26, 'Weekly 스피킹 raw'!$1:$1, 0)), ""), IF(val=0, "", val))</f>
        <v>874</v>
      </c>
      <c r="K26" s="58">
        <f t="array" ref="K26">LET(val, IFERROR(INDEX('Weekly 스피킹 raw'!$A:$AAQ, MATCH(K$2, 'Weekly 스피킹 raw'!$A:$A, 0), MATCH($A26, 'Weekly 스피킹 raw'!$1:$1, 0)), ""), IF(val=0, "", val))</f>
        <v>467</v>
      </c>
      <c r="L26" s="58" t="str">
        <f t="array" ref="L26">LET(val, IFERROR(INDEX('Weekly 스피킹 raw'!$A:$AAQ, MATCH(L$2, 'Weekly 스피킹 raw'!$A:$A, 0), MATCH($A26, 'Weekly 스피킹 raw'!$1:$1, 0)), ""), IF(val=0, "", val))</f>
        <v/>
      </c>
      <c r="M26" s="58" t="str">
        <f t="array" ref="M26">LET(val, IFERROR(INDEX('Weekly 스피킹 raw'!$A:$AAQ, MATCH(M$2, 'Weekly 스피킹 raw'!$A:$A, 0), MATCH($A26, 'Weekly 스피킹 raw'!$1:$1, 0)), ""), IF(val=0, "", val))</f>
        <v/>
      </c>
      <c r="N26" s="58" t="str">
        <f t="array" ref="N26">LET(val, IFERROR(INDEX('Weekly 스피킹 raw'!$A:$AAQ, MATCH(N$2, 'Weekly 스피킹 raw'!$A:$A, 0), MATCH($A26, 'Weekly 스피킹 raw'!$1:$1, 0)), ""), IF(val=0, "", val))</f>
        <v/>
      </c>
      <c r="O26" s="59"/>
      <c r="P26" s="59"/>
      <c r="Q26" s="59"/>
    </row>
    <row r="27" ht="18.75" customHeight="1">
      <c r="A27" s="16" t="s">
        <v>46</v>
      </c>
      <c r="B27" s="17" t="s">
        <v>47</v>
      </c>
      <c r="C27" s="58">
        <f t="array" ref="C27">LET(val, IFERROR(INDEX('Weekly 스피킹 raw'!$A:$AAQ, MATCH(C$2, 'Weekly 스피킹 raw'!$A:$A, 0), MATCH($A27, 'Weekly 스피킹 raw'!$1:$1, 0)), ""), IF(val=0, "", val))</f>
        <v>336</v>
      </c>
      <c r="D27" s="58">
        <f t="array" ref="D27">LET(val, IFERROR(INDEX('Weekly 스피킹 raw'!$A:$AAQ, MATCH(D$2, 'Weekly 스피킹 raw'!$A:$A, 0), MATCH($A27, 'Weekly 스피킹 raw'!$1:$1, 0)), ""), IF(val=0, "", val))</f>
        <v>730</v>
      </c>
      <c r="E27" s="58">
        <f t="array" ref="E27">LET(val, IFERROR(INDEX('Weekly 스피킹 raw'!$A:$AAQ, MATCH(E$2, 'Weekly 스피킹 raw'!$A:$A, 0), MATCH($A27, 'Weekly 스피킹 raw'!$1:$1, 0)), ""), IF(val=0, "", val))</f>
        <v>653</v>
      </c>
      <c r="F27" s="58">
        <f t="array" ref="F27">LET(val, IFERROR(INDEX('Weekly 스피킹 raw'!$A:$AAQ, MATCH(F$2, 'Weekly 스피킹 raw'!$A:$A, 0), MATCH($A27, 'Weekly 스피킹 raw'!$1:$1, 0)), ""), IF(val=0, "", val))</f>
        <v>661</v>
      </c>
      <c r="G27" s="58">
        <f t="array" ref="G27">LET(val, IFERROR(INDEX('Weekly 스피킹 raw'!$A:$AAQ, MATCH(G$2, 'Weekly 스피킹 raw'!$A:$A, 0), MATCH($A27, 'Weekly 스피킹 raw'!$1:$1, 0)), ""), IF(val=0, "", val))</f>
        <v>610</v>
      </c>
      <c r="H27" s="58">
        <f t="array" ref="H27">LET(val, IFERROR(INDEX('Weekly 스피킹 raw'!$A:$AAQ, MATCH(H$2, 'Weekly 스피킹 raw'!$A:$A, 0), MATCH($A27, 'Weekly 스피킹 raw'!$1:$1, 0)), ""), IF(val=0, "", val))</f>
        <v>793</v>
      </c>
      <c r="I27" s="58">
        <f t="array" ref="I27">LET(val, IFERROR(INDEX('Weekly 스피킹 raw'!$A:$AAQ, MATCH(I$2, 'Weekly 스피킹 raw'!$A:$A, 0), MATCH($A27, 'Weekly 스피킹 raw'!$1:$1, 0)), ""), IF(val=0, "", val))</f>
        <v>693</v>
      </c>
      <c r="J27" s="58">
        <f t="array" ref="J27">LET(val, IFERROR(INDEX('Weekly 스피킹 raw'!$A:$AAQ, MATCH(J$2, 'Weekly 스피킹 raw'!$A:$A, 0), MATCH($A27, 'Weekly 스피킹 raw'!$1:$1, 0)), ""), IF(val=0, "", val))</f>
        <v>576</v>
      </c>
      <c r="K27" s="58">
        <f t="array" ref="K27">LET(val, IFERROR(INDEX('Weekly 스피킹 raw'!$A:$AAQ, MATCH(K$2, 'Weekly 스피킹 raw'!$A:$A, 0), MATCH($A27, 'Weekly 스피킹 raw'!$1:$1, 0)), ""), IF(val=0, "", val))</f>
        <v>347</v>
      </c>
      <c r="L27" s="58" t="str">
        <f t="array" ref="L27">LET(val, IFERROR(INDEX('Weekly 스피킹 raw'!$A:$AAQ, MATCH(L$2, 'Weekly 스피킹 raw'!$A:$A, 0), MATCH($A27, 'Weekly 스피킹 raw'!$1:$1, 0)), ""), IF(val=0, "", val))</f>
        <v/>
      </c>
      <c r="M27" s="58" t="str">
        <f t="array" ref="M27">LET(val, IFERROR(INDEX('Weekly 스피킹 raw'!$A:$AAQ, MATCH(M$2, 'Weekly 스피킹 raw'!$A:$A, 0), MATCH($A27, 'Weekly 스피킹 raw'!$1:$1, 0)), ""), IF(val=0, "", val))</f>
        <v/>
      </c>
      <c r="N27" s="58" t="str">
        <f t="array" ref="N27">LET(val, IFERROR(INDEX('Weekly 스피킹 raw'!$A:$AAQ, MATCH(N$2, 'Weekly 스피킹 raw'!$A:$A, 0), MATCH($A27, 'Weekly 스피킹 raw'!$1:$1, 0)), ""), IF(val=0, "", val))</f>
        <v/>
      </c>
      <c r="O27" s="59"/>
      <c r="P27" s="59"/>
      <c r="Q27" s="59"/>
    </row>
    <row r="28" ht="18.75" customHeight="1">
      <c r="A28" s="16" t="s">
        <v>48</v>
      </c>
      <c r="B28" s="17" t="s">
        <v>20</v>
      </c>
      <c r="C28" s="58">
        <f t="array" ref="C28">LET(val, IFERROR(INDEX('Weekly 스피킹 raw'!$A:$AAQ, MATCH(C$2, 'Weekly 스피킹 raw'!$A:$A, 0), MATCH($A28, 'Weekly 스피킹 raw'!$1:$1, 0)), ""), IF(val=0, "", val))</f>
        <v>1</v>
      </c>
      <c r="D28" s="58">
        <f t="array" ref="D28">LET(val, IFERROR(INDEX('Weekly 스피킹 raw'!$A:$AAQ, MATCH(D$2, 'Weekly 스피킹 raw'!$A:$A, 0), MATCH($A28, 'Weekly 스피킹 raw'!$1:$1, 0)), ""), IF(val=0, "", val))</f>
        <v>12</v>
      </c>
      <c r="E28" s="58">
        <f t="array" ref="E28">LET(val, IFERROR(INDEX('Weekly 스피킹 raw'!$A:$AAQ, MATCH(E$2, 'Weekly 스피킹 raw'!$A:$A, 0), MATCH($A28, 'Weekly 스피킹 raw'!$1:$1, 0)), ""), IF(val=0, "", val))</f>
        <v>6</v>
      </c>
      <c r="F28" s="58">
        <f t="array" ref="F28">LET(val, IFERROR(INDEX('Weekly 스피킹 raw'!$A:$AAQ, MATCH(F$2, 'Weekly 스피킹 raw'!$A:$A, 0), MATCH($A28, 'Weekly 스피킹 raw'!$1:$1, 0)), ""), IF(val=0, "", val))</f>
        <v>8</v>
      </c>
      <c r="G28" s="58">
        <f t="array" ref="G28">LET(val, IFERROR(INDEX('Weekly 스피킹 raw'!$A:$AAQ, MATCH(G$2, 'Weekly 스피킹 raw'!$A:$A, 0), MATCH($A28, 'Weekly 스피킹 raw'!$1:$1, 0)), ""), IF(val=0, "", val))</f>
        <v>12</v>
      </c>
      <c r="H28" s="58">
        <f t="array" ref="H28">LET(val, IFERROR(INDEX('Weekly 스피킹 raw'!$A:$AAQ, MATCH(H$2, 'Weekly 스피킹 raw'!$A:$A, 0), MATCH($A28, 'Weekly 스피킹 raw'!$1:$1, 0)), ""), IF(val=0, "", val))</f>
        <v>5</v>
      </c>
      <c r="I28" s="58">
        <f t="array" ref="I28">LET(val, IFERROR(INDEX('Weekly 스피킹 raw'!$A:$AAQ, MATCH(I$2, 'Weekly 스피킹 raw'!$A:$A, 0), MATCH($A28, 'Weekly 스피킹 raw'!$1:$1, 0)), ""), IF(val=0, "", val))</f>
        <v>8</v>
      </c>
      <c r="J28" s="58">
        <f t="array" ref="J28">LET(val, IFERROR(INDEX('Weekly 스피킹 raw'!$A:$AAQ, MATCH(J$2, 'Weekly 스피킹 raw'!$A:$A, 0), MATCH($A28, 'Weekly 스피킹 raw'!$1:$1, 0)), ""), IF(val=0, "", val))</f>
        <v>3</v>
      </c>
      <c r="K28" s="58">
        <f t="array" ref="K28">LET(val, IFERROR(INDEX('Weekly 스피킹 raw'!$A:$AAQ, MATCH(K$2, 'Weekly 스피킹 raw'!$A:$A, 0), MATCH($A28, 'Weekly 스피킹 raw'!$1:$1, 0)), ""), IF(val=0, "", val))</f>
        <v>5</v>
      </c>
      <c r="L28" s="58" t="str">
        <f t="array" ref="L28">LET(val, IFERROR(INDEX('Weekly 스피킹 raw'!$A:$AAQ, MATCH(L$2, 'Weekly 스피킹 raw'!$A:$A, 0), MATCH($A28, 'Weekly 스피킹 raw'!$1:$1, 0)), ""), IF(val=0, "", val))</f>
        <v/>
      </c>
      <c r="M28" s="58" t="str">
        <f t="array" ref="M28">LET(val, IFERROR(INDEX('Weekly 스피킹 raw'!$A:$AAQ, MATCH(M$2, 'Weekly 스피킹 raw'!$A:$A, 0), MATCH($A28, 'Weekly 스피킹 raw'!$1:$1, 0)), ""), IF(val=0, "", val))</f>
        <v/>
      </c>
      <c r="N28" s="58" t="str">
        <f t="array" ref="N28">LET(val, IFERROR(INDEX('Weekly 스피킹 raw'!$A:$AAQ, MATCH(N$2, 'Weekly 스피킹 raw'!$A:$A, 0), MATCH($A28, 'Weekly 스피킹 raw'!$1:$1, 0)), ""), IF(val=0, "", val))</f>
        <v/>
      </c>
      <c r="O28" s="59"/>
      <c r="P28" s="59"/>
      <c r="Q28" s="59"/>
    </row>
    <row r="29">
      <c r="A29" s="16"/>
      <c r="B29" s="30" t="s">
        <v>49</v>
      </c>
      <c r="C29" s="58" t="str">
        <f t="array" ref="C29">LET(val, IFERROR(INDEX('Weekly 스피킹 raw'!$A:$AAQ, MATCH(C$2, 'Weekly 스피킹 raw'!$A:$A, 0), MATCH($A29, 'Weekly 스피킹 raw'!$1:$1, 0)), ""), IF(val=0, "", val))</f>
        <v/>
      </c>
      <c r="D29" s="58" t="str">
        <f t="array" ref="D29">LET(val, IFERROR(INDEX('Weekly 스피킹 raw'!$A:$AAQ, MATCH(D$2, 'Weekly 스피킹 raw'!$A:$A, 0), MATCH($A29, 'Weekly 스피킹 raw'!$1:$1, 0)), ""), IF(val=0, "", val))</f>
        <v/>
      </c>
      <c r="E29" s="58" t="str">
        <f t="array" ref="E29">LET(val, IFERROR(INDEX('Weekly 스피킹 raw'!$A:$AAQ, MATCH(E$2, 'Weekly 스피킹 raw'!$A:$A, 0), MATCH($A29, 'Weekly 스피킹 raw'!$1:$1, 0)), ""), IF(val=0, "", val))</f>
        <v/>
      </c>
      <c r="F29" s="58" t="str">
        <f t="array" ref="F29">LET(val, IFERROR(INDEX('Weekly 스피킹 raw'!$A:$AAQ, MATCH(F$2, 'Weekly 스피킹 raw'!$A:$A, 0), MATCH($A29, 'Weekly 스피킹 raw'!$1:$1, 0)), ""), IF(val=0, "", val))</f>
        <v/>
      </c>
      <c r="G29" s="58" t="str">
        <f t="array" ref="G29">LET(val, IFERROR(INDEX('Weekly 스피킹 raw'!$A:$AAQ, MATCH(G$2, 'Weekly 스피킹 raw'!$A:$A, 0), MATCH($A29, 'Weekly 스피킹 raw'!$1:$1, 0)), ""), IF(val=0, "", val))</f>
        <v/>
      </c>
      <c r="H29" s="58" t="str">
        <f t="array" ref="H29">LET(val, IFERROR(INDEX('Weekly 스피킹 raw'!$A:$AAQ, MATCH(H$2, 'Weekly 스피킹 raw'!$A:$A, 0), MATCH($A29, 'Weekly 스피킹 raw'!$1:$1, 0)), ""), IF(val=0, "", val))</f>
        <v/>
      </c>
      <c r="I29" s="58" t="str">
        <f t="array" ref="I29">LET(val, IFERROR(INDEX('Weekly 스피킹 raw'!$A:$AAQ, MATCH(I$2, 'Weekly 스피킹 raw'!$A:$A, 0), MATCH($A29, 'Weekly 스피킹 raw'!$1:$1, 0)), ""), IF(val=0, "", val))</f>
        <v/>
      </c>
      <c r="J29" s="58" t="str">
        <f t="array" ref="J29">LET(val, IFERROR(INDEX('Weekly 스피킹 raw'!$A:$AAQ, MATCH(J$2, 'Weekly 스피킹 raw'!$A:$A, 0), MATCH($A29, 'Weekly 스피킹 raw'!$1:$1, 0)), ""), IF(val=0, "", val))</f>
        <v/>
      </c>
      <c r="K29" s="58" t="str">
        <f t="array" ref="K29">LET(val, IFERROR(INDEX('Weekly 스피킹 raw'!$A:$AAQ, MATCH(K$2, 'Weekly 스피킹 raw'!$A:$A, 0), MATCH($A29, 'Weekly 스피킹 raw'!$1:$1, 0)), ""), IF(val=0, "", val))</f>
        <v/>
      </c>
      <c r="L29" s="58" t="str">
        <f t="array" ref="L29">LET(val, IFERROR(INDEX('Weekly 스피킹 raw'!$A:$AAQ, MATCH(L$2, 'Weekly 스피킹 raw'!$A:$A, 0), MATCH($A29, 'Weekly 스피킹 raw'!$1:$1, 0)), ""), IF(val=0, "", val))</f>
        <v/>
      </c>
      <c r="M29" s="58" t="str">
        <f t="array" ref="M29">LET(val, IFERROR(INDEX('Weekly 스피킹 raw'!$A:$AAQ, MATCH(M$2, 'Weekly 스피킹 raw'!$A:$A, 0), MATCH($A29, 'Weekly 스피킹 raw'!$1:$1, 0)), ""), IF(val=0, "", val))</f>
        <v/>
      </c>
      <c r="N29" s="58" t="str">
        <f t="array" ref="N29">LET(val, IFERROR(INDEX('Weekly 스피킹 raw'!$A:$AAQ, MATCH(N$2, 'Weekly 스피킹 raw'!$A:$A, 0), MATCH($A29, 'Weekly 스피킹 raw'!$1:$1, 0)), ""), IF(val=0, "", val))</f>
        <v/>
      </c>
      <c r="O29" s="108"/>
      <c r="P29" s="108"/>
      <c r="Q29" s="108"/>
    </row>
    <row r="30">
      <c r="A30" s="16" t="s">
        <v>50</v>
      </c>
      <c r="B30" s="48" t="s">
        <v>42</v>
      </c>
      <c r="C30" s="58">
        <f t="array" ref="C30">LET(val, IFERROR(INDEX('Weekly 스피킹 raw'!$A:$AAQ, MATCH(C$2, 'Weekly 스피킹 raw'!$A:$A, 0), MATCH($A30, 'Weekly 스피킹 raw'!$1:$1, 0)), ""), IF(val=0, "", val))</f>
        <v>16934</v>
      </c>
      <c r="D30" s="58">
        <f t="array" ref="D30">LET(val, IFERROR(INDEX('Weekly 스피킹 raw'!$A:$AAQ, MATCH(D$2, 'Weekly 스피킹 raw'!$A:$A, 0), MATCH($A30, 'Weekly 스피킹 raw'!$1:$1, 0)), ""), IF(val=0, "", val))</f>
        <v>35156</v>
      </c>
      <c r="E30" s="58">
        <f t="array" ref="E30">LET(val, IFERROR(INDEX('Weekly 스피킹 raw'!$A:$AAQ, MATCH(E$2, 'Weekly 스피킹 raw'!$A:$A, 0), MATCH($A30, 'Weekly 스피킹 raw'!$1:$1, 0)), ""), IF(val=0, "", val))</f>
        <v>21823</v>
      </c>
      <c r="F30" s="58">
        <f t="array" ref="F30">LET(val, IFERROR(INDEX('Weekly 스피킹 raw'!$A:$AAQ, MATCH(F$2, 'Weekly 스피킹 raw'!$A:$A, 0), MATCH($A30, 'Weekly 스피킹 raw'!$1:$1, 0)), ""), IF(val=0, "", val))</f>
        <v>23071</v>
      </c>
      <c r="G30" s="58">
        <f t="array" ref="G30">LET(val, IFERROR(INDEX('Weekly 스피킹 raw'!$A:$AAQ, MATCH(G$2, 'Weekly 스피킹 raw'!$A:$A, 0), MATCH($A30, 'Weekly 스피킹 raw'!$1:$1, 0)), ""), IF(val=0, "", val))</f>
        <v>20718</v>
      </c>
      <c r="H30" s="58">
        <f t="array" ref="H30">LET(val, IFERROR(INDEX('Weekly 스피킹 raw'!$A:$AAQ, MATCH(H$2, 'Weekly 스피킹 raw'!$A:$A, 0), MATCH($A30, 'Weekly 스피킹 raw'!$1:$1, 0)), ""), IF(val=0, "", val))</f>
        <v>20066</v>
      </c>
      <c r="I30" s="58">
        <f t="array" ref="I30">LET(val, IFERROR(INDEX('Weekly 스피킹 raw'!$A:$AAQ, MATCH(I$2, 'Weekly 스피킹 raw'!$A:$A, 0), MATCH($A30, 'Weekly 스피킹 raw'!$1:$1, 0)), ""), IF(val=0, "", val))</f>
        <v>17612</v>
      </c>
      <c r="J30" s="58">
        <f t="array" ref="J30">LET(val, IFERROR(INDEX('Weekly 스피킹 raw'!$A:$AAQ, MATCH(J$2, 'Weekly 스피킹 raw'!$A:$A, 0), MATCH($A30, 'Weekly 스피킹 raw'!$1:$1, 0)), ""), IF(val=0, "", val))</f>
        <v>16554</v>
      </c>
      <c r="K30" s="58">
        <f t="array" ref="K30">LET(val, IFERROR(INDEX('Weekly 스피킹 raw'!$A:$AAQ, MATCH(K$2, 'Weekly 스피킹 raw'!$A:$A, 0), MATCH($A30, 'Weekly 스피킹 raw'!$1:$1, 0)), ""), IF(val=0, "", val))</f>
        <v>14388</v>
      </c>
      <c r="L30" s="58" t="str">
        <f t="array" ref="L30">LET(val, IFERROR(INDEX('Weekly 스피킹 raw'!$A:$AAQ, MATCH(L$2, 'Weekly 스피킹 raw'!$A:$A, 0), MATCH($A30, 'Weekly 스피킹 raw'!$1:$1, 0)), ""), IF(val=0, "", val))</f>
        <v/>
      </c>
      <c r="M30" s="58" t="str">
        <f t="array" ref="M30">LET(val, IFERROR(INDEX('Weekly 스피킹 raw'!$A:$AAQ, MATCH(M$2, 'Weekly 스피킹 raw'!$A:$A, 0), MATCH($A30, 'Weekly 스피킹 raw'!$1:$1, 0)), ""), IF(val=0, "", val))</f>
        <v/>
      </c>
      <c r="N30" s="58" t="str">
        <f t="array" ref="N30">LET(val, IFERROR(INDEX('Weekly 스피킹 raw'!$A:$AAQ, MATCH(N$2, 'Weekly 스피킹 raw'!$A:$A, 0), MATCH($A30, 'Weekly 스피킹 raw'!$1:$1, 0)), ""), IF(val=0, "", val))</f>
        <v/>
      </c>
      <c r="O30" s="108"/>
      <c r="P30" s="108"/>
      <c r="Q30" s="108"/>
    </row>
    <row r="31">
      <c r="A31" s="16" t="s">
        <v>51</v>
      </c>
      <c r="B31" s="48" t="s">
        <v>44</v>
      </c>
      <c r="C31" s="58">
        <f t="array" ref="C31">LET(val, IFERROR(INDEX('Weekly 스피킹 raw'!$A:$AAQ, MATCH(C$2, 'Weekly 스피킹 raw'!$A:$A, 0), MATCH($A31, 'Weekly 스피킹 raw'!$1:$1, 0)), ""), IF(val=0, "", val))</f>
        <v>11646</v>
      </c>
      <c r="D31" s="58">
        <f t="array" ref="D31">LET(val, IFERROR(INDEX('Weekly 스피킹 raw'!$A:$AAQ, MATCH(D$2, 'Weekly 스피킹 raw'!$A:$A, 0), MATCH($A31, 'Weekly 스피킹 raw'!$1:$1, 0)), ""), IF(val=0, "", val))</f>
        <v>18490</v>
      </c>
      <c r="E31" s="58">
        <f t="array" ref="E31">LET(val, IFERROR(INDEX('Weekly 스피킹 raw'!$A:$AAQ, MATCH(E$2, 'Weekly 스피킹 raw'!$A:$A, 0), MATCH($A31, 'Weekly 스피킹 raw'!$1:$1, 0)), ""), IF(val=0, "", val))</f>
        <v>15446</v>
      </c>
      <c r="F31" s="58">
        <f t="array" ref="F31">LET(val, IFERROR(INDEX('Weekly 스피킹 raw'!$A:$AAQ, MATCH(F$2, 'Weekly 스피킹 raw'!$A:$A, 0), MATCH($A31, 'Weekly 스피킹 raw'!$1:$1, 0)), ""), IF(val=0, "", val))</f>
        <v>14892</v>
      </c>
      <c r="G31" s="58">
        <f t="array" ref="G31">LET(val, IFERROR(INDEX('Weekly 스피킹 raw'!$A:$AAQ, MATCH(G$2, 'Weekly 스피킹 raw'!$A:$A, 0), MATCH($A31, 'Weekly 스피킹 raw'!$1:$1, 0)), ""), IF(val=0, "", val))</f>
        <v>13659</v>
      </c>
      <c r="H31" s="58">
        <f t="array" ref="H31">LET(val, IFERROR(INDEX('Weekly 스피킹 raw'!$A:$AAQ, MATCH(H$2, 'Weekly 스피킹 raw'!$A:$A, 0), MATCH($A31, 'Weekly 스피킹 raw'!$1:$1, 0)), ""), IF(val=0, "", val))</f>
        <v>11571</v>
      </c>
      <c r="I31" s="58">
        <f t="array" ref="I31">LET(val, IFERROR(INDEX('Weekly 스피킹 raw'!$A:$AAQ, MATCH(I$2, 'Weekly 스피킹 raw'!$A:$A, 0), MATCH($A31, 'Weekly 스피킹 raw'!$1:$1, 0)), ""), IF(val=0, "", val))</f>
        <v>10999</v>
      </c>
      <c r="J31" s="58">
        <f t="array" ref="J31">LET(val, IFERROR(INDEX('Weekly 스피킹 raw'!$A:$AAQ, MATCH(J$2, 'Weekly 스피킹 raw'!$A:$A, 0), MATCH($A31, 'Weekly 스피킹 raw'!$1:$1, 0)), ""), IF(val=0, "", val))</f>
        <v>10851</v>
      </c>
      <c r="K31" s="58">
        <f t="array" ref="K31">LET(val, IFERROR(INDEX('Weekly 스피킹 raw'!$A:$AAQ, MATCH(K$2, 'Weekly 스피킹 raw'!$A:$A, 0), MATCH($A31, 'Weekly 스피킹 raw'!$1:$1, 0)), ""), IF(val=0, "", val))</f>
        <v>9921</v>
      </c>
      <c r="L31" s="58" t="str">
        <f t="array" ref="L31">LET(val, IFERROR(INDEX('Weekly 스피킹 raw'!$A:$AAQ, MATCH(L$2, 'Weekly 스피킹 raw'!$A:$A, 0), MATCH($A31, 'Weekly 스피킹 raw'!$1:$1, 0)), ""), IF(val=0, "", val))</f>
        <v/>
      </c>
      <c r="M31" s="58" t="str">
        <f t="array" ref="M31">LET(val, IFERROR(INDEX('Weekly 스피킹 raw'!$A:$AAQ, MATCH(M$2, 'Weekly 스피킹 raw'!$A:$A, 0), MATCH($A31, 'Weekly 스피킹 raw'!$1:$1, 0)), ""), IF(val=0, "", val))</f>
        <v/>
      </c>
      <c r="N31" s="58" t="str">
        <f t="array" ref="N31">LET(val, IFERROR(INDEX('Weekly 스피킹 raw'!$A:$AAQ, MATCH(N$2, 'Weekly 스피킹 raw'!$A:$A, 0), MATCH($A31, 'Weekly 스피킹 raw'!$1:$1, 0)), ""), IF(val=0, "", val))</f>
        <v/>
      </c>
      <c r="O31" s="108"/>
      <c r="P31" s="108"/>
      <c r="Q31" s="108"/>
    </row>
    <row r="32">
      <c r="A32" s="16" t="s">
        <v>52</v>
      </c>
      <c r="B32" s="48" t="s">
        <v>22</v>
      </c>
      <c r="C32" s="58">
        <f t="array" ref="C32">LET(val, IFERROR(INDEX('Weekly 스피킹 raw'!$A:$AAQ, MATCH(C$2, 'Weekly 스피킹 raw'!$A:$A, 0), MATCH($A32, 'Weekly 스피킹 raw'!$1:$1, 0)), ""), IF(val=0, "", val))</f>
        <v>9577</v>
      </c>
      <c r="D32" s="58">
        <f t="array" ref="D32">LET(val, IFERROR(INDEX('Weekly 스피킹 raw'!$A:$AAQ, MATCH(D$2, 'Weekly 스피킹 raw'!$A:$A, 0), MATCH($A32, 'Weekly 스피킹 raw'!$1:$1, 0)), ""), IF(val=0, "", val))</f>
        <v>15650</v>
      </c>
      <c r="E32" s="58">
        <f t="array" ref="E32">LET(val, IFERROR(INDEX('Weekly 스피킹 raw'!$A:$AAQ, MATCH(E$2, 'Weekly 스피킹 raw'!$A:$A, 0), MATCH($A32, 'Weekly 스피킹 raw'!$1:$1, 0)), ""), IF(val=0, "", val))</f>
        <v>14109</v>
      </c>
      <c r="F32" s="58">
        <f t="array" ref="F32">LET(val, IFERROR(INDEX('Weekly 스피킹 raw'!$A:$AAQ, MATCH(F$2, 'Weekly 스피킹 raw'!$A:$A, 0), MATCH($A32, 'Weekly 스피킹 raw'!$1:$1, 0)), ""), IF(val=0, "", val))</f>
        <v>13322</v>
      </c>
      <c r="G32" s="58">
        <f t="array" ref="G32">LET(val, IFERROR(INDEX('Weekly 스피킹 raw'!$A:$AAQ, MATCH(G$2, 'Weekly 스피킹 raw'!$A:$A, 0), MATCH($A32, 'Weekly 스피킹 raw'!$1:$1, 0)), ""), IF(val=0, "", val))</f>
        <v>12528</v>
      </c>
      <c r="H32" s="58">
        <f t="array" ref="H32">LET(val, IFERROR(INDEX('Weekly 스피킹 raw'!$A:$AAQ, MATCH(H$2, 'Weekly 스피킹 raw'!$A:$A, 0), MATCH($A32, 'Weekly 스피킹 raw'!$1:$1, 0)), ""), IF(val=0, "", val))</f>
        <v>11770</v>
      </c>
      <c r="I32" s="58">
        <f t="array" ref="I32">LET(val, IFERROR(INDEX('Weekly 스피킹 raw'!$A:$AAQ, MATCH(I$2, 'Weekly 스피킹 raw'!$A:$A, 0), MATCH($A32, 'Weekly 스피킹 raw'!$1:$1, 0)), ""), IF(val=0, "", val))</f>
        <v>11180</v>
      </c>
      <c r="J32" s="58">
        <f t="array" ref="J32">LET(val, IFERROR(INDEX('Weekly 스피킹 raw'!$A:$AAQ, MATCH(J$2, 'Weekly 스피킹 raw'!$A:$A, 0), MATCH($A32, 'Weekly 스피킹 raw'!$1:$1, 0)), ""), IF(val=0, "", val))</f>
        <v>10664</v>
      </c>
      <c r="K32" s="58">
        <f t="array" ref="K32">LET(val, IFERROR(INDEX('Weekly 스피킹 raw'!$A:$AAQ, MATCH(K$2, 'Weekly 스피킹 raw'!$A:$A, 0), MATCH($A32, 'Weekly 스피킹 raw'!$1:$1, 0)), ""), IF(val=0, "", val))</f>
        <v>9862</v>
      </c>
      <c r="L32" s="58" t="str">
        <f t="array" ref="L32">LET(val, IFERROR(INDEX('Weekly 스피킹 raw'!$A:$AAQ, MATCH(L$2, 'Weekly 스피킹 raw'!$A:$A, 0), MATCH($A32, 'Weekly 스피킹 raw'!$1:$1, 0)), ""), IF(val=0, "", val))</f>
        <v/>
      </c>
      <c r="M32" s="58" t="str">
        <f t="array" ref="M32">LET(val, IFERROR(INDEX('Weekly 스피킹 raw'!$A:$AAQ, MATCH(M$2, 'Weekly 스피킹 raw'!$A:$A, 0), MATCH($A32, 'Weekly 스피킹 raw'!$1:$1, 0)), ""), IF(val=0, "", val))</f>
        <v/>
      </c>
      <c r="N32" s="58" t="str">
        <f t="array" ref="N32">LET(val, IFERROR(INDEX('Weekly 스피킹 raw'!$A:$AAQ, MATCH(N$2, 'Weekly 스피킹 raw'!$A:$A, 0), MATCH($A32, 'Weekly 스피킹 raw'!$1:$1, 0)), ""), IF(val=0, "", val))</f>
        <v/>
      </c>
      <c r="O32" s="108"/>
      <c r="P32" s="108"/>
      <c r="Q32" s="108"/>
    </row>
    <row r="33">
      <c r="A33" s="16" t="s">
        <v>53</v>
      </c>
      <c r="B33" s="48" t="s">
        <v>47</v>
      </c>
      <c r="C33" s="58">
        <f t="array" ref="C33">LET(val, IFERROR(INDEX('Weekly 스피킹 raw'!$A:$AAQ, MATCH(C$2, 'Weekly 스피킹 raw'!$A:$A, 0), MATCH($A33, 'Weekly 스피킹 raw'!$1:$1, 0)), ""), IF(val=0, "", val))</f>
        <v>3049</v>
      </c>
      <c r="D33" s="58">
        <f t="array" ref="D33">LET(val, IFERROR(INDEX('Weekly 스피킹 raw'!$A:$AAQ, MATCH(D$2, 'Weekly 스피킹 raw'!$A:$A, 0), MATCH($A33, 'Weekly 스피킹 raw'!$1:$1, 0)), ""), IF(val=0, "", val))</f>
        <v>6792</v>
      </c>
      <c r="E33" s="58">
        <f t="array" ref="E33">LET(val, IFERROR(INDEX('Weekly 스피킹 raw'!$A:$AAQ, MATCH(E$2, 'Weekly 스피킹 raw'!$A:$A, 0), MATCH($A33, 'Weekly 스피킹 raw'!$1:$1, 0)), ""), IF(val=0, "", val))</f>
        <v>4762</v>
      </c>
      <c r="F33" s="58">
        <f t="array" ref="F33">LET(val, IFERROR(INDEX('Weekly 스피킹 raw'!$A:$AAQ, MATCH(F$2, 'Weekly 스피킹 raw'!$A:$A, 0), MATCH($A33, 'Weekly 스피킹 raw'!$1:$1, 0)), ""), IF(val=0, "", val))</f>
        <v>4654</v>
      </c>
      <c r="G33" s="58">
        <f t="array" ref="G33">LET(val, IFERROR(INDEX('Weekly 스피킹 raw'!$A:$AAQ, MATCH(G$2, 'Weekly 스피킹 raw'!$A:$A, 0), MATCH($A33, 'Weekly 스피킹 raw'!$1:$1, 0)), ""), IF(val=0, "", val))</f>
        <v>4512</v>
      </c>
      <c r="H33" s="58">
        <f t="array" ref="H33">LET(val, IFERROR(INDEX('Weekly 스피킹 raw'!$A:$AAQ, MATCH(H$2, 'Weekly 스피킹 raw'!$A:$A, 0), MATCH($A33, 'Weekly 스피킹 raw'!$1:$1, 0)), ""), IF(val=0, "", val))</f>
        <v>4174</v>
      </c>
      <c r="I33" s="58">
        <f t="array" ref="I33">LET(val, IFERROR(INDEX('Weekly 스피킹 raw'!$A:$AAQ, MATCH(I$2, 'Weekly 스피킹 raw'!$A:$A, 0), MATCH($A33, 'Weekly 스피킹 raw'!$1:$1, 0)), ""), IF(val=0, "", val))</f>
        <v>4133</v>
      </c>
      <c r="J33" s="58">
        <f t="array" ref="J33">LET(val, IFERROR(INDEX('Weekly 스피킹 raw'!$A:$AAQ, MATCH(J$2, 'Weekly 스피킹 raw'!$A:$A, 0), MATCH($A33, 'Weekly 스피킹 raw'!$1:$1, 0)), ""), IF(val=0, "", val))</f>
        <v>3660</v>
      </c>
      <c r="K33" s="58">
        <f t="array" ref="K33">LET(val, IFERROR(INDEX('Weekly 스피킹 raw'!$A:$AAQ, MATCH(K$2, 'Weekly 스피킹 raw'!$A:$A, 0), MATCH($A33, 'Weekly 스피킹 raw'!$1:$1, 0)), ""), IF(val=0, "", val))</f>
        <v>3120</v>
      </c>
      <c r="L33" s="58" t="str">
        <f t="array" ref="L33">LET(val, IFERROR(INDEX('Weekly 스피킹 raw'!$A:$AAQ, MATCH(L$2, 'Weekly 스피킹 raw'!$A:$A, 0), MATCH($A33, 'Weekly 스피킹 raw'!$1:$1, 0)), ""), IF(val=0, "", val))</f>
        <v/>
      </c>
      <c r="M33" s="58" t="str">
        <f t="array" ref="M33">LET(val, IFERROR(INDEX('Weekly 스피킹 raw'!$A:$AAQ, MATCH(M$2, 'Weekly 스피킹 raw'!$A:$A, 0), MATCH($A33, 'Weekly 스피킹 raw'!$1:$1, 0)), ""), IF(val=0, "", val))</f>
        <v/>
      </c>
      <c r="N33" s="58" t="str">
        <f t="array" ref="N33">LET(val, IFERROR(INDEX('Weekly 스피킹 raw'!$A:$AAQ, MATCH(N$2, 'Weekly 스피킹 raw'!$A:$A, 0), MATCH($A33, 'Weekly 스피킹 raw'!$1:$1, 0)), ""), IF(val=0, "", val))</f>
        <v/>
      </c>
      <c r="O33" s="108"/>
      <c r="P33" s="108"/>
      <c r="Q33" s="108"/>
    </row>
    <row r="34">
      <c r="A34" s="16" t="s">
        <v>54</v>
      </c>
      <c r="B34" s="48" t="s">
        <v>20</v>
      </c>
      <c r="C34" s="58">
        <f t="array" ref="C34">IFERROR(INDEX('Weekly 스피킹 raw'!$A:$AAQ, MATCH(C$2, 'Weekly 스피킹 raw'!$A:$A, 0), MATCH($A34, 'Weekly 스피킹 raw'!$1:$1, 0)), 0)</f>
        <v>14</v>
      </c>
      <c r="D34" s="58">
        <f t="array" ref="D34">IFERROR(INDEX('Weekly 스피킹 raw'!$A:$AAQ, MATCH(D$2, 'Weekly 스피킹 raw'!$A:$A, 0), MATCH($A34, 'Weekly 스피킹 raw'!$1:$1, 0)), 0)</f>
        <v>62</v>
      </c>
      <c r="E34" s="58">
        <f t="array" ref="E34">IFERROR(INDEX('Weekly 스피킹 raw'!$A:$AAQ, MATCH(E$2, 'Weekly 스피킹 raw'!$A:$A, 0), MATCH($A34, 'Weekly 스피킹 raw'!$1:$1, 0)), 0)</f>
        <v>37</v>
      </c>
      <c r="F34" s="58">
        <f t="array" ref="F34">IFERROR(INDEX('Weekly 스피킹 raw'!$A:$AAQ, MATCH(F$2, 'Weekly 스피킹 raw'!$A:$A, 0), MATCH($A34, 'Weekly 스피킹 raw'!$1:$1, 0)), 0)</f>
        <v>35</v>
      </c>
      <c r="G34" s="58">
        <f t="array" ref="G34">IFERROR(INDEX('Weekly 스피킹 raw'!$A:$AAQ, MATCH(G$2, 'Weekly 스피킹 raw'!$A:$A, 0), MATCH($A34, 'Weekly 스피킹 raw'!$1:$1, 0)), 0)</f>
        <v>31</v>
      </c>
      <c r="H34" s="58">
        <f t="array" ref="H34">IFERROR(INDEX('Weekly 스피킹 raw'!$A:$AAQ, MATCH(H$2, 'Weekly 스피킹 raw'!$A:$A, 0), MATCH($A34, 'Weekly 스피킹 raw'!$1:$1, 0)), 0)</f>
        <v>27</v>
      </c>
      <c r="I34" s="58">
        <f t="array" ref="I34">IFERROR(INDEX('Weekly 스피킹 raw'!$A:$AAQ, MATCH(I$2, 'Weekly 스피킹 raw'!$A:$A, 0), MATCH($A34, 'Weekly 스피킹 raw'!$1:$1, 0)), 0)</f>
        <v>44</v>
      </c>
      <c r="J34" s="58">
        <f t="array" ref="J34">IFERROR(INDEX('Weekly 스피킹 raw'!$A:$AAQ, MATCH(J$2, 'Weekly 스피킹 raw'!$A:$A, 0), MATCH($A34, 'Weekly 스피킹 raw'!$1:$1, 0)), 0)</f>
        <v>26</v>
      </c>
      <c r="K34" s="58">
        <f t="array" ref="K34">IFERROR(INDEX('Weekly 스피킹 raw'!$A:$AAQ, MATCH(K$2, 'Weekly 스피킹 raw'!$A:$A, 0), MATCH($A34, 'Weekly 스피킹 raw'!$1:$1, 0)), 0)</f>
        <v>24</v>
      </c>
      <c r="L34" s="58">
        <f t="array" ref="L34">IFERROR(INDEX('Weekly 스피킹 raw'!$A:$AAQ, MATCH(L$2, 'Weekly 스피킹 raw'!$A:$A, 0), MATCH($A34, 'Weekly 스피킹 raw'!$1:$1, 0)), 0)</f>
        <v>0</v>
      </c>
      <c r="M34" s="58">
        <f t="array" ref="M34">IFERROR(INDEX('Weekly 스피킹 raw'!$A:$AAQ, MATCH(M$2, 'Weekly 스피킹 raw'!$A:$A, 0), MATCH($A34, 'Weekly 스피킹 raw'!$1:$1, 0)), 0)</f>
        <v>0</v>
      </c>
      <c r="N34" s="58">
        <f t="array" ref="N34">IFERROR(INDEX('Weekly 스피킹 raw'!$A:$AAQ, MATCH(N$2, 'Weekly 스피킹 raw'!$A:$A, 0), MATCH($A34, 'Weekly 스피킹 raw'!$1:$1, 0)), 0)</f>
        <v>0</v>
      </c>
      <c r="O34" s="108"/>
      <c r="P34" s="108"/>
      <c r="Q34" s="108"/>
    </row>
  </sheetData>
  <mergeCells count="1">
    <mergeCell ref="B1:B2"/>
  </mergeCells>
  <conditionalFormatting sqref="C1:Q1">
    <cfRule type="containsText" dxfId="2" priority="1" operator="containsText" text="토">
      <formula>NOT(ISERROR(SEARCH(("토"),(C1))))</formula>
    </cfRule>
  </conditionalFormatting>
  <conditionalFormatting sqref="C1:Q1">
    <cfRule type="containsText" dxfId="2" priority="2" operator="containsText" text="일">
      <formula>NOT(ISERROR(SEARCH(("일"),(C1))))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25"/>
    <col customWidth="1" hidden="1" min="2" max="2" width="46.13"/>
    <col customWidth="1" min="3" max="3" width="46.13"/>
    <col customWidth="1" min="4" max="23" width="10.5"/>
    <col customWidth="1" min="24" max="28" width="13.0"/>
    <col customWidth="1" min="29" max="29" width="11.75"/>
    <col customWidth="1" min="30" max="30" width="12.13"/>
    <col customWidth="1" min="31" max="43" width="9.0"/>
    <col customWidth="1" min="44" max="44" width="6.38"/>
    <col customWidth="1" min="45" max="45" width="8.75"/>
    <col customWidth="1" min="46" max="46" width="9.75"/>
    <col customWidth="1" min="47" max="48" width="7.88"/>
    <col customWidth="1" min="49" max="49" width="9.25"/>
    <col customWidth="1" min="50" max="50" width="8.5"/>
    <col customWidth="1" min="51" max="54" width="6.38"/>
    <col customWidth="1" min="55" max="55" width="11.88"/>
    <col customWidth="1" min="56" max="56" width="10.63"/>
    <col customWidth="1" min="57" max="57" width="12.75"/>
    <col customWidth="1" min="58" max="93" width="6.38"/>
  </cols>
  <sheetData>
    <row r="1">
      <c r="A1" s="1"/>
      <c r="B1" s="1"/>
      <c r="C1" s="1"/>
      <c r="D1" s="36" t="str">
        <f t="shared" ref="D1:CO1" si="1">text(D2, "ddd")</f>
        <v>목</v>
      </c>
      <c r="E1" s="36" t="str">
        <f t="shared" si="1"/>
        <v>금</v>
      </c>
      <c r="F1" s="36" t="str">
        <f t="shared" si="1"/>
        <v>토</v>
      </c>
      <c r="G1" s="36" t="str">
        <f t="shared" si="1"/>
        <v>일</v>
      </c>
      <c r="H1" s="36" t="str">
        <f t="shared" si="1"/>
        <v>월</v>
      </c>
      <c r="I1" s="36" t="str">
        <f t="shared" si="1"/>
        <v>화</v>
      </c>
      <c r="J1" s="36" t="str">
        <f t="shared" si="1"/>
        <v>수</v>
      </c>
      <c r="K1" s="36" t="str">
        <f t="shared" si="1"/>
        <v>목</v>
      </c>
      <c r="L1" s="36" t="str">
        <f t="shared" si="1"/>
        <v>금</v>
      </c>
      <c r="M1" s="36" t="str">
        <f t="shared" si="1"/>
        <v>토</v>
      </c>
      <c r="N1" s="36" t="str">
        <f t="shared" si="1"/>
        <v>일</v>
      </c>
      <c r="O1" s="36" t="str">
        <f t="shared" si="1"/>
        <v>월</v>
      </c>
      <c r="P1" s="36" t="str">
        <f t="shared" si="1"/>
        <v>화</v>
      </c>
      <c r="Q1" s="36" t="str">
        <f t="shared" si="1"/>
        <v>수</v>
      </c>
      <c r="R1" s="36" t="str">
        <f t="shared" si="1"/>
        <v>목</v>
      </c>
      <c r="S1" s="36" t="str">
        <f t="shared" si="1"/>
        <v>금</v>
      </c>
      <c r="T1" s="36" t="str">
        <f t="shared" si="1"/>
        <v>토</v>
      </c>
      <c r="U1" s="36" t="str">
        <f t="shared" si="1"/>
        <v>일</v>
      </c>
      <c r="V1" s="36" t="str">
        <f t="shared" si="1"/>
        <v>월</v>
      </c>
      <c r="W1" s="36" t="str">
        <f t="shared" si="1"/>
        <v>화</v>
      </c>
      <c r="X1" s="36" t="str">
        <f t="shared" si="1"/>
        <v>수</v>
      </c>
      <c r="Y1" s="36" t="str">
        <f t="shared" si="1"/>
        <v>목</v>
      </c>
      <c r="Z1" s="36" t="str">
        <f t="shared" si="1"/>
        <v>금</v>
      </c>
      <c r="AA1" s="36" t="str">
        <f t="shared" si="1"/>
        <v>토</v>
      </c>
      <c r="AB1" s="36" t="str">
        <f t="shared" si="1"/>
        <v>일</v>
      </c>
      <c r="AC1" s="36" t="str">
        <f t="shared" si="1"/>
        <v>월</v>
      </c>
      <c r="AD1" s="36" t="str">
        <f t="shared" si="1"/>
        <v>화</v>
      </c>
      <c r="AE1" s="36" t="str">
        <f t="shared" si="1"/>
        <v>수</v>
      </c>
      <c r="AF1" s="36" t="str">
        <f t="shared" si="1"/>
        <v>목</v>
      </c>
      <c r="AG1" s="36" t="str">
        <f t="shared" si="1"/>
        <v>금</v>
      </c>
      <c r="AH1" s="36" t="str">
        <f t="shared" si="1"/>
        <v>토</v>
      </c>
      <c r="AI1" s="36" t="str">
        <f t="shared" si="1"/>
        <v>일</v>
      </c>
      <c r="AJ1" s="36" t="str">
        <f t="shared" si="1"/>
        <v>월</v>
      </c>
      <c r="AK1" s="36" t="str">
        <f t="shared" si="1"/>
        <v>화</v>
      </c>
      <c r="AL1" s="36" t="str">
        <f t="shared" si="1"/>
        <v>수</v>
      </c>
      <c r="AM1" s="36" t="str">
        <f t="shared" si="1"/>
        <v>목</v>
      </c>
      <c r="AN1" s="36" t="str">
        <f t="shared" si="1"/>
        <v>금</v>
      </c>
      <c r="AO1" s="36" t="str">
        <f t="shared" si="1"/>
        <v>토</v>
      </c>
      <c r="AP1" s="36" t="str">
        <f t="shared" si="1"/>
        <v>일</v>
      </c>
      <c r="AQ1" s="36" t="str">
        <f t="shared" si="1"/>
        <v>월</v>
      </c>
      <c r="AR1" s="36" t="str">
        <f t="shared" si="1"/>
        <v>화</v>
      </c>
      <c r="AS1" s="36" t="str">
        <f t="shared" si="1"/>
        <v>수</v>
      </c>
      <c r="AT1" s="36" t="str">
        <f t="shared" si="1"/>
        <v>목</v>
      </c>
      <c r="AU1" s="36" t="str">
        <f t="shared" si="1"/>
        <v>금</v>
      </c>
      <c r="AV1" s="36" t="str">
        <f t="shared" si="1"/>
        <v>토</v>
      </c>
      <c r="AW1" s="36" t="str">
        <f t="shared" si="1"/>
        <v>일</v>
      </c>
      <c r="AX1" s="36" t="str">
        <f t="shared" si="1"/>
        <v>월</v>
      </c>
      <c r="AY1" s="36" t="str">
        <f t="shared" si="1"/>
        <v>화</v>
      </c>
      <c r="AZ1" s="36" t="str">
        <f t="shared" si="1"/>
        <v>수</v>
      </c>
      <c r="BA1" s="36" t="str">
        <f t="shared" si="1"/>
        <v>목</v>
      </c>
      <c r="BB1" s="36" t="str">
        <f t="shared" si="1"/>
        <v>금</v>
      </c>
      <c r="BC1" s="36" t="str">
        <f t="shared" si="1"/>
        <v>토</v>
      </c>
      <c r="BD1" s="36" t="str">
        <f t="shared" si="1"/>
        <v>일</v>
      </c>
      <c r="BE1" s="36" t="str">
        <f t="shared" si="1"/>
        <v>월</v>
      </c>
      <c r="BF1" s="36" t="str">
        <f t="shared" si="1"/>
        <v>화</v>
      </c>
      <c r="BG1" s="36" t="str">
        <f t="shared" si="1"/>
        <v>수</v>
      </c>
      <c r="BH1" s="36" t="str">
        <f t="shared" si="1"/>
        <v>목</v>
      </c>
      <c r="BI1" s="36" t="str">
        <f t="shared" si="1"/>
        <v>금</v>
      </c>
      <c r="BJ1" s="36" t="str">
        <f t="shared" si="1"/>
        <v>토</v>
      </c>
      <c r="BK1" s="36" t="str">
        <f t="shared" si="1"/>
        <v>일</v>
      </c>
      <c r="BL1" s="36" t="str">
        <f t="shared" si="1"/>
        <v>월</v>
      </c>
      <c r="BM1" s="36" t="str">
        <f t="shared" si="1"/>
        <v>화</v>
      </c>
      <c r="BN1" s="36" t="str">
        <f t="shared" si="1"/>
        <v>수</v>
      </c>
      <c r="BO1" s="36" t="str">
        <f t="shared" si="1"/>
        <v>목</v>
      </c>
      <c r="BP1" s="36" t="str">
        <f t="shared" si="1"/>
        <v>금</v>
      </c>
      <c r="BQ1" s="36" t="str">
        <f t="shared" si="1"/>
        <v>토</v>
      </c>
      <c r="BR1" s="36" t="str">
        <f t="shared" si="1"/>
        <v>일</v>
      </c>
      <c r="BS1" s="36" t="str">
        <f t="shared" si="1"/>
        <v>월</v>
      </c>
      <c r="BT1" s="36" t="str">
        <f t="shared" si="1"/>
        <v>화</v>
      </c>
      <c r="BU1" s="36" t="str">
        <f t="shared" si="1"/>
        <v>수</v>
      </c>
      <c r="BV1" s="36" t="str">
        <f t="shared" si="1"/>
        <v>목</v>
      </c>
      <c r="BW1" s="36" t="str">
        <f t="shared" si="1"/>
        <v>금</v>
      </c>
      <c r="BX1" s="36" t="str">
        <f t="shared" si="1"/>
        <v>토</v>
      </c>
      <c r="BY1" s="36" t="str">
        <f t="shared" si="1"/>
        <v>일</v>
      </c>
      <c r="BZ1" s="36" t="str">
        <f t="shared" si="1"/>
        <v>월</v>
      </c>
      <c r="CA1" s="36" t="str">
        <f t="shared" si="1"/>
        <v>화</v>
      </c>
      <c r="CB1" s="36" t="str">
        <f t="shared" si="1"/>
        <v>수</v>
      </c>
      <c r="CC1" s="36" t="str">
        <f t="shared" si="1"/>
        <v>목</v>
      </c>
      <c r="CD1" s="36" t="str">
        <f t="shared" si="1"/>
        <v>금</v>
      </c>
      <c r="CE1" s="36" t="str">
        <f t="shared" si="1"/>
        <v>토</v>
      </c>
      <c r="CF1" s="36" t="str">
        <f t="shared" si="1"/>
        <v>일</v>
      </c>
      <c r="CG1" s="36" t="str">
        <f t="shared" si="1"/>
        <v>월</v>
      </c>
      <c r="CH1" s="36" t="str">
        <f t="shared" si="1"/>
        <v>화</v>
      </c>
      <c r="CI1" s="36" t="str">
        <f t="shared" si="1"/>
        <v>수</v>
      </c>
      <c r="CJ1" s="36" t="str">
        <f t="shared" si="1"/>
        <v>목</v>
      </c>
      <c r="CK1" s="36" t="str">
        <f t="shared" si="1"/>
        <v>금</v>
      </c>
      <c r="CL1" s="36" t="str">
        <f t="shared" si="1"/>
        <v>토</v>
      </c>
      <c r="CM1" s="36" t="str">
        <f t="shared" si="1"/>
        <v>일</v>
      </c>
      <c r="CN1" s="36" t="str">
        <f t="shared" si="1"/>
        <v>월</v>
      </c>
      <c r="CO1" s="36" t="str">
        <f t="shared" si="1"/>
        <v>화</v>
      </c>
    </row>
    <row r="2" ht="22.5" customHeight="1">
      <c r="A2" s="123"/>
      <c r="B2" s="7" t="s">
        <v>3</v>
      </c>
      <c r="C2" s="35" t="s">
        <v>61</v>
      </c>
      <c r="D2" s="40">
        <v>46023.0</v>
      </c>
      <c r="E2" s="40">
        <f t="shared" ref="E2:CO2" si="2">D2+1</f>
        <v>46024</v>
      </c>
      <c r="F2" s="40">
        <f t="shared" si="2"/>
        <v>46025</v>
      </c>
      <c r="G2" s="40">
        <f t="shared" si="2"/>
        <v>46026</v>
      </c>
      <c r="H2" s="40">
        <f t="shared" si="2"/>
        <v>46027</v>
      </c>
      <c r="I2" s="40">
        <f t="shared" si="2"/>
        <v>46028</v>
      </c>
      <c r="J2" s="40">
        <f t="shared" si="2"/>
        <v>46029</v>
      </c>
      <c r="K2" s="40">
        <f t="shared" si="2"/>
        <v>46030</v>
      </c>
      <c r="L2" s="40">
        <f t="shared" si="2"/>
        <v>46031</v>
      </c>
      <c r="M2" s="40">
        <f t="shared" si="2"/>
        <v>46032</v>
      </c>
      <c r="N2" s="40">
        <f t="shared" si="2"/>
        <v>46033</v>
      </c>
      <c r="O2" s="40">
        <f t="shared" si="2"/>
        <v>46034</v>
      </c>
      <c r="P2" s="40">
        <f t="shared" si="2"/>
        <v>46035</v>
      </c>
      <c r="Q2" s="40">
        <f t="shared" si="2"/>
        <v>46036</v>
      </c>
      <c r="R2" s="40">
        <f t="shared" si="2"/>
        <v>46037</v>
      </c>
      <c r="S2" s="40">
        <f t="shared" si="2"/>
        <v>46038</v>
      </c>
      <c r="T2" s="40">
        <f t="shared" si="2"/>
        <v>46039</v>
      </c>
      <c r="U2" s="40">
        <f t="shared" si="2"/>
        <v>46040</v>
      </c>
      <c r="V2" s="40">
        <f t="shared" si="2"/>
        <v>46041</v>
      </c>
      <c r="W2" s="40">
        <f t="shared" si="2"/>
        <v>46042</v>
      </c>
      <c r="X2" s="40">
        <f t="shared" si="2"/>
        <v>46043</v>
      </c>
      <c r="Y2" s="40">
        <f t="shared" si="2"/>
        <v>46044</v>
      </c>
      <c r="Z2" s="40">
        <f t="shared" si="2"/>
        <v>46045</v>
      </c>
      <c r="AA2" s="40">
        <f t="shared" si="2"/>
        <v>46046</v>
      </c>
      <c r="AB2" s="40">
        <f t="shared" si="2"/>
        <v>46047</v>
      </c>
      <c r="AC2" s="40">
        <f t="shared" si="2"/>
        <v>46048</v>
      </c>
      <c r="AD2" s="40">
        <f t="shared" si="2"/>
        <v>46049</v>
      </c>
      <c r="AE2" s="40">
        <f t="shared" si="2"/>
        <v>46050</v>
      </c>
      <c r="AF2" s="40">
        <f t="shared" si="2"/>
        <v>46051</v>
      </c>
      <c r="AG2" s="40">
        <f t="shared" si="2"/>
        <v>46052</v>
      </c>
      <c r="AH2" s="40">
        <f t="shared" si="2"/>
        <v>46053</v>
      </c>
      <c r="AI2" s="40">
        <f t="shared" si="2"/>
        <v>46054</v>
      </c>
      <c r="AJ2" s="40">
        <f t="shared" si="2"/>
        <v>46055</v>
      </c>
      <c r="AK2" s="40">
        <f t="shared" si="2"/>
        <v>46056</v>
      </c>
      <c r="AL2" s="40">
        <f t="shared" si="2"/>
        <v>46057</v>
      </c>
      <c r="AM2" s="40">
        <f t="shared" si="2"/>
        <v>46058</v>
      </c>
      <c r="AN2" s="40">
        <f t="shared" si="2"/>
        <v>46059</v>
      </c>
      <c r="AO2" s="40">
        <f t="shared" si="2"/>
        <v>46060</v>
      </c>
      <c r="AP2" s="40">
        <f t="shared" si="2"/>
        <v>46061</v>
      </c>
      <c r="AQ2" s="40">
        <f t="shared" si="2"/>
        <v>46062</v>
      </c>
      <c r="AR2" s="40">
        <f t="shared" si="2"/>
        <v>46063</v>
      </c>
      <c r="AS2" s="40">
        <f t="shared" si="2"/>
        <v>46064</v>
      </c>
      <c r="AT2" s="40">
        <f t="shared" si="2"/>
        <v>46065</v>
      </c>
      <c r="AU2" s="40">
        <f t="shared" si="2"/>
        <v>46066</v>
      </c>
      <c r="AV2" s="40">
        <f t="shared" si="2"/>
        <v>46067</v>
      </c>
      <c r="AW2" s="40">
        <f t="shared" si="2"/>
        <v>46068</v>
      </c>
      <c r="AX2" s="40">
        <f t="shared" si="2"/>
        <v>46069</v>
      </c>
      <c r="AY2" s="40">
        <f t="shared" si="2"/>
        <v>46070</v>
      </c>
      <c r="AZ2" s="40">
        <f t="shared" si="2"/>
        <v>46071</v>
      </c>
      <c r="BA2" s="40">
        <f t="shared" si="2"/>
        <v>46072</v>
      </c>
      <c r="BB2" s="40">
        <f t="shared" si="2"/>
        <v>46073</v>
      </c>
      <c r="BC2" s="40">
        <f t="shared" si="2"/>
        <v>46074</v>
      </c>
      <c r="BD2" s="40">
        <f t="shared" si="2"/>
        <v>46075</v>
      </c>
      <c r="BE2" s="40">
        <f t="shared" si="2"/>
        <v>46076</v>
      </c>
      <c r="BF2" s="40">
        <f t="shared" si="2"/>
        <v>46077</v>
      </c>
      <c r="BG2" s="40">
        <f t="shared" si="2"/>
        <v>46078</v>
      </c>
      <c r="BH2" s="40">
        <f t="shared" si="2"/>
        <v>46079</v>
      </c>
      <c r="BI2" s="40">
        <f t="shared" si="2"/>
        <v>46080</v>
      </c>
      <c r="BJ2" s="40">
        <f t="shared" si="2"/>
        <v>46081</v>
      </c>
      <c r="BK2" s="40">
        <f t="shared" si="2"/>
        <v>46082</v>
      </c>
      <c r="BL2" s="40">
        <f t="shared" si="2"/>
        <v>46083</v>
      </c>
      <c r="BM2" s="40">
        <f t="shared" si="2"/>
        <v>46084</v>
      </c>
      <c r="BN2" s="40">
        <f t="shared" si="2"/>
        <v>46085</v>
      </c>
      <c r="BO2" s="40">
        <f t="shared" si="2"/>
        <v>46086</v>
      </c>
      <c r="BP2" s="40">
        <f t="shared" si="2"/>
        <v>46087</v>
      </c>
      <c r="BQ2" s="40">
        <f t="shared" si="2"/>
        <v>46088</v>
      </c>
      <c r="BR2" s="40">
        <f t="shared" si="2"/>
        <v>46089</v>
      </c>
      <c r="BS2" s="40">
        <f t="shared" si="2"/>
        <v>46090</v>
      </c>
      <c r="BT2" s="40">
        <f t="shared" si="2"/>
        <v>46091</v>
      </c>
      <c r="BU2" s="40">
        <f t="shared" si="2"/>
        <v>46092</v>
      </c>
      <c r="BV2" s="40">
        <f t="shared" si="2"/>
        <v>46093</v>
      </c>
      <c r="BW2" s="40">
        <f t="shared" si="2"/>
        <v>46094</v>
      </c>
      <c r="BX2" s="40">
        <f t="shared" si="2"/>
        <v>46095</v>
      </c>
      <c r="BY2" s="40">
        <f t="shared" si="2"/>
        <v>46096</v>
      </c>
      <c r="BZ2" s="40">
        <f t="shared" si="2"/>
        <v>46097</v>
      </c>
      <c r="CA2" s="40">
        <f t="shared" si="2"/>
        <v>46098</v>
      </c>
      <c r="CB2" s="40">
        <f t="shared" si="2"/>
        <v>46099</v>
      </c>
      <c r="CC2" s="40">
        <f t="shared" si="2"/>
        <v>46100</v>
      </c>
      <c r="CD2" s="40">
        <f t="shared" si="2"/>
        <v>46101</v>
      </c>
      <c r="CE2" s="40">
        <f t="shared" si="2"/>
        <v>46102</v>
      </c>
      <c r="CF2" s="40">
        <f t="shared" si="2"/>
        <v>46103</v>
      </c>
      <c r="CG2" s="40">
        <f t="shared" si="2"/>
        <v>46104</v>
      </c>
      <c r="CH2" s="40">
        <f t="shared" si="2"/>
        <v>46105</v>
      </c>
      <c r="CI2" s="40">
        <f t="shared" si="2"/>
        <v>46106</v>
      </c>
      <c r="CJ2" s="40">
        <f t="shared" si="2"/>
        <v>46107</v>
      </c>
      <c r="CK2" s="40">
        <f t="shared" si="2"/>
        <v>46108</v>
      </c>
      <c r="CL2" s="40">
        <f t="shared" si="2"/>
        <v>46109</v>
      </c>
      <c r="CM2" s="40">
        <f t="shared" si="2"/>
        <v>46110</v>
      </c>
      <c r="CN2" s="40">
        <f t="shared" si="2"/>
        <v>46111</v>
      </c>
      <c r="CO2" s="40">
        <f t="shared" si="2"/>
        <v>46112</v>
      </c>
    </row>
    <row r="3" ht="18.75" customHeight="1">
      <c r="A3" s="124"/>
      <c r="B3" s="11" t="s">
        <v>10</v>
      </c>
      <c r="C3" s="12" t="s">
        <v>139</v>
      </c>
      <c r="D3" s="90">
        <f t="array" ref="D3">LET(val, IFERROR(INDEX('Daily 사주 raw'!$A:$ZZ, MATCH(D$2, 'Daily 사주 raw'!$A:$A, 0), MATCH($B3, 'Daily 사주 raw'!$1:$1, 0)), 0), IF(val=0, "", val))</f>
        <v>0.275862069</v>
      </c>
      <c r="E3" s="90">
        <f t="array" ref="E3">LET(val, IFERROR(INDEX('Daily 사주 raw'!$A:$ZZ, MATCH(E$2, 'Daily 사주 raw'!$A:$A, 0), MATCH($B3, 'Daily 사주 raw'!$1:$1, 0)), 0), IF(val=0, "", val))</f>
        <v>0.25</v>
      </c>
      <c r="F3" s="90">
        <f t="array" ref="F3">LET(val, IFERROR(INDEX('Daily 사주 raw'!$A:$ZZ, MATCH(F$2, 'Daily 사주 raw'!$A:$A, 0), MATCH($B3, 'Daily 사주 raw'!$1:$1, 0)), 0), IF(val=0, "", val))</f>
        <v>0.4444444444</v>
      </c>
      <c r="G3" s="90">
        <f t="array" ref="G3">LET(val, IFERROR(INDEX('Daily 사주 raw'!$A:$ZZ, MATCH(G$2, 'Daily 사주 raw'!$A:$A, 0), MATCH($B3, 'Daily 사주 raw'!$1:$1, 0)), 0), IF(val=0, "", val))</f>
        <v>0.5</v>
      </c>
      <c r="H3" s="90">
        <f t="array" ref="H3">LET(val, IFERROR(INDEX('Daily 사주 raw'!$A:$ZZ, MATCH(H$2, 'Daily 사주 raw'!$A:$A, 0), MATCH($B3, 'Daily 사주 raw'!$1:$1, 0)), 0), IF(val=0, "", val))</f>
        <v>0.5</v>
      </c>
      <c r="I3" s="90">
        <f t="array" ref="I3">LET(val, IFERROR(INDEX('Daily 사주 raw'!$A:$ZZ, MATCH(I$2, 'Daily 사주 raw'!$A:$A, 0), MATCH($B3, 'Daily 사주 raw'!$1:$1, 0)), 0), IF(val=0, "", val))</f>
        <v>0.2666666667</v>
      </c>
      <c r="J3" s="90">
        <f t="array" ref="J3">LET(val, IFERROR(INDEX('Daily 사주 raw'!$A:$ZZ, MATCH(J$2, 'Daily 사주 raw'!$A:$A, 0), MATCH($B3, 'Daily 사주 raw'!$1:$1, 0)), 0), IF(val=0, "", val))</f>
        <v>0.2727272727</v>
      </c>
      <c r="K3" s="90">
        <f t="array" ref="K3">LET(val, IFERROR(INDEX('Daily 사주 raw'!$A:$ZZ, MATCH(K$2, 'Daily 사주 raw'!$A:$A, 0), MATCH($B3, 'Daily 사주 raw'!$1:$1, 0)), 0), IF(val=0, "", val))</f>
        <v>0.53125</v>
      </c>
      <c r="L3" s="90">
        <f t="array" ref="L3">LET(val, IFERROR(INDEX('Daily 사주 raw'!$A:$ZZ, MATCH(L$2, 'Daily 사주 raw'!$A:$A, 0), MATCH($B3, 'Daily 사주 raw'!$1:$1, 0)), 0), IF(val=0, "", val))</f>
        <v>0.2857142857</v>
      </c>
      <c r="M3" s="90">
        <f t="array" ref="M3">LET(val, IFERROR(INDEX('Daily 사주 raw'!$A:$ZZ, MATCH(M$2, 'Daily 사주 raw'!$A:$A, 0), MATCH($B3, 'Daily 사주 raw'!$1:$1, 0)), 0), IF(val=0, "", val))</f>
        <v>0.2745098039</v>
      </c>
      <c r="N3" s="90">
        <f t="array" ref="N3">LET(val, IFERROR(INDEX('Daily 사주 raw'!$A:$ZZ, MATCH(N$2, 'Daily 사주 raw'!$A:$A, 0), MATCH($B3, 'Daily 사주 raw'!$1:$1, 0)), 0), IF(val=0, "", val))</f>
        <v>0.3</v>
      </c>
      <c r="O3" s="90">
        <f t="array" ref="O3">LET(val, IFERROR(INDEX('Daily 사주 raw'!$A:$ZZ, MATCH(O$2, 'Daily 사주 raw'!$A:$A, 0), MATCH($B3, 'Daily 사주 raw'!$1:$1, 0)), 0), IF(val=0, "", val))</f>
        <v>0.3255813953</v>
      </c>
      <c r="P3" s="90">
        <f t="array" ref="P3">LET(val, IFERROR(INDEX('Daily 사주 raw'!$A:$ZZ, MATCH(P$2, 'Daily 사주 raw'!$A:$A, 0), MATCH($B3, 'Daily 사주 raw'!$1:$1, 0)), 0), IF(val=0, "", val))</f>
        <v>0.2093023256</v>
      </c>
      <c r="Q3" s="90">
        <f t="array" ref="Q3">LET(val, IFERROR(INDEX('Daily 사주 raw'!$A:$ZZ, MATCH(Q$2, 'Daily 사주 raw'!$A:$A, 0), MATCH($B3, 'Daily 사주 raw'!$1:$1, 0)), 0), IF(val=0, "", val))</f>
        <v>0.3409090909</v>
      </c>
      <c r="R3" s="90">
        <f t="array" ref="R3">LET(val, IFERROR(INDEX('Daily 사주 raw'!$A:$ZZ, MATCH(R$2, 'Daily 사주 raw'!$A:$A, 0), MATCH($B3, 'Daily 사주 raw'!$1:$1, 0)), 0), IF(val=0, "", val))</f>
        <v>0.487804878</v>
      </c>
      <c r="S3" s="90">
        <f t="array" ref="S3">LET(val, IFERROR(INDEX('Daily 사주 raw'!$A:$ZZ, MATCH(S$2, 'Daily 사주 raw'!$A:$A, 0), MATCH($B3, 'Daily 사주 raw'!$1:$1, 0)), 0), IF(val=0, "", val))</f>
        <v>0.3548387097</v>
      </c>
      <c r="T3" s="90">
        <f t="array" ref="T3">LET(val, IFERROR(INDEX('Daily 사주 raw'!$A:$ZZ, MATCH(T$2, 'Daily 사주 raw'!$A:$A, 0), MATCH($B3, 'Daily 사주 raw'!$1:$1, 0)), 0), IF(val=0, "", val))</f>
        <v>0.328125</v>
      </c>
      <c r="U3" s="90">
        <f t="array" ref="U3">LET(val, IFERROR(INDEX('Daily 사주 raw'!$A:$ZZ, MATCH(U$2, 'Daily 사주 raw'!$A:$A, 0), MATCH($B3, 'Daily 사주 raw'!$1:$1, 0)), 0), IF(val=0, "", val))</f>
        <v>0.4444444444</v>
      </c>
      <c r="V3" s="90">
        <f t="array" ref="V3">LET(val, IFERROR(INDEX('Daily 사주 raw'!$A:$ZZ, MATCH(V$2, 'Daily 사주 raw'!$A:$A, 0), MATCH($B3, 'Daily 사주 raw'!$1:$1, 0)), 0), IF(val=0, "", val))</f>
        <v>0.2678571429</v>
      </c>
      <c r="W3" s="90">
        <f t="array" ref="W3">LET(val, IFERROR(INDEX('Daily 사주 raw'!$A:$ZZ, MATCH(W$2, 'Daily 사주 raw'!$A:$A, 0), MATCH($B3, 'Daily 사주 raw'!$1:$1, 0)), 0), IF(val=0, "", val))</f>
        <v>0.3188405797</v>
      </c>
      <c r="X3" s="90">
        <f t="array" ref="X3">LET(val, IFERROR(INDEX('Daily 사주 raw'!$A:$ZZ, MATCH(X$2, 'Daily 사주 raw'!$A:$A, 0), MATCH($B3, 'Daily 사주 raw'!$1:$1, 0)), 0), IF(val=0, "", val))</f>
        <v>0.3023255814</v>
      </c>
      <c r="Y3" s="90">
        <f t="array" ref="Y3">LET(val, IFERROR(INDEX('Daily 사주 raw'!$A:$ZZ, MATCH(Y$2, 'Daily 사주 raw'!$A:$A, 0), MATCH($B3, 'Daily 사주 raw'!$1:$1, 0)), 0), IF(val=0, "", val))</f>
        <v>0.380952381</v>
      </c>
      <c r="Z3" s="90">
        <f t="array" ref="Z3">LET(val, IFERROR(INDEX('Daily 사주 raw'!$A:$ZZ, MATCH(Z$2, 'Daily 사주 raw'!$A:$A, 0), MATCH($B3, 'Daily 사주 raw'!$1:$1, 0)), 0), IF(val=0, "", val))</f>
        <v>0.3</v>
      </c>
      <c r="AA3" s="90">
        <f t="array" ref="AA3">LET(val, IFERROR(INDEX('Daily 사주 raw'!$A:$ZZ, MATCH(AA$2, 'Daily 사주 raw'!$A:$A, 0), MATCH($B3, 'Daily 사주 raw'!$1:$1, 0)), 0), IF(val=0, "", val))</f>
        <v>0.1739130435</v>
      </c>
      <c r="AB3" s="90">
        <f t="array" ref="AB3">LET(val, IFERROR(INDEX('Daily 사주 raw'!$A:$ZZ, MATCH(AB$2, 'Daily 사주 raw'!$A:$A, 0), MATCH($B3, 'Daily 사주 raw'!$1:$1, 0)), 0), IF(val=0, "", val))</f>
        <v>0.2045454545</v>
      </c>
      <c r="AC3" s="90">
        <f t="array" ref="AC3">LET(val, IFERROR(INDEX('Daily 사주 raw'!$A:$ZZ, MATCH(AC$2, 'Daily 사주 raw'!$A:$A, 0), MATCH($B3, 'Daily 사주 raw'!$1:$1, 0)), 0), IF(val=0, "", val))</f>
        <v>0.2</v>
      </c>
      <c r="AD3" s="90">
        <f t="array" ref="AD3">LET(val, IFERROR(INDEX('Daily 사주 raw'!$A:$ZZ, MATCH(AD$2, 'Daily 사주 raw'!$A:$A, 0), MATCH($B3, 'Daily 사주 raw'!$1:$1, 0)), 0), IF(val=0, "", val))</f>
        <v>0.2058823529</v>
      </c>
      <c r="AE3" s="90">
        <f t="array" ref="AE3">LET(val, IFERROR(INDEX('Daily 사주 raw'!$A:$ZZ, MATCH(AE$2, 'Daily 사주 raw'!$A:$A, 0), MATCH($B3, 'Daily 사주 raw'!$1:$1, 0)), 0), IF(val=0, "", val))</f>
        <v>0.2903225806</v>
      </c>
      <c r="AF3" s="90">
        <f t="array" ref="AF3">LET(val, IFERROR(INDEX('Daily 사주 raw'!$A:$ZZ, MATCH(AF$2, 'Daily 사주 raw'!$A:$A, 0), MATCH($B3, 'Daily 사주 raw'!$1:$1, 0)), 0), IF(val=0, "", val))</f>
        <v>0.3396226415</v>
      </c>
      <c r="AG3" s="90">
        <f t="array" ref="AG3">LET(val, IFERROR(INDEX('Daily 사주 raw'!$A:$ZZ, MATCH(AG$2, 'Daily 사주 raw'!$A:$A, 0), MATCH($B3, 'Daily 사주 raw'!$1:$1, 0)), 0), IF(val=0, "", val))</f>
        <v>0.1136363636</v>
      </c>
      <c r="AH3" s="90">
        <f t="array" ref="AH3">LET(val, IFERROR(INDEX('Daily 사주 raw'!$A:$ZZ, MATCH(AH$2, 'Daily 사주 raw'!$A:$A, 0), MATCH($B3, 'Daily 사주 raw'!$1:$1, 0)), 0), IF(val=0, "", val))</f>
        <v>0.1836734694</v>
      </c>
      <c r="AI3" s="90">
        <f t="array" ref="AI3">LET(val, IFERROR(INDEX('Daily 사주 raw'!$A:$ZZ, MATCH(AI$2, 'Daily 사주 raw'!$A:$A, 0), MATCH($B3, 'Daily 사주 raw'!$1:$1, 0)), 0), IF(val=0, "", val))</f>
        <v>0.4444444444</v>
      </c>
      <c r="AJ3" s="90">
        <f t="array" ref="AJ3">LET(val, IFERROR(INDEX('Daily 사주 raw'!$A:$ZZ, MATCH(AJ$2, 'Daily 사주 raw'!$A:$A, 0), MATCH($B3, 'Daily 사주 raw'!$1:$1, 0)), 0), IF(val=0, "", val))</f>
        <v>0.3488372093</v>
      </c>
      <c r="AK3" s="90">
        <f t="array" ref="AK3">LET(val, IFERROR(INDEX('Daily 사주 raw'!$A:$ZZ, MATCH(AK$2, 'Daily 사주 raw'!$A:$A, 0), MATCH($B3, 'Daily 사주 raw'!$1:$1, 0)), 0), IF(val=0, "", val))</f>
        <v>0.2325581395</v>
      </c>
      <c r="AL3" s="90">
        <f t="array" ref="AL3">LET(val, IFERROR(INDEX('Daily 사주 raw'!$A:$ZZ, MATCH(AL$2, 'Daily 사주 raw'!$A:$A, 0), MATCH($B3, 'Daily 사주 raw'!$1:$1, 0)), 0), IF(val=0, "", val))</f>
        <v>0.425</v>
      </c>
      <c r="AM3" s="90">
        <f t="array" ref="AM3">LET(val, IFERROR(INDEX('Daily 사주 raw'!$A:$ZZ, MATCH(AM$2, 'Daily 사주 raw'!$A:$A, 0), MATCH($B3, 'Daily 사주 raw'!$1:$1, 0)), 0), IF(val=0, "", val))</f>
        <v>0.275</v>
      </c>
      <c r="AN3" s="90">
        <f t="array" ref="AN3">LET(val, IFERROR(INDEX('Daily 사주 raw'!$A:$ZZ, MATCH(AN$2, 'Daily 사주 raw'!$A:$A, 0), MATCH($B3, 'Daily 사주 raw'!$1:$1, 0)), 0), IF(val=0, "", val))</f>
        <v>0.2368421053</v>
      </c>
      <c r="AO3" s="90">
        <f t="array" ref="AO3">LET(val, IFERROR(INDEX('Daily 사주 raw'!$A:$ZZ, MATCH(AO$2, 'Daily 사주 raw'!$A:$A, 0), MATCH($B3, 'Daily 사주 raw'!$1:$1, 0)), 0), IF(val=0, "", val))</f>
        <v>0.3157894737</v>
      </c>
      <c r="AP3" s="90">
        <f t="array" ref="AP3">LET(val, IFERROR(INDEX('Daily 사주 raw'!$A:$ZZ, MATCH(AP$2, 'Daily 사주 raw'!$A:$A, 0), MATCH($B3, 'Daily 사주 raw'!$1:$1, 0)), 0), IF(val=0, "", val))</f>
        <v>0.3684210526</v>
      </c>
      <c r="AQ3" s="90">
        <f t="array" ref="AQ3">LET(val, IFERROR(INDEX('Daily 사주 raw'!$A:$ZZ, MATCH(AQ$2, 'Daily 사주 raw'!$A:$A, 0), MATCH($B3, 'Daily 사주 raw'!$1:$1, 0)), 0), IF(val=0, "", val))</f>
        <v>0.1538461538</v>
      </c>
      <c r="AR3" s="90">
        <f t="array" ref="AR3">LET(val, IFERROR(INDEX('Daily 사주 raw'!$A:$ZZ, MATCH(AR$2, 'Daily 사주 raw'!$A:$A, 0), MATCH($B3, 'Daily 사주 raw'!$1:$1, 0)), 0), IF(val=0, "", val))</f>
        <v>0.4210526316</v>
      </c>
      <c r="AS3" s="90">
        <f t="array" ref="AS3">LET(val, IFERROR(INDEX('Daily 사주 raw'!$A:$ZZ, MATCH(AS$2, 'Daily 사주 raw'!$A:$A, 0), MATCH($B3, 'Daily 사주 raw'!$1:$1, 0)), 0), IF(val=0, "", val))</f>
        <v>0.3913043478</v>
      </c>
      <c r="AT3" s="90">
        <f t="array" ref="AT3">LET(val, IFERROR(INDEX('Daily 사주 raw'!$A:$ZZ, MATCH(AT$2, 'Daily 사주 raw'!$A:$A, 0), MATCH($B3, 'Daily 사주 raw'!$1:$1, 0)), 0), IF(val=0, "", val))</f>
        <v>0.4</v>
      </c>
      <c r="AU3" s="90">
        <f t="array" ref="AU3">LET(val, IFERROR(INDEX('Daily 사주 raw'!$A:$ZZ, MATCH(AU$2, 'Daily 사주 raw'!$A:$A, 0), MATCH($B3, 'Daily 사주 raw'!$1:$1, 0)), 0), IF(val=0, "", val))</f>
        <v>0.4375</v>
      </c>
      <c r="AV3" s="90">
        <f t="array" ref="AV3">LET(val, IFERROR(INDEX('Daily 사주 raw'!$A:$ZZ, MATCH(AV$2, 'Daily 사주 raw'!$A:$A, 0), MATCH($B3, 'Daily 사주 raw'!$1:$1, 0)), 0), IF(val=0, "", val))</f>
        <v>0.380952381</v>
      </c>
      <c r="AW3" s="90">
        <f t="array" ref="AW3">LET(val, IFERROR(INDEX('Daily 사주 raw'!$A:$ZZ, MATCH(AW$2, 'Daily 사주 raw'!$A:$A, 0), MATCH($B3, 'Daily 사주 raw'!$1:$1, 0)), 0), IF(val=0, "", val))</f>
        <v>0.25</v>
      </c>
      <c r="AX3" s="90">
        <f t="array" ref="AX3">LET(val, IFERROR(INDEX('Daily 사주 raw'!$A:$ZZ, MATCH(AX$2, 'Daily 사주 raw'!$A:$A, 0), MATCH($B3, 'Daily 사주 raw'!$1:$1, 0)), 0), IF(val=0, "", val))</f>
        <v>0.3636363636</v>
      </c>
      <c r="AY3" s="90">
        <f t="array" ref="AY3">LET(val, IFERROR(INDEX('Daily 사주 raw'!$A:$ZZ, MATCH(AY$2, 'Daily 사주 raw'!$A:$A, 0), MATCH($B3, 'Daily 사주 raw'!$1:$1, 0)), 0), IF(val=0, "", val))</f>
        <v>0.4411764706</v>
      </c>
      <c r="AZ3" s="90">
        <f t="array" ref="AZ3">LET(val, IFERROR(INDEX('Daily 사주 raw'!$A:$ZZ, MATCH(AZ$2, 'Daily 사주 raw'!$A:$A, 0), MATCH($B3, 'Daily 사주 raw'!$1:$1, 0)), 0), IF(val=0, "", val))</f>
        <v>0.2857142857</v>
      </c>
      <c r="BA3" s="90">
        <f t="array" ref="BA3">LET(val, IFERROR(INDEX('Daily 사주 raw'!$A:$ZZ, MATCH(BA$2, 'Daily 사주 raw'!$A:$A, 0), MATCH($B3, 'Daily 사주 raw'!$1:$1, 0)), 0), IF(val=0, "", val))</f>
        <v>0.4545454545</v>
      </c>
      <c r="BB3" s="90">
        <f t="array" ref="BB3">LET(val, IFERROR(INDEX('Daily 사주 raw'!$A:$ZZ, MATCH(BB$2, 'Daily 사주 raw'!$A:$A, 0), MATCH($B3, 'Daily 사주 raw'!$1:$1, 0)), 0), IF(val=0, "", val))</f>
        <v>0.4705882353</v>
      </c>
      <c r="BC3" s="90">
        <f t="array" ref="BC3">LET(val, IFERROR(INDEX('Daily 사주 raw'!$A:$ZZ, MATCH(BC$2, 'Daily 사주 raw'!$A:$A, 0), MATCH($B3, 'Daily 사주 raw'!$1:$1, 0)), 0), IF(val=0, "", val))</f>
        <v>0.3333333333</v>
      </c>
      <c r="BD3" s="90" t="str">
        <f t="array" ref="BD3">LET(val, IFERROR(INDEX('Daily 사주 raw'!$A:$ZZ, MATCH(BD$2, 'Daily 사주 raw'!$A:$A, 0), MATCH($B3, 'Daily 사주 raw'!$1:$1, 0)), 0), IF(val=0, "", val))</f>
        <v/>
      </c>
      <c r="BE3" s="90" t="str">
        <f t="array" ref="BE3">LET(val, IFERROR(INDEX('Daily 사주 raw'!$A:$ZZ, MATCH(BE$2, 'Daily 사주 raw'!$A:$A, 0), MATCH($B3, 'Daily 사주 raw'!$1:$1, 0)), 0), IF(val=0, "", val))</f>
        <v/>
      </c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134"/>
    </row>
    <row r="4" ht="18.75" customHeight="1">
      <c r="A4" s="135"/>
      <c r="B4" s="23" t="s">
        <v>62</v>
      </c>
      <c r="C4" s="136" t="s">
        <v>140</v>
      </c>
      <c r="D4" s="137">
        <f t="array" ref="D4">LET(val, IFERROR(INDEX('Daily 사주 raw'!$A:$ZZ, MATCH(D$2, 'Daily 사주 raw'!$A:$A, 0), MATCH($B4, 'Daily 사주 raw'!$1:$1, 0)), ""), IF(val=0, "", val))</f>
        <v>8</v>
      </c>
      <c r="E4" s="137">
        <f t="array" ref="E4">LET(val, IFERROR(INDEX('Daily 사주 raw'!$A:$ZZ, MATCH(E$2, 'Daily 사주 raw'!$A:$A, 0), MATCH($B4, 'Daily 사주 raw'!$1:$1, 0)), ""), IF(val=0, "", val))</f>
        <v>4</v>
      </c>
      <c r="F4" s="137">
        <f t="array" ref="F4">LET(val, IFERROR(INDEX('Daily 사주 raw'!$A:$ZZ, MATCH(F$2, 'Daily 사주 raw'!$A:$A, 0), MATCH($B4, 'Daily 사주 raw'!$1:$1, 0)), ""), IF(val=0, "", val))</f>
        <v>4</v>
      </c>
      <c r="G4" s="137">
        <f t="array" ref="G4">LET(val, IFERROR(INDEX('Daily 사주 raw'!$A:$ZZ, MATCH(G$2, 'Daily 사주 raw'!$A:$A, 0), MATCH($B4, 'Daily 사주 raw'!$1:$1, 0)), ""), IF(val=0, "", val))</f>
        <v>3</v>
      </c>
      <c r="H4" s="137">
        <f t="array" ref="H4">LET(val, IFERROR(INDEX('Daily 사주 raw'!$A:$ZZ, MATCH(H$2, 'Daily 사주 raw'!$A:$A, 0), MATCH($B4, 'Daily 사주 raw'!$1:$1, 0)), ""), IF(val=0, "", val))</f>
        <v>6</v>
      </c>
      <c r="I4" s="137">
        <f t="array" ref="I4">LET(val, IFERROR(INDEX('Daily 사주 raw'!$A:$ZZ, MATCH(I$2, 'Daily 사주 raw'!$A:$A, 0), MATCH($B4, 'Daily 사주 raw'!$1:$1, 0)), ""), IF(val=0, "", val))</f>
        <v>4</v>
      </c>
      <c r="J4" s="137">
        <f t="array" ref="J4">LET(val, IFERROR(INDEX('Daily 사주 raw'!$A:$ZZ, MATCH(J$2, 'Daily 사주 raw'!$A:$A, 0), MATCH($B4, 'Daily 사주 raw'!$1:$1, 0)), ""), IF(val=0, "", val))</f>
        <v>3</v>
      </c>
      <c r="K4" s="137">
        <f t="array" ref="K4">LET(val, IFERROR(INDEX('Daily 사주 raw'!$A:$ZZ, MATCH(K$2, 'Daily 사주 raw'!$A:$A, 0), MATCH($B4, 'Daily 사주 raw'!$1:$1, 0)), ""), IF(val=0, "", val))</f>
        <v>17</v>
      </c>
      <c r="L4" s="137">
        <f t="array" ref="L4">LET(val, IFERROR(INDEX('Daily 사주 raw'!$A:$ZZ, MATCH(L$2, 'Daily 사주 raw'!$A:$A, 0), MATCH($B4, 'Daily 사주 raw'!$1:$1, 0)), ""), IF(val=0, "", val))</f>
        <v>12</v>
      </c>
      <c r="M4" s="137">
        <f t="array" ref="M4">LET(val, IFERROR(INDEX('Daily 사주 raw'!$A:$ZZ, MATCH(M$2, 'Daily 사주 raw'!$A:$A, 0), MATCH($B4, 'Daily 사주 raw'!$1:$1, 0)), ""), IF(val=0, "", val))</f>
        <v>14</v>
      </c>
      <c r="N4" s="137">
        <f t="array" ref="N4">LET(val, IFERROR(INDEX('Daily 사주 raw'!$A:$ZZ, MATCH(N$2, 'Daily 사주 raw'!$A:$A, 0), MATCH($B4, 'Daily 사주 raw'!$1:$1, 0)), ""), IF(val=0, "", val))</f>
        <v>12</v>
      </c>
      <c r="O4" s="137">
        <f t="array" ref="O4">LET(val, IFERROR(INDEX('Daily 사주 raw'!$A:$ZZ, MATCH(O$2, 'Daily 사주 raw'!$A:$A, 0), MATCH($B4, 'Daily 사주 raw'!$1:$1, 0)), ""), IF(val=0, "", val))</f>
        <v>14</v>
      </c>
      <c r="P4" s="137">
        <f t="array" ref="P4">LET(val, IFERROR(INDEX('Daily 사주 raw'!$A:$ZZ, MATCH(P$2, 'Daily 사주 raw'!$A:$A, 0), MATCH($B4, 'Daily 사주 raw'!$1:$1, 0)), ""), IF(val=0, "", val))</f>
        <v>9</v>
      </c>
      <c r="Q4" s="137">
        <f t="array" ref="Q4">LET(val, IFERROR(INDEX('Daily 사주 raw'!$A:$ZZ, MATCH(Q$2, 'Daily 사주 raw'!$A:$A, 0), MATCH($B4, 'Daily 사주 raw'!$1:$1, 0)), ""), IF(val=0, "", val))</f>
        <v>15</v>
      </c>
      <c r="R4" s="137">
        <f t="array" ref="R4">LET(val, IFERROR(INDEX('Daily 사주 raw'!$A:$ZZ, MATCH(R$2, 'Daily 사주 raw'!$A:$A, 0), MATCH($B4, 'Daily 사주 raw'!$1:$1, 0)), ""), IF(val=0, "", val))</f>
        <v>20</v>
      </c>
      <c r="S4" s="137">
        <f t="array" ref="S4">LET(val, IFERROR(INDEX('Daily 사주 raw'!$A:$ZZ, MATCH(S$2, 'Daily 사주 raw'!$A:$A, 0), MATCH($B4, 'Daily 사주 raw'!$1:$1, 0)), ""), IF(val=0, "", val))</f>
        <v>11</v>
      </c>
      <c r="T4" s="137">
        <f t="array" ref="T4">LET(val, IFERROR(INDEX('Daily 사주 raw'!$A:$ZZ, MATCH(T$2, 'Daily 사주 raw'!$A:$A, 0), MATCH($B4, 'Daily 사주 raw'!$1:$1, 0)), ""), IF(val=0, "", val))</f>
        <v>21</v>
      </c>
      <c r="U4" s="137">
        <f t="array" ref="U4">LET(val, IFERROR(INDEX('Daily 사주 raw'!$A:$ZZ, MATCH(U$2, 'Daily 사주 raw'!$A:$A, 0), MATCH($B4, 'Daily 사주 raw'!$1:$1, 0)), ""), IF(val=0, "", val))</f>
        <v>24</v>
      </c>
      <c r="V4" s="137">
        <f t="array" ref="V4">LET(val, IFERROR(INDEX('Daily 사주 raw'!$A:$ZZ, MATCH(V$2, 'Daily 사주 raw'!$A:$A, 0), MATCH($B4, 'Daily 사주 raw'!$1:$1, 0)), ""), IF(val=0, "", val))</f>
        <v>15</v>
      </c>
      <c r="W4" s="137">
        <f t="array" ref="W4">LET(val, IFERROR(INDEX('Daily 사주 raw'!$A:$ZZ, MATCH(W$2, 'Daily 사주 raw'!$A:$A, 0), MATCH($B4, 'Daily 사주 raw'!$1:$1, 0)), ""), IF(val=0, "", val))</f>
        <v>22</v>
      </c>
      <c r="X4" s="137">
        <f t="array" ref="X4">LET(val, IFERROR(INDEX('Daily 사주 raw'!$A:$ZZ, MATCH(X$2, 'Daily 사주 raw'!$A:$A, 0), MATCH($B4, 'Daily 사주 raw'!$1:$1, 0)), ""), IF(val=0, "", val))</f>
        <v>26</v>
      </c>
      <c r="Y4" s="137">
        <f t="array" ref="Y4">LET(val, IFERROR(INDEX('Daily 사주 raw'!$A:$ZZ, MATCH(Y$2, 'Daily 사주 raw'!$A:$A, 0), MATCH($B4, 'Daily 사주 raw'!$1:$1, 0)), ""), IF(val=0, "", val))</f>
        <v>24</v>
      </c>
      <c r="Z4" s="137">
        <f t="array" ref="Z4">LET(val, IFERROR(INDEX('Daily 사주 raw'!$A:$ZZ, MATCH(Z$2, 'Daily 사주 raw'!$A:$A, 0), MATCH($B4, 'Daily 사주 raw'!$1:$1, 0)), ""), IF(val=0, "", val))</f>
        <v>9</v>
      </c>
      <c r="AA4" s="137">
        <f t="array" ref="AA4">LET(val, IFERROR(INDEX('Daily 사주 raw'!$A:$ZZ, MATCH(AA$2, 'Daily 사주 raw'!$A:$A, 0), MATCH($B4, 'Daily 사주 raw'!$1:$1, 0)), ""), IF(val=0, "", val))</f>
        <v>4</v>
      </c>
      <c r="AB4" s="137">
        <f t="array" ref="AB4">LET(val, IFERROR(INDEX('Daily 사주 raw'!$A:$ZZ, MATCH(AB$2, 'Daily 사주 raw'!$A:$A, 0), MATCH($B4, 'Daily 사주 raw'!$1:$1, 0)), ""), IF(val=0, "", val))</f>
        <v>9</v>
      </c>
      <c r="AC4" s="137">
        <f t="array" ref="AC4">LET(val, IFERROR(INDEX('Daily 사주 raw'!$A:$ZZ, MATCH(AC$2, 'Daily 사주 raw'!$A:$A, 0), MATCH($B4, 'Daily 사주 raw'!$1:$1, 0)), ""), IF(val=0, "", val))</f>
        <v>7</v>
      </c>
      <c r="AD4" s="137">
        <f t="array" ref="AD4">LET(val, IFERROR(INDEX('Daily 사주 raw'!$A:$ZZ, MATCH(AD$2, 'Daily 사주 raw'!$A:$A, 0), MATCH($B4, 'Daily 사주 raw'!$1:$1, 0)), ""), IF(val=0, "", val))</f>
        <v>7</v>
      </c>
      <c r="AE4" s="137">
        <f t="array" ref="AE4">LET(val, IFERROR(INDEX('Daily 사주 raw'!$A:$ZZ, MATCH(AE$2, 'Daily 사주 raw'!$A:$A, 0), MATCH($B4, 'Daily 사주 raw'!$1:$1, 0)), ""), IF(val=0, "", val))</f>
        <v>9</v>
      </c>
      <c r="AF4" s="137">
        <f t="array" ref="AF4">LET(val, IFERROR(INDEX('Daily 사주 raw'!$A:$ZZ, MATCH(AF$2, 'Daily 사주 raw'!$A:$A, 0), MATCH($B4, 'Daily 사주 raw'!$1:$1, 0)), ""), IF(val=0, "", val))</f>
        <v>18</v>
      </c>
      <c r="AG4" s="137">
        <f t="array" ref="AG4">LET(val, IFERROR(INDEX('Daily 사주 raw'!$A:$ZZ, MATCH(AG$2, 'Daily 사주 raw'!$A:$A, 0), MATCH($B4, 'Daily 사주 raw'!$1:$1, 0)), ""), IF(val=0, "", val))</f>
        <v>5</v>
      </c>
      <c r="AH4" s="137">
        <f t="array" ref="AH4">LET(val, IFERROR(INDEX('Daily 사주 raw'!$A:$ZZ, MATCH(AH$2, 'Daily 사주 raw'!$A:$A, 0), MATCH($B4, 'Daily 사주 raw'!$1:$1, 0)), ""), IF(val=0, "", val))</f>
        <v>9</v>
      </c>
      <c r="AI4" s="137">
        <f t="array" ref="AI4">LET(val, IFERROR(INDEX('Daily 사주 raw'!$A:$ZZ, MATCH(AI$2, 'Daily 사주 raw'!$A:$A, 0), MATCH($B4, 'Daily 사주 raw'!$1:$1, 0)), ""), IF(val=0, "", val))</f>
        <v>24</v>
      </c>
      <c r="AJ4" s="137">
        <f t="array" ref="AJ4">LET(val, IFERROR(INDEX('Daily 사주 raw'!$A:$ZZ, MATCH(AJ$2, 'Daily 사주 raw'!$A:$A, 0), MATCH($B4, 'Daily 사주 raw'!$1:$1, 0)), ""), IF(val=0, "", val))</f>
        <v>15</v>
      </c>
      <c r="AK4" s="137">
        <f t="array" ref="AK4">LET(val, IFERROR(INDEX('Daily 사주 raw'!$A:$ZZ, MATCH(AK$2, 'Daily 사주 raw'!$A:$A, 0), MATCH($B4, 'Daily 사주 raw'!$1:$1, 0)), ""), IF(val=0, "", val))</f>
        <v>10</v>
      </c>
      <c r="AL4" s="137">
        <f t="array" ref="AL4">LET(val, IFERROR(INDEX('Daily 사주 raw'!$A:$ZZ, MATCH(AL$2, 'Daily 사주 raw'!$A:$A, 0), MATCH($B4, 'Daily 사주 raw'!$1:$1, 0)), ""), IF(val=0, "", val))</f>
        <v>17</v>
      </c>
      <c r="AM4" s="137">
        <f t="array" ref="AM4">LET(val, IFERROR(INDEX('Daily 사주 raw'!$A:$ZZ, MATCH(AM$2, 'Daily 사주 raw'!$A:$A, 0), MATCH($B4, 'Daily 사주 raw'!$1:$1, 0)), ""), IF(val=0, "", val))</f>
        <v>11</v>
      </c>
      <c r="AN4" s="137">
        <f t="array" ref="AN4">LET(val, IFERROR(INDEX('Daily 사주 raw'!$A:$ZZ, MATCH(AN$2, 'Daily 사주 raw'!$A:$A, 0), MATCH($B4, 'Daily 사주 raw'!$1:$1, 0)), ""), IF(val=0, "", val))</f>
        <v>9</v>
      </c>
      <c r="AO4" s="137">
        <f t="array" ref="AO4">LET(val, IFERROR(INDEX('Daily 사주 raw'!$A:$ZZ, MATCH(AO$2, 'Daily 사주 raw'!$A:$A, 0), MATCH($B4, 'Daily 사주 raw'!$1:$1, 0)), ""), IF(val=0, "", val))</f>
        <v>6</v>
      </c>
      <c r="AP4" s="137">
        <f t="array" ref="AP4">LET(val, IFERROR(INDEX('Daily 사주 raw'!$A:$ZZ, MATCH(AP$2, 'Daily 사주 raw'!$A:$A, 0), MATCH($B4, 'Daily 사주 raw'!$1:$1, 0)), ""), IF(val=0, "", val))</f>
        <v>7</v>
      </c>
      <c r="AQ4" s="137">
        <f t="array" ref="AQ4">LET(val, IFERROR(INDEX('Daily 사주 raw'!$A:$ZZ, MATCH(AQ$2, 'Daily 사주 raw'!$A:$A, 0), MATCH($B4, 'Daily 사주 raw'!$1:$1, 0)), ""), IF(val=0, "", val))</f>
        <v>2</v>
      </c>
      <c r="AR4" s="137">
        <f t="array" ref="AR4">LET(val, IFERROR(INDEX('Daily 사주 raw'!$A:$ZZ, MATCH(AR$2, 'Daily 사주 raw'!$A:$A, 0), MATCH($B4, 'Daily 사주 raw'!$1:$1, 0)), ""), IF(val=0, "", val))</f>
        <v>8</v>
      </c>
      <c r="AS4" s="137">
        <f t="array" ref="AS4">LET(val, IFERROR(INDEX('Daily 사주 raw'!$A:$ZZ, MATCH(AS$2, 'Daily 사주 raw'!$A:$A, 0), MATCH($B4, 'Daily 사주 raw'!$1:$1, 0)), ""), IF(val=0, "", val))</f>
        <v>9</v>
      </c>
      <c r="AT4" s="137">
        <f t="array" ref="AT4">LET(val, IFERROR(INDEX('Daily 사주 raw'!$A:$ZZ, MATCH(AT$2, 'Daily 사주 raw'!$A:$A, 0), MATCH($B4, 'Daily 사주 raw'!$1:$1, 0)), ""), IF(val=0, "", val))</f>
        <v>8</v>
      </c>
      <c r="AU4" s="137">
        <f t="array" ref="AU4">LET(val, IFERROR(INDEX('Daily 사주 raw'!$A:$ZZ, MATCH(AU$2, 'Daily 사주 raw'!$A:$A, 0), MATCH($B4, 'Daily 사주 raw'!$1:$1, 0)), ""), IF(val=0, "", val))</f>
        <v>7</v>
      </c>
      <c r="AV4" s="137">
        <f t="array" ref="AV4">LET(val, IFERROR(INDEX('Daily 사주 raw'!$A:$ZZ, MATCH(AV$2, 'Daily 사주 raw'!$A:$A, 0), MATCH($B4, 'Daily 사주 raw'!$1:$1, 0)), ""), IF(val=0, "", val))</f>
        <v>8</v>
      </c>
      <c r="AW4" s="137">
        <f t="array" ref="AW4">LET(val, IFERROR(INDEX('Daily 사주 raw'!$A:$ZZ, MATCH(AW$2, 'Daily 사주 raw'!$A:$A, 0), MATCH($B4, 'Daily 사주 raw'!$1:$1, 0)), ""), IF(val=0, "", val))</f>
        <v>6</v>
      </c>
      <c r="AX4" s="137">
        <f t="array" ref="AX4">LET(val, IFERROR(INDEX('Daily 사주 raw'!$A:$ZZ, MATCH(AX$2, 'Daily 사주 raw'!$A:$A, 0), MATCH($B4, 'Daily 사주 raw'!$1:$1, 0)), ""), IF(val=0, "", val))</f>
        <v>8</v>
      </c>
      <c r="AY4" s="137">
        <f t="array" ref="AY4">LET(val, IFERROR(INDEX('Daily 사주 raw'!$A:$ZZ, MATCH(AY$2, 'Daily 사주 raw'!$A:$A, 0), MATCH($B4, 'Daily 사주 raw'!$1:$1, 0)), ""), IF(val=0, "", val))</f>
        <v>15</v>
      </c>
      <c r="AZ4" s="137">
        <f t="array" ref="AZ4">LET(val, IFERROR(INDEX('Daily 사주 raw'!$A:$ZZ, MATCH(AZ$2, 'Daily 사주 raw'!$A:$A, 0), MATCH($B4, 'Daily 사주 raw'!$1:$1, 0)), ""), IF(val=0, "", val))</f>
        <v>8</v>
      </c>
      <c r="BA4" s="137">
        <f t="array" ref="BA4">LET(val, IFERROR(INDEX('Daily 사주 raw'!$A:$ZZ, MATCH(BA$2, 'Daily 사주 raw'!$A:$A, 0), MATCH($B4, 'Daily 사주 raw'!$1:$1, 0)), ""), IF(val=0, "", val))</f>
        <v>10</v>
      </c>
      <c r="BB4" s="137">
        <f t="array" ref="BB4">LET(val, IFERROR(INDEX('Daily 사주 raw'!$A:$ZZ, MATCH(BB$2, 'Daily 사주 raw'!$A:$A, 0), MATCH($B4, 'Daily 사주 raw'!$1:$1, 0)), ""), IF(val=0, "", val))</f>
        <v>8</v>
      </c>
      <c r="BC4" s="137">
        <f t="array" ref="BC4">LET(val, IFERROR(INDEX('Daily 사주 raw'!$A:$ZZ, MATCH(BC$2, 'Daily 사주 raw'!$A:$A, 0), MATCH($B4, 'Daily 사주 raw'!$1:$1, 0)), ""), IF(val=0, "", val))</f>
        <v>5</v>
      </c>
      <c r="BD4" s="137" t="str">
        <f t="array" ref="BD4">LET(val, IFERROR(INDEX('Daily 사주 raw'!$A:$ZZ, MATCH(BD$2, 'Daily 사주 raw'!$A:$A, 0), MATCH($B4, 'Daily 사주 raw'!$1:$1, 0)), ""), IF(val=0, "", val))</f>
        <v/>
      </c>
      <c r="BE4" s="137" t="str">
        <f t="array" ref="BE4">LET(val, IFERROR(INDEX('Daily 사주 raw'!$A:$ZZ, MATCH(BE$2, 'Daily 사주 raw'!$A:$A, 0), MATCH($B4, 'Daily 사주 raw'!$1:$1, 0)), ""), IF(val=0, "", val))</f>
        <v/>
      </c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8"/>
    </row>
    <row r="5" ht="18.75" customHeight="1">
      <c r="A5" s="135"/>
      <c r="B5" s="23" t="s">
        <v>64</v>
      </c>
      <c r="C5" s="136" t="s">
        <v>141</v>
      </c>
      <c r="D5" s="137">
        <f t="array" ref="D5">LET(val, IFERROR(INDEX('Daily 사주 raw'!$A:$ZZ, MATCH(D$2, 'Daily 사주 raw'!$A:$A, 0), MATCH($B5, 'Daily 사주 raw'!$1:$1, 0)), ""), IF(val=0, "", val))</f>
        <v>29</v>
      </c>
      <c r="E5" s="137">
        <f t="array" ref="E5">LET(val, IFERROR(INDEX('Daily 사주 raw'!$A:$ZZ, MATCH(E$2, 'Daily 사주 raw'!$A:$A, 0), MATCH($B5, 'Daily 사주 raw'!$1:$1, 0)), ""), IF(val=0, "", val))</f>
        <v>16</v>
      </c>
      <c r="F5" s="137">
        <f t="array" ref="F5">LET(val, IFERROR(INDEX('Daily 사주 raw'!$A:$ZZ, MATCH(F$2, 'Daily 사주 raw'!$A:$A, 0), MATCH($B5, 'Daily 사주 raw'!$1:$1, 0)), ""), IF(val=0, "", val))</f>
        <v>9</v>
      </c>
      <c r="G5" s="137">
        <f t="array" ref="G5">LET(val, IFERROR(INDEX('Daily 사주 raw'!$A:$ZZ, MATCH(G$2, 'Daily 사주 raw'!$A:$A, 0), MATCH($B5, 'Daily 사주 raw'!$1:$1, 0)), ""), IF(val=0, "", val))</f>
        <v>6</v>
      </c>
      <c r="H5" s="137">
        <f t="array" ref="H5">LET(val, IFERROR(INDEX('Daily 사주 raw'!$A:$ZZ, MATCH(H$2, 'Daily 사주 raw'!$A:$A, 0), MATCH($B5, 'Daily 사주 raw'!$1:$1, 0)), ""), IF(val=0, "", val))</f>
        <v>12</v>
      </c>
      <c r="I5" s="137">
        <f t="array" ref="I5">LET(val, IFERROR(INDEX('Daily 사주 raw'!$A:$ZZ, MATCH(I$2, 'Daily 사주 raw'!$A:$A, 0), MATCH($B5, 'Daily 사주 raw'!$1:$1, 0)), ""), IF(val=0, "", val))</f>
        <v>15</v>
      </c>
      <c r="J5" s="137">
        <f t="array" ref="J5">LET(val, IFERROR(INDEX('Daily 사주 raw'!$A:$ZZ, MATCH(J$2, 'Daily 사주 raw'!$A:$A, 0), MATCH($B5, 'Daily 사주 raw'!$1:$1, 0)), ""), IF(val=0, "", val))</f>
        <v>11</v>
      </c>
      <c r="K5" s="137">
        <f t="array" ref="K5">LET(val, IFERROR(INDEX('Daily 사주 raw'!$A:$ZZ, MATCH(K$2, 'Daily 사주 raw'!$A:$A, 0), MATCH($B5, 'Daily 사주 raw'!$1:$1, 0)), ""), IF(val=0, "", val))</f>
        <v>32</v>
      </c>
      <c r="L5" s="137">
        <f t="array" ref="L5">LET(val, IFERROR(INDEX('Daily 사주 raw'!$A:$ZZ, MATCH(L$2, 'Daily 사주 raw'!$A:$A, 0), MATCH($B5, 'Daily 사주 raw'!$1:$1, 0)), ""), IF(val=0, "", val))</f>
        <v>42</v>
      </c>
      <c r="M5" s="137">
        <f t="array" ref="M5">LET(val, IFERROR(INDEX('Daily 사주 raw'!$A:$ZZ, MATCH(M$2, 'Daily 사주 raw'!$A:$A, 0), MATCH($B5, 'Daily 사주 raw'!$1:$1, 0)), ""), IF(val=0, "", val))</f>
        <v>51</v>
      </c>
      <c r="N5" s="137">
        <f t="array" ref="N5">LET(val, IFERROR(INDEX('Daily 사주 raw'!$A:$ZZ, MATCH(N$2, 'Daily 사주 raw'!$A:$A, 0), MATCH($B5, 'Daily 사주 raw'!$1:$1, 0)), ""), IF(val=0, "", val))</f>
        <v>40</v>
      </c>
      <c r="O5" s="137">
        <f t="array" ref="O5">LET(val, IFERROR(INDEX('Daily 사주 raw'!$A:$ZZ, MATCH(O$2, 'Daily 사주 raw'!$A:$A, 0), MATCH($B5, 'Daily 사주 raw'!$1:$1, 0)), ""), IF(val=0, "", val))</f>
        <v>43</v>
      </c>
      <c r="P5" s="137">
        <f t="array" ref="P5">LET(val, IFERROR(INDEX('Daily 사주 raw'!$A:$ZZ, MATCH(P$2, 'Daily 사주 raw'!$A:$A, 0), MATCH($B5, 'Daily 사주 raw'!$1:$1, 0)), ""), IF(val=0, "", val))</f>
        <v>43</v>
      </c>
      <c r="Q5" s="137">
        <f t="array" ref="Q5">LET(val, IFERROR(INDEX('Daily 사주 raw'!$A:$ZZ, MATCH(Q$2, 'Daily 사주 raw'!$A:$A, 0), MATCH($B5, 'Daily 사주 raw'!$1:$1, 0)), ""), IF(val=0, "", val))</f>
        <v>44</v>
      </c>
      <c r="R5" s="137">
        <f t="array" ref="R5">LET(val, IFERROR(INDEX('Daily 사주 raw'!$A:$ZZ, MATCH(R$2, 'Daily 사주 raw'!$A:$A, 0), MATCH($B5, 'Daily 사주 raw'!$1:$1, 0)), ""), IF(val=0, "", val))</f>
        <v>41</v>
      </c>
      <c r="S5" s="137">
        <f t="array" ref="S5">LET(val, IFERROR(INDEX('Daily 사주 raw'!$A:$ZZ, MATCH(S$2, 'Daily 사주 raw'!$A:$A, 0), MATCH($B5, 'Daily 사주 raw'!$1:$1, 0)), ""), IF(val=0, "", val))</f>
        <v>31</v>
      </c>
      <c r="T5" s="137">
        <f t="array" ref="T5">LET(val, IFERROR(INDEX('Daily 사주 raw'!$A:$ZZ, MATCH(T$2, 'Daily 사주 raw'!$A:$A, 0), MATCH($B5, 'Daily 사주 raw'!$1:$1, 0)), ""), IF(val=0, "", val))</f>
        <v>64</v>
      </c>
      <c r="U5" s="137">
        <f t="array" ref="U5">LET(val, IFERROR(INDEX('Daily 사주 raw'!$A:$ZZ, MATCH(U$2, 'Daily 사주 raw'!$A:$A, 0), MATCH($B5, 'Daily 사주 raw'!$1:$1, 0)), ""), IF(val=0, "", val))</f>
        <v>54</v>
      </c>
      <c r="V5" s="137">
        <f t="array" ref="V5">LET(val, IFERROR(INDEX('Daily 사주 raw'!$A:$ZZ, MATCH(V$2, 'Daily 사주 raw'!$A:$A, 0), MATCH($B5, 'Daily 사주 raw'!$1:$1, 0)), ""), IF(val=0, "", val))</f>
        <v>56</v>
      </c>
      <c r="W5" s="137">
        <f t="array" ref="W5">LET(val, IFERROR(INDEX('Daily 사주 raw'!$A:$ZZ, MATCH(W$2, 'Daily 사주 raw'!$A:$A, 0), MATCH($B5, 'Daily 사주 raw'!$1:$1, 0)), ""), IF(val=0, "", val))</f>
        <v>69</v>
      </c>
      <c r="X5" s="137">
        <f t="array" ref="X5">LET(val, IFERROR(INDEX('Daily 사주 raw'!$A:$ZZ, MATCH(X$2, 'Daily 사주 raw'!$A:$A, 0), MATCH($B5, 'Daily 사주 raw'!$1:$1, 0)), ""), IF(val=0, "", val))</f>
        <v>86</v>
      </c>
      <c r="Y5" s="137">
        <f t="array" ref="Y5">LET(val, IFERROR(INDEX('Daily 사주 raw'!$A:$ZZ, MATCH(Y$2, 'Daily 사주 raw'!$A:$A, 0), MATCH($B5, 'Daily 사주 raw'!$1:$1, 0)), ""), IF(val=0, "", val))</f>
        <v>63</v>
      </c>
      <c r="Z5" s="137">
        <f t="array" ref="Z5">LET(val, IFERROR(INDEX('Daily 사주 raw'!$A:$ZZ, MATCH(Z$2, 'Daily 사주 raw'!$A:$A, 0), MATCH($B5, 'Daily 사주 raw'!$1:$1, 0)), ""), IF(val=0, "", val))</f>
        <v>30</v>
      </c>
      <c r="AA5" s="137">
        <f t="array" ref="AA5">LET(val, IFERROR(INDEX('Daily 사주 raw'!$A:$ZZ, MATCH(AA$2, 'Daily 사주 raw'!$A:$A, 0), MATCH($B5, 'Daily 사주 raw'!$1:$1, 0)), ""), IF(val=0, "", val))</f>
        <v>23</v>
      </c>
      <c r="AB5" s="137">
        <f t="array" ref="AB5">LET(val, IFERROR(INDEX('Daily 사주 raw'!$A:$ZZ, MATCH(AB$2, 'Daily 사주 raw'!$A:$A, 0), MATCH($B5, 'Daily 사주 raw'!$1:$1, 0)), ""), IF(val=0, "", val))</f>
        <v>44</v>
      </c>
      <c r="AC5" s="137">
        <f t="array" ref="AC5">LET(val, IFERROR(INDEX('Daily 사주 raw'!$A:$ZZ, MATCH(AC$2, 'Daily 사주 raw'!$A:$A, 0), MATCH($B5, 'Daily 사주 raw'!$1:$1, 0)), ""), IF(val=0, "", val))</f>
        <v>35</v>
      </c>
      <c r="AD5" s="137">
        <f t="array" ref="AD5">LET(val, IFERROR(INDEX('Daily 사주 raw'!$A:$ZZ, MATCH(AD$2, 'Daily 사주 raw'!$A:$A, 0), MATCH($B5, 'Daily 사주 raw'!$1:$1, 0)), ""), IF(val=0, "", val))</f>
        <v>34</v>
      </c>
      <c r="AE5" s="137">
        <f t="array" ref="AE5">LET(val, IFERROR(INDEX('Daily 사주 raw'!$A:$ZZ, MATCH(AE$2, 'Daily 사주 raw'!$A:$A, 0), MATCH($B5, 'Daily 사주 raw'!$1:$1, 0)), ""), IF(val=0, "", val))</f>
        <v>31</v>
      </c>
      <c r="AF5" s="137">
        <f t="array" ref="AF5">LET(val, IFERROR(INDEX('Daily 사주 raw'!$A:$ZZ, MATCH(AF$2, 'Daily 사주 raw'!$A:$A, 0), MATCH($B5, 'Daily 사주 raw'!$1:$1, 0)), ""), IF(val=0, "", val))</f>
        <v>53</v>
      </c>
      <c r="AG5" s="137">
        <f t="array" ref="AG5">LET(val, IFERROR(INDEX('Daily 사주 raw'!$A:$ZZ, MATCH(AG$2, 'Daily 사주 raw'!$A:$A, 0), MATCH($B5, 'Daily 사주 raw'!$1:$1, 0)), ""), IF(val=0, "", val))</f>
        <v>44</v>
      </c>
      <c r="AH5" s="137">
        <f t="array" ref="AH5">LET(val, IFERROR(INDEX('Daily 사주 raw'!$A:$ZZ, MATCH(AH$2, 'Daily 사주 raw'!$A:$A, 0), MATCH($B5, 'Daily 사주 raw'!$1:$1, 0)), ""), IF(val=0, "", val))</f>
        <v>49</v>
      </c>
      <c r="AI5" s="137">
        <f t="array" ref="AI5">LET(val, IFERROR(INDEX('Daily 사주 raw'!$A:$ZZ, MATCH(AI$2, 'Daily 사주 raw'!$A:$A, 0), MATCH($B5, 'Daily 사주 raw'!$1:$1, 0)), ""), IF(val=0, "", val))</f>
        <v>54</v>
      </c>
      <c r="AJ5" s="137">
        <f t="array" ref="AJ5">LET(val, IFERROR(INDEX('Daily 사주 raw'!$A:$ZZ, MATCH(AJ$2, 'Daily 사주 raw'!$A:$A, 0), MATCH($B5, 'Daily 사주 raw'!$1:$1, 0)), ""), IF(val=0, "", val))</f>
        <v>43</v>
      </c>
      <c r="AK5" s="137">
        <f t="array" ref="AK5">LET(val, IFERROR(INDEX('Daily 사주 raw'!$A:$ZZ, MATCH(AK$2, 'Daily 사주 raw'!$A:$A, 0), MATCH($B5, 'Daily 사주 raw'!$1:$1, 0)), ""), IF(val=0, "", val))</f>
        <v>43</v>
      </c>
      <c r="AL5" s="137">
        <f t="array" ref="AL5">LET(val, IFERROR(INDEX('Daily 사주 raw'!$A:$ZZ, MATCH(AL$2, 'Daily 사주 raw'!$A:$A, 0), MATCH($B5, 'Daily 사주 raw'!$1:$1, 0)), ""), IF(val=0, "", val))</f>
        <v>40</v>
      </c>
      <c r="AM5" s="137">
        <f t="array" ref="AM5">LET(val, IFERROR(INDEX('Daily 사주 raw'!$A:$ZZ, MATCH(AM$2, 'Daily 사주 raw'!$A:$A, 0), MATCH($B5, 'Daily 사주 raw'!$1:$1, 0)), ""), IF(val=0, "", val))</f>
        <v>40</v>
      </c>
      <c r="AN5" s="137">
        <f t="array" ref="AN5">LET(val, IFERROR(INDEX('Daily 사주 raw'!$A:$ZZ, MATCH(AN$2, 'Daily 사주 raw'!$A:$A, 0), MATCH($B5, 'Daily 사주 raw'!$1:$1, 0)), ""), IF(val=0, "", val))</f>
        <v>38</v>
      </c>
      <c r="AO5" s="137">
        <f t="array" ref="AO5">LET(val, IFERROR(INDEX('Daily 사주 raw'!$A:$ZZ, MATCH(AO$2, 'Daily 사주 raw'!$A:$A, 0), MATCH($B5, 'Daily 사주 raw'!$1:$1, 0)), ""), IF(val=0, "", val))</f>
        <v>19</v>
      </c>
      <c r="AP5" s="137">
        <f t="array" ref="AP5">LET(val, IFERROR(INDEX('Daily 사주 raw'!$A:$ZZ, MATCH(AP$2, 'Daily 사주 raw'!$A:$A, 0), MATCH($B5, 'Daily 사주 raw'!$1:$1, 0)), ""), IF(val=0, "", val))</f>
        <v>19</v>
      </c>
      <c r="AQ5" s="137">
        <f t="array" ref="AQ5">LET(val, IFERROR(INDEX('Daily 사주 raw'!$A:$ZZ, MATCH(AQ$2, 'Daily 사주 raw'!$A:$A, 0), MATCH($B5, 'Daily 사주 raw'!$1:$1, 0)), ""), IF(val=0, "", val))</f>
        <v>13</v>
      </c>
      <c r="AR5" s="137">
        <f t="array" ref="AR5">LET(val, IFERROR(INDEX('Daily 사주 raw'!$A:$ZZ, MATCH(AR$2, 'Daily 사주 raw'!$A:$A, 0), MATCH($B5, 'Daily 사주 raw'!$1:$1, 0)), ""), IF(val=0, "", val))</f>
        <v>19</v>
      </c>
      <c r="AS5" s="137">
        <f t="array" ref="AS5">LET(val, IFERROR(INDEX('Daily 사주 raw'!$A:$ZZ, MATCH(AS$2, 'Daily 사주 raw'!$A:$A, 0), MATCH($B5, 'Daily 사주 raw'!$1:$1, 0)), ""), IF(val=0, "", val))</f>
        <v>23</v>
      </c>
      <c r="AT5" s="137">
        <f t="array" ref="AT5">LET(val, IFERROR(INDEX('Daily 사주 raw'!$A:$ZZ, MATCH(AT$2, 'Daily 사주 raw'!$A:$A, 0), MATCH($B5, 'Daily 사주 raw'!$1:$1, 0)), ""), IF(val=0, "", val))</f>
        <v>20</v>
      </c>
      <c r="AU5" s="137">
        <f t="array" ref="AU5">LET(val, IFERROR(INDEX('Daily 사주 raw'!$A:$ZZ, MATCH(AU$2, 'Daily 사주 raw'!$A:$A, 0), MATCH($B5, 'Daily 사주 raw'!$1:$1, 0)), ""), IF(val=0, "", val))</f>
        <v>16</v>
      </c>
      <c r="AV5" s="137">
        <f t="array" ref="AV5">LET(val, IFERROR(INDEX('Daily 사주 raw'!$A:$ZZ, MATCH(AV$2, 'Daily 사주 raw'!$A:$A, 0), MATCH($B5, 'Daily 사주 raw'!$1:$1, 0)), ""), IF(val=0, "", val))</f>
        <v>21</v>
      </c>
      <c r="AW5" s="137">
        <f t="array" ref="AW5">LET(val, IFERROR(INDEX('Daily 사주 raw'!$A:$ZZ, MATCH(AW$2, 'Daily 사주 raw'!$A:$A, 0), MATCH($B5, 'Daily 사주 raw'!$1:$1, 0)), ""), IF(val=0, "", val))</f>
        <v>24</v>
      </c>
      <c r="AX5" s="137">
        <f t="array" ref="AX5">LET(val, IFERROR(INDEX('Daily 사주 raw'!$A:$ZZ, MATCH(AX$2, 'Daily 사주 raw'!$A:$A, 0), MATCH($B5, 'Daily 사주 raw'!$1:$1, 0)), ""), IF(val=0, "", val))</f>
        <v>22</v>
      </c>
      <c r="AY5" s="137">
        <f t="array" ref="AY5">LET(val, IFERROR(INDEX('Daily 사주 raw'!$A:$ZZ, MATCH(AY$2, 'Daily 사주 raw'!$A:$A, 0), MATCH($B5, 'Daily 사주 raw'!$1:$1, 0)), ""), IF(val=0, "", val))</f>
        <v>34</v>
      </c>
      <c r="AZ5" s="137">
        <f t="array" ref="AZ5">LET(val, IFERROR(INDEX('Daily 사주 raw'!$A:$ZZ, MATCH(AZ$2, 'Daily 사주 raw'!$A:$A, 0), MATCH($B5, 'Daily 사주 raw'!$1:$1, 0)), ""), IF(val=0, "", val))</f>
        <v>28</v>
      </c>
      <c r="BA5" s="137">
        <f t="array" ref="BA5">LET(val, IFERROR(INDEX('Daily 사주 raw'!$A:$ZZ, MATCH(BA$2, 'Daily 사주 raw'!$A:$A, 0), MATCH($B5, 'Daily 사주 raw'!$1:$1, 0)), ""), IF(val=0, "", val))</f>
        <v>22</v>
      </c>
      <c r="BB5" s="137">
        <f t="array" ref="BB5">LET(val, IFERROR(INDEX('Daily 사주 raw'!$A:$ZZ, MATCH(BB$2, 'Daily 사주 raw'!$A:$A, 0), MATCH($B5, 'Daily 사주 raw'!$1:$1, 0)), ""), IF(val=0, "", val))</f>
        <v>17</v>
      </c>
      <c r="BC5" s="137">
        <f t="array" ref="BC5">LET(val, IFERROR(INDEX('Daily 사주 raw'!$A:$ZZ, MATCH(BC$2, 'Daily 사주 raw'!$A:$A, 0), MATCH($B5, 'Daily 사주 raw'!$1:$1, 0)), ""), IF(val=0, "", val))</f>
        <v>15</v>
      </c>
      <c r="BD5" s="137">
        <f t="array" ref="BD5">LET(val, IFERROR(INDEX('Daily 사주 raw'!$A:$ZZ, MATCH(BD$2, 'Daily 사주 raw'!$A:$A, 0), MATCH($B5, 'Daily 사주 raw'!$1:$1, 0)), ""), IF(val=0, "", val))</f>
        <v>23</v>
      </c>
      <c r="BE5" s="137">
        <f t="array" ref="BE5">LET(val, IFERROR(INDEX('Daily 사주 raw'!$A:$ZZ, MATCH(BE$2, 'Daily 사주 raw'!$A:$A, 0), MATCH($B5, 'Daily 사주 raw'!$1:$1, 0)), ""), IF(val=0, "", val))</f>
        <v>5</v>
      </c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8"/>
    </row>
    <row r="6" ht="18.75" customHeight="1">
      <c r="A6" s="1"/>
      <c r="B6" s="11" t="s">
        <v>18</v>
      </c>
      <c r="C6" s="1" t="s">
        <v>18</v>
      </c>
      <c r="D6" s="139">
        <f t="array" ref="D6">LET(val, IFERROR(INDEX('Daily 사주 raw'!$A:$ZZ, MATCH(D$2, 'Daily 사주 raw'!$A:$A, 0), MATCH($B6, 'Daily 사주 raw'!$1:$1, 0)), ""), IF(val=0, "", val))</f>
        <v>0.03686635945</v>
      </c>
      <c r="E6" s="139">
        <f t="array" ref="E6">LET(val, IFERROR(INDEX('Daily 사주 raw'!$A:$ZZ, MATCH(E$2, 'Daily 사주 raw'!$A:$A, 0), MATCH($B6, 'Daily 사주 raw'!$1:$1, 0)), ""), IF(val=0, "", val))</f>
        <v>0.03349282297</v>
      </c>
      <c r="F6" s="139">
        <f t="array" ref="F6">LET(val, IFERROR(INDEX('Daily 사주 raw'!$A:$ZZ, MATCH(F$2, 'Daily 사주 raw'!$A:$A, 0), MATCH($B6, 'Daily 사주 raw'!$1:$1, 0)), ""), IF(val=0, "", val))</f>
        <v>0.02044293015</v>
      </c>
      <c r="G6" s="139">
        <f t="array" ref="G6">LET(val, IFERROR(INDEX('Daily 사주 raw'!$A:$ZZ, MATCH(G$2, 'Daily 사주 raw'!$A:$A, 0), MATCH($B6, 'Daily 사주 raw'!$1:$1, 0)), ""), IF(val=0, "", val))</f>
        <v>0.01408450704</v>
      </c>
      <c r="H6" s="139">
        <f t="array" ref="H6">LET(val, IFERROR(INDEX('Daily 사주 raw'!$A:$ZZ, MATCH(H$2, 'Daily 사주 raw'!$A:$A, 0), MATCH($B6, 'Daily 사주 raw'!$1:$1, 0)), ""), IF(val=0, "", val))</f>
        <v>0.02683363148</v>
      </c>
      <c r="I6" s="139">
        <f t="array" ref="I6">LET(val, IFERROR(INDEX('Daily 사주 raw'!$A:$ZZ, MATCH(I$2, 'Daily 사주 raw'!$A:$A, 0), MATCH($B6, 'Daily 사주 raw'!$1:$1, 0)), ""), IF(val=0, "", val))</f>
        <v>0.03345070423</v>
      </c>
      <c r="J6" s="139">
        <f t="array" ref="J6">LET(val, IFERROR(INDEX('Daily 사주 raw'!$A:$ZZ, MATCH(J$2, 'Daily 사주 raw'!$A:$A, 0), MATCH($B6, 'Daily 사주 raw'!$1:$1, 0)), ""), IF(val=0, "", val))</f>
        <v>0.02023608769</v>
      </c>
      <c r="K6" s="139">
        <f t="array" ref="K6">LET(val, IFERROR(INDEX('Daily 사주 raw'!$A:$ZZ, MATCH(K$2, 'Daily 사주 raw'!$A:$A, 0), MATCH($B6, 'Daily 사주 raw'!$1:$1, 0)), ""), IF(val=0, "", val))</f>
        <v>0.06218487395</v>
      </c>
      <c r="L6" s="139">
        <f t="array" ref="L6">LET(val, IFERROR(INDEX('Daily 사주 raw'!$A:$ZZ, MATCH(L$2, 'Daily 사주 raw'!$A:$A, 0), MATCH($B6, 'Daily 사주 raw'!$1:$1, 0)), ""), IF(val=0, "", val))</f>
        <v>0.1</v>
      </c>
      <c r="M6" s="139">
        <f t="array" ref="M6">LET(val, IFERROR(INDEX('Daily 사주 raw'!$A:$ZZ, MATCH(M$2, 'Daily 사주 raw'!$A:$A, 0), MATCH($B6, 'Daily 사주 raw'!$1:$1, 0)), ""), IF(val=0, "", val))</f>
        <v>0.1136363636</v>
      </c>
      <c r="N6" s="139">
        <f t="array" ref="N6">LET(val, IFERROR(INDEX('Daily 사주 raw'!$A:$ZZ, MATCH(N$2, 'Daily 사주 raw'!$A:$A, 0), MATCH($B6, 'Daily 사주 raw'!$1:$1, 0)), ""), IF(val=0, "", val))</f>
        <v>0.1157407407</v>
      </c>
      <c r="O6" s="139">
        <f t="array" ref="O6">LET(val, IFERROR(INDEX('Daily 사주 raw'!$A:$ZZ, MATCH(O$2, 'Daily 사주 raw'!$A:$A, 0), MATCH($B6, 'Daily 사주 raw'!$1:$1, 0)), ""), IF(val=0, "", val))</f>
        <v>0.1287356322</v>
      </c>
      <c r="P6" s="139">
        <f t="array" ref="P6">LET(val, IFERROR(INDEX('Daily 사주 raw'!$A:$ZZ, MATCH(P$2, 'Daily 사주 raw'!$A:$A, 0), MATCH($B6, 'Daily 사주 raw'!$1:$1, 0)), ""), IF(val=0, "", val))</f>
        <v>0.1486486486</v>
      </c>
      <c r="Q6" s="139">
        <f t="array" ref="Q6">LET(val, IFERROR(INDEX('Daily 사주 raw'!$A:$ZZ, MATCH(Q$2, 'Daily 사주 raw'!$A:$A, 0), MATCH($B6, 'Daily 사주 raw'!$1:$1, 0)), ""), IF(val=0, "", val))</f>
        <v>0.1347708895</v>
      </c>
      <c r="R6" s="139">
        <f t="array" ref="R6">LET(val, IFERROR(INDEX('Daily 사주 raw'!$A:$ZZ, MATCH(R$2, 'Daily 사주 raw'!$A:$A, 0), MATCH($B6, 'Daily 사주 raw'!$1:$1, 0)), ""), IF(val=0, "", val))</f>
        <v>0.1472392638</v>
      </c>
      <c r="S6" s="139">
        <f t="array" ref="S6">LET(val, IFERROR(INDEX('Daily 사주 raw'!$A:$ZZ, MATCH(S$2, 'Daily 사주 raw'!$A:$A, 0), MATCH($B6, 'Daily 사주 raw'!$1:$1, 0)), ""), IF(val=0, "", val))</f>
        <v>0.1309904153</v>
      </c>
      <c r="T6" s="139">
        <f t="array" ref="T6">LET(val, IFERROR(INDEX('Daily 사주 raw'!$A:$ZZ, MATCH(T$2, 'Daily 사주 raw'!$A:$A, 0), MATCH($B6, 'Daily 사주 raw'!$1:$1, 0)), ""), IF(val=0, "", val))</f>
        <v>0.2011661808</v>
      </c>
      <c r="U6" s="139">
        <f t="array" ref="U6">LET(val, IFERROR(INDEX('Daily 사주 raw'!$A:$ZZ, MATCH(U$2, 'Daily 사주 raw'!$A:$A, 0), MATCH($B6, 'Daily 사주 raw'!$1:$1, 0)), ""), IF(val=0, "", val))</f>
        <v>0.1829268293</v>
      </c>
      <c r="V6" s="139">
        <f t="array" ref="V6">LET(val, IFERROR(INDEX('Daily 사주 raw'!$A:$ZZ, MATCH(V$2, 'Daily 사주 raw'!$A:$A, 0), MATCH($B6, 'Daily 사주 raw'!$1:$1, 0)), ""), IF(val=0, "", val))</f>
        <v>0.1938461538</v>
      </c>
      <c r="W6" s="139">
        <f t="array" ref="W6">LET(val, IFERROR(INDEX('Daily 사주 raw'!$A:$ZZ, MATCH(W$2, 'Daily 사주 raw'!$A:$A, 0), MATCH($B6, 'Daily 사주 raw'!$1:$1, 0)), ""), IF(val=0, "", val))</f>
        <v>0.1322751323</v>
      </c>
      <c r="X6" s="139">
        <f t="array" ref="X6">LET(val, IFERROR(INDEX('Daily 사주 raw'!$A:$ZZ, MATCH(X$2, 'Daily 사주 raw'!$A:$A, 0), MATCH($B6, 'Daily 사주 raw'!$1:$1, 0)), ""), IF(val=0, "", val))</f>
        <v>0.1727115717</v>
      </c>
      <c r="Y6" s="139">
        <f t="array" ref="Y6">LET(val, IFERROR(INDEX('Daily 사주 raw'!$A:$ZZ, MATCH(Y$2, 'Daily 사주 raw'!$A:$A, 0), MATCH($B6, 'Daily 사주 raw'!$1:$1, 0)), ""), IF(val=0, "", val))</f>
        <v>0.1595744681</v>
      </c>
      <c r="Z6" s="139">
        <f t="array" ref="Z6">LET(val, IFERROR(INDEX('Daily 사주 raw'!$A:$ZZ, MATCH(Z$2, 'Daily 사주 raw'!$A:$A, 0), MATCH($B6, 'Daily 사주 raw'!$1:$1, 0)), ""), IF(val=0, "", val))</f>
        <v>0.1339563863</v>
      </c>
      <c r="AA6" s="139">
        <f t="array" ref="AA6">LET(val, IFERROR(INDEX('Daily 사주 raw'!$A:$ZZ, MATCH(AA$2, 'Daily 사주 raw'!$A:$A, 0), MATCH($B6, 'Daily 사주 raw'!$1:$1, 0)), ""), IF(val=0, "", val))</f>
        <v>0.1365461847</v>
      </c>
      <c r="AB6" s="139">
        <f t="array" ref="AB6">LET(val, IFERROR(INDEX('Daily 사주 raw'!$A:$ZZ, MATCH(AB$2, 'Daily 사주 raw'!$A:$A, 0), MATCH($B6, 'Daily 사주 raw'!$1:$1, 0)), ""), IF(val=0, "", val))</f>
        <v>0.1897106109</v>
      </c>
      <c r="AC6" s="139">
        <f t="array" ref="AC6">LET(val, IFERROR(INDEX('Daily 사주 raw'!$A:$ZZ, MATCH(AC$2, 'Daily 사주 raw'!$A:$A, 0), MATCH($B6, 'Daily 사주 raw'!$1:$1, 0)), ""), IF(val=0, "", val))</f>
        <v>0.1824324324</v>
      </c>
      <c r="AD6" s="139">
        <f t="array" ref="AD6">LET(val, IFERROR(INDEX('Daily 사주 raw'!$A:$ZZ, MATCH(AD$2, 'Daily 사주 raw'!$A:$A, 0), MATCH($B6, 'Daily 사주 raw'!$1:$1, 0)), ""), IF(val=0, "", val))</f>
        <v>0.08686868687</v>
      </c>
      <c r="AE6" s="139">
        <f t="array" ref="AE6">LET(val, IFERROR(INDEX('Daily 사주 raw'!$A:$ZZ, MATCH(AE$2, 'Daily 사주 raw'!$A:$A, 0), MATCH($B6, 'Daily 사주 raw'!$1:$1, 0)), ""), IF(val=0, "", val))</f>
        <v>0.103960396</v>
      </c>
      <c r="AF6" s="139">
        <f t="array" ref="AF6">LET(val, IFERROR(INDEX('Daily 사주 raw'!$A:$ZZ, MATCH(AF$2, 'Daily 사주 raw'!$A:$A, 0), MATCH($B6, 'Daily 사주 raw'!$1:$1, 0)), ""), IF(val=0, "", val))</f>
        <v>0.1738035264</v>
      </c>
      <c r="AG6" s="139">
        <f t="array" ref="AG6">LET(val, IFERROR(INDEX('Daily 사주 raw'!$A:$ZZ, MATCH(AG$2, 'Daily 사주 raw'!$A:$A, 0), MATCH($B6, 'Daily 사주 raw'!$1:$1, 0)), ""), IF(val=0, "", val))</f>
        <v>0.1538461538</v>
      </c>
      <c r="AH6" s="139">
        <f t="array" ref="AH6">LET(val, IFERROR(INDEX('Daily 사주 raw'!$A:$ZZ, MATCH(AH$2, 'Daily 사주 raw'!$A:$A, 0), MATCH($B6, 'Daily 사주 raw'!$1:$1, 0)), ""), IF(val=0, "", val))</f>
        <v>0.1588235294</v>
      </c>
      <c r="AI6" s="139">
        <f t="array" ref="AI6">LET(val, IFERROR(INDEX('Daily 사주 raw'!$A:$ZZ, MATCH(AI$2, 'Daily 사주 raw'!$A:$A, 0), MATCH($B6, 'Daily 사주 raw'!$1:$1, 0)), ""), IF(val=0, "", val))</f>
        <v>0.1892655367</v>
      </c>
      <c r="AJ6" s="139">
        <f t="array" ref="AJ6">LET(val, IFERROR(INDEX('Daily 사주 raw'!$A:$ZZ, MATCH(AJ$2, 'Daily 사주 raw'!$A:$A, 0), MATCH($B6, 'Daily 사주 raw'!$1:$1, 0)), ""), IF(val=0, "", val))</f>
        <v>0.1629834254</v>
      </c>
      <c r="AK6" s="139">
        <f t="array" ref="AK6">LET(val, IFERROR(INDEX('Daily 사주 raw'!$A:$ZZ, MATCH(AK$2, 'Daily 사주 raw'!$A:$A, 0), MATCH($B6, 'Daily 사주 raw'!$1:$1, 0)), ""), IF(val=0, "", val))</f>
        <v>0.2</v>
      </c>
      <c r="AL6" s="139">
        <f t="array" ref="AL6">LET(val, IFERROR(INDEX('Daily 사주 raw'!$A:$ZZ, MATCH(AL$2, 'Daily 사주 raw'!$A:$A, 0), MATCH($B6, 'Daily 사주 raw'!$1:$1, 0)), ""), IF(val=0, "", val))</f>
        <v>0.1991525424</v>
      </c>
      <c r="AM6" s="139">
        <f t="array" ref="AM6">LET(val, IFERROR(INDEX('Daily 사주 raw'!$A:$ZZ, MATCH(AM$2, 'Daily 사주 raw'!$A:$A, 0), MATCH($B6, 'Daily 사주 raw'!$1:$1, 0)), ""), IF(val=0, "", val))</f>
        <v>0.1914893617</v>
      </c>
      <c r="AN6" s="139">
        <f t="array" ref="AN6">LET(val, IFERROR(INDEX('Daily 사주 raw'!$A:$ZZ, MATCH(AN$2, 'Daily 사주 raw'!$A:$A, 0), MATCH($B6, 'Daily 사주 raw'!$1:$1, 0)), ""), IF(val=0, "", val))</f>
        <v>0.1787072243</v>
      </c>
      <c r="AO6" s="139">
        <f t="array" ref="AO6">LET(val, IFERROR(INDEX('Daily 사주 raw'!$A:$ZZ, MATCH(AO$2, 'Daily 사주 raw'!$A:$A, 0), MATCH($B6, 'Daily 사주 raw'!$1:$1, 0)), ""), IF(val=0, "", val))</f>
        <v>0.1373390558</v>
      </c>
      <c r="AP6" s="139">
        <f t="array" ref="AP6">LET(val, IFERROR(INDEX('Daily 사주 raw'!$A:$ZZ, MATCH(AP$2, 'Daily 사주 raw'!$A:$A, 0), MATCH($B6, 'Daily 사주 raw'!$1:$1, 0)), ""), IF(val=0, "", val))</f>
        <v>0.1287553648</v>
      </c>
      <c r="AQ6" s="139">
        <f t="array" ref="AQ6">LET(val, IFERROR(INDEX('Daily 사주 raw'!$A:$ZZ, MATCH(AQ$2, 'Daily 사주 raw'!$A:$A, 0), MATCH($B6, 'Daily 사주 raw'!$1:$1, 0)), ""), IF(val=0, "", val))</f>
        <v>0.1040723982</v>
      </c>
      <c r="AR6" s="139">
        <f t="array" ref="AR6">LET(val, IFERROR(INDEX('Daily 사주 raw'!$A:$ZZ, MATCH(AR$2, 'Daily 사주 raw'!$A:$A, 0), MATCH($B6, 'Daily 사주 raw'!$1:$1, 0)), ""), IF(val=0, "", val))</f>
        <v>0.09960159363</v>
      </c>
      <c r="AS6" s="139">
        <f t="array" ref="AS6">LET(val, IFERROR(INDEX('Daily 사주 raw'!$A:$ZZ, MATCH(AS$2, 'Daily 사주 raw'!$A:$A, 0), MATCH($B6, 'Daily 사주 raw'!$1:$1, 0)), ""), IF(val=0, "", val))</f>
        <v>0.1435185185</v>
      </c>
      <c r="AT6" s="139">
        <f t="array" ref="AT6">LET(val, IFERROR(INDEX('Daily 사주 raw'!$A:$ZZ, MATCH(AT$2, 'Daily 사주 raw'!$A:$A, 0), MATCH($B6, 'Daily 사주 raw'!$1:$1, 0)), ""), IF(val=0, "", val))</f>
        <v>0.1314553991</v>
      </c>
      <c r="AU6" s="139">
        <f t="array" ref="AU6">LET(val, IFERROR(INDEX('Daily 사주 raw'!$A:$ZZ, MATCH(AU$2, 'Daily 사주 raw'!$A:$A, 0), MATCH($B6, 'Daily 사주 raw'!$1:$1, 0)), ""), IF(val=0, "", val))</f>
        <v>0.1288659794</v>
      </c>
      <c r="AV6" s="139">
        <f t="array" ref="AV6">LET(val, IFERROR(INDEX('Daily 사주 raw'!$A:$ZZ, MATCH(AV$2, 'Daily 사주 raw'!$A:$A, 0), MATCH($B6, 'Daily 사주 raw'!$1:$1, 0)), ""), IF(val=0, "", val))</f>
        <v>0.1597938144</v>
      </c>
      <c r="AW6" s="139">
        <f t="array" ref="AW6">LET(val, IFERROR(INDEX('Daily 사주 raw'!$A:$ZZ, MATCH(AW$2, 'Daily 사주 raw'!$A:$A, 0), MATCH($B6, 'Daily 사주 raw'!$1:$1, 0)), ""), IF(val=0, "", val))</f>
        <v>0.1690821256</v>
      </c>
      <c r="AX6" s="139">
        <f t="array" ref="AX6">LET(val, IFERROR(INDEX('Daily 사주 raw'!$A:$ZZ, MATCH(AX$2, 'Daily 사주 raw'!$A:$A, 0), MATCH($B6, 'Daily 사주 raw'!$1:$1, 0)), ""), IF(val=0, "", val))</f>
        <v>0.1625615764</v>
      </c>
      <c r="AY6" s="139">
        <f t="array" ref="AY6">LET(val, IFERROR(INDEX('Daily 사주 raw'!$A:$ZZ, MATCH(AY$2, 'Daily 사주 raw'!$A:$A, 0), MATCH($B6, 'Daily 사주 raw'!$1:$1, 0)), ""), IF(val=0, "", val))</f>
        <v>0.2358974359</v>
      </c>
      <c r="AZ6" s="139">
        <f t="array" ref="AZ6">LET(val, IFERROR(INDEX('Daily 사주 raw'!$A:$ZZ, MATCH(AZ$2, 'Daily 사주 raw'!$A:$A, 0), MATCH($B6, 'Daily 사주 raw'!$1:$1, 0)), ""), IF(val=0, "", val))</f>
        <v>0.2058823529</v>
      </c>
      <c r="BA6" s="139">
        <f t="array" ref="BA6">LET(val, IFERROR(INDEX('Daily 사주 raw'!$A:$ZZ, MATCH(BA$2, 'Daily 사주 raw'!$A:$A, 0), MATCH($B6, 'Daily 사주 raw'!$1:$1, 0)), ""), IF(val=0, "", val))</f>
        <v>0.1495327103</v>
      </c>
      <c r="BB6" s="139">
        <f t="array" ref="BB6">LET(val, IFERROR(INDEX('Daily 사주 raw'!$A:$ZZ, MATCH(BB$2, 'Daily 사주 raw'!$A:$A, 0), MATCH($B6, 'Daily 사주 raw'!$1:$1, 0)), ""), IF(val=0, "", val))</f>
        <v>0.1076233184</v>
      </c>
      <c r="BC6" s="139">
        <f t="array" ref="BC6">LET(val, IFERROR(INDEX('Daily 사주 raw'!$A:$ZZ, MATCH(BC$2, 'Daily 사주 raw'!$A:$A, 0), MATCH($B6, 'Daily 사주 raw'!$1:$1, 0)), ""), IF(val=0, "", val))</f>
        <v>0.1477272727</v>
      </c>
      <c r="BD6" s="139">
        <f t="array" ref="BD6">LET(val, IFERROR(INDEX('Daily 사주 raw'!$A:$ZZ, MATCH(BD$2, 'Daily 사주 raw'!$A:$A, 0), MATCH($B6, 'Daily 사주 raw'!$1:$1, 0)), ""), IF(val=0, "", val))</f>
        <v>0.1474654378</v>
      </c>
      <c r="BE6" s="139">
        <f t="array" ref="BE6">LET(val, IFERROR(INDEX('Daily 사주 raw'!$A:$ZZ, MATCH(BE$2, 'Daily 사주 raw'!$A:$A, 0), MATCH($B6, 'Daily 사주 raw'!$1:$1, 0)), ""), IF(val=0, "", val))</f>
        <v>0.05833333333</v>
      </c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40"/>
    </row>
    <row r="7" ht="18.75" customHeight="1">
      <c r="A7" s="135"/>
      <c r="B7" s="23" t="s">
        <v>19</v>
      </c>
      <c r="C7" s="136" t="s">
        <v>20</v>
      </c>
      <c r="D7" s="137">
        <f t="array" ref="D7">LET(val, IFERROR(INDEX('Daily 사주 raw'!$A:$ZZ, MATCH(D$2, 'Daily 사주 raw'!$A:$A, 0), MATCH($B7, 'Daily 사주 raw'!$1:$1, 0)), ""), IF(val=0, "", val))</f>
        <v>32</v>
      </c>
      <c r="E7" s="137">
        <f t="array" ref="E7">LET(val, IFERROR(INDEX('Daily 사주 raw'!$A:$ZZ, MATCH(E$2, 'Daily 사주 raw'!$A:$A, 0), MATCH($B7, 'Daily 사주 raw'!$1:$1, 0)), ""), IF(val=0, "", val))</f>
        <v>21</v>
      </c>
      <c r="F7" s="137">
        <f t="array" ref="F7">LET(val, IFERROR(INDEX('Daily 사주 raw'!$A:$ZZ, MATCH(F$2, 'Daily 사주 raw'!$A:$A, 0), MATCH($B7, 'Daily 사주 raw'!$1:$1, 0)), ""), IF(val=0, "", val))</f>
        <v>12</v>
      </c>
      <c r="G7" s="137">
        <f t="array" ref="G7">LET(val, IFERROR(INDEX('Daily 사주 raw'!$A:$ZZ, MATCH(G$2, 'Daily 사주 raw'!$A:$A, 0), MATCH($B7, 'Daily 사주 raw'!$1:$1, 0)), ""), IF(val=0, "", val))</f>
        <v>8</v>
      </c>
      <c r="H7" s="137">
        <f t="array" ref="H7">LET(val, IFERROR(INDEX('Daily 사주 raw'!$A:$ZZ, MATCH(H$2, 'Daily 사주 raw'!$A:$A, 0), MATCH($B7, 'Daily 사주 raw'!$1:$1, 0)), ""), IF(val=0, "", val))</f>
        <v>15</v>
      </c>
      <c r="I7" s="137">
        <f t="array" ref="I7">LET(val, IFERROR(INDEX('Daily 사주 raw'!$A:$ZZ, MATCH(I$2, 'Daily 사주 raw'!$A:$A, 0), MATCH($B7, 'Daily 사주 raw'!$1:$1, 0)), ""), IF(val=0, "", val))</f>
        <v>19</v>
      </c>
      <c r="J7" s="137">
        <f t="array" ref="J7">LET(val, IFERROR(INDEX('Daily 사주 raw'!$A:$ZZ, MATCH(J$2, 'Daily 사주 raw'!$A:$A, 0), MATCH($B7, 'Daily 사주 raw'!$1:$1, 0)), ""), IF(val=0, "", val))</f>
        <v>12</v>
      </c>
      <c r="K7" s="137">
        <f t="array" ref="K7">LET(val, IFERROR(INDEX('Daily 사주 raw'!$A:$ZZ, MATCH(K$2, 'Daily 사주 raw'!$A:$A, 0), MATCH($B7, 'Daily 사주 raw'!$1:$1, 0)), ""), IF(val=0, "", val))</f>
        <v>37</v>
      </c>
      <c r="L7" s="137">
        <f t="array" ref="L7">LET(val, IFERROR(INDEX('Daily 사주 raw'!$A:$ZZ, MATCH(L$2, 'Daily 사주 raw'!$A:$A, 0), MATCH($B7, 'Daily 사주 raw'!$1:$1, 0)), ""), IF(val=0, "", val))</f>
        <v>46</v>
      </c>
      <c r="M7" s="137">
        <f t="array" ref="M7">LET(val, IFERROR(INDEX('Daily 사주 raw'!$A:$ZZ, MATCH(M$2, 'Daily 사주 raw'!$A:$A, 0), MATCH($B7, 'Daily 사주 raw'!$1:$1, 0)), ""), IF(val=0, "", val))</f>
        <v>55</v>
      </c>
      <c r="N7" s="137">
        <f t="array" ref="N7">LET(val, IFERROR(INDEX('Daily 사주 raw'!$A:$ZZ, MATCH(N$2, 'Daily 사주 raw'!$A:$A, 0), MATCH($B7, 'Daily 사주 raw'!$1:$1, 0)), ""), IF(val=0, "", val))</f>
        <v>50</v>
      </c>
      <c r="O7" s="137">
        <f t="array" ref="O7">LET(val, IFERROR(INDEX('Daily 사주 raw'!$A:$ZZ, MATCH(O$2, 'Daily 사주 raw'!$A:$A, 0), MATCH($B7, 'Daily 사주 raw'!$1:$1, 0)), ""), IF(val=0, "", val))</f>
        <v>56</v>
      </c>
      <c r="P7" s="137">
        <f t="array" ref="P7">LET(val, IFERROR(INDEX('Daily 사주 raw'!$A:$ZZ, MATCH(P$2, 'Daily 사주 raw'!$A:$A, 0), MATCH($B7, 'Daily 사주 raw'!$1:$1, 0)), ""), IF(val=0, "", val))</f>
        <v>55</v>
      </c>
      <c r="Q7" s="137">
        <f t="array" ref="Q7">LET(val, IFERROR(INDEX('Daily 사주 raw'!$A:$ZZ, MATCH(Q$2, 'Daily 사주 raw'!$A:$A, 0), MATCH($B7, 'Daily 사주 raw'!$1:$1, 0)), ""), IF(val=0, "", val))</f>
        <v>50</v>
      </c>
      <c r="R7" s="137">
        <f t="array" ref="R7">LET(val, IFERROR(INDEX('Daily 사주 raw'!$A:$ZZ, MATCH(R$2, 'Daily 사주 raw'!$A:$A, 0), MATCH($B7, 'Daily 사주 raw'!$1:$1, 0)), ""), IF(val=0, "", val))</f>
        <v>48</v>
      </c>
      <c r="S7" s="137">
        <f t="array" ref="S7">LET(val, IFERROR(INDEX('Daily 사주 raw'!$A:$ZZ, MATCH(S$2, 'Daily 사주 raw'!$A:$A, 0), MATCH($B7, 'Daily 사주 raw'!$1:$1, 0)), ""), IF(val=0, "", val))</f>
        <v>41</v>
      </c>
      <c r="T7" s="137">
        <f t="array" ref="T7">LET(val, IFERROR(INDEX('Daily 사주 raw'!$A:$ZZ, MATCH(T$2, 'Daily 사주 raw'!$A:$A, 0), MATCH($B7, 'Daily 사주 raw'!$1:$1, 0)), ""), IF(val=0, "", val))</f>
        <v>69</v>
      </c>
      <c r="U7" s="137">
        <f t="array" ref="U7">LET(val, IFERROR(INDEX('Daily 사주 raw'!$A:$ZZ, MATCH(U$2, 'Daily 사주 raw'!$A:$A, 0), MATCH($B7, 'Daily 사주 raw'!$1:$1, 0)), ""), IF(val=0, "", val))</f>
        <v>60</v>
      </c>
      <c r="V7" s="137">
        <f t="array" ref="V7">LET(val, IFERROR(INDEX('Daily 사주 raw'!$A:$ZZ, MATCH(V$2, 'Daily 사주 raw'!$A:$A, 0), MATCH($B7, 'Daily 사주 raw'!$1:$1, 0)), ""), IF(val=0, "", val))</f>
        <v>63</v>
      </c>
      <c r="W7" s="137">
        <f t="array" ref="W7">LET(val, IFERROR(INDEX('Daily 사주 raw'!$A:$ZZ, MATCH(W$2, 'Daily 사주 raw'!$A:$A, 0), MATCH($B7, 'Daily 사주 raw'!$1:$1, 0)), ""), IF(val=0, "", val))</f>
        <v>75</v>
      </c>
      <c r="X7" s="137">
        <f t="array" ref="X7">LET(val, IFERROR(INDEX('Daily 사주 raw'!$A:$ZZ, MATCH(X$2, 'Daily 사주 raw'!$A:$A, 0), MATCH($B7, 'Daily 사주 raw'!$1:$1, 0)), ""), IF(val=0, "", val))</f>
        <v>100</v>
      </c>
      <c r="Y7" s="137">
        <f t="array" ref="Y7">LET(val, IFERROR(INDEX('Daily 사주 raw'!$A:$ZZ, MATCH(Y$2, 'Daily 사주 raw'!$A:$A, 0), MATCH($B7, 'Daily 사주 raw'!$1:$1, 0)), ""), IF(val=0, "", val))</f>
        <v>75</v>
      </c>
      <c r="Z7" s="137">
        <f t="array" ref="Z7">LET(val, IFERROR(INDEX('Daily 사주 raw'!$A:$ZZ, MATCH(Z$2, 'Daily 사주 raw'!$A:$A, 0), MATCH($B7, 'Daily 사주 raw'!$1:$1, 0)), ""), IF(val=0, "", val))</f>
        <v>43</v>
      </c>
      <c r="AA7" s="137">
        <f t="array" ref="AA7">LET(val, IFERROR(INDEX('Daily 사주 raw'!$A:$ZZ, MATCH(AA$2, 'Daily 사주 raw'!$A:$A, 0), MATCH($B7, 'Daily 사주 raw'!$1:$1, 0)), ""), IF(val=0, "", val))</f>
        <v>34</v>
      </c>
      <c r="AB7" s="137">
        <f t="array" ref="AB7">LET(val, IFERROR(INDEX('Daily 사주 raw'!$A:$ZZ, MATCH(AB$2, 'Daily 사주 raw'!$A:$A, 0), MATCH($B7, 'Daily 사주 raw'!$1:$1, 0)), ""), IF(val=0, "", val))</f>
        <v>59</v>
      </c>
      <c r="AC7" s="137">
        <f t="array" ref="AC7">LET(val, IFERROR(INDEX('Daily 사주 raw'!$A:$ZZ, MATCH(AC$2, 'Daily 사주 raw'!$A:$A, 0), MATCH($B7, 'Daily 사주 raw'!$1:$1, 0)), ""), IF(val=0, "", val))</f>
        <v>54</v>
      </c>
      <c r="AD7" s="137">
        <f t="array" ref="AD7">LET(val, IFERROR(INDEX('Daily 사주 raw'!$A:$ZZ, MATCH(AD$2, 'Daily 사주 raw'!$A:$A, 0), MATCH($B7, 'Daily 사주 raw'!$1:$1, 0)), ""), IF(val=0, "", val))</f>
        <v>43</v>
      </c>
      <c r="AE7" s="137">
        <f t="array" ref="AE7">LET(val, IFERROR(INDEX('Daily 사주 raw'!$A:$ZZ, MATCH(AE$2, 'Daily 사주 raw'!$A:$A, 0), MATCH($B7, 'Daily 사주 raw'!$1:$1, 0)), ""), IF(val=0, "", val))</f>
        <v>42</v>
      </c>
      <c r="AF7" s="137">
        <f t="array" ref="AF7">LET(val, IFERROR(INDEX('Daily 사주 raw'!$A:$ZZ, MATCH(AF$2, 'Daily 사주 raw'!$A:$A, 0), MATCH($B7, 'Daily 사주 raw'!$1:$1, 0)), ""), IF(val=0, "", val))</f>
        <v>69</v>
      </c>
      <c r="AG7" s="137">
        <f t="array" ref="AG7">LET(val, IFERROR(INDEX('Daily 사주 raw'!$A:$ZZ, MATCH(AG$2, 'Daily 사주 raw'!$A:$A, 0), MATCH($B7, 'Daily 사주 raw'!$1:$1, 0)), ""), IF(val=0, "", val))</f>
        <v>52</v>
      </c>
      <c r="AH7" s="137">
        <f t="array" ref="AH7">LET(val, IFERROR(INDEX('Daily 사주 raw'!$A:$ZZ, MATCH(AH$2, 'Daily 사주 raw'!$A:$A, 0), MATCH($B7, 'Daily 사주 raw'!$1:$1, 0)), ""), IF(val=0, "", val))</f>
        <v>54</v>
      </c>
      <c r="AI7" s="137">
        <f t="array" ref="AI7">LET(val, IFERROR(INDEX('Daily 사주 raw'!$A:$ZZ, MATCH(AI$2, 'Daily 사주 raw'!$A:$A, 0), MATCH($B7, 'Daily 사주 raw'!$1:$1, 0)), ""), IF(val=0, "", val))</f>
        <v>67</v>
      </c>
      <c r="AJ7" s="137">
        <f t="array" ref="AJ7">LET(val, IFERROR(INDEX('Daily 사주 raw'!$A:$ZZ, MATCH(AJ$2, 'Daily 사주 raw'!$A:$A, 0), MATCH($B7, 'Daily 사주 raw'!$1:$1, 0)), ""), IF(val=0, "", val))</f>
        <v>59</v>
      </c>
      <c r="AK7" s="137">
        <f t="array" ref="AK7">LET(val, IFERROR(INDEX('Daily 사주 raw'!$A:$ZZ, MATCH(AK$2, 'Daily 사주 raw'!$A:$A, 0), MATCH($B7, 'Daily 사주 raw'!$1:$1, 0)), ""), IF(val=0, "", val))</f>
        <v>59</v>
      </c>
      <c r="AL7" s="137">
        <f t="array" ref="AL7">LET(val, IFERROR(INDEX('Daily 사주 raw'!$A:$ZZ, MATCH(AL$2, 'Daily 사주 raw'!$A:$A, 0), MATCH($B7, 'Daily 사주 raw'!$1:$1, 0)), ""), IF(val=0, "", val))</f>
        <v>47</v>
      </c>
      <c r="AM7" s="137">
        <f t="array" ref="AM7">LET(val, IFERROR(INDEX('Daily 사주 raw'!$A:$ZZ, MATCH(AM$2, 'Daily 사주 raw'!$A:$A, 0), MATCH($B7, 'Daily 사주 raw'!$1:$1, 0)), ""), IF(val=0, "", val))</f>
        <v>54</v>
      </c>
      <c r="AN7" s="137">
        <f t="array" ref="AN7">LET(val, IFERROR(INDEX('Daily 사주 raw'!$A:$ZZ, MATCH(AN$2, 'Daily 사주 raw'!$A:$A, 0), MATCH($B7, 'Daily 사주 raw'!$1:$1, 0)), ""), IF(val=0, "", val))</f>
        <v>47</v>
      </c>
      <c r="AO7" s="137">
        <f t="array" ref="AO7">LET(val, IFERROR(INDEX('Daily 사주 raw'!$A:$ZZ, MATCH(AO$2, 'Daily 사주 raw'!$A:$A, 0), MATCH($B7, 'Daily 사주 raw'!$1:$1, 0)), ""), IF(val=0, "", val))</f>
        <v>32</v>
      </c>
      <c r="AP7" s="137">
        <f t="array" ref="AP7">LET(val, IFERROR(INDEX('Daily 사주 raw'!$A:$ZZ, MATCH(AP$2, 'Daily 사주 raw'!$A:$A, 0), MATCH($B7, 'Daily 사주 raw'!$1:$1, 0)), ""), IF(val=0, "", val))</f>
        <v>30</v>
      </c>
      <c r="AQ7" s="137">
        <f t="array" ref="AQ7">LET(val, IFERROR(INDEX('Daily 사주 raw'!$A:$ZZ, MATCH(AQ$2, 'Daily 사주 raw'!$A:$A, 0), MATCH($B7, 'Daily 사주 raw'!$1:$1, 0)), ""), IF(val=0, "", val))</f>
        <v>23</v>
      </c>
      <c r="AR7" s="137">
        <f t="array" ref="AR7">LET(val, IFERROR(INDEX('Daily 사주 raw'!$A:$ZZ, MATCH(AR$2, 'Daily 사주 raw'!$A:$A, 0), MATCH($B7, 'Daily 사주 raw'!$1:$1, 0)), ""), IF(val=0, "", val))</f>
        <v>25</v>
      </c>
      <c r="AS7" s="137">
        <f t="array" ref="AS7">LET(val, IFERROR(INDEX('Daily 사주 raw'!$A:$ZZ, MATCH(AS$2, 'Daily 사주 raw'!$A:$A, 0), MATCH($B7, 'Daily 사주 raw'!$1:$1, 0)), ""), IF(val=0, "", val))</f>
        <v>31</v>
      </c>
      <c r="AT7" s="137">
        <f t="array" ref="AT7">LET(val, IFERROR(INDEX('Daily 사주 raw'!$A:$ZZ, MATCH(AT$2, 'Daily 사주 raw'!$A:$A, 0), MATCH($B7, 'Daily 사주 raw'!$1:$1, 0)), ""), IF(val=0, "", val))</f>
        <v>28</v>
      </c>
      <c r="AU7" s="137">
        <f t="array" ref="AU7">LET(val, IFERROR(INDEX('Daily 사주 raw'!$A:$ZZ, MATCH(AU$2, 'Daily 사주 raw'!$A:$A, 0), MATCH($B7, 'Daily 사주 raw'!$1:$1, 0)), ""), IF(val=0, "", val))</f>
        <v>25</v>
      </c>
      <c r="AV7" s="137">
        <f t="array" ref="AV7">LET(val, IFERROR(INDEX('Daily 사주 raw'!$A:$ZZ, MATCH(AV$2, 'Daily 사주 raw'!$A:$A, 0), MATCH($B7, 'Daily 사주 raw'!$1:$1, 0)), ""), IF(val=0, "", val))</f>
        <v>31</v>
      </c>
      <c r="AW7" s="137">
        <f t="array" ref="AW7">LET(val, IFERROR(INDEX('Daily 사주 raw'!$A:$ZZ, MATCH(AW$2, 'Daily 사주 raw'!$A:$A, 0), MATCH($B7, 'Daily 사주 raw'!$1:$1, 0)), ""), IF(val=0, "", val))</f>
        <v>35</v>
      </c>
      <c r="AX7" s="137">
        <f t="array" ref="AX7">LET(val, IFERROR(INDEX('Daily 사주 raw'!$A:$ZZ, MATCH(AX$2, 'Daily 사주 raw'!$A:$A, 0), MATCH($B7, 'Daily 사주 raw'!$1:$1, 0)), ""), IF(val=0, "", val))</f>
        <v>33</v>
      </c>
      <c r="AY7" s="137">
        <f t="array" ref="AY7">LET(val, IFERROR(INDEX('Daily 사주 raw'!$A:$ZZ, MATCH(AY$2, 'Daily 사주 raw'!$A:$A, 0), MATCH($B7, 'Daily 사주 raw'!$1:$1, 0)), ""), IF(val=0, "", val))</f>
        <v>46</v>
      </c>
      <c r="AZ7" s="137">
        <f t="array" ref="AZ7">LET(val, IFERROR(INDEX('Daily 사주 raw'!$A:$ZZ, MATCH(AZ$2, 'Daily 사주 raw'!$A:$A, 0), MATCH($B7, 'Daily 사주 raw'!$1:$1, 0)), ""), IF(val=0, "", val))</f>
        <v>42</v>
      </c>
      <c r="BA7" s="137">
        <f t="array" ref="BA7">LET(val, IFERROR(INDEX('Daily 사주 raw'!$A:$ZZ, MATCH(BA$2, 'Daily 사주 raw'!$A:$A, 0), MATCH($B7, 'Daily 사주 raw'!$1:$1, 0)), ""), IF(val=0, "", val))</f>
        <v>32</v>
      </c>
      <c r="BB7" s="137">
        <f t="array" ref="BB7">LET(val, IFERROR(INDEX('Daily 사주 raw'!$A:$ZZ, MATCH(BB$2, 'Daily 사주 raw'!$A:$A, 0), MATCH($B7, 'Daily 사주 raw'!$1:$1, 0)), ""), IF(val=0, "", val))</f>
        <v>24</v>
      </c>
      <c r="BC7" s="137">
        <f t="array" ref="BC7">LET(val, IFERROR(INDEX('Daily 사주 raw'!$A:$ZZ, MATCH(BC$2, 'Daily 사주 raw'!$A:$A, 0), MATCH($B7, 'Daily 사주 raw'!$1:$1, 0)), ""), IF(val=0, "", val))</f>
        <v>26</v>
      </c>
      <c r="BD7" s="137">
        <f t="array" ref="BD7">LET(val, IFERROR(INDEX('Daily 사주 raw'!$A:$ZZ, MATCH(BD$2, 'Daily 사주 raw'!$A:$A, 0), MATCH($B7, 'Daily 사주 raw'!$1:$1, 0)), ""), IF(val=0, "", val))</f>
        <v>32</v>
      </c>
      <c r="BE7" s="137">
        <f t="array" ref="BE7">LET(val, IFERROR(INDEX('Daily 사주 raw'!$A:$ZZ, MATCH(BE$2, 'Daily 사주 raw'!$A:$A, 0), MATCH($B7, 'Daily 사주 raw'!$1:$1, 0)), ""), IF(val=0, "", val))</f>
        <v>7</v>
      </c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7"/>
      <c r="CH7" s="137"/>
      <c r="CI7" s="137"/>
      <c r="CJ7" s="137"/>
      <c r="CK7" s="137"/>
      <c r="CL7" s="137"/>
      <c r="CM7" s="137"/>
      <c r="CN7" s="137"/>
      <c r="CO7" s="138"/>
    </row>
    <row r="8" ht="18.75" customHeight="1">
      <c r="A8" s="136"/>
      <c r="B8" s="23" t="s">
        <v>21</v>
      </c>
      <c r="C8" s="136" t="s">
        <v>22</v>
      </c>
      <c r="D8" s="137">
        <f t="array" ref="D8">LET(val, IFERROR(INDEX('Daily 사주 raw'!$A:$ZZ, MATCH(D$2, 'Daily 사주 raw'!$A:$A, 0), MATCH($B8, 'Daily 사주 raw'!$1:$1, 0)), ""), IF(val=0, "", val))</f>
        <v>868</v>
      </c>
      <c r="E8" s="137">
        <f t="array" ref="E8">LET(val, IFERROR(INDEX('Daily 사주 raw'!$A:$ZZ, MATCH(E$2, 'Daily 사주 raw'!$A:$A, 0), MATCH($B8, 'Daily 사주 raw'!$1:$1, 0)), ""), IF(val=0, "", val))</f>
        <v>627</v>
      </c>
      <c r="F8" s="137">
        <f t="array" ref="F8">LET(val, IFERROR(INDEX('Daily 사주 raw'!$A:$ZZ, MATCH(F$2, 'Daily 사주 raw'!$A:$A, 0), MATCH($B8, 'Daily 사주 raw'!$1:$1, 0)), ""), IF(val=0, "", val))</f>
        <v>587</v>
      </c>
      <c r="G8" s="137">
        <f t="array" ref="G8">LET(val, IFERROR(INDEX('Daily 사주 raw'!$A:$ZZ, MATCH(G$2, 'Daily 사주 raw'!$A:$A, 0), MATCH($B8, 'Daily 사주 raw'!$1:$1, 0)), ""), IF(val=0, "", val))</f>
        <v>568</v>
      </c>
      <c r="H8" s="137">
        <f t="array" ref="H8">LET(val, IFERROR(INDEX('Daily 사주 raw'!$A:$ZZ, MATCH(H$2, 'Daily 사주 raw'!$A:$A, 0), MATCH($B8, 'Daily 사주 raw'!$1:$1, 0)), ""), IF(val=0, "", val))</f>
        <v>559</v>
      </c>
      <c r="I8" s="137">
        <f t="array" ref="I8">LET(val, IFERROR(INDEX('Daily 사주 raw'!$A:$ZZ, MATCH(I$2, 'Daily 사주 raw'!$A:$A, 0), MATCH($B8, 'Daily 사주 raw'!$1:$1, 0)), ""), IF(val=0, "", val))</f>
        <v>568</v>
      </c>
      <c r="J8" s="137">
        <f t="array" ref="J8">LET(val, IFERROR(INDEX('Daily 사주 raw'!$A:$ZZ, MATCH(J$2, 'Daily 사주 raw'!$A:$A, 0), MATCH($B8, 'Daily 사주 raw'!$1:$1, 0)), ""), IF(val=0, "", val))</f>
        <v>593</v>
      </c>
      <c r="K8" s="137">
        <f t="array" ref="K8">LET(val, IFERROR(INDEX('Daily 사주 raw'!$A:$ZZ, MATCH(K$2, 'Daily 사주 raw'!$A:$A, 0), MATCH($B8, 'Daily 사주 raw'!$1:$1, 0)), ""), IF(val=0, "", val))</f>
        <v>595</v>
      </c>
      <c r="L8" s="137">
        <f t="array" ref="L8">LET(val, IFERROR(INDEX('Daily 사주 raw'!$A:$ZZ, MATCH(L$2, 'Daily 사주 raw'!$A:$A, 0), MATCH($B8, 'Daily 사주 raw'!$1:$1, 0)), ""), IF(val=0, "", val))</f>
        <v>460</v>
      </c>
      <c r="M8" s="137">
        <f t="array" ref="M8">LET(val, IFERROR(INDEX('Daily 사주 raw'!$A:$ZZ, MATCH(M$2, 'Daily 사주 raw'!$A:$A, 0), MATCH($B8, 'Daily 사주 raw'!$1:$1, 0)), ""), IF(val=0, "", val))</f>
        <v>484</v>
      </c>
      <c r="N8" s="137">
        <f t="array" ref="N8">LET(val, IFERROR(INDEX('Daily 사주 raw'!$A:$ZZ, MATCH(N$2, 'Daily 사주 raw'!$A:$A, 0), MATCH($B8, 'Daily 사주 raw'!$1:$1, 0)), ""), IF(val=0, "", val))</f>
        <v>432</v>
      </c>
      <c r="O8" s="137">
        <f t="array" ref="O8">LET(val, IFERROR(INDEX('Daily 사주 raw'!$A:$ZZ, MATCH(O$2, 'Daily 사주 raw'!$A:$A, 0), MATCH($B8, 'Daily 사주 raw'!$1:$1, 0)), ""), IF(val=0, "", val))</f>
        <v>435</v>
      </c>
      <c r="P8" s="137">
        <f t="array" ref="P8">LET(val, IFERROR(INDEX('Daily 사주 raw'!$A:$ZZ, MATCH(P$2, 'Daily 사주 raw'!$A:$A, 0), MATCH($B8, 'Daily 사주 raw'!$1:$1, 0)), ""), IF(val=0, "", val))</f>
        <v>370</v>
      </c>
      <c r="Q8" s="137">
        <f t="array" ref="Q8">LET(val, IFERROR(INDEX('Daily 사주 raw'!$A:$ZZ, MATCH(Q$2, 'Daily 사주 raw'!$A:$A, 0), MATCH($B8, 'Daily 사주 raw'!$1:$1, 0)), ""), IF(val=0, "", val))</f>
        <v>371</v>
      </c>
      <c r="R8" s="137">
        <f t="array" ref="R8">LET(val, IFERROR(INDEX('Daily 사주 raw'!$A:$ZZ, MATCH(R$2, 'Daily 사주 raw'!$A:$A, 0), MATCH($B8, 'Daily 사주 raw'!$1:$1, 0)), ""), IF(val=0, "", val))</f>
        <v>326</v>
      </c>
      <c r="S8" s="137">
        <f t="array" ref="S8">LET(val, IFERROR(INDEX('Daily 사주 raw'!$A:$ZZ, MATCH(S$2, 'Daily 사주 raw'!$A:$A, 0), MATCH($B8, 'Daily 사주 raw'!$1:$1, 0)), ""), IF(val=0, "", val))</f>
        <v>313</v>
      </c>
      <c r="T8" s="137">
        <f t="array" ref="T8">LET(val, IFERROR(INDEX('Daily 사주 raw'!$A:$ZZ, MATCH(T$2, 'Daily 사주 raw'!$A:$A, 0), MATCH($B8, 'Daily 사주 raw'!$1:$1, 0)), ""), IF(val=0, "", val))</f>
        <v>343</v>
      </c>
      <c r="U8" s="137">
        <f t="array" ref="U8">LET(val, IFERROR(INDEX('Daily 사주 raw'!$A:$ZZ, MATCH(U$2, 'Daily 사주 raw'!$A:$A, 0), MATCH($B8, 'Daily 사주 raw'!$1:$1, 0)), ""), IF(val=0, "", val))</f>
        <v>328</v>
      </c>
      <c r="V8" s="137">
        <f t="array" ref="V8">LET(val, IFERROR(INDEX('Daily 사주 raw'!$A:$ZZ, MATCH(V$2, 'Daily 사주 raw'!$A:$A, 0), MATCH($B8, 'Daily 사주 raw'!$1:$1, 0)), ""), IF(val=0, "", val))</f>
        <v>325</v>
      </c>
      <c r="W8" s="137">
        <f t="array" ref="W8">LET(val, IFERROR(INDEX('Daily 사주 raw'!$A:$ZZ, MATCH(W$2, 'Daily 사주 raw'!$A:$A, 0), MATCH($B8, 'Daily 사주 raw'!$1:$1, 0)), ""), IF(val=0, "", val))</f>
        <v>567</v>
      </c>
      <c r="X8" s="137">
        <f t="array" ref="X8">LET(val, IFERROR(INDEX('Daily 사주 raw'!$A:$ZZ, MATCH(X$2, 'Daily 사주 raw'!$A:$A, 0), MATCH($B8, 'Daily 사주 raw'!$1:$1, 0)), ""), IF(val=0, "", val))</f>
        <v>579</v>
      </c>
      <c r="Y8" s="137">
        <f t="array" ref="Y8">LET(val, IFERROR(INDEX('Daily 사주 raw'!$A:$ZZ, MATCH(Y$2, 'Daily 사주 raw'!$A:$A, 0), MATCH($B8, 'Daily 사주 raw'!$1:$1, 0)), ""), IF(val=0, "", val))</f>
        <v>470</v>
      </c>
      <c r="Z8" s="137">
        <f t="array" ref="Z8">LET(val, IFERROR(INDEX('Daily 사주 raw'!$A:$ZZ, MATCH(Z$2, 'Daily 사주 raw'!$A:$A, 0), MATCH($B8, 'Daily 사주 raw'!$1:$1, 0)), ""), IF(val=0, "", val))</f>
        <v>321</v>
      </c>
      <c r="AA8" s="137">
        <f t="array" ref="AA8">LET(val, IFERROR(INDEX('Daily 사주 raw'!$A:$ZZ, MATCH(AA$2, 'Daily 사주 raw'!$A:$A, 0), MATCH($B8, 'Daily 사주 raw'!$1:$1, 0)), ""), IF(val=0, "", val))</f>
        <v>249</v>
      </c>
      <c r="AB8" s="137">
        <f t="array" ref="AB8">LET(val, IFERROR(INDEX('Daily 사주 raw'!$A:$ZZ, MATCH(AB$2, 'Daily 사주 raw'!$A:$A, 0), MATCH($B8, 'Daily 사주 raw'!$1:$1, 0)), ""), IF(val=0, "", val))</f>
        <v>311</v>
      </c>
      <c r="AC8" s="137">
        <f t="array" ref="AC8">LET(val, IFERROR(INDEX('Daily 사주 raw'!$A:$ZZ, MATCH(AC$2, 'Daily 사주 raw'!$A:$A, 0), MATCH($B8, 'Daily 사주 raw'!$1:$1, 0)), ""), IF(val=0, "", val))</f>
        <v>296</v>
      </c>
      <c r="AD8" s="137">
        <f t="array" ref="AD8">LET(val, IFERROR(INDEX('Daily 사주 raw'!$A:$ZZ, MATCH(AD$2, 'Daily 사주 raw'!$A:$A, 0), MATCH($B8, 'Daily 사주 raw'!$1:$1, 0)), ""), IF(val=0, "", val))</f>
        <v>495</v>
      </c>
      <c r="AE8" s="137">
        <f t="array" ref="AE8">LET(val, IFERROR(INDEX('Daily 사주 raw'!$A:$ZZ, MATCH(AE$2, 'Daily 사주 raw'!$A:$A, 0), MATCH($B8, 'Daily 사주 raw'!$1:$1, 0)), ""), IF(val=0, "", val))</f>
        <v>404</v>
      </c>
      <c r="AF8" s="137">
        <f t="array" ref="AF8">LET(val, IFERROR(INDEX('Daily 사주 raw'!$A:$ZZ, MATCH(AF$2, 'Daily 사주 raw'!$A:$A, 0), MATCH($B8, 'Daily 사주 raw'!$1:$1, 0)), ""), IF(val=0, "", val))</f>
        <v>397</v>
      </c>
      <c r="AG8" s="137">
        <f t="array" ref="AG8">LET(val, IFERROR(INDEX('Daily 사주 raw'!$A:$ZZ, MATCH(AG$2, 'Daily 사주 raw'!$A:$A, 0), MATCH($B8, 'Daily 사주 raw'!$1:$1, 0)), ""), IF(val=0, "", val))</f>
        <v>338</v>
      </c>
      <c r="AH8" s="137">
        <f t="array" ref="AH8">LET(val, IFERROR(INDEX('Daily 사주 raw'!$A:$ZZ, MATCH(AH$2, 'Daily 사주 raw'!$A:$A, 0), MATCH($B8, 'Daily 사주 raw'!$1:$1, 0)), ""), IF(val=0, "", val))</f>
        <v>340</v>
      </c>
      <c r="AI8" s="137">
        <f t="array" ref="AI8">LET(val, IFERROR(INDEX('Daily 사주 raw'!$A:$ZZ, MATCH(AI$2, 'Daily 사주 raw'!$A:$A, 0), MATCH($B8, 'Daily 사주 raw'!$1:$1, 0)), ""), IF(val=0, "", val))</f>
        <v>354</v>
      </c>
      <c r="AJ8" s="137">
        <f t="array" ref="AJ8">LET(val, IFERROR(INDEX('Daily 사주 raw'!$A:$ZZ, MATCH(AJ$2, 'Daily 사주 raw'!$A:$A, 0), MATCH($B8, 'Daily 사주 raw'!$1:$1, 0)), ""), IF(val=0, "", val))</f>
        <v>362</v>
      </c>
      <c r="AK8" s="137">
        <f t="array" ref="AK8">LET(val, IFERROR(INDEX('Daily 사주 raw'!$A:$ZZ, MATCH(AK$2, 'Daily 사주 raw'!$A:$A, 0), MATCH($B8, 'Daily 사주 raw'!$1:$1, 0)), ""), IF(val=0, "", val))</f>
        <v>295</v>
      </c>
      <c r="AL8" s="137">
        <f t="array" ref="AL8">LET(val, IFERROR(INDEX('Daily 사주 raw'!$A:$ZZ, MATCH(AL$2, 'Daily 사주 raw'!$A:$A, 0), MATCH($B8, 'Daily 사주 raw'!$1:$1, 0)), ""), IF(val=0, "", val))</f>
        <v>236</v>
      </c>
      <c r="AM8" s="137">
        <f t="array" ref="AM8">LET(val, IFERROR(INDEX('Daily 사주 raw'!$A:$ZZ, MATCH(AM$2, 'Daily 사주 raw'!$A:$A, 0), MATCH($B8, 'Daily 사주 raw'!$1:$1, 0)), ""), IF(val=0, "", val))</f>
        <v>282</v>
      </c>
      <c r="AN8" s="137">
        <f t="array" ref="AN8">LET(val, IFERROR(INDEX('Daily 사주 raw'!$A:$ZZ, MATCH(AN$2, 'Daily 사주 raw'!$A:$A, 0), MATCH($B8, 'Daily 사주 raw'!$1:$1, 0)), ""), IF(val=0, "", val))</f>
        <v>263</v>
      </c>
      <c r="AO8" s="137">
        <f t="array" ref="AO8">LET(val, IFERROR(INDEX('Daily 사주 raw'!$A:$ZZ, MATCH(AO$2, 'Daily 사주 raw'!$A:$A, 0), MATCH($B8, 'Daily 사주 raw'!$1:$1, 0)), ""), IF(val=0, "", val))</f>
        <v>233</v>
      </c>
      <c r="AP8" s="137">
        <f t="array" ref="AP8">LET(val, IFERROR(INDEX('Daily 사주 raw'!$A:$ZZ, MATCH(AP$2, 'Daily 사주 raw'!$A:$A, 0), MATCH($B8, 'Daily 사주 raw'!$1:$1, 0)), ""), IF(val=0, "", val))</f>
        <v>233</v>
      </c>
      <c r="AQ8" s="137">
        <f t="array" ref="AQ8">LET(val, IFERROR(INDEX('Daily 사주 raw'!$A:$ZZ, MATCH(AQ$2, 'Daily 사주 raw'!$A:$A, 0), MATCH($B8, 'Daily 사주 raw'!$1:$1, 0)), ""), IF(val=0, "", val))</f>
        <v>221</v>
      </c>
      <c r="AR8" s="137">
        <f t="array" ref="AR8">LET(val, IFERROR(INDEX('Daily 사주 raw'!$A:$ZZ, MATCH(AR$2, 'Daily 사주 raw'!$A:$A, 0), MATCH($B8, 'Daily 사주 raw'!$1:$1, 0)), ""), IF(val=0, "", val))</f>
        <v>251</v>
      </c>
      <c r="AS8" s="137">
        <f t="array" ref="AS8">LET(val, IFERROR(INDEX('Daily 사주 raw'!$A:$ZZ, MATCH(AS$2, 'Daily 사주 raw'!$A:$A, 0), MATCH($B8, 'Daily 사주 raw'!$1:$1, 0)), ""), IF(val=0, "", val))</f>
        <v>216</v>
      </c>
      <c r="AT8" s="137">
        <f t="array" ref="AT8">LET(val, IFERROR(INDEX('Daily 사주 raw'!$A:$ZZ, MATCH(AT$2, 'Daily 사주 raw'!$A:$A, 0), MATCH($B8, 'Daily 사주 raw'!$1:$1, 0)), ""), IF(val=0, "", val))</f>
        <v>213</v>
      </c>
      <c r="AU8" s="137">
        <f t="array" ref="AU8">LET(val, IFERROR(INDEX('Daily 사주 raw'!$A:$ZZ, MATCH(AU$2, 'Daily 사주 raw'!$A:$A, 0), MATCH($B8, 'Daily 사주 raw'!$1:$1, 0)), ""), IF(val=0, "", val))</f>
        <v>194</v>
      </c>
      <c r="AV8" s="137">
        <f t="array" ref="AV8">LET(val, IFERROR(INDEX('Daily 사주 raw'!$A:$ZZ, MATCH(AV$2, 'Daily 사주 raw'!$A:$A, 0), MATCH($B8, 'Daily 사주 raw'!$1:$1, 0)), ""), IF(val=0, "", val))</f>
        <v>194</v>
      </c>
      <c r="AW8" s="137">
        <f t="array" ref="AW8">LET(val, IFERROR(INDEX('Daily 사주 raw'!$A:$ZZ, MATCH(AW$2, 'Daily 사주 raw'!$A:$A, 0), MATCH($B8, 'Daily 사주 raw'!$1:$1, 0)), ""), IF(val=0, "", val))</f>
        <v>207</v>
      </c>
      <c r="AX8" s="137">
        <f t="array" ref="AX8">LET(val, IFERROR(INDEX('Daily 사주 raw'!$A:$ZZ, MATCH(AX$2, 'Daily 사주 raw'!$A:$A, 0), MATCH($B8, 'Daily 사주 raw'!$1:$1, 0)), ""), IF(val=0, "", val))</f>
        <v>203</v>
      </c>
      <c r="AY8" s="137">
        <f t="array" ref="AY8">LET(val, IFERROR(INDEX('Daily 사주 raw'!$A:$ZZ, MATCH(AY$2, 'Daily 사주 raw'!$A:$A, 0), MATCH($B8, 'Daily 사주 raw'!$1:$1, 0)), ""), IF(val=0, "", val))</f>
        <v>195</v>
      </c>
      <c r="AZ8" s="137">
        <f t="array" ref="AZ8">LET(val, IFERROR(INDEX('Daily 사주 raw'!$A:$ZZ, MATCH(AZ$2, 'Daily 사주 raw'!$A:$A, 0), MATCH($B8, 'Daily 사주 raw'!$1:$1, 0)), ""), IF(val=0, "", val))</f>
        <v>204</v>
      </c>
      <c r="BA8" s="137">
        <f t="array" ref="BA8">LET(val, IFERROR(INDEX('Daily 사주 raw'!$A:$ZZ, MATCH(BA$2, 'Daily 사주 raw'!$A:$A, 0), MATCH($B8, 'Daily 사주 raw'!$1:$1, 0)), ""), IF(val=0, "", val))</f>
        <v>214</v>
      </c>
      <c r="BB8" s="137">
        <f t="array" ref="BB8">LET(val, IFERROR(INDEX('Daily 사주 raw'!$A:$ZZ, MATCH(BB$2, 'Daily 사주 raw'!$A:$A, 0), MATCH($B8, 'Daily 사주 raw'!$1:$1, 0)), ""), IF(val=0, "", val))</f>
        <v>223</v>
      </c>
      <c r="BC8" s="137">
        <f t="array" ref="BC8">LET(val, IFERROR(INDEX('Daily 사주 raw'!$A:$ZZ, MATCH(BC$2, 'Daily 사주 raw'!$A:$A, 0), MATCH($B8, 'Daily 사주 raw'!$1:$1, 0)), ""), IF(val=0, "", val))</f>
        <v>176</v>
      </c>
      <c r="BD8" s="137">
        <f t="array" ref="BD8">LET(val, IFERROR(INDEX('Daily 사주 raw'!$A:$ZZ, MATCH(BD$2, 'Daily 사주 raw'!$A:$A, 0), MATCH($B8, 'Daily 사주 raw'!$1:$1, 0)), ""), IF(val=0, "", val))</f>
        <v>217</v>
      </c>
      <c r="BE8" s="137">
        <f t="array" ref="BE8">LET(val, IFERROR(INDEX('Daily 사주 raw'!$A:$ZZ, MATCH(BE$2, 'Daily 사주 raw'!$A:$A, 0), MATCH($B8, 'Daily 사주 raw'!$1:$1, 0)), ""), IF(val=0, "", val))</f>
        <v>120</v>
      </c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8"/>
    </row>
    <row r="9" ht="18.75" customHeight="1">
      <c r="A9" s="136"/>
      <c r="B9" s="23" t="s">
        <v>23</v>
      </c>
      <c r="C9" s="136" t="s">
        <v>24</v>
      </c>
      <c r="D9" s="137">
        <f t="array" ref="D9">LET(val, IFERROR(INDEX('Daily 사주 raw'!$A:$ZZ, MATCH(D$2, 'Daily 사주 raw'!$A:$A, 0), MATCH($B9, 'Daily 사주 raw'!$1:$1, 0)), ""), IF(val=0, "", val))</f>
        <v>2031</v>
      </c>
      <c r="E9" s="137">
        <f t="array" ref="E9">LET(val, IFERROR(INDEX('Daily 사주 raw'!$A:$ZZ, MATCH(E$2, 'Daily 사주 raw'!$A:$A, 0), MATCH($B9, 'Daily 사주 raw'!$1:$1, 0)), ""), IF(val=0, "", val))</f>
        <v>1433</v>
      </c>
      <c r="F9" s="137">
        <f t="array" ref="F9">LET(val, IFERROR(INDEX('Daily 사주 raw'!$A:$ZZ, MATCH(F$2, 'Daily 사주 raw'!$A:$A, 0), MATCH($B9, 'Daily 사주 raw'!$1:$1, 0)), ""), IF(val=0, "", val))</f>
        <v>1411</v>
      </c>
      <c r="G9" s="137">
        <f t="array" ref="G9">LET(val, IFERROR(INDEX('Daily 사주 raw'!$A:$ZZ, MATCH(G$2, 'Daily 사주 raw'!$A:$A, 0), MATCH($B9, 'Daily 사주 raw'!$1:$1, 0)), ""), IF(val=0, "", val))</f>
        <v>1424</v>
      </c>
      <c r="H9" s="137">
        <f t="array" ref="H9">LET(val, IFERROR(INDEX('Daily 사주 raw'!$A:$ZZ, MATCH(H$2, 'Daily 사주 raw'!$A:$A, 0), MATCH($B9, 'Daily 사주 raw'!$1:$1, 0)), ""), IF(val=0, "", val))</f>
        <v>1308</v>
      </c>
      <c r="I9" s="137">
        <f t="array" ref="I9">LET(val, IFERROR(INDEX('Daily 사주 raw'!$A:$ZZ, MATCH(I$2, 'Daily 사주 raw'!$A:$A, 0), MATCH($B9, 'Daily 사주 raw'!$1:$1, 0)), ""), IF(val=0, "", val))</f>
        <v>1286</v>
      </c>
      <c r="J9" s="137">
        <f t="array" ref="J9">LET(val, IFERROR(INDEX('Daily 사주 raw'!$A:$ZZ, MATCH(J$2, 'Daily 사주 raw'!$A:$A, 0), MATCH($B9, 'Daily 사주 raw'!$1:$1, 0)), ""), IF(val=0, "", val))</f>
        <v>1380</v>
      </c>
      <c r="K9" s="137">
        <f t="array" ref="K9">LET(val, IFERROR(INDEX('Daily 사주 raw'!$A:$ZZ, MATCH(K$2, 'Daily 사주 raw'!$A:$A, 0), MATCH($B9, 'Daily 사주 raw'!$1:$1, 0)), ""), IF(val=0, "", val))</f>
        <v>1411</v>
      </c>
      <c r="L9" s="137">
        <f t="array" ref="L9">LET(val, IFERROR(INDEX('Daily 사주 raw'!$A:$ZZ, MATCH(L$2, 'Daily 사주 raw'!$A:$A, 0), MATCH($B9, 'Daily 사주 raw'!$1:$1, 0)), ""), IF(val=0, "", val))</f>
        <v>998</v>
      </c>
      <c r="M9" s="137">
        <f t="array" ref="M9">LET(val, IFERROR(INDEX('Daily 사주 raw'!$A:$ZZ, MATCH(M$2, 'Daily 사주 raw'!$A:$A, 0), MATCH($B9, 'Daily 사주 raw'!$1:$1, 0)), ""), IF(val=0, "", val))</f>
        <v>1118</v>
      </c>
      <c r="N9" s="137">
        <f t="array" ref="N9">LET(val, IFERROR(INDEX('Daily 사주 raw'!$A:$ZZ, MATCH(N$2, 'Daily 사주 raw'!$A:$A, 0), MATCH($B9, 'Daily 사주 raw'!$1:$1, 0)), ""), IF(val=0, "", val))</f>
        <v>939</v>
      </c>
      <c r="O9" s="137">
        <f t="array" ref="O9">LET(val, IFERROR(INDEX('Daily 사주 raw'!$A:$ZZ, MATCH(O$2, 'Daily 사주 raw'!$A:$A, 0), MATCH($B9, 'Daily 사주 raw'!$1:$1, 0)), ""), IF(val=0, "", val))</f>
        <v>974</v>
      </c>
      <c r="P9" s="137">
        <f t="array" ref="P9">LET(val, IFERROR(INDEX('Daily 사주 raw'!$A:$ZZ, MATCH(P$2, 'Daily 사주 raw'!$A:$A, 0), MATCH($B9, 'Daily 사주 raw'!$1:$1, 0)), ""), IF(val=0, "", val))</f>
        <v>861</v>
      </c>
      <c r="Q9" s="137">
        <f t="array" ref="Q9">LET(val, IFERROR(INDEX('Daily 사주 raw'!$A:$ZZ, MATCH(Q$2, 'Daily 사주 raw'!$A:$A, 0), MATCH($B9, 'Daily 사주 raw'!$1:$1, 0)), ""), IF(val=0, "", val))</f>
        <v>821</v>
      </c>
      <c r="R9" s="137">
        <f t="array" ref="R9">LET(val, IFERROR(INDEX('Daily 사주 raw'!$A:$ZZ, MATCH(R$2, 'Daily 사주 raw'!$A:$A, 0), MATCH($B9, 'Daily 사주 raw'!$1:$1, 0)), ""), IF(val=0, "", val))</f>
        <v>773</v>
      </c>
      <c r="S9" s="137">
        <f t="array" ref="S9">LET(val, IFERROR(INDEX('Daily 사주 raw'!$A:$ZZ, MATCH(S$2, 'Daily 사주 raw'!$A:$A, 0), MATCH($B9, 'Daily 사주 raw'!$1:$1, 0)), ""), IF(val=0, "", val))</f>
        <v>693</v>
      </c>
      <c r="T9" s="137">
        <f t="array" ref="T9">LET(val, IFERROR(INDEX('Daily 사주 raw'!$A:$ZZ, MATCH(T$2, 'Daily 사주 raw'!$A:$A, 0), MATCH($B9, 'Daily 사주 raw'!$1:$1, 0)), ""), IF(val=0, "", val))</f>
        <v>800</v>
      </c>
      <c r="U9" s="137">
        <f t="array" ref="U9">LET(val, IFERROR(INDEX('Daily 사주 raw'!$A:$ZZ, MATCH(U$2, 'Daily 사주 raw'!$A:$A, 0), MATCH($B9, 'Daily 사주 raw'!$1:$1, 0)), ""), IF(val=0, "", val))</f>
        <v>790</v>
      </c>
      <c r="V9" s="137">
        <f t="array" ref="V9">LET(val, IFERROR(INDEX('Daily 사주 raw'!$A:$ZZ, MATCH(V$2, 'Daily 사주 raw'!$A:$A, 0), MATCH($B9, 'Daily 사주 raw'!$1:$1, 0)), ""), IF(val=0, "", val))</f>
        <v>715</v>
      </c>
      <c r="W9" s="137">
        <f t="array" ref="W9">LET(val, IFERROR(INDEX('Daily 사주 raw'!$A:$ZZ, MATCH(W$2, 'Daily 사주 raw'!$A:$A, 0), MATCH($B9, 'Daily 사주 raw'!$1:$1, 0)), ""), IF(val=0, "", val))</f>
        <v>1396</v>
      </c>
      <c r="X9" s="137">
        <f t="array" ref="X9">LET(val, IFERROR(INDEX('Daily 사주 raw'!$A:$ZZ, MATCH(X$2, 'Daily 사주 raw'!$A:$A, 0), MATCH($B9, 'Daily 사주 raw'!$1:$1, 0)), ""), IF(val=0, "", val))</f>
        <v>1404</v>
      </c>
      <c r="Y9" s="137">
        <f t="array" ref="Y9">LET(val, IFERROR(INDEX('Daily 사주 raw'!$A:$ZZ, MATCH(Y$2, 'Daily 사주 raw'!$A:$A, 0), MATCH($B9, 'Daily 사주 raw'!$1:$1, 0)), ""), IF(val=0, "", val))</f>
        <v>1088</v>
      </c>
      <c r="Z9" s="137">
        <f t="array" ref="Z9">LET(val, IFERROR(INDEX('Daily 사주 raw'!$A:$ZZ, MATCH(Z$2, 'Daily 사주 raw'!$A:$A, 0), MATCH($B9, 'Daily 사주 raw'!$1:$1, 0)), ""), IF(val=0, "", val))</f>
        <v>750</v>
      </c>
      <c r="AA9" s="137">
        <f t="array" ref="AA9">LET(val, IFERROR(INDEX('Daily 사주 raw'!$A:$ZZ, MATCH(AA$2, 'Daily 사주 raw'!$A:$A, 0), MATCH($B9, 'Daily 사주 raw'!$1:$1, 0)), ""), IF(val=0, "", val))</f>
        <v>577</v>
      </c>
      <c r="AB9" s="137">
        <f t="array" ref="AB9">LET(val, IFERROR(INDEX('Daily 사주 raw'!$A:$ZZ, MATCH(AB$2, 'Daily 사주 raw'!$A:$A, 0), MATCH($B9, 'Daily 사주 raw'!$1:$1, 0)), ""), IF(val=0, "", val))</f>
        <v>703</v>
      </c>
      <c r="AC9" s="137">
        <f t="array" ref="AC9">LET(val, IFERROR(INDEX('Daily 사주 raw'!$A:$ZZ, MATCH(AC$2, 'Daily 사주 raw'!$A:$A, 0), MATCH($B9, 'Daily 사주 raw'!$1:$1, 0)), ""), IF(val=0, "", val))</f>
        <v>704</v>
      </c>
      <c r="AD9" s="137">
        <f t="array" ref="AD9">LET(val, IFERROR(INDEX('Daily 사주 raw'!$A:$ZZ, MATCH(AD$2, 'Daily 사주 raw'!$A:$A, 0), MATCH($B9, 'Daily 사주 raw'!$1:$1, 0)), ""), IF(val=0, "", val))</f>
        <v>996</v>
      </c>
      <c r="AE9" s="137">
        <f t="array" ref="AE9">LET(val, IFERROR(INDEX('Daily 사주 raw'!$A:$ZZ, MATCH(AE$2, 'Daily 사주 raw'!$A:$A, 0), MATCH($B9, 'Daily 사주 raw'!$1:$1, 0)), ""), IF(val=0, "", val))</f>
        <v>859</v>
      </c>
      <c r="AF9" s="137">
        <f t="array" ref="AF9">LET(val, IFERROR(INDEX('Daily 사주 raw'!$A:$ZZ, MATCH(AF$2, 'Daily 사주 raw'!$A:$A, 0), MATCH($B9, 'Daily 사주 raw'!$1:$1, 0)), ""), IF(val=0, "", val))</f>
        <v>937</v>
      </c>
      <c r="AG9" s="137">
        <f t="array" ref="AG9">LET(val, IFERROR(INDEX('Daily 사주 raw'!$A:$ZZ, MATCH(AG$2, 'Daily 사주 raw'!$A:$A, 0), MATCH($B9, 'Daily 사주 raw'!$1:$1, 0)), ""), IF(val=0, "", val))</f>
        <v>795</v>
      </c>
      <c r="AH9" s="137">
        <f t="array" ref="AH9">LET(val, IFERROR(INDEX('Daily 사주 raw'!$A:$ZZ, MATCH(AH$2, 'Daily 사주 raw'!$A:$A, 0), MATCH($B9, 'Daily 사주 raw'!$1:$1, 0)), ""), IF(val=0, "", val))</f>
        <v>810</v>
      </c>
      <c r="AI9" s="137">
        <f t="array" ref="AI9">LET(val, IFERROR(INDEX('Daily 사주 raw'!$A:$ZZ, MATCH(AI$2, 'Daily 사주 raw'!$A:$A, 0), MATCH($B9, 'Daily 사주 raw'!$1:$1, 0)), ""), IF(val=0, "", val))</f>
        <v>879</v>
      </c>
      <c r="AJ9" s="137">
        <f t="array" ref="AJ9">LET(val, IFERROR(INDEX('Daily 사주 raw'!$A:$ZZ, MATCH(AJ$2, 'Daily 사주 raw'!$A:$A, 0), MATCH($B9, 'Daily 사주 raw'!$1:$1, 0)), ""), IF(val=0, "", val))</f>
        <v>755</v>
      </c>
      <c r="AK9" s="137">
        <f t="array" ref="AK9">LET(val, IFERROR(INDEX('Daily 사주 raw'!$A:$ZZ, MATCH(AK$2, 'Daily 사주 raw'!$A:$A, 0), MATCH($B9, 'Daily 사주 raw'!$1:$1, 0)), ""), IF(val=0, "", val))</f>
        <v>627</v>
      </c>
      <c r="AL9" s="137">
        <f t="array" ref="AL9">LET(val, IFERROR(INDEX('Daily 사주 raw'!$A:$ZZ, MATCH(AL$2, 'Daily 사주 raw'!$A:$A, 0), MATCH($B9, 'Daily 사주 raw'!$1:$1, 0)), ""), IF(val=0, "", val))</f>
        <v>540</v>
      </c>
      <c r="AM9" s="137">
        <f t="array" ref="AM9">LET(val, IFERROR(INDEX('Daily 사주 raw'!$A:$ZZ, MATCH(AM$2, 'Daily 사주 raw'!$A:$A, 0), MATCH($B9, 'Daily 사주 raw'!$1:$1, 0)), ""), IF(val=0, "", val))</f>
        <v>665</v>
      </c>
      <c r="AN9" s="137">
        <f t="array" ref="AN9">LET(val, IFERROR(INDEX('Daily 사주 raw'!$A:$ZZ, MATCH(AN$2, 'Daily 사주 raw'!$A:$A, 0), MATCH($B9, 'Daily 사주 raw'!$1:$1, 0)), ""), IF(val=0, "", val))</f>
        <v>571</v>
      </c>
      <c r="AO9" s="137">
        <f t="array" ref="AO9">LET(val, IFERROR(INDEX('Daily 사주 raw'!$A:$ZZ, MATCH(AO$2, 'Daily 사주 raw'!$A:$A, 0), MATCH($B9, 'Daily 사주 raw'!$1:$1, 0)), ""), IF(val=0, "", val))</f>
        <v>531</v>
      </c>
      <c r="AP9" s="137">
        <f t="array" ref="AP9">LET(val, IFERROR(INDEX('Daily 사주 raw'!$A:$ZZ, MATCH(AP$2, 'Daily 사주 raw'!$A:$A, 0), MATCH($B9, 'Daily 사주 raw'!$1:$1, 0)), ""), IF(val=0, "", val))</f>
        <v>535</v>
      </c>
      <c r="AQ9" s="137">
        <f t="array" ref="AQ9">LET(val, IFERROR(INDEX('Daily 사주 raw'!$A:$ZZ, MATCH(AQ$2, 'Daily 사주 raw'!$A:$A, 0), MATCH($B9, 'Daily 사주 raw'!$1:$1, 0)), ""), IF(val=0, "", val))</f>
        <v>526</v>
      </c>
      <c r="AR9" s="137">
        <f t="array" ref="AR9">LET(val, IFERROR(INDEX('Daily 사주 raw'!$A:$ZZ, MATCH(AR$2, 'Daily 사주 raw'!$A:$A, 0), MATCH($B9, 'Daily 사주 raw'!$1:$1, 0)), ""), IF(val=0, "", val))</f>
        <v>535</v>
      </c>
      <c r="AS9" s="137">
        <f t="array" ref="AS9">LET(val, IFERROR(INDEX('Daily 사주 raw'!$A:$ZZ, MATCH(AS$2, 'Daily 사주 raw'!$A:$A, 0), MATCH($B9, 'Daily 사주 raw'!$1:$1, 0)), ""), IF(val=0, "", val))</f>
        <v>448</v>
      </c>
      <c r="AT9" s="137">
        <f t="array" ref="AT9">LET(val, IFERROR(INDEX('Daily 사주 raw'!$A:$ZZ, MATCH(AT$2, 'Daily 사주 raw'!$A:$A, 0), MATCH($B9, 'Daily 사주 raw'!$1:$1, 0)), ""), IF(val=0, "", val))</f>
        <v>443</v>
      </c>
      <c r="AU9" s="137">
        <f t="array" ref="AU9">LET(val, IFERROR(INDEX('Daily 사주 raw'!$A:$ZZ, MATCH(AU$2, 'Daily 사주 raw'!$A:$A, 0), MATCH($B9, 'Daily 사주 raw'!$1:$1, 0)), ""), IF(val=0, "", val))</f>
        <v>428</v>
      </c>
      <c r="AV9" s="137">
        <f t="array" ref="AV9">LET(val, IFERROR(INDEX('Daily 사주 raw'!$A:$ZZ, MATCH(AV$2, 'Daily 사주 raw'!$A:$A, 0), MATCH($B9, 'Daily 사주 raw'!$1:$1, 0)), ""), IF(val=0, "", val))</f>
        <v>451</v>
      </c>
      <c r="AW9" s="137">
        <f t="array" ref="AW9">LET(val, IFERROR(INDEX('Daily 사주 raw'!$A:$ZZ, MATCH(AW$2, 'Daily 사주 raw'!$A:$A, 0), MATCH($B9, 'Daily 사주 raw'!$1:$1, 0)), ""), IF(val=0, "", val))</f>
        <v>517</v>
      </c>
      <c r="AX9" s="137">
        <f t="array" ref="AX9">LET(val, IFERROR(INDEX('Daily 사주 raw'!$A:$ZZ, MATCH(AX$2, 'Daily 사주 raw'!$A:$A, 0), MATCH($B9, 'Daily 사주 raw'!$1:$1, 0)), ""), IF(val=0, "", val))</f>
        <v>446</v>
      </c>
      <c r="AY9" s="137">
        <f t="array" ref="AY9">LET(val, IFERROR(INDEX('Daily 사주 raw'!$A:$ZZ, MATCH(AY$2, 'Daily 사주 raw'!$A:$A, 0), MATCH($B9, 'Daily 사주 raw'!$1:$1, 0)), ""), IF(val=0, "", val))</f>
        <v>452</v>
      </c>
      <c r="AZ9" s="137">
        <f t="array" ref="AZ9">LET(val, IFERROR(INDEX('Daily 사주 raw'!$A:$ZZ, MATCH(AZ$2, 'Daily 사주 raw'!$A:$A, 0), MATCH($B9, 'Daily 사주 raw'!$1:$1, 0)), ""), IF(val=0, "", val))</f>
        <v>454</v>
      </c>
      <c r="BA9" s="137">
        <f t="array" ref="BA9">LET(val, IFERROR(INDEX('Daily 사주 raw'!$A:$ZZ, MATCH(BA$2, 'Daily 사주 raw'!$A:$A, 0), MATCH($B9, 'Daily 사주 raw'!$1:$1, 0)), ""), IF(val=0, "", val))</f>
        <v>486</v>
      </c>
      <c r="BB9" s="137">
        <f t="array" ref="BB9">LET(val, IFERROR(INDEX('Daily 사주 raw'!$A:$ZZ, MATCH(BB$2, 'Daily 사주 raw'!$A:$A, 0), MATCH($B9, 'Daily 사주 raw'!$1:$1, 0)), ""), IF(val=0, "", val))</f>
        <v>497</v>
      </c>
      <c r="BC9" s="137">
        <f t="array" ref="BC9">LET(val, IFERROR(INDEX('Daily 사주 raw'!$A:$ZZ, MATCH(BC$2, 'Daily 사주 raw'!$A:$A, 0), MATCH($B9, 'Daily 사주 raw'!$1:$1, 0)), ""), IF(val=0, "", val))</f>
        <v>388</v>
      </c>
      <c r="BD9" s="137">
        <f t="array" ref="BD9">LET(val, IFERROR(INDEX('Daily 사주 raw'!$A:$ZZ, MATCH(BD$2, 'Daily 사주 raw'!$A:$A, 0), MATCH($B9, 'Daily 사주 raw'!$1:$1, 0)), ""), IF(val=0, "", val))</f>
        <v>516</v>
      </c>
      <c r="BE9" s="137">
        <f t="array" ref="BE9">LET(val, IFERROR(INDEX('Daily 사주 raw'!$A:$ZZ, MATCH(BE$2, 'Daily 사주 raw'!$A:$A, 0), MATCH($B9, 'Daily 사주 raw'!$1:$1, 0)), ""), IF(val=0, "", val))</f>
        <v>275</v>
      </c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  <c r="CL9" s="137"/>
      <c r="CM9" s="137"/>
      <c r="CN9" s="137"/>
      <c r="CO9" s="138"/>
    </row>
    <row r="10" ht="18.75" customHeight="1">
      <c r="A10" s="141"/>
      <c r="B10" s="23" t="s">
        <v>25</v>
      </c>
      <c r="C10" s="141" t="s">
        <v>25</v>
      </c>
      <c r="D10" s="102">
        <f t="array" ref="D10">LET(val, IFERROR(INDEX('Daily 사주 raw'!$A:$ZZ, MATCH(D$2, 'Daily 사주 raw'!$A:$A, 0), MATCH($B10, 'Daily 사주 raw'!$1:$1, 0)), ""), IF(val=0, "", val))</f>
        <v>35596.875</v>
      </c>
      <c r="E10" s="102">
        <f t="array" ref="E10">LET(val, IFERROR(INDEX('Daily 사주 raw'!$A:$ZZ, MATCH(E$2, 'Daily 사주 raw'!$A:$A, 0), MATCH($B10, 'Daily 사주 raw'!$1:$1, 0)), ""), IF(val=0, "", val))</f>
        <v>28090.47619</v>
      </c>
      <c r="F10" s="102">
        <f t="array" ref="F10">LET(val, IFERROR(INDEX('Daily 사주 raw'!$A:$ZZ, MATCH(F$2, 'Daily 사주 raw'!$A:$A, 0), MATCH($B10, 'Daily 사주 raw'!$1:$1, 0)), ""), IF(val=0, "", val))</f>
        <v>24575</v>
      </c>
      <c r="G10" s="102">
        <f t="array" ref="G10">LET(val, IFERROR(INDEX('Daily 사주 raw'!$A:$ZZ, MATCH(G$2, 'Daily 사주 raw'!$A:$A, 0), MATCH($B10, 'Daily 사주 raw'!$1:$1, 0)), ""), IF(val=0, "", val))</f>
        <v>22425</v>
      </c>
      <c r="H10" s="102">
        <f t="array" ref="H10">LET(val, IFERROR(INDEX('Daily 사주 raw'!$A:$ZZ, MATCH(H$2, 'Daily 사주 raw'!$A:$A, 0), MATCH($B10, 'Daily 사주 raw'!$1:$1, 0)), ""), IF(val=0, "", val))</f>
        <v>30500</v>
      </c>
      <c r="I10" s="102">
        <f t="array" ref="I10">LET(val, IFERROR(INDEX('Daily 사주 raw'!$A:$ZZ, MATCH(I$2, 'Daily 사주 raw'!$A:$A, 0), MATCH($B10, 'Daily 사주 raw'!$1:$1, 0)), ""), IF(val=0, "", val))</f>
        <v>27689.47368</v>
      </c>
      <c r="J10" s="102">
        <f t="array" ref="J10">LET(val, IFERROR(INDEX('Daily 사주 raw'!$A:$ZZ, MATCH(J$2, 'Daily 사주 raw'!$A:$A, 0), MATCH($B10, 'Daily 사주 raw'!$1:$1, 0)), ""), IF(val=0, "", val))</f>
        <v>19000</v>
      </c>
      <c r="K10" s="102">
        <f t="array" ref="K10">LET(val, IFERROR(INDEX('Daily 사주 raw'!$A:$ZZ, MATCH(K$2, 'Daily 사주 raw'!$A:$A, 0), MATCH($B10, 'Daily 사주 raw'!$1:$1, 0)), ""), IF(val=0, "", val))</f>
        <v>23218.91892</v>
      </c>
      <c r="L10" s="102">
        <f t="array" ref="L10">LET(val, IFERROR(INDEX('Daily 사주 raw'!$A:$ZZ, MATCH(L$2, 'Daily 사주 raw'!$A:$A, 0), MATCH($B10, 'Daily 사주 raw'!$1:$1, 0)), ""), IF(val=0, "", val))</f>
        <v>20354.34783</v>
      </c>
      <c r="M10" s="102">
        <f t="array" ref="M10">LET(val, IFERROR(INDEX('Daily 사주 raw'!$A:$ZZ, MATCH(M$2, 'Daily 사주 raw'!$A:$A, 0), MATCH($B10, 'Daily 사주 raw'!$1:$1, 0)), ""), IF(val=0, "", val))</f>
        <v>22749.09091</v>
      </c>
      <c r="N10" s="102">
        <f t="array" ref="N10">LET(val, IFERROR(INDEX('Daily 사주 raw'!$A:$ZZ, MATCH(N$2, 'Daily 사주 raw'!$A:$A, 0), MATCH($B10, 'Daily 사주 raw'!$1:$1, 0)), ""), IF(val=0, "", val))</f>
        <v>20030</v>
      </c>
      <c r="O10" s="102">
        <f t="array" ref="O10">LET(val, IFERROR(INDEX('Daily 사주 raw'!$A:$ZZ, MATCH(O$2, 'Daily 사주 raw'!$A:$A, 0), MATCH($B10, 'Daily 사주 raw'!$1:$1, 0)), ""), IF(val=0, "", val))</f>
        <v>22975</v>
      </c>
      <c r="P10" s="102">
        <f t="array" ref="P10">LET(val, IFERROR(INDEX('Daily 사주 raw'!$A:$ZZ, MATCH(P$2, 'Daily 사주 raw'!$A:$A, 0), MATCH($B10, 'Daily 사주 raw'!$1:$1, 0)), ""), IF(val=0, "", val))</f>
        <v>20607.27273</v>
      </c>
      <c r="Q10" s="102">
        <f t="array" ref="Q10">LET(val, IFERROR(INDEX('Daily 사주 raw'!$A:$ZZ, MATCH(Q$2, 'Daily 사주 raw'!$A:$A, 0), MATCH($B10, 'Daily 사주 raw'!$1:$1, 0)), ""), IF(val=0, "", val))</f>
        <v>18774</v>
      </c>
      <c r="R10" s="102">
        <f t="array" ref="R10">LET(val, IFERROR(INDEX('Daily 사주 raw'!$A:$ZZ, MATCH(R$2, 'Daily 사주 raw'!$A:$A, 0), MATCH($B10, 'Daily 사주 raw'!$1:$1, 0)), ""), IF(val=0, "", val))</f>
        <v>15439.58333</v>
      </c>
      <c r="S10" s="102">
        <f t="array" ref="S10">LET(val, IFERROR(INDEX('Daily 사주 raw'!$A:$ZZ, MATCH(S$2, 'Daily 사주 raw'!$A:$A, 0), MATCH($B10, 'Daily 사주 raw'!$1:$1, 0)), ""), IF(val=0, "", val))</f>
        <v>19282.92683</v>
      </c>
      <c r="T10" s="102">
        <f t="array" ref="T10">LET(val, IFERROR(INDEX('Daily 사주 raw'!$A:$ZZ, MATCH(T$2, 'Daily 사주 raw'!$A:$A, 0), MATCH($B10, 'Daily 사주 raw'!$1:$1, 0)), ""), IF(val=0, "", val))</f>
        <v>21933.33333</v>
      </c>
      <c r="U10" s="102">
        <f t="array" ref="U10">LET(val, IFERROR(INDEX('Daily 사주 raw'!$A:$ZZ, MATCH(U$2, 'Daily 사주 raw'!$A:$A, 0), MATCH($B10, 'Daily 사주 raw'!$1:$1, 0)), ""), IF(val=0, "", val))</f>
        <v>19063.33333</v>
      </c>
      <c r="V10" s="102">
        <f t="array" ref="V10">LET(val, IFERROR(INDEX('Daily 사주 raw'!$A:$ZZ, MATCH(V$2, 'Daily 사주 raw'!$A:$A, 0), MATCH($B10, 'Daily 사주 raw'!$1:$1, 0)), ""), IF(val=0, "", val))</f>
        <v>18739.68254</v>
      </c>
      <c r="W10" s="102">
        <f t="array" ref="W10">LET(val, IFERROR(INDEX('Daily 사주 raw'!$A:$ZZ, MATCH(W$2, 'Daily 사주 raw'!$A:$A, 0), MATCH($B10, 'Daily 사주 raw'!$1:$1, 0)), ""), IF(val=0, "", val))</f>
        <v>14686.66667</v>
      </c>
      <c r="X10" s="102">
        <f t="array" ref="X10">LET(val, IFERROR(INDEX('Daily 사주 raw'!$A:$ZZ, MATCH(X$2, 'Daily 사주 raw'!$A:$A, 0), MATCH($B10, 'Daily 사주 raw'!$1:$1, 0)), ""), IF(val=0, "", val))</f>
        <v>16969</v>
      </c>
      <c r="Y10" s="102">
        <f t="array" ref="Y10">LET(val, IFERROR(INDEX('Daily 사주 raw'!$A:$ZZ, MATCH(Y$2, 'Daily 사주 raw'!$A:$A, 0), MATCH($B10, 'Daily 사주 raw'!$1:$1, 0)), ""), IF(val=0, "", val))</f>
        <v>14108</v>
      </c>
      <c r="Z10" s="102">
        <f t="array" ref="Z10">LET(val, IFERROR(INDEX('Daily 사주 raw'!$A:$ZZ, MATCH(Z$2, 'Daily 사주 raw'!$A:$A, 0), MATCH($B10, 'Daily 사주 raw'!$1:$1, 0)), ""), IF(val=0, "", val))</f>
        <v>20090.69767</v>
      </c>
      <c r="AA10" s="102">
        <f t="array" ref="AA10">LET(val, IFERROR(INDEX('Daily 사주 raw'!$A:$ZZ, MATCH(AA$2, 'Daily 사주 raw'!$A:$A, 0), MATCH($B10, 'Daily 사주 raw'!$1:$1, 0)), ""), IF(val=0, "", val))</f>
        <v>22070.58824</v>
      </c>
      <c r="AB10" s="102">
        <f t="array" ref="AB10">LET(val, IFERROR(INDEX('Daily 사주 raw'!$A:$ZZ, MATCH(AB$2, 'Daily 사주 raw'!$A:$A, 0), MATCH($B10, 'Daily 사주 raw'!$1:$1, 0)), ""), IF(val=0, "", val))</f>
        <v>21815.25424</v>
      </c>
      <c r="AC10" s="102">
        <f t="array" ref="AC10">LET(val, IFERROR(INDEX('Daily 사주 raw'!$A:$ZZ, MATCH(AC$2, 'Daily 사주 raw'!$A:$A, 0), MATCH($B10, 'Daily 사주 raw'!$1:$1, 0)), ""), IF(val=0, "", val))</f>
        <v>14364.81481</v>
      </c>
      <c r="AD10" s="102">
        <f t="array" ref="AD10">LET(val, IFERROR(INDEX('Daily 사주 raw'!$A:$ZZ, MATCH(AD$2, 'Daily 사주 raw'!$A:$A, 0), MATCH($B10, 'Daily 사주 raw'!$1:$1, 0)), ""), IF(val=0, "", val))</f>
        <v>19553.48837</v>
      </c>
      <c r="AE10" s="102">
        <f t="array" ref="AE10">LET(val, IFERROR(INDEX('Daily 사주 raw'!$A:$ZZ, MATCH(AE$2, 'Daily 사주 raw'!$A:$A, 0), MATCH($B10, 'Daily 사주 raw'!$1:$1, 0)), ""), IF(val=0, "", val))</f>
        <v>21347.61905</v>
      </c>
      <c r="AF10" s="102">
        <f t="array" ref="AF10">LET(val, IFERROR(INDEX('Daily 사주 raw'!$A:$ZZ, MATCH(AF$2, 'Daily 사주 raw'!$A:$A, 0), MATCH($B10, 'Daily 사주 raw'!$1:$1, 0)), ""), IF(val=0, "", val))</f>
        <v>16789.85507</v>
      </c>
      <c r="AG10" s="102">
        <f t="array" ref="AG10">LET(val, IFERROR(INDEX('Daily 사주 raw'!$A:$ZZ, MATCH(AG$2, 'Daily 사주 raw'!$A:$A, 0), MATCH($B10, 'Daily 사주 raw'!$1:$1, 0)), ""), IF(val=0, "", val))</f>
        <v>14607.69231</v>
      </c>
      <c r="AH10" s="102">
        <f t="array" ref="AH10">LET(val, IFERROR(INDEX('Daily 사주 raw'!$A:$ZZ, MATCH(AH$2, 'Daily 사주 raw'!$A:$A, 0), MATCH($B10, 'Daily 사주 raw'!$1:$1, 0)), ""), IF(val=0, "", val))</f>
        <v>16685.18519</v>
      </c>
      <c r="AI10" s="102">
        <f t="array" ref="AI10">LET(val, IFERROR(INDEX('Daily 사주 raw'!$A:$ZZ, MATCH(AI$2, 'Daily 사주 raw'!$A:$A, 0), MATCH($B10, 'Daily 사주 raw'!$1:$1, 0)), ""), IF(val=0, "", val))</f>
        <v>20880.59701</v>
      </c>
      <c r="AJ10" s="102">
        <f t="array" ref="AJ10">LET(val, IFERROR(INDEX('Daily 사주 raw'!$A:$ZZ, MATCH(AJ$2, 'Daily 사주 raw'!$A:$A, 0), MATCH($B10, 'Daily 사주 raw'!$1:$1, 0)), ""), IF(val=0, "", val))</f>
        <v>16328.81356</v>
      </c>
      <c r="AK10" s="102">
        <f t="array" ref="AK10">LET(val, IFERROR(INDEX('Daily 사주 raw'!$A:$ZZ, MATCH(AK$2, 'Daily 사주 raw'!$A:$A, 0), MATCH($B10, 'Daily 사주 raw'!$1:$1, 0)), ""), IF(val=0, "", val))</f>
        <v>18277.9661</v>
      </c>
      <c r="AL10" s="102">
        <f t="array" ref="AL10">LET(val, IFERROR(INDEX('Daily 사주 raw'!$A:$ZZ, MATCH(AL$2, 'Daily 사주 raw'!$A:$A, 0), MATCH($B10, 'Daily 사주 raw'!$1:$1, 0)), ""), IF(val=0, "", val))</f>
        <v>17825.53191</v>
      </c>
      <c r="AM10" s="102">
        <f t="array" ref="AM10">LET(val, IFERROR(INDEX('Daily 사주 raw'!$A:$ZZ, MATCH(AM$2, 'Daily 사주 raw'!$A:$A, 0), MATCH($B10, 'Daily 사주 raw'!$1:$1, 0)), ""), IF(val=0, "", val))</f>
        <v>15861.11111</v>
      </c>
      <c r="AN10" s="102">
        <f t="array" ref="AN10">LET(val, IFERROR(INDEX('Daily 사주 raw'!$A:$ZZ, MATCH(AN$2, 'Daily 사주 raw'!$A:$A, 0), MATCH($B10, 'Daily 사주 raw'!$1:$1, 0)), ""), IF(val=0, "", val))</f>
        <v>23185.10638</v>
      </c>
      <c r="AO10" s="102">
        <f t="array" ref="AO10">LET(val, IFERROR(INDEX('Daily 사주 raw'!$A:$ZZ, MATCH(AO$2, 'Daily 사주 raw'!$A:$A, 0), MATCH($B10, 'Daily 사주 raw'!$1:$1, 0)), ""), IF(val=0, "", val))</f>
        <v>22256.25</v>
      </c>
      <c r="AP10" s="102">
        <f t="array" ref="AP10">LET(val, IFERROR(INDEX('Daily 사주 raw'!$A:$ZZ, MATCH(AP$2, 'Daily 사주 raw'!$A:$A, 0), MATCH($B10, 'Daily 사주 raw'!$1:$1, 0)), ""), IF(val=0, "", val))</f>
        <v>18956.66667</v>
      </c>
      <c r="AQ10" s="102">
        <f t="array" ref="AQ10">LET(val, IFERROR(INDEX('Daily 사주 raw'!$A:$ZZ, MATCH(AQ$2, 'Daily 사주 raw'!$A:$A, 0), MATCH($B10, 'Daily 사주 raw'!$1:$1, 0)), ""), IF(val=0, "", val))</f>
        <v>16534.78261</v>
      </c>
      <c r="AR10" s="102">
        <f t="array" ref="AR10">LET(val, IFERROR(INDEX('Daily 사주 raw'!$A:$ZZ, MATCH(AR$2, 'Daily 사주 raw'!$A:$A, 0), MATCH($B10, 'Daily 사주 raw'!$1:$1, 0)), ""), IF(val=0, "", val))</f>
        <v>14084</v>
      </c>
      <c r="AS10" s="102">
        <f t="array" ref="AS10">LET(val, IFERROR(INDEX('Daily 사주 raw'!$A:$ZZ, MATCH(AS$2, 'Daily 사주 raw'!$A:$A, 0), MATCH($B10, 'Daily 사주 raw'!$1:$1, 0)), ""), IF(val=0, "", val))</f>
        <v>19390.32258</v>
      </c>
      <c r="AT10" s="102">
        <f t="array" ref="AT10">LET(val, IFERROR(INDEX('Daily 사주 raw'!$A:$ZZ, MATCH(AT$2, 'Daily 사주 raw'!$A:$A, 0), MATCH($B10, 'Daily 사주 raw'!$1:$1, 0)), ""), IF(val=0, "", val))</f>
        <v>20739.28571</v>
      </c>
      <c r="AU10" s="102">
        <f t="array" ref="AU10">LET(val, IFERROR(INDEX('Daily 사주 raw'!$A:$ZZ, MATCH(AU$2, 'Daily 사주 raw'!$A:$A, 0), MATCH($B10, 'Daily 사주 raw'!$1:$1, 0)), ""), IF(val=0, "", val))</f>
        <v>29412</v>
      </c>
      <c r="AV10" s="102">
        <f t="array" ref="AV10">LET(val, IFERROR(INDEX('Daily 사주 raw'!$A:$ZZ, MATCH(AV$2, 'Daily 사주 raw'!$A:$A, 0), MATCH($B10, 'Daily 사주 raw'!$1:$1, 0)), ""), IF(val=0, "", val))</f>
        <v>24316.12903</v>
      </c>
      <c r="AW10" s="102">
        <f t="array" ref="AW10">LET(val, IFERROR(INDEX('Daily 사주 raw'!$A:$ZZ, MATCH(AW$2, 'Daily 사주 raw'!$A:$A, 0), MATCH($B10, 'Daily 사주 raw'!$1:$1, 0)), ""), IF(val=0, "", val))</f>
        <v>29754.28571</v>
      </c>
      <c r="AX10" s="102">
        <f t="array" ref="AX10">LET(val, IFERROR(INDEX('Daily 사주 raw'!$A:$ZZ, MATCH(AX$2, 'Daily 사주 raw'!$A:$A, 0), MATCH($B10, 'Daily 사주 raw'!$1:$1, 0)), ""), IF(val=0, "", val))</f>
        <v>19509.09091</v>
      </c>
      <c r="AY10" s="102">
        <f t="array" ref="AY10">LET(val, IFERROR(INDEX('Daily 사주 raw'!$A:$ZZ, MATCH(AY$2, 'Daily 사주 raw'!$A:$A, 0), MATCH($B10, 'Daily 사주 raw'!$1:$1, 0)), ""), IF(val=0, "", val))</f>
        <v>19856.52174</v>
      </c>
      <c r="AZ10" s="102">
        <f t="array" ref="AZ10">LET(val, IFERROR(INDEX('Daily 사주 raw'!$A:$ZZ, MATCH(AZ$2, 'Daily 사주 raw'!$A:$A, 0), MATCH($B10, 'Daily 사주 raw'!$1:$1, 0)), ""), IF(val=0, "", val))</f>
        <v>27571.42857</v>
      </c>
      <c r="BA10" s="102">
        <f t="array" ref="BA10">LET(val, IFERROR(INDEX('Daily 사주 raw'!$A:$ZZ, MATCH(BA$2, 'Daily 사주 raw'!$A:$A, 0), MATCH($B10, 'Daily 사주 raw'!$1:$1, 0)), ""), IF(val=0, "", val))</f>
        <v>22343.75</v>
      </c>
      <c r="BB10" s="102">
        <f t="array" ref="BB10">LET(val, IFERROR(INDEX('Daily 사주 raw'!$A:$ZZ, MATCH(BB$2, 'Daily 사주 raw'!$A:$A, 0), MATCH($B10, 'Daily 사주 raw'!$1:$1, 0)), ""), IF(val=0, "", val))</f>
        <v>21720.83333</v>
      </c>
      <c r="BC10" s="102">
        <f t="array" ref="BC10">LET(val, IFERROR(INDEX('Daily 사주 raw'!$A:$ZZ, MATCH(BC$2, 'Daily 사주 raw'!$A:$A, 0), MATCH($B10, 'Daily 사주 raw'!$1:$1, 0)), ""), IF(val=0, "", val))</f>
        <v>18188.46154</v>
      </c>
      <c r="BD10" s="102">
        <f t="array" ref="BD10">LET(val, IFERROR(INDEX('Daily 사주 raw'!$A:$ZZ, MATCH(BD$2, 'Daily 사주 raw'!$A:$A, 0), MATCH($B10, 'Daily 사주 raw'!$1:$1, 0)), ""), IF(val=0, "", val))</f>
        <v>25015.625</v>
      </c>
      <c r="BE10" s="102">
        <f t="array" ref="BE10">LET(val, IFERROR(INDEX('Daily 사주 raw'!$A:$ZZ, MATCH(BE$2, 'Daily 사주 raw'!$A:$A, 0), MATCH($B10, 'Daily 사주 raw'!$1:$1, 0)), ""), IF(val=0, "", val))</f>
        <v>28214.28571</v>
      </c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38"/>
    </row>
    <row r="11" ht="18.75" customHeight="1">
      <c r="A11" s="135"/>
      <c r="B11" s="23" t="s">
        <v>26</v>
      </c>
      <c r="C11" s="135" t="s">
        <v>27</v>
      </c>
      <c r="D11" s="102">
        <f t="array" ref="D11">LET(val, IFERROR(INDEX('Daily 사주 raw'!$A:$ZZ, MATCH(D$2, 'Daily 사주 raw'!$A:$A, 0), MATCH($B11, 'Daily 사주 raw'!$1:$1, 0)), ""), IF(val=0, "", val))</f>
        <v>1139100</v>
      </c>
      <c r="E11" s="102">
        <f t="array" ref="E11">LET(val, IFERROR(INDEX('Daily 사주 raw'!$A:$ZZ, MATCH(E$2, 'Daily 사주 raw'!$A:$A, 0), MATCH($B11, 'Daily 사주 raw'!$1:$1, 0)), ""), IF(val=0, "", val))</f>
        <v>589900</v>
      </c>
      <c r="F11" s="102">
        <f t="array" ref="F11">LET(val, IFERROR(INDEX('Daily 사주 raw'!$A:$ZZ, MATCH(F$2, 'Daily 사주 raw'!$A:$A, 0), MATCH($B11, 'Daily 사주 raw'!$1:$1, 0)), ""), IF(val=0, "", val))</f>
        <v>294900</v>
      </c>
      <c r="G11" s="102">
        <f t="array" ref="G11">LET(val, IFERROR(INDEX('Daily 사주 raw'!$A:$ZZ, MATCH(G$2, 'Daily 사주 raw'!$A:$A, 0), MATCH($B11, 'Daily 사주 raw'!$1:$1, 0)), ""), IF(val=0, "", val))</f>
        <v>179400</v>
      </c>
      <c r="H11" s="102">
        <f t="array" ref="H11">LET(val, IFERROR(INDEX('Daily 사주 raw'!$A:$ZZ, MATCH(H$2, 'Daily 사주 raw'!$A:$A, 0), MATCH($B11, 'Daily 사주 raw'!$1:$1, 0)), ""), IF(val=0, "", val))</f>
        <v>457500</v>
      </c>
      <c r="I11" s="102">
        <f t="array" ref="I11">LET(val, IFERROR(INDEX('Daily 사주 raw'!$A:$ZZ, MATCH(I$2, 'Daily 사주 raw'!$A:$A, 0), MATCH($B11, 'Daily 사주 raw'!$1:$1, 0)), ""), IF(val=0, "", val))</f>
        <v>526100</v>
      </c>
      <c r="J11" s="102">
        <f t="array" ref="J11">LET(val, IFERROR(INDEX('Daily 사주 raw'!$A:$ZZ, MATCH(J$2, 'Daily 사주 raw'!$A:$A, 0), MATCH($B11, 'Daily 사주 raw'!$1:$1, 0)), ""), IF(val=0, "", val))</f>
        <v>228000</v>
      </c>
      <c r="K11" s="102">
        <f t="array" ref="K11">LET(val, IFERROR(INDEX('Daily 사주 raw'!$A:$ZZ, MATCH(K$2, 'Daily 사주 raw'!$A:$A, 0), MATCH($B11, 'Daily 사주 raw'!$1:$1, 0)), ""), IF(val=0, "", val))</f>
        <v>859100</v>
      </c>
      <c r="L11" s="102">
        <f t="array" ref="L11">LET(val, IFERROR(INDEX('Daily 사주 raw'!$A:$ZZ, MATCH(L$2, 'Daily 사주 raw'!$A:$A, 0), MATCH($B11, 'Daily 사주 raw'!$1:$1, 0)), ""), IF(val=0, "", val))</f>
        <v>936300</v>
      </c>
      <c r="M11" s="102">
        <f t="array" ref="M11">LET(val, IFERROR(INDEX('Daily 사주 raw'!$A:$ZZ, MATCH(M$2, 'Daily 사주 raw'!$A:$A, 0), MATCH($B11, 'Daily 사주 raw'!$1:$1, 0)), ""), IF(val=0, "", val))</f>
        <v>1251200</v>
      </c>
      <c r="N11" s="102">
        <f t="array" ref="N11">LET(val, IFERROR(INDEX('Daily 사주 raw'!$A:$ZZ, MATCH(N$2, 'Daily 사주 raw'!$A:$A, 0), MATCH($B11, 'Daily 사주 raw'!$1:$1, 0)), ""), IF(val=0, "", val))</f>
        <v>1001500</v>
      </c>
      <c r="O11" s="102">
        <f t="array" ref="O11">LET(val, IFERROR(INDEX('Daily 사주 raw'!$A:$ZZ, MATCH(O$2, 'Daily 사주 raw'!$A:$A, 0), MATCH($B11, 'Daily 사주 raw'!$1:$1, 0)), ""), IF(val=0, "", val))</f>
        <v>1286600</v>
      </c>
      <c r="P11" s="102">
        <f t="array" ref="P11">LET(val, IFERROR(INDEX('Daily 사주 raw'!$A:$ZZ, MATCH(P$2, 'Daily 사주 raw'!$A:$A, 0), MATCH($B11, 'Daily 사주 raw'!$1:$1, 0)), ""), IF(val=0, "", val))</f>
        <v>1133400</v>
      </c>
      <c r="Q11" s="102">
        <f t="array" ref="Q11">LET(val, IFERROR(INDEX('Daily 사주 raw'!$A:$ZZ, MATCH(Q$2, 'Daily 사주 raw'!$A:$A, 0), MATCH($B11, 'Daily 사주 raw'!$1:$1, 0)), ""), IF(val=0, "", val))</f>
        <v>938700</v>
      </c>
      <c r="R11" s="102">
        <f t="array" ref="R11">LET(val, IFERROR(INDEX('Daily 사주 raw'!$A:$ZZ, MATCH(R$2, 'Daily 사주 raw'!$A:$A, 0), MATCH($B11, 'Daily 사주 raw'!$1:$1, 0)), ""), IF(val=0, "", val))</f>
        <v>741100</v>
      </c>
      <c r="S11" s="102">
        <f t="array" ref="S11">LET(val, IFERROR(INDEX('Daily 사주 raw'!$A:$ZZ, MATCH(S$2, 'Daily 사주 raw'!$A:$A, 0), MATCH($B11, 'Daily 사주 raw'!$1:$1, 0)), ""), IF(val=0, "", val))</f>
        <v>790600</v>
      </c>
      <c r="T11" s="102">
        <f t="array" ref="T11">LET(val, IFERROR(INDEX('Daily 사주 raw'!$A:$ZZ, MATCH(T$2, 'Daily 사주 raw'!$A:$A, 0), MATCH($B11, 'Daily 사주 raw'!$1:$1, 0)), ""), IF(val=0, "", val))</f>
        <v>1513400</v>
      </c>
      <c r="U11" s="102">
        <f t="array" ref="U11">LET(val, IFERROR(INDEX('Daily 사주 raw'!$A:$ZZ, MATCH(U$2, 'Daily 사주 raw'!$A:$A, 0), MATCH($B11, 'Daily 사주 raw'!$1:$1, 0)), ""), IF(val=0, "", val))</f>
        <v>1143800</v>
      </c>
      <c r="V11" s="102">
        <f t="array" ref="V11">LET(val, IFERROR(INDEX('Daily 사주 raw'!$A:$ZZ, MATCH(V$2, 'Daily 사주 raw'!$A:$A, 0), MATCH($B11, 'Daily 사주 raw'!$1:$1, 0)), ""), IF(val=0, "", val))</f>
        <v>1180600</v>
      </c>
      <c r="W11" s="102">
        <f t="array" ref="W11">LET(val, IFERROR(INDEX('Daily 사주 raw'!$A:$ZZ, MATCH(W$2, 'Daily 사주 raw'!$A:$A, 0), MATCH($B11, 'Daily 사주 raw'!$1:$1, 0)), ""), IF(val=0, "", val))</f>
        <v>1101500</v>
      </c>
      <c r="X11" s="102">
        <f t="array" ref="X11">LET(val, IFERROR(INDEX('Daily 사주 raw'!$A:$ZZ, MATCH(X$2, 'Daily 사주 raw'!$A:$A, 0), MATCH($B11, 'Daily 사주 raw'!$1:$1, 0)), ""), IF(val=0, "", val))</f>
        <v>1696900</v>
      </c>
      <c r="Y11" s="102">
        <f t="array" ref="Y11">LET(val, IFERROR(INDEX('Daily 사주 raw'!$A:$ZZ, MATCH(Y$2, 'Daily 사주 raw'!$A:$A, 0), MATCH($B11, 'Daily 사주 raw'!$1:$1, 0)), ""), IF(val=0, "", val))</f>
        <v>1058100</v>
      </c>
      <c r="Z11" s="102">
        <f t="array" ref="Z11">LET(val, IFERROR(INDEX('Daily 사주 raw'!$A:$ZZ, MATCH(Z$2, 'Daily 사주 raw'!$A:$A, 0), MATCH($B11, 'Daily 사주 raw'!$1:$1, 0)), ""), IF(val=0, "", val))</f>
        <v>863900</v>
      </c>
      <c r="AA11" s="102">
        <f t="array" ref="AA11">LET(val, IFERROR(INDEX('Daily 사주 raw'!$A:$ZZ, MATCH(AA$2, 'Daily 사주 raw'!$A:$A, 0), MATCH($B11, 'Daily 사주 raw'!$1:$1, 0)), ""), IF(val=0, "", val))</f>
        <v>750400</v>
      </c>
      <c r="AB11" s="102">
        <f t="array" ref="AB11">LET(val, IFERROR(INDEX('Daily 사주 raw'!$A:$ZZ, MATCH(AB$2, 'Daily 사주 raw'!$A:$A, 0), MATCH($B11, 'Daily 사주 raw'!$1:$1, 0)), ""), IF(val=0, "", val))</f>
        <v>1287100</v>
      </c>
      <c r="AC11" s="102">
        <f t="array" ref="AC11">LET(val, IFERROR(INDEX('Daily 사주 raw'!$A:$ZZ, MATCH(AC$2, 'Daily 사주 raw'!$A:$A, 0), MATCH($B11, 'Daily 사주 raw'!$1:$1, 0)), ""), IF(val=0, "", val))</f>
        <v>775700</v>
      </c>
      <c r="AD11" s="102">
        <f t="array" ref="AD11">LET(val, IFERROR(INDEX('Daily 사주 raw'!$A:$ZZ, MATCH(AD$2, 'Daily 사주 raw'!$A:$A, 0), MATCH($B11, 'Daily 사주 raw'!$1:$1, 0)), ""), IF(val=0, "", val))</f>
        <v>840800</v>
      </c>
      <c r="AE11" s="102">
        <f t="array" ref="AE11">LET(val, IFERROR(INDEX('Daily 사주 raw'!$A:$ZZ, MATCH(AE$2, 'Daily 사주 raw'!$A:$A, 0), MATCH($B11, 'Daily 사주 raw'!$1:$1, 0)), ""), IF(val=0, "", val))</f>
        <v>896600</v>
      </c>
      <c r="AF11" s="102">
        <f t="array" ref="AF11">LET(val, IFERROR(INDEX('Daily 사주 raw'!$A:$ZZ, MATCH(AF$2, 'Daily 사주 raw'!$A:$A, 0), MATCH($B11, 'Daily 사주 raw'!$1:$1, 0)), ""), IF(val=0, "", val))</f>
        <v>1158500</v>
      </c>
      <c r="AG11" s="102">
        <f t="array" ref="AG11">LET(val, IFERROR(INDEX('Daily 사주 raw'!$A:$ZZ, MATCH(AG$2, 'Daily 사주 raw'!$A:$A, 0), MATCH($B11, 'Daily 사주 raw'!$1:$1, 0)), ""), IF(val=0, "", val))</f>
        <v>759600</v>
      </c>
      <c r="AH11" s="102">
        <f t="array" ref="AH11">LET(val, IFERROR(INDEX('Daily 사주 raw'!$A:$ZZ, MATCH(AH$2, 'Daily 사주 raw'!$A:$A, 0), MATCH($B11, 'Daily 사주 raw'!$1:$1, 0)), ""), IF(val=0, "", val))</f>
        <v>901000</v>
      </c>
      <c r="AI11" s="102">
        <f t="array" ref="AI11">LET(val, IFERROR(INDEX('Daily 사주 raw'!$A:$ZZ, MATCH(AI$2, 'Daily 사주 raw'!$A:$A, 0), MATCH($B11, 'Daily 사주 raw'!$1:$1, 0)), ""), IF(val=0, "", val))</f>
        <v>1399000</v>
      </c>
      <c r="AJ11" s="102">
        <f t="array" ref="AJ11">LET(val, IFERROR(INDEX('Daily 사주 raw'!$A:$ZZ, MATCH(AJ$2, 'Daily 사주 raw'!$A:$A, 0), MATCH($B11, 'Daily 사주 raw'!$1:$1, 0)), ""), IF(val=0, "", val))</f>
        <v>963400</v>
      </c>
      <c r="AK11" s="102">
        <f t="array" ref="AK11">LET(val, IFERROR(INDEX('Daily 사주 raw'!$A:$ZZ, MATCH(AK$2, 'Daily 사주 raw'!$A:$A, 0), MATCH($B11, 'Daily 사주 raw'!$1:$1, 0)), ""), IF(val=0, "", val))</f>
        <v>1078400</v>
      </c>
      <c r="AL11" s="102">
        <f t="array" ref="AL11">LET(val, IFERROR(INDEX('Daily 사주 raw'!$A:$ZZ, MATCH(AL$2, 'Daily 사주 raw'!$A:$A, 0), MATCH($B11, 'Daily 사주 raw'!$1:$1, 0)), ""), IF(val=0, "", val))</f>
        <v>837800</v>
      </c>
      <c r="AM11" s="102">
        <f t="array" ref="AM11">LET(val, IFERROR(INDEX('Daily 사주 raw'!$A:$ZZ, MATCH(AM$2, 'Daily 사주 raw'!$A:$A, 0), MATCH($B11, 'Daily 사주 raw'!$1:$1, 0)), ""), IF(val=0, "", val))</f>
        <v>856500</v>
      </c>
      <c r="AN11" s="102">
        <f t="array" ref="AN11">LET(val, IFERROR(INDEX('Daily 사주 raw'!$A:$ZZ, MATCH(AN$2, 'Daily 사주 raw'!$A:$A, 0), MATCH($B11, 'Daily 사주 raw'!$1:$1, 0)), ""), IF(val=0, "", val))</f>
        <v>1089700</v>
      </c>
      <c r="AO11" s="102">
        <f t="array" ref="AO11">LET(val, IFERROR(INDEX('Daily 사주 raw'!$A:$ZZ, MATCH(AO$2, 'Daily 사주 raw'!$A:$A, 0), MATCH($B11, 'Daily 사주 raw'!$1:$1, 0)), ""), IF(val=0, "", val))</f>
        <v>712200</v>
      </c>
      <c r="AP11" s="102">
        <f t="array" ref="AP11">LET(val, IFERROR(INDEX('Daily 사주 raw'!$A:$ZZ, MATCH(AP$2, 'Daily 사주 raw'!$A:$A, 0), MATCH($B11, 'Daily 사주 raw'!$1:$1, 0)), ""), IF(val=0, "", val))</f>
        <v>568700</v>
      </c>
      <c r="AQ11" s="102">
        <f t="array" ref="AQ11">LET(val, IFERROR(INDEX('Daily 사주 raw'!$A:$ZZ, MATCH(AQ$2, 'Daily 사주 raw'!$A:$A, 0), MATCH($B11, 'Daily 사주 raw'!$1:$1, 0)), ""), IF(val=0, "", val))</f>
        <v>380300</v>
      </c>
      <c r="AR11" s="102">
        <f t="array" ref="AR11">LET(val, IFERROR(INDEX('Daily 사주 raw'!$A:$ZZ, MATCH(AR$2, 'Daily 사주 raw'!$A:$A, 0), MATCH($B11, 'Daily 사주 raw'!$1:$1, 0)), ""), IF(val=0, "", val))</f>
        <v>352100</v>
      </c>
      <c r="AS11" s="102">
        <f t="array" ref="AS11">LET(val, IFERROR(INDEX('Daily 사주 raw'!$A:$ZZ, MATCH(AS$2, 'Daily 사주 raw'!$A:$A, 0), MATCH($B11, 'Daily 사주 raw'!$1:$1, 0)), ""), IF(val=0, "", val))</f>
        <v>601100</v>
      </c>
      <c r="AT11" s="102">
        <f t="array" ref="AT11">LET(val, IFERROR(INDEX('Daily 사주 raw'!$A:$ZZ, MATCH(AT$2, 'Daily 사주 raw'!$A:$A, 0), MATCH($B11, 'Daily 사주 raw'!$1:$1, 0)), ""), IF(val=0, "", val))</f>
        <v>580700</v>
      </c>
      <c r="AU11" s="102">
        <f t="array" ref="AU11">LET(val, IFERROR(INDEX('Daily 사주 raw'!$A:$ZZ, MATCH(AU$2, 'Daily 사주 raw'!$A:$A, 0), MATCH($B11, 'Daily 사주 raw'!$1:$1, 0)), ""), IF(val=0, "", val))</f>
        <v>735300</v>
      </c>
      <c r="AV11" s="102">
        <f t="array" ref="AV11">LET(val, IFERROR(INDEX('Daily 사주 raw'!$A:$ZZ, MATCH(AV$2, 'Daily 사주 raw'!$A:$A, 0), MATCH($B11, 'Daily 사주 raw'!$1:$1, 0)), ""), IF(val=0, "", val))</f>
        <v>753800</v>
      </c>
      <c r="AW11" s="102">
        <f t="array" ref="AW11">LET(val, IFERROR(INDEX('Daily 사주 raw'!$A:$ZZ, MATCH(AW$2, 'Daily 사주 raw'!$A:$A, 0), MATCH($B11, 'Daily 사주 raw'!$1:$1, 0)), ""), IF(val=0, "", val))</f>
        <v>1041400</v>
      </c>
      <c r="AX11" s="102">
        <f t="array" ref="AX11">LET(val, IFERROR(INDEX('Daily 사주 raw'!$A:$ZZ, MATCH(AX$2, 'Daily 사주 raw'!$A:$A, 0), MATCH($B11, 'Daily 사주 raw'!$1:$1, 0)), ""), IF(val=0, "", val))</f>
        <v>643800</v>
      </c>
      <c r="AY11" s="102">
        <f t="array" ref="AY11">LET(val, IFERROR(INDEX('Daily 사주 raw'!$A:$ZZ, MATCH(AY$2, 'Daily 사주 raw'!$A:$A, 0), MATCH($B11, 'Daily 사주 raw'!$1:$1, 0)), ""), IF(val=0, "", val))</f>
        <v>913400</v>
      </c>
      <c r="AZ11" s="102">
        <f t="array" ref="AZ11">LET(val, IFERROR(INDEX('Daily 사주 raw'!$A:$ZZ, MATCH(AZ$2, 'Daily 사주 raw'!$A:$A, 0), MATCH($B11, 'Daily 사주 raw'!$1:$1, 0)), ""), IF(val=0, "", val))</f>
        <v>1158000</v>
      </c>
      <c r="BA11" s="102">
        <f t="array" ref="BA11">LET(val, IFERROR(INDEX('Daily 사주 raw'!$A:$ZZ, MATCH(BA$2, 'Daily 사주 raw'!$A:$A, 0), MATCH($B11, 'Daily 사주 raw'!$1:$1, 0)), ""), IF(val=0, "", val))</f>
        <v>715000</v>
      </c>
      <c r="BB11" s="102">
        <f t="array" ref="BB11">LET(val, IFERROR(INDEX('Daily 사주 raw'!$A:$ZZ, MATCH(BB$2, 'Daily 사주 raw'!$A:$A, 0), MATCH($B11, 'Daily 사주 raw'!$1:$1, 0)), ""), IF(val=0, "", val))</f>
        <v>521300</v>
      </c>
      <c r="BC11" s="102">
        <f t="array" ref="BC11">LET(val, IFERROR(INDEX('Daily 사주 raw'!$A:$ZZ, MATCH(BC$2, 'Daily 사주 raw'!$A:$A, 0), MATCH($B11, 'Daily 사주 raw'!$1:$1, 0)), ""), IF(val=0, "", val))</f>
        <v>472900</v>
      </c>
      <c r="BD11" s="102">
        <f t="array" ref="BD11">LET(val, IFERROR(INDEX('Daily 사주 raw'!$A:$ZZ, MATCH(BD$2, 'Daily 사주 raw'!$A:$A, 0), MATCH($B11, 'Daily 사주 raw'!$1:$1, 0)), ""), IF(val=0, "", val))</f>
        <v>800500</v>
      </c>
      <c r="BE11" s="102">
        <f t="array" ref="BE11">LET(val, IFERROR(INDEX('Daily 사주 raw'!$A:$ZZ, MATCH(BE$2, 'Daily 사주 raw'!$A:$A, 0), MATCH($B11, 'Daily 사주 raw'!$1:$1, 0)), ""), IF(val=0, "", val))</f>
        <v>197500</v>
      </c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38"/>
    </row>
    <row r="12" ht="18.75" customHeight="1">
      <c r="A12" s="135"/>
      <c r="B12" s="23" t="s">
        <v>28</v>
      </c>
      <c r="C12" s="136" t="s">
        <v>20</v>
      </c>
      <c r="D12" s="137">
        <f t="array" ref="D12">LET(val, IFERROR(INDEX('Daily 사주 raw'!$A:$ZZ, MATCH(D$2, 'Daily 사주 raw'!$A:$A, 0), MATCH($B12, 'Daily 사주 raw'!$1:$1, 0)), ""), IF(val=0, "", val))</f>
        <v>32</v>
      </c>
      <c r="E12" s="137">
        <f t="array" ref="E12">LET(val, IFERROR(INDEX('Daily 사주 raw'!$A:$ZZ, MATCH(E$2, 'Daily 사주 raw'!$A:$A, 0), MATCH($B12, 'Daily 사주 raw'!$1:$1, 0)), ""), IF(val=0, "", val))</f>
        <v>21</v>
      </c>
      <c r="F12" s="137">
        <f t="array" ref="F12">LET(val, IFERROR(INDEX('Daily 사주 raw'!$A:$ZZ, MATCH(F$2, 'Daily 사주 raw'!$A:$A, 0), MATCH($B12, 'Daily 사주 raw'!$1:$1, 0)), ""), IF(val=0, "", val))</f>
        <v>12</v>
      </c>
      <c r="G12" s="137">
        <f t="array" ref="G12">LET(val, IFERROR(INDEX('Daily 사주 raw'!$A:$ZZ, MATCH(G$2, 'Daily 사주 raw'!$A:$A, 0), MATCH($B12, 'Daily 사주 raw'!$1:$1, 0)), ""), IF(val=0, "", val))</f>
        <v>8</v>
      </c>
      <c r="H12" s="137">
        <f t="array" ref="H12">LET(val, IFERROR(INDEX('Daily 사주 raw'!$A:$ZZ, MATCH(H$2, 'Daily 사주 raw'!$A:$A, 0), MATCH($B12, 'Daily 사주 raw'!$1:$1, 0)), ""), IF(val=0, "", val))</f>
        <v>15</v>
      </c>
      <c r="I12" s="137">
        <f t="array" ref="I12">LET(val, IFERROR(INDEX('Daily 사주 raw'!$A:$ZZ, MATCH(I$2, 'Daily 사주 raw'!$A:$A, 0), MATCH($B12, 'Daily 사주 raw'!$1:$1, 0)), ""), IF(val=0, "", val))</f>
        <v>19</v>
      </c>
      <c r="J12" s="137">
        <f t="array" ref="J12">LET(val, IFERROR(INDEX('Daily 사주 raw'!$A:$ZZ, MATCH(J$2, 'Daily 사주 raw'!$A:$A, 0), MATCH($B12, 'Daily 사주 raw'!$1:$1, 0)), ""), IF(val=0, "", val))</f>
        <v>12</v>
      </c>
      <c r="K12" s="137">
        <f t="array" ref="K12">LET(val, IFERROR(INDEX('Daily 사주 raw'!$A:$ZZ, MATCH(K$2, 'Daily 사주 raw'!$A:$A, 0), MATCH($B12, 'Daily 사주 raw'!$1:$1, 0)), ""), IF(val=0, "", val))</f>
        <v>37</v>
      </c>
      <c r="L12" s="137">
        <f t="array" ref="L12">LET(val, IFERROR(INDEX('Daily 사주 raw'!$A:$ZZ, MATCH(L$2, 'Daily 사주 raw'!$A:$A, 0), MATCH($B12, 'Daily 사주 raw'!$1:$1, 0)), ""), IF(val=0, "", val))</f>
        <v>46</v>
      </c>
      <c r="M12" s="137">
        <f t="array" ref="M12">LET(val, IFERROR(INDEX('Daily 사주 raw'!$A:$ZZ, MATCH(M$2, 'Daily 사주 raw'!$A:$A, 0), MATCH($B12, 'Daily 사주 raw'!$1:$1, 0)), ""), IF(val=0, "", val))</f>
        <v>55</v>
      </c>
      <c r="N12" s="137">
        <f t="array" ref="N12">LET(val, IFERROR(INDEX('Daily 사주 raw'!$A:$ZZ, MATCH(N$2, 'Daily 사주 raw'!$A:$A, 0), MATCH($B12, 'Daily 사주 raw'!$1:$1, 0)), ""), IF(val=0, "", val))</f>
        <v>50</v>
      </c>
      <c r="O12" s="137">
        <f t="array" ref="O12">LET(val, IFERROR(INDEX('Daily 사주 raw'!$A:$ZZ, MATCH(O$2, 'Daily 사주 raw'!$A:$A, 0), MATCH($B12, 'Daily 사주 raw'!$1:$1, 0)), ""), IF(val=0, "", val))</f>
        <v>56</v>
      </c>
      <c r="P12" s="137">
        <f t="array" ref="P12">LET(val, IFERROR(INDEX('Daily 사주 raw'!$A:$ZZ, MATCH(P$2, 'Daily 사주 raw'!$A:$A, 0), MATCH($B12, 'Daily 사주 raw'!$1:$1, 0)), ""), IF(val=0, "", val))</f>
        <v>55</v>
      </c>
      <c r="Q12" s="137">
        <f t="array" ref="Q12">LET(val, IFERROR(INDEX('Daily 사주 raw'!$A:$ZZ, MATCH(Q$2, 'Daily 사주 raw'!$A:$A, 0), MATCH($B12, 'Daily 사주 raw'!$1:$1, 0)), ""), IF(val=0, "", val))</f>
        <v>50</v>
      </c>
      <c r="R12" s="137">
        <f t="array" ref="R12">LET(val, IFERROR(INDEX('Daily 사주 raw'!$A:$ZZ, MATCH(R$2, 'Daily 사주 raw'!$A:$A, 0), MATCH($B12, 'Daily 사주 raw'!$1:$1, 0)), ""), IF(val=0, "", val))</f>
        <v>48</v>
      </c>
      <c r="S12" s="137">
        <f t="array" ref="S12">LET(val, IFERROR(INDEX('Daily 사주 raw'!$A:$ZZ, MATCH(S$2, 'Daily 사주 raw'!$A:$A, 0), MATCH($B12, 'Daily 사주 raw'!$1:$1, 0)), ""), IF(val=0, "", val))</f>
        <v>41</v>
      </c>
      <c r="T12" s="137">
        <f t="array" ref="T12">LET(val, IFERROR(INDEX('Daily 사주 raw'!$A:$ZZ, MATCH(T$2, 'Daily 사주 raw'!$A:$A, 0), MATCH($B12, 'Daily 사주 raw'!$1:$1, 0)), ""), IF(val=0, "", val))</f>
        <v>69</v>
      </c>
      <c r="U12" s="137">
        <f t="array" ref="U12">LET(val, IFERROR(INDEX('Daily 사주 raw'!$A:$ZZ, MATCH(U$2, 'Daily 사주 raw'!$A:$A, 0), MATCH($B12, 'Daily 사주 raw'!$1:$1, 0)), ""), IF(val=0, "", val))</f>
        <v>60</v>
      </c>
      <c r="V12" s="137">
        <f t="array" ref="V12">LET(val, IFERROR(INDEX('Daily 사주 raw'!$A:$ZZ, MATCH(V$2, 'Daily 사주 raw'!$A:$A, 0), MATCH($B12, 'Daily 사주 raw'!$1:$1, 0)), ""), IF(val=0, "", val))</f>
        <v>63</v>
      </c>
      <c r="W12" s="137">
        <f t="array" ref="W12">LET(val, IFERROR(INDEX('Daily 사주 raw'!$A:$ZZ, MATCH(W$2, 'Daily 사주 raw'!$A:$A, 0), MATCH($B12, 'Daily 사주 raw'!$1:$1, 0)), ""), IF(val=0, "", val))</f>
        <v>75</v>
      </c>
      <c r="X12" s="137">
        <f t="array" ref="X12">LET(val, IFERROR(INDEX('Daily 사주 raw'!$A:$ZZ, MATCH(X$2, 'Daily 사주 raw'!$A:$A, 0), MATCH($B12, 'Daily 사주 raw'!$1:$1, 0)), ""), IF(val=0, "", val))</f>
        <v>100</v>
      </c>
      <c r="Y12" s="137">
        <f t="array" ref="Y12">LET(val, IFERROR(INDEX('Daily 사주 raw'!$A:$ZZ, MATCH(Y$2, 'Daily 사주 raw'!$A:$A, 0), MATCH($B12, 'Daily 사주 raw'!$1:$1, 0)), ""), IF(val=0, "", val))</f>
        <v>75</v>
      </c>
      <c r="Z12" s="137">
        <f t="array" ref="Z12">LET(val, IFERROR(INDEX('Daily 사주 raw'!$A:$ZZ, MATCH(Z$2, 'Daily 사주 raw'!$A:$A, 0), MATCH($B12, 'Daily 사주 raw'!$1:$1, 0)), ""), IF(val=0, "", val))</f>
        <v>43</v>
      </c>
      <c r="AA12" s="137">
        <f t="array" ref="AA12">LET(val, IFERROR(INDEX('Daily 사주 raw'!$A:$ZZ, MATCH(AA$2, 'Daily 사주 raw'!$A:$A, 0), MATCH($B12, 'Daily 사주 raw'!$1:$1, 0)), ""), IF(val=0, "", val))</f>
        <v>34</v>
      </c>
      <c r="AB12" s="137">
        <f t="array" ref="AB12">LET(val, IFERROR(INDEX('Daily 사주 raw'!$A:$ZZ, MATCH(AB$2, 'Daily 사주 raw'!$A:$A, 0), MATCH($B12, 'Daily 사주 raw'!$1:$1, 0)), ""), IF(val=0, "", val))</f>
        <v>59</v>
      </c>
      <c r="AC12" s="137">
        <f t="array" ref="AC12">LET(val, IFERROR(INDEX('Daily 사주 raw'!$A:$ZZ, MATCH(AC$2, 'Daily 사주 raw'!$A:$A, 0), MATCH($B12, 'Daily 사주 raw'!$1:$1, 0)), ""), IF(val=0, "", val))</f>
        <v>54</v>
      </c>
      <c r="AD12" s="137">
        <f t="array" ref="AD12">LET(val, IFERROR(INDEX('Daily 사주 raw'!$A:$ZZ, MATCH(AD$2, 'Daily 사주 raw'!$A:$A, 0), MATCH($B12, 'Daily 사주 raw'!$1:$1, 0)), ""), IF(val=0, "", val))</f>
        <v>43</v>
      </c>
      <c r="AE12" s="137">
        <f t="array" ref="AE12">LET(val, IFERROR(INDEX('Daily 사주 raw'!$A:$ZZ, MATCH(AE$2, 'Daily 사주 raw'!$A:$A, 0), MATCH($B12, 'Daily 사주 raw'!$1:$1, 0)), ""), IF(val=0, "", val))</f>
        <v>42</v>
      </c>
      <c r="AF12" s="137">
        <f t="array" ref="AF12">LET(val, IFERROR(INDEX('Daily 사주 raw'!$A:$ZZ, MATCH(AF$2, 'Daily 사주 raw'!$A:$A, 0), MATCH($B12, 'Daily 사주 raw'!$1:$1, 0)), ""), IF(val=0, "", val))</f>
        <v>69</v>
      </c>
      <c r="AG12" s="137">
        <f t="array" ref="AG12">LET(val, IFERROR(INDEX('Daily 사주 raw'!$A:$ZZ, MATCH(AG$2, 'Daily 사주 raw'!$A:$A, 0), MATCH($B12, 'Daily 사주 raw'!$1:$1, 0)), ""), IF(val=0, "", val))</f>
        <v>52</v>
      </c>
      <c r="AH12" s="137">
        <f t="array" ref="AH12">LET(val, IFERROR(INDEX('Daily 사주 raw'!$A:$ZZ, MATCH(AH$2, 'Daily 사주 raw'!$A:$A, 0), MATCH($B12, 'Daily 사주 raw'!$1:$1, 0)), ""), IF(val=0, "", val))</f>
        <v>54</v>
      </c>
      <c r="AI12" s="137">
        <f t="array" ref="AI12">LET(val, IFERROR(INDEX('Daily 사주 raw'!$A:$ZZ, MATCH(AI$2, 'Daily 사주 raw'!$A:$A, 0), MATCH($B12, 'Daily 사주 raw'!$1:$1, 0)), ""), IF(val=0, "", val))</f>
        <v>67</v>
      </c>
      <c r="AJ12" s="137">
        <f t="array" ref="AJ12">LET(val, IFERROR(INDEX('Daily 사주 raw'!$A:$ZZ, MATCH(AJ$2, 'Daily 사주 raw'!$A:$A, 0), MATCH($B12, 'Daily 사주 raw'!$1:$1, 0)), ""), IF(val=0, "", val))</f>
        <v>59</v>
      </c>
      <c r="AK12" s="137">
        <f t="array" ref="AK12">LET(val, IFERROR(INDEX('Daily 사주 raw'!$A:$ZZ, MATCH(AK$2, 'Daily 사주 raw'!$A:$A, 0), MATCH($B12, 'Daily 사주 raw'!$1:$1, 0)), ""), IF(val=0, "", val))</f>
        <v>59</v>
      </c>
      <c r="AL12" s="137">
        <f t="array" ref="AL12">LET(val, IFERROR(INDEX('Daily 사주 raw'!$A:$ZZ, MATCH(AL$2, 'Daily 사주 raw'!$A:$A, 0), MATCH($B12, 'Daily 사주 raw'!$1:$1, 0)), ""), IF(val=0, "", val))</f>
        <v>47</v>
      </c>
      <c r="AM12" s="137">
        <f t="array" ref="AM12">LET(val, IFERROR(INDEX('Daily 사주 raw'!$A:$ZZ, MATCH(AM$2, 'Daily 사주 raw'!$A:$A, 0), MATCH($B12, 'Daily 사주 raw'!$1:$1, 0)), ""), IF(val=0, "", val))</f>
        <v>54</v>
      </c>
      <c r="AN12" s="137">
        <f t="array" ref="AN12">LET(val, IFERROR(INDEX('Daily 사주 raw'!$A:$ZZ, MATCH(AN$2, 'Daily 사주 raw'!$A:$A, 0), MATCH($B12, 'Daily 사주 raw'!$1:$1, 0)), ""), IF(val=0, "", val))</f>
        <v>47</v>
      </c>
      <c r="AO12" s="137">
        <f t="array" ref="AO12">LET(val, IFERROR(INDEX('Daily 사주 raw'!$A:$ZZ, MATCH(AO$2, 'Daily 사주 raw'!$A:$A, 0), MATCH($B12, 'Daily 사주 raw'!$1:$1, 0)), ""), IF(val=0, "", val))</f>
        <v>32</v>
      </c>
      <c r="AP12" s="137">
        <f t="array" ref="AP12">LET(val, IFERROR(INDEX('Daily 사주 raw'!$A:$ZZ, MATCH(AP$2, 'Daily 사주 raw'!$A:$A, 0), MATCH($B12, 'Daily 사주 raw'!$1:$1, 0)), ""), IF(val=0, "", val))</f>
        <v>30</v>
      </c>
      <c r="AQ12" s="137">
        <f t="array" ref="AQ12">LET(val, IFERROR(INDEX('Daily 사주 raw'!$A:$ZZ, MATCH(AQ$2, 'Daily 사주 raw'!$A:$A, 0), MATCH($B12, 'Daily 사주 raw'!$1:$1, 0)), ""), IF(val=0, "", val))</f>
        <v>23</v>
      </c>
      <c r="AR12" s="137">
        <f t="array" ref="AR12">LET(val, IFERROR(INDEX('Daily 사주 raw'!$A:$ZZ, MATCH(AR$2, 'Daily 사주 raw'!$A:$A, 0), MATCH($B12, 'Daily 사주 raw'!$1:$1, 0)), ""), IF(val=0, "", val))</f>
        <v>25</v>
      </c>
      <c r="AS12" s="137">
        <f t="array" ref="AS12">LET(val, IFERROR(INDEX('Daily 사주 raw'!$A:$ZZ, MATCH(AS$2, 'Daily 사주 raw'!$A:$A, 0), MATCH($B12, 'Daily 사주 raw'!$1:$1, 0)), ""), IF(val=0, "", val))</f>
        <v>31</v>
      </c>
      <c r="AT12" s="137">
        <f t="array" ref="AT12">LET(val, IFERROR(INDEX('Daily 사주 raw'!$A:$ZZ, MATCH(AT$2, 'Daily 사주 raw'!$A:$A, 0), MATCH($B12, 'Daily 사주 raw'!$1:$1, 0)), ""), IF(val=0, "", val))</f>
        <v>28</v>
      </c>
      <c r="AU12" s="137">
        <f t="array" ref="AU12">LET(val, IFERROR(INDEX('Daily 사주 raw'!$A:$ZZ, MATCH(AU$2, 'Daily 사주 raw'!$A:$A, 0), MATCH($B12, 'Daily 사주 raw'!$1:$1, 0)), ""), IF(val=0, "", val))</f>
        <v>25</v>
      </c>
      <c r="AV12" s="137">
        <f t="array" ref="AV12">LET(val, IFERROR(INDEX('Daily 사주 raw'!$A:$ZZ, MATCH(AV$2, 'Daily 사주 raw'!$A:$A, 0), MATCH($B12, 'Daily 사주 raw'!$1:$1, 0)), ""), IF(val=0, "", val))</f>
        <v>31</v>
      </c>
      <c r="AW12" s="137">
        <f t="array" ref="AW12">LET(val, IFERROR(INDEX('Daily 사주 raw'!$A:$ZZ, MATCH(AW$2, 'Daily 사주 raw'!$A:$A, 0), MATCH($B12, 'Daily 사주 raw'!$1:$1, 0)), ""), IF(val=0, "", val))</f>
        <v>35</v>
      </c>
      <c r="AX12" s="137">
        <f t="array" ref="AX12">LET(val, IFERROR(INDEX('Daily 사주 raw'!$A:$ZZ, MATCH(AX$2, 'Daily 사주 raw'!$A:$A, 0), MATCH($B12, 'Daily 사주 raw'!$1:$1, 0)), ""), IF(val=0, "", val))</f>
        <v>33</v>
      </c>
      <c r="AY12" s="137">
        <f t="array" ref="AY12">LET(val, IFERROR(INDEX('Daily 사주 raw'!$A:$ZZ, MATCH(AY$2, 'Daily 사주 raw'!$A:$A, 0), MATCH($B12, 'Daily 사주 raw'!$1:$1, 0)), ""), IF(val=0, "", val))</f>
        <v>46</v>
      </c>
      <c r="AZ12" s="137">
        <f t="array" ref="AZ12">LET(val, IFERROR(INDEX('Daily 사주 raw'!$A:$ZZ, MATCH(AZ$2, 'Daily 사주 raw'!$A:$A, 0), MATCH($B12, 'Daily 사주 raw'!$1:$1, 0)), ""), IF(val=0, "", val))</f>
        <v>42</v>
      </c>
      <c r="BA12" s="137">
        <f t="array" ref="BA12">LET(val, IFERROR(INDEX('Daily 사주 raw'!$A:$ZZ, MATCH(BA$2, 'Daily 사주 raw'!$A:$A, 0), MATCH($B12, 'Daily 사주 raw'!$1:$1, 0)), ""), IF(val=0, "", val))</f>
        <v>32</v>
      </c>
      <c r="BB12" s="137">
        <f t="array" ref="BB12">LET(val, IFERROR(INDEX('Daily 사주 raw'!$A:$ZZ, MATCH(BB$2, 'Daily 사주 raw'!$A:$A, 0), MATCH($B12, 'Daily 사주 raw'!$1:$1, 0)), ""), IF(val=0, "", val))</f>
        <v>24</v>
      </c>
      <c r="BC12" s="137">
        <f t="array" ref="BC12">LET(val, IFERROR(INDEX('Daily 사주 raw'!$A:$ZZ, MATCH(BC$2, 'Daily 사주 raw'!$A:$A, 0), MATCH($B12, 'Daily 사주 raw'!$1:$1, 0)), ""), IF(val=0, "", val))</f>
        <v>26</v>
      </c>
      <c r="BD12" s="137">
        <f t="array" ref="BD12">LET(val, IFERROR(INDEX('Daily 사주 raw'!$A:$ZZ, MATCH(BD$2, 'Daily 사주 raw'!$A:$A, 0), MATCH($B12, 'Daily 사주 raw'!$1:$1, 0)), ""), IF(val=0, "", val))</f>
        <v>32</v>
      </c>
      <c r="BE12" s="137">
        <f t="array" ref="BE12">LET(val, IFERROR(INDEX('Daily 사주 raw'!$A:$ZZ, MATCH(BE$2, 'Daily 사주 raw'!$A:$A, 0), MATCH($B12, 'Daily 사주 raw'!$1:$1, 0)), ""), IF(val=0, "", val))</f>
        <v>7</v>
      </c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8"/>
    </row>
    <row r="13" ht="18.75" customHeight="1">
      <c r="A13" s="136"/>
      <c r="B13" s="23" t="s">
        <v>29</v>
      </c>
      <c r="C13" s="136" t="s">
        <v>30</v>
      </c>
      <c r="D13" s="137">
        <f t="array" ref="D13">LET(val, IFERROR(INDEX('Daily 사주 raw'!$A:$ZZ, MATCH(D$2, 'Daily 사주 raw'!$A:$A, 0), MATCH($B13, 'Daily 사주 raw'!$1:$1, 0)), ""), IF(val=0, "", val))</f>
        <v>44</v>
      </c>
      <c r="E13" s="137">
        <f t="array" ref="E13">LET(val, IFERROR(INDEX('Daily 사주 raw'!$A:$ZZ, MATCH(E$2, 'Daily 사주 raw'!$A:$A, 0), MATCH($B13, 'Daily 사주 raw'!$1:$1, 0)), ""), IF(val=0, "", val))</f>
        <v>27</v>
      </c>
      <c r="F13" s="137">
        <f t="array" ref="F13">LET(val, IFERROR(INDEX('Daily 사주 raw'!$A:$ZZ, MATCH(F$2, 'Daily 사주 raw'!$A:$A, 0), MATCH($B13, 'Daily 사주 raw'!$1:$1, 0)), ""), IF(val=0, "", val))</f>
        <v>16</v>
      </c>
      <c r="G13" s="137">
        <f t="array" ref="G13">LET(val, IFERROR(INDEX('Daily 사주 raw'!$A:$ZZ, MATCH(G$2, 'Daily 사주 raw'!$A:$A, 0), MATCH($B13, 'Daily 사주 raw'!$1:$1, 0)), ""), IF(val=0, "", val))</f>
        <v>11</v>
      </c>
      <c r="H13" s="137">
        <f t="array" ref="H13">LET(val, IFERROR(INDEX('Daily 사주 raw'!$A:$ZZ, MATCH(H$2, 'Daily 사주 raw'!$A:$A, 0), MATCH($B13, 'Daily 사주 raw'!$1:$1, 0)), ""), IF(val=0, "", val))</f>
        <v>20</v>
      </c>
      <c r="I13" s="137">
        <f t="array" ref="I13">LET(val, IFERROR(INDEX('Daily 사주 raw'!$A:$ZZ, MATCH(I$2, 'Daily 사주 raw'!$A:$A, 0), MATCH($B13, 'Daily 사주 raw'!$1:$1, 0)), ""), IF(val=0, "", val))</f>
        <v>24</v>
      </c>
      <c r="J13" s="137">
        <f t="array" ref="J13">LET(val, IFERROR(INDEX('Daily 사주 raw'!$A:$ZZ, MATCH(J$2, 'Daily 사주 raw'!$A:$A, 0), MATCH($B13, 'Daily 사주 raw'!$1:$1, 0)), ""), IF(val=0, "", val))</f>
        <v>15</v>
      </c>
      <c r="K13" s="137">
        <f t="array" ref="K13">LET(val, IFERROR(INDEX('Daily 사주 raw'!$A:$ZZ, MATCH(K$2, 'Daily 사주 raw'!$A:$A, 0), MATCH($B13, 'Daily 사주 raw'!$1:$1, 0)), ""), IF(val=0, "", val))</f>
        <v>46</v>
      </c>
      <c r="L13" s="137">
        <f t="array" ref="L13">LET(val, IFERROR(INDEX('Daily 사주 raw'!$A:$ZZ, MATCH(L$2, 'Daily 사주 raw'!$A:$A, 0), MATCH($B13, 'Daily 사주 raw'!$1:$1, 0)), ""), IF(val=0, "", val))</f>
        <v>51</v>
      </c>
      <c r="M13" s="137">
        <f t="array" ref="M13">LET(val, IFERROR(INDEX('Daily 사주 raw'!$A:$ZZ, MATCH(M$2, 'Daily 사주 raw'!$A:$A, 0), MATCH($B13, 'Daily 사주 raw'!$1:$1, 0)), ""), IF(val=0, "", val))</f>
        <v>70</v>
      </c>
      <c r="N13" s="137">
        <f t="array" ref="N13">LET(val, IFERROR(INDEX('Daily 사주 raw'!$A:$ZZ, MATCH(N$2, 'Daily 사주 raw'!$A:$A, 0), MATCH($B13, 'Daily 사주 raw'!$1:$1, 0)), ""), IF(val=0, "", val))</f>
        <v>57</v>
      </c>
      <c r="O13" s="137">
        <f t="array" ref="O13">LET(val, IFERROR(INDEX('Daily 사주 raw'!$A:$ZZ, MATCH(O$2, 'Daily 사주 raw'!$A:$A, 0), MATCH($B13, 'Daily 사주 raw'!$1:$1, 0)), ""), IF(val=0, "", val))</f>
        <v>71</v>
      </c>
      <c r="P13" s="137">
        <f t="array" ref="P13">LET(val, IFERROR(INDEX('Daily 사주 raw'!$A:$ZZ, MATCH(P$2, 'Daily 사주 raw'!$A:$A, 0), MATCH($B13, 'Daily 사주 raw'!$1:$1, 0)), ""), IF(val=0, "", val))</f>
        <v>69</v>
      </c>
      <c r="Q13" s="137">
        <f t="array" ref="Q13">LET(val, IFERROR(INDEX('Daily 사주 raw'!$A:$ZZ, MATCH(Q$2, 'Daily 사주 raw'!$A:$A, 0), MATCH($B13, 'Daily 사주 raw'!$1:$1, 0)), ""), IF(val=0, "", val))</f>
        <v>62</v>
      </c>
      <c r="R13" s="137">
        <f t="array" ref="R13">LET(val, IFERROR(INDEX('Daily 사주 raw'!$A:$ZZ, MATCH(R$2, 'Daily 사주 raw'!$A:$A, 0), MATCH($B13, 'Daily 사주 raw'!$1:$1, 0)), ""), IF(val=0, "", val))</f>
        <v>55</v>
      </c>
      <c r="S13" s="137">
        <f t="array" ref="S13">LET(val, IFERROR(INDEX('Daily 사주 raw'!$A:$ZZ, MATCH(S$2, 'Daily 사주 raw'!$A:$A, 0), MATCH($B13, 'Daily 사주 raw'!$1:$1, 0)), ""), IF(val=0, "", val))</f>
        <v>43</v>
      </c>
      <c r="T13" s="137">
        <f t="array" ref="T13">LET(val, IFERROR(INDEX('Daily 사주 raw'!$A:$ZZ, MATCH(T$2, 'Daily 사주 raw'!$A:$A, 0), MATCH($B13, 'Daily 사주 raw'!$1:$1, 0)), ""), IF(val=0, "", val))</f>
        <v>85</v>
      </c>
      <c r="U13" s="137">
        <f t="array" ref="U13">LET(val, IFERROR(INDEX('Daily 사주 raw'!$A:$ZZ, MATCH(U$2, 'Daily 사주 raw'!$A:$A, 0), MATCH($B13, 'Daily 사주 raw'!$1:$1, 0)), ""), IF(val=0, "", val))</f>
        <v>68</v>
      </c>
      <c r="V13" s="137">
        <f t="array" ref="V13">LET(val, IFERROR(INDEX('Daily 사주 raw'!$A:$ZZ, MATCH(V$2, 'Daily 사주 raw'!$A:$A, 0), MATCH($B13, 'Daily 사주 raw'!$1:$1, 0)), ""), IF(val=0, "", val))</f>
        <v>70</v>
      </c>
      <c r="W13" s="137">
        <f t="array" ref="W13">LET(val, IFERROR(INDEX('Daily 사주 raw'!$A:$ZZ, MATCH(W$2, 'Daily 사주 raw'!$A:$A, 0), MATCH($B13, 'Daily 사주 raw'!$1:$1, 0)), ""), IF(val=0, "", val))</f>
        <v>89</v>
      </c>
      <c r="X13" s="137">
        <f t="array" ref="X13">LET(val, IFERROR(INDEX('Daily 사주 raw'!$A:$ZZ, MATCH(X$2, 'Daily 사주 raw'!$A:$A, 0), MATCH($B13, 'Daily 사주 raw'!$1:$1, 0)), ""), IF(val=0, "", val))</f>
        <v>116</v>
      </c>
      <c r="Y13" s="137">
        <f t="array" ref="Y13">LET(val, IFERROR(INDEX('Daily 사주 raw'!$A:$ZZ, MATCH(Y$2, 'Daily 사주 raw'!$A:$A, 0), MATCH($B13, 'Daily 사주 raw'!$1:$1, 0)), ""), IF(val=0, "", val))</f>
        <v>80</v>
      </c>
      <c r="Z13" s="137">
        <f t="array" ref="Z13">LET(val, IFERROR(INDEX('Daily 사주 raw'!$A:$ZZ, MATCH(Z$2, 'Daily 사주 raw'!$A:$A, 0), MATCH($B13, 'Daily 사주 raw'!$1:$1, 0)), ""), IF(val=0, "", val))</f>
        <v>53</v>
      </c>
      <c r="AA13" s="137">
        <f t="array" ref="AA13">LET(val, IFERROR(INDEX('Daily 사주 raw'!$A:$ZZ, MATCH(AA$2, 'Daily 사주 raw'!$A:$A, 0), MATCH($B13, 'Daily 사주 raw'!$1:$1, 0)), ""), IF(val=0, "", val))</f>
        <v>40</v>
      </c>
      <c r="AB13" s="137">
        <f t="array" ref="AB13">LET(val, IFERROR(INDEX('Daily 사주 raw'!$A:$ZZ, MATCH(AB$2, 'Daily 사주 raw'!$A:$A, 0), MATCH($B13, 'Daily 사주 raw'!$1:$1, 0)), ""), IF(val=0, "", val))</f>
        <v>70</v>
      </c>
      <c r="AC13" s="137">
        <f t="array" ref="AC13">LET(val, IFERROR(INDEX('Daily 사주 raw'!$A:$ZZ, MATCH(AC$2, 'Daily 사주 raw'!$A:$A, 0), MATCH($B13, 'Daily 사주 raw'!$1:$1, 0)), ""), IF(val=0, "", val))</f>
        <v>60</v>
      </c>
      <c r="AD13" s="137">
        <f t="array" ref="AD13">LET(val, IFERROR(INDEX('Daily 사주 raw'!$A:$ZZ, MATCH(AD$2, 'Daily 사주 raw'!$A:$A, 0), MATCH($B13, 'Daily 사주 raw'!$1:$1, 0)), ""), IF(val=0, "", val))</f>
        <v>51</v>
      </c>
      <c r="AE13" s="137">
        <f t="array" ref="AE13">LET(val, IFERROR(INDEX('Daily 사주 raw'!$A:$ZZ, MATCH(AE$2, 'Daily 사주 raw'!$A:$A, 0), MATCH($B13, 'Daily 사주 raw'!$1:$1, 0)), ""), IF(val=0, "", val))</f>
        <v>52</v>
      </c>
      <c r="AF13" s="137">
        <f t="array" ref="AF13">LET(val, IFERROR(INDEX('Daily 사주 raw'!$A:$ZZ, MATCH(AF$2, 'Daily 사주 raw'!$A:$A, 0), MATCH($B13, 'Daily 사주 raw'!$1:$1, 0)), ""), IF(val=0, "", val))</f>
        <v>89</v>
      </c>
      <c r="AG13" s="137">
        <f t="array" ref="AG13">LET(val, IFERROR(INDEX('Daily 사주 raw'!$A:$ZZ, MATCH(AG$2, 'Daily 사주 raw'!$A:$A, 0), MATCH($B13, 'Daily 사주 raw'!$1:$1, 0)), ""), IF(val=0, "", val))</f>
        <v>71</v>
      </c>
      <c r="AH13" s="137">
        <f t="array" ref="AH13">LET(val, IFERROR(INDEX('Daily 사주 raw'!$A:$ZZ, MATCH(AH$2, 'Daily 사주 raw'!$A:$A, 0), MATCH($B13, 'Daily 사주 raw'!$1:$1, 0)), ""), IF(val=0, "", val))</f>
        <v>76</v>
      </c>
      <c r="AI13" s="137">
        <f t="array" ref="AI13">LET(val, IFERROR(INDEX('Daily 사주 raw'!$A:$ZZ, MATCH(AI$2, 'Daily 사주 raw'!$A:$A, 0), MATCH($B13, 'Daily 사주 raw'!$1:$1, 0)), ""), IF(val=0, "", val))</f>
        <v>92</v>
      </c>
      <c r="AJ13" s="137">
        <f t="array" ref="AJ13">LET(val, IFERROR(INDEX('Daily 사주 raw'!$A:$ZZ, MATCH(AJ$2, 'Daily 사주 raw'!$A:$A, 0), MATCH($B13, 'Daily 사주 raw'!$1:$1, 0)), ""), IF(val=0, "", val))</f>
        <v>80</v>
      </c>
      <c r="AK13" s="137">
        <f t="array" ref="AK13">LET(val, IFERROR(INDEX('Daily 사주 raw'!$A:$ZZ, MATCH(AK$2, 'Daily 사주 raw'!$A:$A, 0), MATCH($B13, 'Daily 사주 raw'!$1:$1, 0)), ""), IF(val=0, "", val))</f>
        <v>83</v>
      </c>
      <c r="AL13" s="137">
        <f t="array" ref="AL13">LET(val, IFERROR(INDEX('Daily 사주 raw'!$A:$ZZ, MATCH(AL$2, 'Daily 사주 raw'!$A:$A, 0), MATCH($B13, 'Daily 사주 raw'!$1:$1, 0)), ""), IF(val=0, "", val))</f>
        <v>66</v>
      </c>
      <c r="AM13" s="137">
        <f t="array" ref="AM13">LET(val, IFERROR(INDEX('Daily 사주 raw'!$A:$ZZ, MATCH(AM$2, 'Daily 사주 raw'!$A:$A, 0), MATCH($B13, 'Daily 사주 raw'!$1:$1, 0)), ""), IF(val=0, "", val))</f>
        <v>75</v>
      </c>
      <c r="AN13" s="137">
        <f t="array" ref="AN13">LET(val, IFERROR(INDEX('Daily 사주 raw'!$A:$ZZ, MATCH(AN$2, 'Daily 사주 raw'!$A:$A, 0), MATCH($B13, 'Daily 사주 raw'!$1:$1, 0)), ""), IF(val=0, "", val))</f>
        <v>63</v>
      </c>
      <c r="AO13" s="137">
        <f t="array" ref="AO13">LET(val, IFERROR(INDEX('Daily 사주 raw'!$A:$ZZ, MATCH(AO$2, 'Daily 사주 raw'!$A:$A, 0), MATCH($B13, 'Daily 사주 raw'!$1:$1, 0)), ""), IF(val=0, "", val))</f>
        <v>36</v>
      </c>
      <c r="AP13" s="137">
        <f t="array" ref="AP13">LET(val, IFERROR(INDEX('Daily 사주 raw'!$A:$ZZ, MATCH(AP$2, 'Daily 사주 raw'!$A:$A, 0), MATCH($B13, 'Daily 사주 raw'!$1:$1, 0)), ""), IF(val=0, "", val))</f>
        <v>34</v>
      </c>
      <c r="AQ13" s="137">
        <f t="array" ref="AQ13">LET(val, IFERROR(INDEX('Daily 사주 raw'!$A:$ZZ, MATCH(AQ$2, 'Daily 사주 raw'!$A:$A, 0), MATCH($B13, 'Daily 사주 raw'!$1:$1, 0)), ""), IF(val=0, "", val))</f>
        <v>23</v>
      </c>
      <c r="AR13" s="137">
        <f t="array" ref="AR13">LET(val, IFERROR(INDEX('Daily 사주 raw'!$A:$ZZ, MATCH(AR$2, 'Daily 사주 raw'!$A:$A, 0), MATCH($B13, 'Daily 사주 raw'!$1:$1, 0)), ""), IF(val=0, "", val))</f>
        <v>28</v>
      </c>
      <c r="AS13" s="137">
        <f t="array" ref="AS13">LET(val, IFERROR(INDEX('Daily 사주 raw'!$A:$ZZ, MATCH(AS$2, 'Daily 사주 raw'!$A:$A, 0), MATCH($B13, 'Daily 사주 raw'!$1:$1, 0)), ""), IF(val=0, "", val))</f>
        <v>35</v>
      </c>
      <c r="AT13" s="137">
        <f t="array" ref="AT13">LET(val, IFERROR(INDEX('Daily 사주 raw'!$A:$ZZ, MATCH(AT$2, 'Daily 사주 raw'!$A:$A, 0), MATCH($B13, 'Daily 사주 raw'!$1:$1, 0)), ""), IF(val=0, "", val))</f>
        <v>31</v>
      </c>
      <c r="AU13" s="137">
        <f t="array" ref="AU13">LET(val, IFERROR(INDEX('Daily 사주 raw'!$A:$ZZ, MATCH(AU$2, 'Daily 사주 raw'!$A:$A, 0), MATCH($B13, 'Daily 사주 raw'!$1:$1, 0)), ""), IF(val=0, "", val))</f>
        <v>28</v>
      </c>
      <c r="AV13" s="137">
        <f t="array" ref="AV13">LET(val, IFERROR(INDEX('Daily 사주 raw'!$A:$ZZ, MATCH(AV$2, 'Daily 사주 raw'!$A:$A, 0), MATCH($B13, 'Daily 사주 raw'!$1:$1, 0)), ""), IF(val=0, "", val))</f>
        <v>33</v>
      </c>
      <c r="AW13" s="137">
        <f t="array" ref="AW13">LET(val, IFERROR(INDEX('Daily 사주 raw'!$A:$ZZ, MATCH(AW$2, 'Daily 사주 raw'!$A:$A, 0), MATCH($B13, 'Daily 사주 raw'!$1:$1, 0)), ""), IF(val=0, "", val))</f>
        <v>49</v>
      </c>
      <c r="AX13" s="137">
        <f t="array" ref="AX13">LET(val, IFERROR(INDEX('Daily 사주 raw'!$A:$ZZ, MATCH(AX$2, 'Daily 사주 raw'!$A:$A, 0), MATCH($B13, 'Daily 사주 raw'!$1:$1, 0)), ""), IF(val=0, "", val))</f>
        <v>37</v>
      </c>
      <c r="AY13" s="137">
        <f t="array" ref="AY13">LET(val, IFERROR(INDEX('Daily 사주 raw'!$A:$ZZ, MATCH(AY$2, 'Daily 사주 raw'!$A:$A, 0), MATCH($B13, 'Daily 사주 raw'!$1:$1, 0)), ""), IF(val=0, "", val))</f>
        <v>50</v>
      </c>
      <c r="AZ13" s="137">
        <f t="array" ref="AZ13">LET(val, IFERROR(INDEX('Daily 사주 raw'!$A:$ZZ, MATCH(AZ$2, 'Daily 사주 raw'!$A:$A, 0), MATCH($B13, 'Daily 사주 raw'!$1:$1, 0)), ""), IF(val=0, "", val))</f>
        <v>46</v>
      </c>
      <c r="BA13" s="137">
        <f t="array" ref="BA13">LET(val, IFERROR(INDEX('Daily 사주 raw'!$A:$ZZ, MATCH(BA$2, 'Daily 사주 raw'!$A:$A, 0), MATCH($B13, 'Daily 사주 raw'!$1:$1, 0)), ""), IF(val=0, "", val))</f>
        <v>38</v>
      </c>
      <c r="BB13" s="137">
        <f t="array" ref="BB13">LET(val, IFERROR(INDEX('Daily 사주 raw'!$A:$ZZ, MATCH(BB$2, 'Daily 사주 raw'!$A:$A, 0), MATCH($B13, 'Daily 사주 raw'!$1:$1, 0)), ""), IF(val=0, "", val))</f>
        <v>30</v>
      </c>
      <c r="BC13" s="137">
        <f t="array" ref="BC13">LET(val, IFERROR(INDEX('Daily 사주 raw'!$A:$ZZ, MATCH(BC$2, 'Daily 사주 raw'!$A:$A, 0), MATCH($B13, 'Daily 사주 raw'!$1:$1, 0)), ""), IF(val=0, "", val))</f>
        <v>28</v>
      </c>
      <c r="BD13" s="137">
        <f t="array" ref="BD13">LET(val, IFERROR(INDEX('Daily 사주 raw'!$A:$ZZ, MATCH(BD$2, 'Daily 사주 raw'!$A:$A, 0), MATCH($B13, 'Daily 사주 raw'!$1:$1, 0)), ""), IF(val=0, "", val))</f>
        <v>36</v>
      </c>
      <c r="BE13" s="137">
        <f t="array" ref="BE13">LET(val, IFERROR(INDEX('Daily 사주 raw'!$A:$ZZ, MATCH(BE$2, 'Daily 사주 raw'!$A:$A, 0), MATCH($B13, 'Daily 사주 raw'!$1:$1, 0)), ""), IF(val=0, "", val))</f>
        <v>7</v>
      </c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8"/>
    </row>
    <row r="14" ht="18.75" customHeight="1">
      <c r="A14" s="1"/>
      <c r="B14" s="11" t="s">
        <v>31</v>
      </c>
      <c r="C14" s="1" t="s">
        <v>32</v>
      </c>
      <c r="D14" s="139">
        <f t="array" ref="D14">LET(val, IFERROR(INDEX('Daily 사주 raw'!$A:$ZZ, MATCH(D$2, 'Daily 사주 raw'!$A:$A, 0), MATCH($B14, 'Daily 사주 raw'!$1:$1, 0)), ""), IF(val=0, "", val))</f>
        <v>0.9305634362</v>
      </c>
      <c r="E14" s="139">
        <f t="array" ref="E14">LET(val, IFERROR(INDEX('Daily 사주 raw'!$A:$ZZ, MATCH(E$2, 'Daily 사주 raw'!$A:$A, 0), MATCH($B14, 'Daily 사주 raw'!$1:$1, 0)), ""), IF(val=0, "", val))</f>
        <v>0.9109422193</v>
      </c>
      <c r="F14" s="139">
        <f t="array" ref="F14">LET(val, IFERROR(INDEX('Daily 사주 raw'!$A:$ZZ, MATCH(F$2, 'Daily 사주 raw'!$A:$A, 0), MATCH($B14, 'Daily 사주 raw'!$1:$1, 0)), ""), IF(val=0, "", val))</f>
        <v>0.8917755976</v>
      </c>
      <c r="G14" s="139">
        <f t="array" ref="G14">LET(val, IFERROR(INDEX('Daily 사주 raw'!$A:$ZZ, MATCH(G$2, 'Daily 사주 raw'!$A:$A, 0), MATCH($B14, 'Daily 사주 raw'!$1:$1, 0)), ""), IF(val=0, "", val))</f>
        <v>0.8686563398</v>
      </c>
      <c r="H14" s="139">
        <f t="array" ref="H14">LET(val, IFERROR(INDEX('Daily 사주 raw'!$A:$ZZ, MATCH(H$2, 'Daily 사주 raw'!$A:$A, 0), MATCH($B14, 'Daily 사주 raw'!$1:$1, 0)), ""), IF(val=0, "", val))</f>
        <v>0.9117200136</v>
      </c>
      <c r="I14" s="139">
        <f t="array" ref="I14">LET(val, IFERROR(INDEX('Daily 사주 raw'!$A:$ZZ, MATCH(I$2, 'Daily 사주 raw'!$A:$A, 0), MATCH($B14, 'Daily 사주 raw'!$1:$1, 0)), ""), IF(val=0, "", val))</f>
        <v>0.8922498992</v>
      </c>
      <c r="J14" s="139">
        <f t="array" ref="J14">LET(val, IFERROR(INDEX('Daily 사주 raw'!$A:$ZZ, MATCH(J$2, 'Daily 사주 raw'!$A:$A, 0), MATCH($B14, 'Daily 사주 raw'!$1:$1, 0)), ""), IF(val=0, "", val))</f>
        <v>0.867812119</v>
      </c>
      <c r="K14" s="139">
        <f t="array" ref="K14">LET(val, IFERROR(INDEX('Daily 사주 raw'!$A:$ZZ, MATCH(K$2, 'Daily 사주 raw'!$A:$A, 0), MATCH($B14, 'Daily 사주 raw'!$1:$1, 0)), ""), IF(val=0, "", val))</f>
        <v>0.7678773828</v>
      </c>
      <c r="L14" s="139">
        <f t="array" ref="L14">LET(val, IFERROR(INDEX('Daily 사주 raw'!$A:$ZZ, MATCH(L$2, 'Daily 사주 raw'!$A:$A, 0), MATCH($B14, 'Daily 사주 raw'!$1:$1, 0)), ""), IF(val=0, "", val))</f>
        <v>0.7184941458</v>
      </c>
      <c r="M14" s="139">
        <f t="array" ref="M14">LET(val, IFERROR(INDEX('Daily 사주 raw'!$A:$ZZ, MATCH(M$2, 'Daily 사주 raw'!$A:$A, 0), MATCH($B14, 'Daily 사주 raw'!$1:$1, 0)), ""), IF(val=0, "", val))</f>
        <v>0.7211580695</v>
      </c>
      <c r="N14" s="139">
        <f t="array" ref="N14">LET(val, IFERROR(INDEX('Daily 사주 raw'!$A:$ZZ, MATCH(N$2, 'Daily 사주 raw'!$A:$A, 0), MATCH($B14, 'Daily 사주 raw'!$1:$1, 0)), ""), IF(val=0, "", val))</f>
        <v>0.7329074947</v>
      </c>
      <c r="O14" s="139">
        <f t="array" ref="O14">LET(val, IFERROR(INDEX('Daily 사주 raw'!$A:$ZZ, MATCH(O$2, 'Daily 사주 raw'!$A:$A, 0), MATCH($B14, 'Daily 사주 raw'!$1:$1, 0)), ""), IF(val=0, "", val))</f>
        <v>0.7282688154</v>
      </c>
      <c r="P14" s="139">
        <f t="array" ref="P14">LET(val, IFERROR(INDEX('Daily 사주 raw'!$A:$ZZ, MATCH(P$2, 'Daily 사주 raw'!$A:$A, 0), MATCH($B14, 'Daily 사주 raw'!$1:$1, 0)), ""), IF(val=0, "", val))</f>
        <v>0.7118261701</v>
      </c>
      <c r="Q14" s="139">
        <f t="array" ref="Q14">LET(val, IFERROR(INDEX('Daily 사주 raw'!$A:$ZZ, MATCH(Q$2, 'Daily 사주 raw'!$A:$A, 0), MATCH($B14, 'Daily 사주 raw'!$1:$1, 0)), ""), IF(val=0, "", val))</f>
        <v>0.7074558512</v>
      </c>
      <c r="R14" s="139">
        <f t="array" ref="R14">LET(val, IFERROR(INDEX('Daily 사주 raw'!$A:$ZZ, MATCH(R$2, 'Daily 사주 raw'!$A:$A, 0), MATCH($B14, 'Daily 사주 raw'!$1:$1, 0)), ""), IF(val=0, "", val))</f>
        <v>0.6777158057</v>
      </c>
      <c r="S14" s="139">
        <f t="array" ref="S14">LET(val, IFERROR(INDEX('Daily 사주 raw'!$A:$ZZ, MATCH(S$2, 'Daily 사주 raw'!$A:$A, 0), MATCH($B14, 'Daily 사주 raw'!$1:$1, 0)), ""), IF(val=0, "", val))</f>
        <v>0.6837841407</v>
      </c>
      <c r="T14" s="139">
        <f t="array" ref="T14">LET(val, IFERROR(INDEX('Daily 사주 raw'!$A:$ZZ, MATCH(T$2, 'Daily 사주 raw'!$A:$A, 0), MATCH($B14, 'Daily 사주 raw'!$1:$1, 0)), ""), IF(val=0, "", val))</f>
        <v>0.7231678053</v>
      </c>
      <c r="U14" s="139">
        <f t="array" ref="U14">LET(val, IFERROR(INDEX('Daily 사주 raw'!$A:$ZZ, MATCH(U$2, 'Daily 사주 raw'!$A:$A, 0), MATCH($B14, 'Daily 사주 raw'!$1:$1, 0)), ""), IF(val=0, "", val))</f>
        <v>0.7375748981</v>
      </c>
      <c r="V14" s="139">
        <f t="array" ref="V14">LET(val, IFERROR(INDEX('Daily 사주 raw'!$A:$ZZ, MATCH(V$2, 'Daily 사주 raw'!$A:$A, 0), MATCH($B14, 'Daily 사주 raw'!$1:$1, 0)), ""), IF(val=0, "", val))</f>
        <v>0.698673605</v>
      </c>
      <c r="W14" s="139">
        <f t="array" ref="W14">LET(val, IFERROR(INDEX('Daily 사주 raw'!$A:$ZZ, MATCH(W$2, 'Daily 사주 raw'!$A:$A, 0), MATCH($B14, 'Daily 사주 raw'!$1:$1, 0)), ""), IF(val=0, "", val))</f>
        <v>0.744138192</v>
      </c>
      <c r="X14" s="139">
        <f t="array" ref="X14">LET(val, IFERROR(INDEX('Daily 사주 raw'!$A:$ZZ, MATCH(X$2, 'Daily 사주 raw'!$A:$A, 0), MATCH($B14, 'Daily 사주 raw'!$1:$1, 0)), ""), IF(val=0, "", val))</f>
        <v>0.719364745</v>
      </c>
      <c r="Y14" s="139">
        <f t="array" ref="Y14">LET(val, IFERROR(INDEX('Daily 사주 raw'!$A:$ZZ, MATCH(Y$2, 'Daily 사주 raw'!$A:$A, 0), MATCH($B14, 'Daily 사주 raw'!$1:$1, 0)), ""), IF(val=0, "", val))</f>
        <v>0.7295987167</v>
      </c>
      <c r="Z14" s="139">
        <f t="array" ref="Z14">LET(val, IFERROR(INDEX('Daily 사주 raw'!$A:$ZZ, MATCH(Z$2, 'Daily 사주 raw'!$A:$A, 0), MATCH($B14, 'Daily 사주 raw'!$1:$1, 0)), ""), IF(val=0, "", val))</f>
        <v>0.727220717</v>
      </c>
      <c r="AA14" s="139">
        <f t="array" ref="AA14">LET(val, IFERROR(INDEX('Daily 사주 raw'!$A:$ZZ, MATCH(AA$2, 'Daily 사주 raw'!$A:$A, 0), MATCH($B14, 'Daily 사주 raw'!$1:$1, 0)), ""), IF(val=0, "", val))</f>
        <v>0.7465666717</v>
      </c>
      <c r="AB14" s="139">
        <f t="array" ref="AB14">LET(val, IFERROR(INDEX('Daily 사주 raw'!$A:$ZZ, MATCH(AB$2, 'Daily 사주 raw'!$A:$A, 0), MATCH($B14, 'Daily 사주 raw'!$1:$1, 0)), ""), IF(val=0, "", val))</f>
        <v>0.7186924833</v>
      </c>
      <c r="AC14" s="139">
        <f t="array" ref="AC14">LET(val, IFERROR(INDEX('Daily 사주 raw'!$A:$ZZ, MATCH(AC$2, 'Daily 사주 raw'!$A:$A, 0), MATCH($B14, 'Daily 사주 raw'!$1:$1, 0)), ""), IF(val=0, "", val))</f>
        <v>0.6984177771</v>
      </c>
      <c r="AD14" s="139">
        <f t="array" ref="AD14">LET(val, IFERROR(INDEX('Daily 사주 raw'!$A:$ZZ, MATCH(AD$2, 'Daily 사주 raw'!$A:$A, 0), MATCH($B14, 'Daily 사주 raw'!$1:$1, 0)), ""), IF(val=0, "", val))</f>
        <v>0.7256357181</v>
      </c>
      <c r="AE14" s="139">
        <f t="array" ref="AE14">LET(val, IFERROR(INDEX('Daily 사주 raw'!$A:$ZZ, MATCH(AE$2, 'Daily 사주 raw'!$A:$A, 0), MATCH($B14, 'Daily 사주 raw'!$1:$1, 0)), ""), IF(val=0, "", val))</f>
        <v>0.6848669899</v>
      </c>
      <c r="AF14" s="139">
        <f t="array" ref="AF14">LET(val, IFERROR(INDEX('Daily 사주 raw'!$A:$ZZ, MATCH(AF$2, 'Daily 사주 raw'!$A:$A, 0), MATCH($B14, 'Daily 사주 raw'!$1:$1, 0)), ""), IF(val=0, "", val))</f>
        <v>0.7369042834</v>
      </c>
      <c r="AG14" s="139">
        <f t="array" ref="AG14">LET(val, IFERROR(INDEX('Daily 사주 raw'!$A:$ZZ, MATCH(AG$2, 'Daily 사주 raw'!$A:$A, 0), MATCH($B14, 'Daily 사주 raw'!$1:$1, 0)), ""), IF(val=0, "", val))</f>
        <v>0.7549316274</v>
      </c>
      <c r="AH14" s="139">
        <f t="array" ref="AH14">LET(val, IFERROR(INDEX('Daily 사주 raw'!$A:$ZZ, MATCH(AH$2, 'Daily 사주 raw'!$A:$A, 0), MATCH($B14, 'Daily 사주 raw'!$1:$1, 0)), ""), IF(val=0, "", val))</f>
        <v>0.6937911232</v>
      </c>
      <c r="AI14" s="139">
        <f t="array" ref="AI14">LET(val, IFERROR(INDEX('Daily 사주 raw'!$A:$ZZ, MATCH(AI$2, 'Daily 사주 raw'!$A:$A, 0), MATCH($B14, 'Daily 사주 raw'!$1:$1, 0)), ""), IF(val=0, "", val))</f>
        <v>0.7223146993</v>
      </c>
      <c r="AJ14" s="139">
        <f t="array" ref="AJ14">LET(val, IFERROR(INDEX('Daily 사주 raw'!$A:$ZZ, MATCH(AJ$2, 'Daily 사주 raw'!$A:$A, 0), MATCH($B14, 'Daily 사주 raw'!$1:$1, 0)), ""), IF(val=0, "", val))</f>
        <v>0.7282105522</v>
      </c>
      <c r="AK14" s="139">
        <f t="array" ref="AK14">LET(val, IFERROR(INDEX('Daily 사주 raw'!$A:$ZZ, MATCH(AK$2, 'Daily 사주 raw'!$A:$A, 0), MATCH($B14, 'Daily 사주 raw'!$1:$1, 0)), ""), IF(val=0, "", val))</f>
        <v>0.7092349521</v>
      </c>
      <c r="AL14" s="139">
        <f t="array" ref="AL14">LET(val, IFERROR(INDEX('Daily 사주 raw'!$A:$ZZ, MATCH(AL$2, 'Daily 사주 raw'!$A:$A, 0), MATCH($B14, 'Daily 사주 raw'!$1:$1, 0)), ""), IF(val=0, "", val))</f>
        <v>0.7428255149</v>
      </c>
      <c r="AM14" s="139">
        <f t="array" ref="AM14">LET(val, IFERROR(INDEX('Daily 사주 raw'!$A:$ZZ, MATCH(AM$2, 'Daily 사주 raw'!$A:$A, 0), MATCH($B14, 'Daily 사주 raw'!$1:$1, 0)), ""), IF(val=0, "", val))</f>
        <v>0.7423898364</v>
      </c>
      <c r="AN14" s="139">
        <f t="array" ref="AN14">LET(val, IFERROR(INDEX('Daily 사주 raw'!$A:$ZZ, MATCH(AN$2, 'Daily 사주 raw'!$A:$A, 0), MATCH($B14, 'Daily 사주 raw'!$1:$1, 0)), ""), IF(val=0, "", val))</f>
        <v>0.68745175</v>
      </c>
      <c r="AO14" s="139">
        <f t="array" ref="AO14">LET(val, IFERROR(INDEX('Daily 사주 raw'!$A:$ZZ, MATCH(AO$2, 'Daily 사주 raw'!$A:$A, 0), MATCH($B14, 'Daily 사주 raw'!$1:$1, 0)), ""), IF(val=0, "", val))</f>
        <v>0.6593375142</v>
      </c>
      <c r="AP14" s="139">
        <f t="array" ref="AP14">LET(val, IFERROR(INDEX('Daily 사주 raw'!$A:$ZZ, MATCH(AP$2, 'Daily 사주 raw'!$A:$A, 0), MATCH($B14, 'Daily 사주 raw'!$1:$1, 0)), ""), IF(val=0, "", val))</f>
        <v>0.7045232307</v>
      </c>
      <c r="AQ14" s="139">
        <f t="array" ref="AQ14">LET(val, IFERROR(INDEX('Daily 사주 raw'!$A:$ZZ, MATCH(AQ$2, 'Daily 사주 raw'!$A:$A, 0), MATCH($B14, 'Daily 사주 raw'!$1:$1, 0)), ""), IF(val=0, "", val))</f>
        <v>0.7160889555</v>
      </c>
      <c r="AR14" s="139">
        <f t="array" ref="AR14">LET(val, IFERROR(INDEX('Daily 사주 raw'!$A:$ZZ, MATCH(AR$2, 'Daily 사주 raw'!$A:$A, 0), MATCH($B14, 'Daily 사주 raw'!$1:$1, 0)), ""), IF(val=0, "", val))</f>
        <v>0.6909015444</v>
      </c>
      <c r="AS14" s="139">
        <f t="array" ref="AS14">LET(val, IFERROR(INDEX('Daily 사주 raw'!$A:$ZZ, MATCH(AS$2, 'Daily 사주 raw'!$A:$A, 0), MATCH($B14, 'Daily 사주 raw'!$1:$1, 0)), ""), IF(val=0, "", val))</f>
        <v>0.6751616015</v>
      </c>
      <c r="AT14" s="139">
        <f t="array" ref="AT14">LET(val, IFERROR(INDEX('Daily 사주 raw'!$A:$ZZ, MATCH(AT$2, 'Daily 사주 raw'!$A:$A, 0), MATCH($B14, 'Daily 사주 raw'!$1:$1, 0)), ""), IF(val=0, "", val))</f>
        <v>0.8029654555</v>
      </c>
      <c r="AU14" s="139">
        <f t="array" ref="AU14">LET(val, IFERROR(INDEX('Daily 사주 raw'!$A:$ZZ, MATCH(AU$2, 'Daily 사주 raw'!$A:$A, 0), MATCH($B14, 'Daily 사주 raw'!$1:$1, 0)), ""), IF(val=0, "", val))</f>
        <v>0.7453517748</v>
      </c>
      <c r="AV14" s="139">
        <f t="array" ref="AV14">LET(val, IFERROR(INDEX('Daily 사주 raw'!$A:$ZZ, MATCH(AV$2, 'Daily 사주 raw'!$A:$A, 0), MATCH($B14, 'Daily 사주 raw'!$1:$1, 0)), ""), IF(val=0, "", val))</f>
        <v>0.7565579199</v>
      </c>
      <c r="AW14" s="139">
        <f t="array" ref="AW14">LET(val, IFERROR(INDEX('Daily 사주 raw'!$A:$ZZ, MATCH(AW$2, 'Daily 사주 raw'!$A:$A, 0), MATCH($B14, 'Daily 사주 raw'!$1:$1, 0)), ""), IF(val=0, "", val))</f>
        <v>0.7416305742</v>
      </c>
      <c r="AX14" s="139">
        <f t="array" ref="AX14">LET(val, IFERROR(INDEX('Daily 사주 raw'!$A:$ZZ, MATCH(AX$2, 'Daily 사주 raw'!$A:$A, 0), MATCH($B14, 'Daily 사주 raw'!$1:$1, 0)), ""), IF(val=0, "", val))</f>
        <v>0.7274702703</v>
      </c>
      <c r="AY14" s="139">
        <f t="array" ref="AY14">LET(val, IFERROR(INDEX('Daily 사주 raw'!$A:$ZZ, MATCH(AY$2, 'Daily 사주 raw'!$A:$A, 0), MATCH($B14, 'Daily 사주 raw'!$1:$1, 0)), ""), IF(val=0, "", val))</f>
        <v>0.7275864681</v>
      </c>
      <c r="AZ14" s="139">
        <f t="array" ref="AZ14">LET(val, IFERROR(INDEX('Daily 사주 raw'!$A:$ZZ, MATCH(AZ$2, 'Daily 사주 raw'!$A:$A, 0), MATCH($B14, 'Daily 사주 raw'!$1:$1, 0)), ""), IF(val=0, "", val))</f>
        <v>0.715080829</v>
      </c>
      <c r="BA14" s="139">
        <f t="array" ref="BA14">LET(val, IFERROR(INDEX('Daily 사주 raw'!$A:$ZZ, MATCH(BA$2, 'Daily 사주 raw'!$A:$A, 0), MATCH($B14, 'Daily 사주 raw'!$1:$1, 0)), ""), IF(val=0, "", val))</f>
        <v>0.7358615385</v>
      </c>
      <c r="BB14" s="139">
        <f t="array" ref="BB14">LET(val, IFERROR(INDEX('Daily 사주 raw'!$A:$ZZ, MATCH(BB$2, 'Daily 사주 raw'!$A:$A, 0), MATCH($B14, 'Daily 사주 raw'!$1:$1, 0)), ""), IF(val=0, "", val))</f>
        <v>0.7299373873</v>
      </c>
      <c r="BC14" s="139">
        <f t="array" ref="BC14">LET(val, IFERROR(INDEX('Daily 사주 raw'!$A:$ZZ, MATCH(BC$2, 'Daily 사주 raw'!$A:$A, 0), MATCH($B14, 'Daily 사주 raw'!$1:$1, 0)), ""), IF(val=0, "", val))</f>
        <v>0.7427318249</v>
      </c>
      <c r="BD14" s="139">
        <f t="array" ref="BD14">LET(val, IFERROR(INDEX('Daily 사주 raw'!$A:$ZZ, MATCH(BD$2, 'Daily 사주 raw'!$A:$A, 0), MATCH($B14, 'Daily 사주 raw'!$1:$1, 0)), ""), IF(val=0, "", val))</f>
        <v>0.7235472829</v>
      </c>
      <c r="BE14" s="139">
        <f t="array" ref="BE14">LET(val, IFERROR(INDEX('Daily 사주 raw'!$A:$ZZ, MATCH(BE$2, 'Daily 사주 raw'!$A:$A, 0), MATCH($B14, 'Daily 사주 raw'!$1:$1, 0)), ""), IF(val=0, "", val))</f>
        <v>0.7</v>
      </c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40"/>
    </row>
    <row r="15" ht="18.75" customHeight="1">
      <c r="A15" s="135"/>
      <c r="B15" s="23" t="s">
        <v>33</v>
      </c>
      <c r="C15" s="136" t="s">
        <v>34</v>
      </c>
      <c r="D15" s="142">
        <f t="array" ref="D15">LET(val, IFERROR(INDEX('Daily 사주 raw'!$A:$ZZ, MATCH(D$2, 'Daily 사주 raw'!$A:$A, 0), MATCH($B15, 'Daily 사주 raw'!$1:$1, 0)), ""), IF(val=0, "", val))</f>
        <v>79095.1898</v>
      </c>
      <c r="E15" s="142">
        <f t="array" ref="E15">LET(val, IFERROR(INDEX('Daily 사주 raw'!$A:$ZZ, MATCH(E$2, 'Daily 사주 raw'!$A:$A, 0), MATCH($B15, 'Daily 사주 raw'!$1:$1, 0)), ""), IF(val=0, "", val))</f>
        <v>52535.18484</v>
      </c>
      <c r="F15" s="142">
        <f t="array" ref="F15">LET(val, IFERROR(INDEX('Daily 사주 raw'!$A:$ZZ, MATCH(F$2, 'Daily 사주 raw'!$A:$A, 0), MATCH($B15, 'Daily 사주 raw'!$1:$1, 0)), ""), IF(val=0, "", val))</f>
        <v>31915.37627</v>
      </c>
      <c r="G15" s="142">
        <f t="array" ref="G15">LET(val, IFERROR(INDEX('Daily 사주 raw'!$A:$ZZ, MATCH(G$2, 'Daily 사주 raw'!$A:$A, 0), MATCH($B15, 'Daily 사주 raw'!$1:$1, 0)), ""), IF(val=0, "", val))</f>
        <v>23563.05263</v>
      </c>
      <c r="H15" s="142">
        <f t="array" ref="H15">LET(val, IFERROR(INDEX('Daily 사주 raw'!$A:$ZZ, MATCH(H$2, 'Daily 사주 raw'!$A:$A, 0), MATCH($B15, 'Daily 사주 raw'!$1:$1, 0)), ""), IF(val=0, "", val))</f>
        <v>40388.09376</v>
      </c>
      <c r="I15" s="142">
        <f t="array" ref="I15">LET(val, IFERROR(INDEX('Daily 사주 raw'!$A:$ZZ, MATCH(I$2, 'Daily 사주 raw'!$A:$A, 0), MATCH($B15, 'Daily 사주 raw'!$1:$1, 0)), ""), IF(val=0, "", val))</f>
        <v>56687.32803</v>
      </c>
      <c r="J15" s="142">
        <f t="array" ref="J15">LET(val, IFERROR(INDEX('Daily 사주 raw'!$A:$ZZ, MATCH(J$2, 'Daily 사주 raw'!$A:$A, 0), MATCH($B15, 'Daily 사주 raw'!$1:$1, 0)), ""), IF(val=0, "", val))</f>
        <v>30138.83688</v>
      </c>
      <c r="K15" s="142">
        <f t="array" ref="K15">LET(val, IFERROR(INDEX('Daily 사주 raw'!$A:$ZZ, MATCH(K$2, 'Daily 사주 raw'!$A:$A, 0), MATCH($B15, 'Daily 사주 raw'!$1:$1, 0)), ""), IF(val=0, "", val))</f>
        <v>199416.5405</v>
      </c>
      <c r="L15" s="142">
        <f t="array" ref="L15">LET(val, IFERROR(INDEX('Daily 사주 raw'!$A:$ZZ, MATCH(L$2, 'Daily 사주 raw'!$A:$A, 0), MATCH($B15, 'Daily 사주 raw'!$1:$1, 0)), ""), IF(val=0, "", val))</f>
        <v>263573.9313</v>
      </c>
      <c r="M15" s="142">
        <f t="array" ref="M15">LET(val, IFERROR(INDEX('Daily 사주 raw'!$A:$ZZ, MATCH(M$2, 'Daily 사주 raw'!$A:$A, 0), MATCH($B15, 'Daily 사주 raw'!$1:$1, 0)), ""), IF(val=0, "", val))</f>
        <v>348887.0234</v>
      </c>
      <c r="N15" s="142">
        <f t="array" ref="N15">LET(val, IFERROR(INDEX('Daily 사주 raw'!$A:$ZZ, MATCH(N$2, 'Daily 사주 raw'!$A:$A, 0), MATCH($B15, 'Daily 사주 raw'!$1:$1, 0)), ""), IF(val=0, "", val))</f>
        <v>267493.144</v>
      </c>
      <c r="O15" s="142">
        <f t="array" ref="O15">LET(val, IFERROR(INDEX('Daily 사주 raw'!$A:$ZZ, MATCH(O$2, 'Daily 사주 raw'!$A:$A, 0), MATCH($B15, 'Daily 사주 raw'!$1:$1, 0)), ""), IF(val=0, "", val))</f>
        <v>349609.342</v>
      </c>
      <c r="P15" s="142">
        <f t="array" ref="P15">LET(val, IFERROR(INDEX('Daily 사주 raw'!$A:$ZZ, MATCH(P$2, 'Daily 사주 raw'!$A:$A, 0), MATCH($B15, 'Daily 사주 raw'!$1:$1, 0)), ""), IF(val=0, "", val))</f>
        <v>326616.2189</v>
      </c>
      <c r="Q15" s="142">
        <f t="array" ref="Q15">LET(val, IFERROR(INDEX('Daily 사주 raw'!$A:$ZZ, MATCH(Q$2, 'Daily 사주 raw'!$A:$A, 0), MATCH($B15, 'Daily 사주 raw'!$1:$1, 0)), ""), IF(val=0, "", val))</f>
        <v>274611.1924</v>
      </c>
      <c r="R15" s="142">
        <f t="array" ref="R15">LET(val, IFERROR(INDEX('Daily 사주 raw'!$A:$ZZ, MATCH(R$2, 'Daily 사주 raw'!$A:$A, 0), MATCH($B15, 'Daily 사주 raw'!$1:$1, 0)), ""), IF(val=0, "", val))</f>
        <v>238844.8164</v>
      </c>
      <c r="S15" s="142">
        <f t="array" ref="S15">LET(val, IFERROR(INDEX('Daily 사주 raw'!$A:$ZZ, MATCH(S$2, 'Daily 사주 raw'!$A:$A, 0), MATCH($B15, 'Daily 사주 raw'!$1:$1, 0)), ""), IF(val=0, "", val))</f>
        <v>250000.2584</v>
      </c>
      <c r="T15" s="142">
        <f t="array" ref="T15">LET(val, IFERROR(INDEX('Daily 사주 raw'!$A:$ZZ, MATCH(T$2, 'Daily 사주 raw'!$A:$A, 0), MATCH($B15, 'Daily 사주 raw'!$1:$1, 0)), ""), IF(val=0, "", val))</f>
        <v>418957.8434</v>
      </c>
      <c r="U15" s="142">
        <f t="array" ref="U15">LET(val, IFERROR(INDEX('Daily 사주 raw'!$A:$ZZ, MATCH(U$2, 'Daily 사주 raw'!$A:$A, 0), MATCH($B15, 'Daily 사주 raw'!$1:$1, 0)), ""), IF(val=0, "", val))</f>
        <v>300161.8315</v>
      </c>
      <c r="V15" s="142">
        <f t="array" ref="V15">LET(val, IFERROR(INDEX('Daily 사주 raw'!$A:$ZZ, MATCH(V$2, 'Daily 사주 raw'!$A:$A, 0), MATCH($B15, 'Daily 사주 raw'!$1:$1, 0)), ""), IF(val=0, "", val))</f>
        <v>355745.942</v>
      </c>
      <c r="W15" s="142">
        <f t="array" ref="W15">LET(val, IFERROR(INDEX('Daily 사주 raw'!$A:$ZZ, MATCH(W$2, 'Daily 사주 raw'!$A:$A, 0), MATCH($B15, 'Daily 사주 raw'!$1:$1, 0)), ""), IF(val=0, "", val))</f>
        <v>281831.7816</v>
      </c>
      <c r="X15" s="142">
        <f t="array" ref="X15">LET(val, IFERROR(INDEX('Daily 사주 raw'!$A:$ZZ, MATCH(X$2, 'Daily 사주 raw'!$A:$A, 0), MATCH($B15, 'Daily 사주 raw'!$1:$1, 0)), ""), IF(val=0, "", val))</f>
        <v>476209.9643</v>
      </c>
      <c r="Y15" s="142">
        <f t="array" ref="Y15">LET(val, IFERROR(INDEX('Daily 사주 raw'!$A:$ZZ, MATCH(Y$2, 'Daily 사주 raw'!$A:$A, 0), MATCH($B15, 'Daily 사주 raw'!$1:$1, 0)), ""), IF(val=0, "", val))</f>
        <v>286111.5979</v>
      </c>
      <c r="Z15" s="142">
        <f t="array" ref="Z15">LET(val, IFERROR(INDEX('Daily 사주 raw'!$A:$ZZ, MATCH(Z$2, 'Daily 사주 raw'!$A:$A, 0), MATCH($B15, 'Daily 사주 raw'!$1:$1, 0)), ""), IF(val=0, "", val))</f>
        <v>235654.0226</v>
      </c>
      <c r="AA15" s="142">
        <f t="array" ref="AA15">LET(val, IFERROR(INDEX('Daily 사주 raw'!$A:$ZZ, MATCH(AA$2, 'Daily 사주 raw'!$A:$A, 0), MATCH($B15, 'Daily 사주 raw'!$1:$1, 0)), ""), IF(val=0, "", val))</f>
        <v>190176.3695</v>
      </c>
      <c r="AB15" s="142">
        <f t="array" ref="AB15">LET(val, IFERROR(INDEX('Daily 사주 raw'!$A:$ZZ, MATCH(AB$2, 'Daily 사주 raw'!$A:$A, 0), MATCH($B15, 'Daily 사주 raw'!$1:$1, 0)), ""), IF(val=0, "", val))</f>
        <v>362070.9048</v>
      </c>
      <c r="AC15" s="142">
        <f t="array" ref="AC15">LET(val, IFERROR(INDEX('Daily 사주 raw'!$A:$ZZ, MATCH(AC$2, 'Daily 사주 raw'!$A:$A, 0), MATCH($B15, 'Daily 사주 raw'!$1:$1, 0)), ""), IF(val=0, "", val))</f>
        <v>233937.3303</v>
      </c>
      <c r="AD15" s="142">
        <f t="array" ref="AD15">LET(val, IFERROR(INDEX('Daily 사주 raw'!$A:$ZZ, MATCH(AD$2, 'Daily 사주 raw'!$A:$A, 0), MATCH($B15, 'Daily 사주 raw'!$1:$1, 0)), ""), IF(val=0, "", val))</f>
        <v>230685.4882</v>
      </c>
      <c r="AE15" s="142">
        <f t="array" ref="AE15">LET(val, IFERROR(INDEX('Daily 사주 raw'!$A:$ZZ, MATCH(AE$2, 'Daily 사주 raw'!$A:$A, 0), MATCH($B15, 'Daily 사주 raw'!$1:$1, 0)), ""), IF(val=0, "", val))</f>
        <v>282548.2568</v>
      </c>
      <c r="AF15" s="142">
        <f t="array" ref="AF15">LET(val, IFERROR(INDEX('Daily 사주 raw'!$A:$ZZ, MATCH(AF$2, 'Daily 사주 raw'!$A:$A, 0), MATCH($B15, 'Daily 사주 raw'!$1:$1, 0)), ""), IF(val=0, "", val))</f>
        <v>304796.3877</v>
      </c>
      <c r="AG15" s="142">
        <f t="array" ref="AG15">LET(val, IFERROR(INDEX('Daily 사주 raw'!$A:$ZZ, MATCH(AG$2, 'Daily 사주 raw'!$A:$A, 0), MATCH($B15, 'Daily 사주 raw'!$1:$1, 0)), ""), IF(val=0, "", val))</f>
        <v>186153.9358</v>
      </c>
      <c r="AH15" s="142">
        <f t="array" ref="AH15">LET(val, IFERROR(INDEX('Daily 사주 raw'!$A:$ZZ, MATCH(AH$2, 'Daily 사주 raw'!$A:$A, 0), MATCH($B15, 'Daily 사주 raw'!$1:$1, 0)), ""), IF(val=0, "", val))</f>
        <v>275894.198</v>
      </c>
      <c r="AI15" s="142">
        <f t="array" ref="AI15">LET(val, IFERROR(INDEX('Daily 사주 raw'!$A:$ZZ, MATCH(AI$2, 'Daily 사주 raw'!$A:$A, 0), MATCH($B15, 'Daily 사주 raw'!$1:$1, 0)), ""), IF(val=0, "", val))</f>
        <v>388481.7356</v>
      </c>
      <c r="AJ15" s="142">
        <f t="array" ref="AJ15">LET(val, IFERROR(INDEX('Daily 사주 raw'!$A:$ZZ, MATCH(AJ$2, 'Daily 사주 raw'!$A:$A, 0), MATCH($B15, 'Daily 사주 raw'!$1:$1, 0)), ""), IF(val=0, "", val))</f>
        <v>261841.954</v>
      </c>
      <c r="AK15" s="142">
        <f t="array" ref="AK15">LET(val, IFERROR(INDEX('Daily 사주 raw'!$A:$ZZ, MATCH(AK$2, 'Daily 사주 raw'!$A:$A, 0), MATCH($B15, 'Daily 사주 raw'!$1:$1, 0)), ""), IF(val=0, "", val))</f>
        <v>313561.0276</v>
      </c>
      <c r="AL15" s="142">
        <f t="array" ref="AL15">LET(val, IFERROR(INDEX('Daily 사주 raw'!$A:$ZZ, MATCH(AL$2, 'Daily 사주 raw'!$A:$A, 0), MATCH($B15, 'Daily 사주 raw'!$1:$1, 0)), ""), IF(val=0, "", val))</f>
        <v>215460.7836</v>
      </c>
      <c r="AM15" s="142">
        <f t="array" ref="AM15">LET(val, IFERROR(INDEX('Daily 사주 raw'!$A:$ZZ, MATCH(AM$2, 'Daily 사주 raw'!$A:$A, 0), MATCH($B15, 'Daily 사주 raw'!$1:$1, 0)), ""), IF(val=0, "", val))</f>
        <v>220643.1052</v>
      </c>
      <c r="AN15" s="142">
        <f t="array" ref="AN15">LET(val, IFERROR(INDEX('Daily 사주 raw'!$A:$ZZ, MATCH(AN$2, 'Daily 사주 raw'!$A:$A, 0), MATCH($B15, 'Daily 사주 raw'!$1:$1, 0)), ""), IF(val=0, "", val))</f>
        <v>340583.8281</v>
      </c>
      <c r="AO15" s="142">
        <f t="array" ref="AO15">LET(val, IFERROR(INDEX('Daily 사주 raw'!$A:$ZZ, MATCH(AO$2, 'Daily 사주 raw'!$A:$A, 0), MATCH($B15, 'Daily 사주 raw'!$1:$1, 0)), ""), IF(val=0, "", val))</f>
        <v>242619.8224</v>
      </c>
      <c r="AP15" s="142">
        <f t="array" ref="AP15">LET(val, IFERROR(INDEX('Daily 사주 raw'!$A:$ZZ, MATCH(AP$2, 'Daily 사주 raw'!$A:$A, 0), MATCH($B15, 'Daily 사주 raw'!$1:$1, 0)), ""), IF(val=0, "", val))</f>
        <v>168037.6387</v>
      </c>
      <c r="AQ15" s="142">
        <f t="array" ref="AQ15">LET(val, IFERROR(INDEX('Daily 사주 raw'!$A:$ZZ, MATCH(AQ$2, 'Daily 사주 raw'!$A:$A, 0), MATCH($B15, 'Daily 사주 raw'!$1:$1, 0)), ""), IF(val=0, "", val))</f>
        <v>107971.3702</v>
      </c>
      <c r="AR15" s="142">
        <f t="array" ref="AR15">LET(val, IFERROR(INDEX('Daily 사주 raw'!$A:$ZZ, MATCH(AR$2, 'Daily 사주 raw'!$A:$A, 0), MATCH($B15, 'Daily 사주 raw'!$1:$1, 0)), ""), IF(val=0, "", val))</f>
        <v>108833.5662</v>
      </c>
      <c r="AS15" s="142">
        <f t="array" ref="AS15">LET(val, IFERROR(INDEX('Daily 사주 raw'!$A:$ZZ, MATCH(AS$2, 'Daily 사주 raw'!$A:$A, 0), MATCH($B15, 'Daily 사주 raw'!$1:$1, 0)), ""), IF(val=0, "", val))</f>
        <v>195260.3613</v>
      </c>
      <c r="AT15" s="142">
        <f t="array" ref="AT15">LET(val, IFERROR(INDEX('Daily 사주 raw'!$A:$ZZ, MATCH(AT$2, 'Daily 사주 raw'!$A:$A, 0), MATCH($B15, 'Daily 사주 raw'!$1:$1, 0)), ""), IF(val=0, "", val))</f>
        <v>114417.96</v>
      </c>
      <c r="AU15" s="142">
        <f t="array" ref="AU15">LET(val, IFERROR(INDEX('Daily 사주 raw'!$A:$ZZ, MATCH(AU$2, 'Daily 사주 raw'!$A:$A, 0), MATCH($B15, 'Daily 사주 raw'!$1:$1, 0)), ""), IF(val=0, "", val))</f>
        <v>187242.84</v>
      </c>
      <c r="AV15" s="142">
        <f t="array" ref="AV15">LET(val, IFERROR(INDEX('Daily 사주 raw'!$A:$ZZ, MATCH(AV$2, 'Daily 사주 raw'!$A:$A, 0), MATCH($B15, 'Daily 사주 raw'!$1:$1, 0)), ""), IF(val=0, "", val))</f>
        <v>183506.64</v>
      </c>
      <c r="AW15" s="142">
        <f t="array" ref="AW15">LET(val, IFERROR(INDEX('Daily 사주 raw'!$A:$ZZ, MATCH(AW$2, 'Daily 사주 raw'!$A:$A, 0), MATCH($B15, 'Daily 사주 raw'!$1:$1, 0)), ""), IF(val=0, "", val))</f>
        <v>269065.92</v>
      </c>
      <c r="AX15" s="142">
        <f t="array" ref="AX15">LET(val, IFERROR(INDEX('Daily 사주 raw'!$A:$ZZ, MATCH(AX$2, 'Daily 사주 raw'!$A:$A, 0), MATCH($B15, 'Daily 사주 raw'!$1:$1, 0)), ""), IF(val=0, "", val))</f>
        <v>175454.64</v>
      </c>
      <c r="AY15" s="142">
        <f t="array" ref="AY15">LET(val, IFERROR(INDEX('Daily 사주 raw'!$A:$ZZ, MATCH(AY$2, 'Daily 사주 raw'!$A:$A, 0), MATCH($B15, 'Daily 사주 raw'!$1:$1, 0)), ""), IF(val=0, "", val))</f>
        <v>248822.52</v>
      </c>
      <c r="AZ15" s="142">
        <f t="array" ref="AZ15">LET(val, IFERROR(INDEX('Daily 사주 raw'!$A:$ZZ, MATCH(AZ$2, 'Daily 사주 raw'!$A:$A, 0), MATCH($B15, 'Daily 사주 raw'!$1:$1, 0)), ""), IF(val=0, "", val))</f>
        <v>329936.4</v>
      </c>
      <c r="BA15" s="142">
        <f t="array" ref="BA15">LET(val, IFERROR(INDEX('Daily 사주 raw'!$A:$ZZ, MATCH(BA$2, 'Daily 사주 raw'!$A:$A, 0), MATCH($B15, 'Daily 사주 raw'!$1:$1, 0)), ""), IF(val=0, "", val))</f>
        <v>188859</v>
      </c>
      <c r="BB15" s="142">
        <f t="array" ref="BB15">LET(val, IFERROR(INDEX('Daily 사주 raw'!$A:$ZZ, MATCH(BB$2, 'Daily 사주 raw'!$A:$A, 0), MATCH($B15, 'Daily 사주 raw'!$1:$1, 0)), ""), IF(val=0, "", val))</f>
        <v>140783.64</v>
      </c>
      <c r="BC15" s="142">
        <f t="array" ref="BC15">LET(val, IFERROR(INDEX('Daily 사주 raw'!$A:$ZZ, MATCH(BC$2, 'Daily 사주 raw'!$A:$A, 0), MATCH($B15, 'Daily 사주 raw'!$1:$1, 0)), ""), IF(val=0, "", val))</f>
        <v>121662.12</v>
      </c>
      <c r="BD15" s="142">
        <f t="array" ref="BD15">LET(val, IFERROR(INDEX('Daily 사주 raw'!$A:$ZZ, MATCH(BD$2, 'Daily 사주 raw'!$A:$A, 0), MATCH($B15, 'Daily 사주 raw'!$1:$1, 0)), ""), IF(val=0, "", val))</f>
        <v>221300.4</v>
      </c>
      <c r="BE15" s="142">
        <f t="array" ref="BE15">LET(val, IFERROR(INDEX('Daily 사주 raw'!$A:$ZZ, MATCH(BE$2, 'Daily 사주 raw'!$A:$A, 0), MATCH($B15, 'Daily 사주 raw'!$1:$1, 0)), ""), IF(val=0, "", val))</f>
        <v>59250</v>
      </c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38"/>
    </row>
    <row r="16" ht="18.75" customHeight="1">
      <c r="A16" s="135"/>
      <c r="B16" s="23" t="s">
        <v>35</v>
      </c>
      <c r="C16" s="136" t="s">
        <v>27</v>
      </c>
      <c r="D16" s="142">
        <f t="array" ref="D16">LET(val, IFERROR(INDEX('Daily 사주 raw'!$A:$ZZ, MATCH(D$2, 'Daily 사주 raw'!$A:$A, 0), MATCH($B16, 'Daily 사주 raw'!$1:$1, 0)), ""), IF(val=0, "", val))</f>
        <v>1139100</v>
      </c>
      <c r="E16" s="142">
        <f t="array" ref="E16">LET(val, IFERROR(INDEX('Daily 사주 raw'!$A:$ZZ, MATCH(E$2, 'Daily 사주 raw'!$A:$A, 0), MATCH($B16, 'Daily 사주 raw'!$1:$1, 0)), ""), IF(val=0, "", val))</f>
        <v>589900</v>
      </c>
      <c r="F16" s="142">
        <f t="array" ref="F16">LET(val, IFERROR(INDEX('Daily 사주 raw'!$A:$ZZ, MATCH(F$2, 'Daily 사주 raw'!$A:$A, 0), MATCH($B16, 'Daily 사주 raw'!$1:$1, 0)), ""), IF(val=0, "", val))</f>
        <v>294900</v>
      </c>
      <c r="G16" s="142">
        <f t="array" ref="G16">LET(val, IFERROR(INDEX('Daily 사주 raw'!$A:$ZZ, MATCH(G$2, 'Daily 사주 raw'!$A:$A, 0), MATCH($B16, 'Daily 사주 raw'!$1:$1, 0)), ""), IF(val=0, "", val))</f>
        <v>179400</v>
      </c>
      <c r="H16" s="142">
        <f t="array" ref="H16">LET(val, IFERROR(INDEX('Daily 사주 raw'!$A:$ZZ, MATCH(H$2, 'Daily 사주 raw'!$A:$A, 0), MATCH($B16, 'Daily 사주 raw'!$1:$1, 0)), ""), IF(val=0, "", val))</f>
        <v>457500</v>
      </c>
      <c r="I16" s="142">
        <f t="array" ref="I16">LET(val, IFERROR(INDEX('Daily 사주 raw'!$A:$ZZ, MATCH(I$2, 'Daily 사주 raw'!$A:$A, 0), MATCH($B16, 'Daily 사주 raw'!$1:$1, 0)), ""), IF(val=0, "", val))</f>
        <v>526100</v>
      </c>
      <c r="J16" s="142">
        <f t="array" ref="J16">LET(val, IFERROR(INDEX('Daily 사주 raw'!$A:$ZZ, MATCH(J$2, 'Daily 사주 raw'!$A:$A, 0), MATCH($B16, 'Daily 사주 raw'!$1:$1, 0)), ""), IF(val=0, "", val))</f>
        <v>228000</v>
      </c>
      <c r="K16" s="142">
        <f t="array" ref="K16">LET(val, IFERROR(INDEX('Daily 사주 raw'!$A:$ZZ, MATCH(K$2, 'Daily 사주 raw'!$A:$A, 0), MATCH($B16, 'Daily 사주 raw'!$1:$1, 0)), ""), IF(val=0, "", val))</f>
        <v>859100</v>
      </c>
      <c r="L16" s="142">
        <f t="array" ref="L16">LET(val, IFERROR(INDEX('Daily 사주 raw'!$A:$ZZ, MATCH(L$2, 'Daily 사주 raw'!$A:$A, 0), MATCH($B16, 'Daily 사주 raw'!$1:$1, 0)), ""), IF(val=0, "", val))</f>
        <v>936300</v>
      </c>
      <c r="M16" s="142">
        <f t="array" ref="M16">LET(val, IFERROR(INDEX('Daily 사주 raw'!$A:$ZZ, MATCH(M$2, 'Daily 사주 raw'!$A:$A, 0), MATCH($B16, 'Daily 사주 raw'!$1:$1, 0)), ""), IF(val=0, "", val))</f>
        <v>1251200</v>
      </c>
      <c r="N16" s="142">
        <f t="array" ref="N16">LET(val, IFERROR(INDEX('Daily 사주 raw'!$A:$ZZ, MATCH(N$2, 'Daily 사주 raw'!$A:$A, 0), MATCH($B16, 'Daily 사주 raw'!$1:$1, 0)), ""), IF(val=0, "", val))</f>
        <v>1001500</v>
      </c>
      <c r="O16" s="142">
        <f t="array" ref="O16">LET(val, IFERROR(INDEX('Daily 사주 raw'!$A:$ZZ, MATCH(O$2, 'Daily 사주 raw'!$A:$A, 0), MATCH($B16, 'Daily 사주 raw'!$1:$1, 0)), ""), IF(val=0, "", val))</f>
        <v>1286600</v>
      </c>
      <c r="P16" s="142">
        <f t="array" ref="P16">LET(val, IFERROR(INDEX('Daily 사주 raw'!$A:$ZZ, MATCH(P$2, 'Daily 사주 raw'!$A:$A, 0), MATCH($B16, 'Daily 사주 raw'!$1:$1, 0)), ""), IF(val=0, "", val))</f>
        <v>1133400</v>
      </c>
      <c r="Q16" s="142">
        <f t="array" ref="Q16">LET(val, IFERROR(INDEX('Daily 사주 raw'!$A:$ZZ, MATCH(Q$2, 'Daily 사주 raw'!$A:$A, 0), MATCH($B16, 'Daily 사주 raw'!$1:$1, 0)), ""), IF(val=0, "", val))</f>
        <v>938700</v>
      </c>
      <c r="R16" s="142">
        <f t="array" ref="R16">LET(val, IFERROR(INDEX('Daily 사주 raw'!$A:$ZZ, MATCH(R$2, 'Daily 사주 raw'!$A:$A, 0), MATCH($B16, 'Daily 사주 raw'!$1:$1, 0)), ""), IF(val=0, "", val))</f>
        <v>741100</v>
      </c>
      <c r="S16" s="142">
        <f t="array" ref="S16">LET(val, IFERROR(INDEX('Daily 사주 raw'!$A:$ZZ, MATCH(S$2, 'Daily 사주 raw'!$A:$A, 0), MATCH($B16, 'Daily 사주 raw'!$1:$1, 0)), ""), IF(val=0, "", val))</f>
        <v>790600</v>
      </c>
      <c r="T16" s="142">
        <f t="array" ref="T16">LET(val, IFERROR(INDEX('Daily 사주 raw'!$A:$ZZ, MATCH(T$2, 'Daily 사주 raw'!$A:$A, 0), MATCH($B16, 'Daily 사주 raw'!$1:$1, 0)), ""), IF(val=0, "", val))</f>
        <v>1513400</v>
      </c>
      <c r="U16" s="142">
        <f t="array" ref="U16">LET(val, IFERROR(INDEX('Daily 사주 raw'!$A:$ZZ, MATCH(U$2, 'Daily 사주 raw'!$A:$A, 0), MATCH($B16, 'Daily 사주 raw'!$1:$1, 0)), ""), IF(val=0, "", val))</f>
        <v>1143800</v>
      </c>
      <c r="V16" s="142">
        <f t="array" ref="V16">LET(val, IFERROR(INDEX('Daily 사주 raw'!$A:$ZZ, MATCH(V$2, 'Daily 사주 raw'!$A:$A, 0), MATCH($B16, 'Daily 사주 raw'!$1:$1, 0)), ""), IF(val=0, "", val))</f>
        <v>1180600</v>
      </c>
      <c r="W16" s="142">
        <f t="array" ref="W16">LET(val, IFERROR(INDEX('Daily 사주 raw'!$A:$ZZ, MATCH(W$2, 'Daily 사주 raw'!$A:$A, 0), MATCH($B16, 'Daily 사주 raw'!$1:$1, 0)), ""), IF(val=0, "", val))</f>
        <v>1101500</v>
      </c>
      <c r="X16" s="142">
        <f t="array" ref="X16">LET(val, IFERROR(INDEX('Daily 사주 raw'!$A:$ZZ, MATCH(X$2, 'Daily 사주 raw'!$A:$A, 0), MATCH($B16, 'Daily 사주 raw'!$1:$1, 0)), ""), IF(val=0, "", val))</f>
        <v>1696900</v>
      </c>
      <c r="Y16" s="142">
        <f t="array" ref="Y16">LET(val, IFERROR(INDEX('Daily 사주 raw'!$A:$ZZ, MATCH(Y$2, 'Daily 사주 raw'!$A:$A, 0), MATCH($B16, 'Daily 사주 raw'!$1:$1, 0)), ""), IF(val=0, "", val))</f>
        <v>1058100</v>
      </c>
      <c r="Z16" s="142">
        <f t="array" ref="Z16">LET(val, IFERROR(INDEX('Daily 사주 raw'!$A:$ZZ, MATCH(Z$2, 'Daily 사주 raw'!$A:$A, 0), MATCH($B16, 'Daily 사주 raw'!$1:$1, 0)), ""), IF(val=0, "", val))</f>
        <v>863900</v>
      </c>
      <c r="AA16" s="142">
        <f t="array" ref="AA16">LET(val, IFERROR(INDEX('Daily 사주 raw'!$A:$ZZ, MATCH(AA$2, 'Daily 사주 raw'!$A:$A, 0), MATCH($B16, 'Daily 사주 raw'!$1:$1, 0)), ""), IF(val=0, "", val))</f>
        <v>750400</v>
      </c>
      <c r="AB16" s="142">
        <f t="array" ref="AB16">LET(val, IFERROR(INDEX('Daily 사주 raw'!$A:$ZZ, MATCH(AB$2, 'Daily 사주 raw'!$A:$A, 0), MATCH($B16, 'Daily 사주 raw'!$1:$1, 0)), ""), IF(val=0, "", val))</f>
        <v>1287100</v>
      </c>
      <c r="AC16" s="142">
        <f t="array" ref="AC16">LET(val, IFERROR(INDEX('Daily 사주 raw'!$A:$ZZ, MATCH(AC$2, 'Daily 사주 raw'!$A:$A, 0), MATCH($B16, 'Daily 사주 raw'!$1:$1, 0)), ""), IF(val=0, "", val))</f>
        <v>775700</v>
      </c>
      <c r="AD16" s="142">
        <f t="array" ref="AD16">LET(val, IFERROR(INDEX('Daily 사주 raw'!$A:$ZZ, MATCH(AD$2, 'Daily 사주 raw'!$A:$A, 0), MATCH($B16, 'Daily 사주 raw'!$1:$1, 0)), ""), IF(val=0, "", val))</f>
        <v>840800</v>
      </c>
      <c r="AE16" s="142">
        <f t="array" ref="AE16">LET(val, IFERROR(INDEX('Daily 사주 raw'!$A:$ZZ, MATCH(AE$2, 'Daily 사주 raw'!$A:$A, 0), MATCH($B16, 'Daily 사주 raw'!$1:$1, 0)), ""), IF(val=0, "", val))</f>
        <v>896600</v>
      </c>
      <c r="AF16" s="142">
        <f t="array" ref="AF16">LET(val, IFERROR(INDEX('Daily 사주 raw'!$A:$ZZ, MATCH(AF$2, 'Daily 사주 raw'!$A:$A, 0), MATCH($B16, 'Daily 사주 raw'!$1:$1, 0)), ""), IF(val=0, "", val))</f>
        <v>1158500</v>
      </c>
      <c r="AG16" s="142">
        <f t="array" ref="AG16">LET(val, IFERROR(INDEX('Daily 사주 raw'!$A:$ZZ, MATCH(AG$2, 'Daily 사주 raw'!$A:$A, 0), MATCH($B16, 'Daily 사주 raw'!$1:$1, 0)), ""), IF(val=0, "", val))</f>
        <v>759600</v>
      </c>
      <c r="AH16" s="142">
        <f t="array" ref="AH16">LET(val, IFERROR(INDEX('Daily 사주 raw'!$A:$ZZ, MATCH(AH$2, 'Daily 사주 raw'!$A:$A, 0), MATCH($B16, 'Daily 사주 raw'!$1:$1, 0)), ""), IF(val=0, "", val))</f>
        <v>901000</v>
      </c>
      <c r="AI16" s="142">
        <f t="array" ref="AI16">LET(val, IFERROR(INDEX('Daily 사주 raw'!$A:$ZZ, MATCH(AI$2, 'Daily 사주 raw'!$A:$A, 0), MATCH($B16, 'Daily 사주 raw'!$1:$1, 0)), ""), IF(val=0, "", val))</f>
        <v>1399000</v>
      </c>
      <c r="AJ16" s="142">
        <f t="array" ref="AJ16">LET(val, IFERROR(INDEX('Daily 사주 raw'!$A:$ZZ, MATCH(AJ$2, 'Daily 사주 raw'!$A:$A, 0), MATCH($B16, 'Daily 사주 raw'!$1:$1, 0)), ""), IF(val=0, "", val))</f>
        <v>963400</v>
      </c>
      <c r="AK16" s="142">
        <f t="array" ref="AK16">LET(val, IFERROR(INDEX('Daily 사주 raw'!$A:$ZZ, MATCH(AK$2, 'Daily 사주 raw'!$A:$A, 0), MATCH($B16, 'Daily 사주 raw'!$1:$1, 0)), ""), IF(val=0, "", val))</f>
        <v>1078400</v>
      </c>
      <c r="AL16" s="142">
        <f t="array" ref="AL16">LET(val, IFERROR(INDEX('Daily 사주 raw'!$A:$ZZ, MATCH(AL$2, 'Daily 사주 raw'!$A:$A, 0), MATCH($B16, 'Daily 사주 raw'!$1:$1, 0)), ""), IF(val=0, "", val))</f>
        <v>837800</v>
      </c>
      <c r="AM16" s="142">
        <f t="array" ref="AM16">LET(val, IFERROR(INDEX('Daily 사주 raw'!$A:$ZZ, MATCH(AM$2, 'Daily 사주 raw'!$A:$A, 0), MATCH($B16, 'Daily 사주 raw'!$1:$1, 0)), ""), IF(val=0, "", val))</f>
        <v>856500</v>
      </c>
      <c r="AN16" s="142">
        <f t="array" ref="AN16">LET(val, IFERROR(INDEX('Daily 사주 raw'!$A:$ZZ, MATCH(AN$2, 'Daily 사주 raw'!$A:$A, 0), MATCH($B16, 'Daily 사주 raw'!$1:$1, 0)), ""), IF(val=0, "", val))</f>
        <v>1089700</v>
      </c>
      <c r="AO16" s="142">
        <f t="array" ref="AO16">LET(val, IFERROR(INDEX('Daily 사주 raw'!$A:$ZZ, MATCH(AO$2, 'Daily 사주 raw'!$A:$A, 0), MATCH($B16, 'Daily 사주 raw'!$1:$1, 0)), ""), IF(val=0, "", val))</f>
        <v>712200</v>
      </c>
      <c r="AP16" s="142">
        <f t="array" ref="AP16">LET(val, IFERROR(INDEX('Daily 사주 raw'!$A:$ZZ, MATCH(AP$2, 'Daily 사주 raw'!$A:$A, 0), MATCH($B16, 'Daily 사주 raw'!$1:$1, 0)), ""), IF(val=0, "", val))</f>
        <v>568700</v>
      </c>
      <c r="AQ16" s="142">
        <f t="array" ref="AQ16">LET(val, IFERROR(INDEX('Daily 사주 raw'!$A:$ZZ, MATCH(AQ$2, 'Daily 사주 raw'!$A:$A, 0), MATCH($B16, 'Daily 사주 raw'!$1:$1, 0)), ""), IF(val=0, "", val))</f>
        <v>380300</v>
      </c>
      <c r="AR16" s="142">
        <f t="array" ref="AR16">LET(val, IFERROR(INDEX('Daily 사주 raw'!$A:$ZZ, MATCH(AR$2, 'Daily 사주 raw'!$A:$A, 0), MATCH($B16, 'Daily 사주 raw'!$1:$1, 0)), ""), IF(val=0, "", val))</f>
        <v>352100</v>
      </c>
      <c r="AS16" s="142">
        <f t="array" ref="AS16">LET(val, IFERROR(INDEX('Daily 사주 raw'!$A:$ZZ, MATCH(AS$2, 'Daily 사주 raw'!$A:$A, 0), MATCH($B16, 'Daily 사주 raw'!$1:$1, 0)), ""), IF(val=0, "", val))</f>
        <v>601100</v>
      </c>
      <c r="AT16" s="142">
        <f t="array" ref="AT16">LET(val, IFERROR(INDEX('Daily 사주 raw'!$A:$ZZ, MATCH(AT$2, 'Daily 사주 raw'!$A:$A, 0), MATCH($B16, 'Daily 사주 raw'!$1:$1, 0)), ""), IF(val=0, "", val))</f>
        <v>580700</v>
      </c>
      <c r="AU16" s="142">
        <f t="array" ref="AU16">LET(val, IFERROR(INDEX('Daily 사주 raw'!$A:$ZZ, MATCH(AU$2, 'Daily 사주 raw'!$A:$A, 0), MATCH($B16, 'Daily 사주 raw'!$1:$1, 0)), ""), IF(val=0, "", val))</f>
        <v>735300</v>
      </c>
      <c r="AV16" s="142">
        <f t="array" ref="AV16">LET(val, IFERROR(INDEX('Daily 사주 raw'!$A:$ZZ, MATCH(AV$2, 'Daily 사주 raw'!$A:$A, 0), MATCH($B16, 'Daily 사주 raw'!$1:$1, 0)), ""), IF(val=0, "", val))</f>
        <v>753800</v>
      </c>
      <c r="AW16" s="142">
        <f t="array" ref="AW16">LET(val, IFERROR(INDEX('Daily 사주 raw'!$A:$ZZ, MATCH(AW$2, 'Daily 사주 raw'!$A:$A, 0), MATCH($B16, 'Daily 사주 raw'!$1:$1, 0)), ""), IF(val=0, "", val))</f>
        <v>1041400</v>
      </c>
      <c r="AX16" s="142">
        <f t="array" ref="AX16">LET(val, IFERROR(INDEX('Daily 사주 raw'!$A:$ZZ, MATCH(AX$2, 'Daily 사주 raw'!$A:$A, 0), MATCH($B16, 'Daily 사주 raw'!$1:$1, 0)), ""), IF(val=0, "", val))</f>
        <v>643800</v>
      </c>
      <c r="AY16" s="142">
        <f t="array" ref="AY16">LET(val, IFERROR(INDEX('Daily 사주 raw'!$A:$ZZ, MATCH(AY$2, 'Daily 사주 raw'!$A:$A, 0), MATCH($B16, 'Daily 사주 raw'!$1:$1, 0)), ""), IF(val=0, "", val))</f>
        <v>913400</v>
      </c>
      <c r="AZ16" s="142">
        <f t="array" ref="AZ16">LET(val, IFERROR(INDEX('Daily 사주 raw'!$A:$ZZ, MATCH(AZ$2, 'Daily 사주 raw'!$A:$A, 0), MATCH($B16, 'Daily 사주 raw'!$1:$1, 0)), ""), IF(val=0, "", val))</f>
        <v>1158000</v>
      </c>
      <c r="BA16" s="142">
        <f t="array" ref="BA16">LET(val, IFERROR(INDEX('Daily 사주 raw'!$A:$ZZ, MATCH(BA$2, 'Daily 사주 raw'!$A:$A, 0), MATCH($B16, 'Daily 사주 raw'!$1:$1, 0)), ""), IF(val=0, "", val))</f>
        <v>715000</v>
      </c>
      <c r="BB16" s="142">
        <f t="array" ref="BB16">LET(val, IFERROR(INDEX('Daily 사주 raw'!$A:$ZZ, MATCH(BB$2, 'Daily 사주 raw'!$A:$A, 0), MATCH($B16, 'Daily 사주 raw'!$1:$1, 0)), ""), IF(val=0, "", val))</f>
        <v>521300</v>
      </c>
      <c r="BC16" s="142">
        <f t="array" ref="BC16">LET(val, IFERROR(INDEX('Daily 사주 raw'!$A:$ZZ, MATCH(BC$2, 'Daily 사주 raw'!$A:$A, 0), MATCH($B16, 'Daily 사주 raw'!$1:$1, 0)), ""), IF(val=0, "", val))</f>
        <v>472900</v>
      </c>
      <c r="BD16" s="142">
        <f t="array" ref="BD16">LET(val, IFERROR(INDEX('Daily 사주 raw'!$A:$ZZ, MATCH(BD$2, 'Daily 사주 raw'!$A:$A, 0), MATCH($B16, 'Daily 사주 raw'!$1:$1, 0)), ""), IF(val=0, "", val))</f>
        <v>800500</v>
      </c>
      <c r="BE16" s="142">
        <f t="array" ref="BE16">LET(val, IFERROR(INDEX('Daily 사주 raw'!$A:$ZZ, MATCH(BE$2, 'Daily 사주 raw'!$A:$A, 0), MATCH($B16, 'Daily 사주 raw'!$1:$1, 0)), ""), IF(val=0, "", val))</f>
        <v>197500</v>
      </c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38"/>
    </row>
    <row r="17" ht="18.75" hidden="1" customHeight="1">
      <c r="A17" s="1"/>
      <c r="B17" s="1"/>
      <c r="C17" s="1" t="s">
        <v>115</v>
      </c>
      <c r="D17" s="60">
        <f t="array" ref="D17">IFERROR(INDEX('Daily 사주 raw'!$A:$ZZ, MATCH(D$2, 'Daily 사주 raw'!$A:$A, 0), MATCH($B17, 'Daily 사주 raw'!$1:$1, 0)), 0)</f>
        <v>0</v>
      </c>
      <c r="E17" s="60">
        <f t="array" ref="E17">IFERROR(INDEX('Daily 사주 raw'!$A:$ZZ, MATCH(E$2, 'Daily 사주 raw'!$A:$A, 0), MATCH($B17, 'Daily 사주 raw'!$1:$1, 0)), 0)</f>
        <v>0</v>
      </c>
      <c r="F17" s="60">
        <f t="array" ref="F17">IFERROR(INDEX('Daily 사주 raw'!$A:$ZZ, MATCH(F$2, 'Daily 사주 raw'!$A:$A, 0), MATCH($B17, 'Daily 사주 raw'!$1:$1, 0)), 0)</f>
        <v>0</v>
      </c>
      <c r="G17" s="60">
        <f t="array" ref="G17">IFERROR(INDEX('Daily 사주 raw'!$A:$ZZ, MATCH(G$2, 'Daily 사주 raw'!$A:$A, 0), MATCH($B17, 'Daily 사주 raw'!$1:$1, 0)), 0)</f>
        <v>0</v>
      </c>
      <c r="H17" s="60">
        <f t="array" ref="H17">IFERROR(INDEX('Daily 사주 raw'!$A:$ZZ, MATCH(H$2, 'Daily 사주 raw'!$A:$A, 0), MATCH($B17, 'Daily 사주 raw'!$1:$1, 0)), 0)</f>
        <v>0</v>
      </c>
      <c r="I17" s="60">
        <f t="array" ref="I17">IFERROR(INDEX('Daily 사주 raw'!$A:$ZZ, MATCH(I$2, 'Daily 사주 raw'!$A:$A, 0), MATCH($B17, 'Daily 사주 raw'!$1:$1, 0)), 0)</f>
        <v>0</v>
      </c>
      <c r="J17" s="60">
        <f t="array" ref="J17">IFERROR(INDEX('Daily 사주 raw'!$A:$ZZ, MATCH(J$2, 'Daily 사주 raw'!$A:$A, 0), MATCH($B17, 'Daily 사주 raw'!$1:$1, 0)), 0)</f>
        <v>0</v>
      </c>
      <c r="K17" s="60">
        <f t="array" ref="K17">IFERROR(INDEX('Daily 사주 raw'!$A:$ZZ, MATCH(K$2, 'Daily 사주 raw'!$A:$A, 0), MATCH($B17, 'Daily 사주 raw'!$1:$1, 0)), 0)</f>
        <v>0</v>
      </c>
      <c r="L17" s="60">
        <f t="array" ref="L17">IFERROR(INDEX('Daily 사주 raw'!$A:$ZZ, MATCH(L$2, 'Daily 사주 raw'!$A:$A, 0), MATCH($B17, 'Daily 사주 raw'!$1:$1, 0)), 0)</f>
        <v>0</v>
      </c>
      <c r="M17" s="60">
        <f t="array" ref="M17">IFERROR(INDEX('Daily 사주 raw'!$A:$ZZ, MATCH(M$2, 'Daily 사주 raw'!$A:$A, 0), MATCH($B17, 'Daily 사주 raw'!$1:$1, 0)), 0)</f>
        <v>0</v>
      </c>
      <c r="N17" s="60">
        <f t="array" ref="N17">IFERROR(INDEX('Daily 사주 raw'!$A:$ZZ, MATCH(N$2, 'Daily 사주 raw'!$A:$A, 0), MATCH($B17, 'Daily 사주 raw'!$1:$1, 0)), 0)</f>
        <v>0</v>
      </c>
      <c r="O17" s="60">
        <f t="array" ref="O17">IFERROR(INDEX('Daily 사주 raw'!$A:$ZZ, MATCH(O$2, 'Daily 사주 raw'!$A:$A, 0), MATCH($B17, 'Daily 사주 raw'!$1:$1, 0)), 0)</f>
        <v>0</v>
      </c>
      <c r="P17" s="60">
        <f t="array" ref="P17">IFERROR(INDEX('Daily 사주 raw'!$A:$ZZ, MATCH(P$2, 'Daily 사주 raw'!$A:$A, 0), MATCH($B17, 'Daily 사주 raw'!$1:$1, 0)), 0)</f>
        <v>0</v>
      </c>
      <c r="Q17" s="60">
        <f t="array" ref="Q17">IFERROR(INDEX('Daily 사주 raw'!$A:$ZZ, MATCH(Q$2, 'Daily 사주 raw'!$A:$A, 0), MATCH($B17, 'Daily 사주 raw'!$1:$1, 0)), 0)</f>
        <v>0</v>
      </c>
      <c r="R17" s="60">
        <f t="array" ref="R17">IFERROR(INDEX('Daily 사주 raw'!$A:$ZZ, MATCH(R$2, 'Daily 사주 raw'!$A:$A, 0), MATCH($B17, 'Daily 사주 raw'!$1:$1, 0)), 0)</f>
        <v>0</v>
      </c>
      <c r="S17" s="60">
        <f t="array" ref="S17">IFERROR(INDEX('Daily 사주 raw'!$A:$ZZ, MATCH(S$2, 'Daily 사주 raw'!$A:$A, 0), MATCH($B17, 'Daily 사주 raw'!$1:$1, 0)), 0)</f>
        <v>0</v>
      </c>
      <c r="T17" s="60">
        <f t="array" ref="T17">IFERROR(INDEX('Daily 사주 raw'!$A:$ZZ, MATCH(T$2, 'Daily 사주 raw'!$A:$A, 0), MATCH($B17, 'Daily 사주 raw'!$1:$1, 0)), 0)</f>
        <v>0</v>
      </c>
      <c r="U17" s="60">
        <f t="array" ref="U17">IFERROR(INDEX('Daily 사주 raw'!$A:$ZZ, MATCH(U$2, 'Daily 사주 raw'!$A:$A, 0), MATCH($B17, 'Daily 사주 raw'!$1:$1, 0)), 0)</f>
        <v>0</v>
      </c>
      <c r="V17" s="60">
        <f t="array" ref="V17">IFERROR(INDEX('Daily 사주 raw'!$A:$ZZ, MATCH(V$2, 'Daily 사주 raw'!$A:$A, 0), MATCH($B17, 'Daily 사주 raw'!$1:$1, 0)), 0)</f>
        <v>0</v>
      </c>
      <c r="W17" s="60">
        <f t="array" ref="W17">IFERROR(INDEX('Daily 사주 raw'!$A:$ZZ, MATCH(W$2, 'Daily 사주 raw'!$A:$A, 0), MATCH($B17, 'Daily 사주 raw'!$1:$1, 0)), 0)</f>
        <v>0</v>
      </c>
      <c r="X17" s="60">
        <f t="array" ref="X17">IFERROR(INDEX('Daily 사주 raw'!$A:$ZZ, MATCH(X$2, 'Daily 사주 raw'!$A:$A, 0), MATCH($B17, 'Daily 사주 raw'!$1:$1, 0)), 0)</f>
        <v>0</v>
      </c>
      <c r="Y17" s="60">
        <f t="array" ref="Y17">IFERROR(INDEX('Daily 사주 raw'!$A:$ZZ, MATCH(Y$2, 'Daily 사주 raw'!$A:$A, 0), MATCH($B17, 'Daily 사주 raw'!$1:$1, 0)), 0)</f>
        <v>0</v>
      </c>
      <c r="Z17" s="60">
        <f t="array" ref="Z17">IFERROR(INDEX('Daily 사주 raw'!$A:$ZZ, MATCH(Z$2, 'Daily 사주 raw'!$A:$A, 0), MATCH($B17, 'Daily 사주 raw'!$1:$1, 0)), 0)</f>
        <v>0</v>
      </c>
      <c r="AA17" s="60">
        <f t="array" ref="AA17">IFERROR(INDEX('Daily 사주 raw'!$A:$ZZ, MATCH(AA$2, 'Daily 사주 raw'!$A:$A, 0), MATCH($B17, 'Daily 사주 raw'!$1:$1, 0)), 0)</f>
        <v>0</v>
      </c>
      <c r="AB17" s="60">
        <f t="array" ref="AB17">IFERROR(INDEX('Daily 사주 raw'!$A:$ZZ, MATCH(AB$2, 'Daily 사주 raw'!$A:$A, 0), MATCH($B17, 'Daily 사주 raw'!$1:$1, 0)), 0)</f>
        <v>0</v>
      </c>
      <c r="AC17" s="60">
        <f t="array" ref="AC17">IFERROR(INDEX('Daily 사주 raw'!$A:$ZZ, MATCH(AC$2, 'Daily 사주 raw'!$A:$A, 0), MATCH($B17, 'Daily 사주 raw'!$1:$1, 0)), 0)</f>
        <v>0</v>
      </c>
      <c r="AD17" s="60">
        <f t="array" ref="AD17">IFERROR(INDEX('Daily 사주 raw'!$A:$ZZ, MATCH(AD$2, 'Daily 사주 raw'!$A:$A, 0), MATCH($B17, 'Daily 사주 raw'!$1:$1, 0)), 0)</f>
        <v>0</v>
      </c>
      <c r="AE17" s="60">
        <f t="array" ref="AE17">IFERROR(INDEX('Daily 사주 raw'!$A:$ZZ, MATCH(AE$2, 'Daily 사주 raw'!$A:$A, 0), MATCH($B17, 'Daily 사주 raw'!$1:$1, 0)), 0)</f>
        <v>0</v>
      </c>
      <c r="AF17" s="60">
        <f t="array" ref="AF17">IFERROR(INDEX('Daily 사주 raw'!$A:$ZZ, MATCH(AF$2, 'Daily 사주 raw'!$A:$A, 0), MATCH($B17, 'Daily 사주 raw'!$1:$1, 0)), 0)</f>
        <v>0</v>
      </c>
      <c r="AG17" s="60">
        <f t="array" ref="AG17">IFERROR(INDEX('Daily 사주 raw'!$A:$ZZ, MATCH(AG$2, 'Daily 사주 raw'!$A:$A, 0), MATCH($B17, 'Daily 사주 raw'!$1:$1, 0)), 0)</f>
        <v>0</v>
      </c>
      <c r="AH17" s="60">
        <f t="array" ref="AH17">IFERROR(INDEX('Daily 사주 raw'!$A:$ZZ, MATCH(AH$2, 'Daily 사주 raw'!$A:$A, 0), MATCH($B17, 'Daily 사주 raw'!$1:$1, 0)), 0)</f>
        <v>0</v>
      </c>
      <c r="AI17" s="60">
        <f t="array" ref="AI17">IFERROR(INDEX('Daily 사주 raw'!$A:$ZZ, MATCH(AI$2, 'Daily 사주 raw'!$A:$A, 0), MATCH($B17, 'Daily 사주 raw'!$1:$1, 0)), 0)</f>
        <v>0</v>
      </c>
      <c r="AJ17" s="60">
        <f t="array" ref="AJ17">IFERROR(INDEX('Daily 사주 raw'!$A:$ZZ, MATCH(AJ$2, 'Daily 사주 raw'!$A:$A, 0), MATCH($B17, 'Daily 사주 raw'!$1:$1, 0)), 0)</f>
        <v>0</v>
      </c>
      <c r="AK17" s="60">
        <f t="array" ref="AK17">IFERROR(INDEX('Daily 사주 raw'!$A:$ZZ, MATCH(AK$2, 'Daily 사주 raw'!$A:$A, 0), MATCH($B17, 'Daily 사주 raw'!$1:$1, 0)), 0)</f>
        <v>0</v>
      </c>
      <c r="AL17" s="60">
        <f t="array" ref="AL17">IFERROR(INDEX('Daily 사주 raw'!$A:$ZZ, MATCH(AL$2, 'Daily 사주 raw'!$A:$A, 0), MATCH($B17, 'Daily 사주 raw'!$1:$1, 0)), 0)</f>
        <v>0</v>
      </c>
      <c r="AM17" s="60">
        <f t="array" ref="AM17">IFERROR(INDEX('Daily 사주 raw'!$A:$ZZ, MATCH(AM$2, 'Daily 사주 raw'!$A:$A, 0), MATCH($B17, 'Daily 사주 raw'!$1:$1, 0)), 0)</f>
        <v>0</v>
      </c>
      <c r="AN17" s="60">
        <f t="array" ref="AN17">IFERROR(INDEX('Daily 사주 raw'!$A:$ZZ, MATCH(AN$2, 'Daily 사주 raw'!$A:$A, 0), MATCH($B17, 'Daily 사주 raw'!$1:$1, 0)), 0)</f>
        <v>0</v>
      </c>
      <c r="AO17" s="60">
        <f t="array" ref="AO17">IFERROR(INDEX('Daily 사주 raw'!$A:$ZZ, MATCH(AO$2, 'Daily 사주 raw'!$A:$A, 0), MATCH($B17, 'Daily 사주 raw'!$1:$1, 0)), 0)</f>
        <v>0</v>
      </c>
      <c r="AP17" s="60">
        <f t="array" ref="AP17">IFERROR(INDEX('Daily 사주 raw'!$A:$ZZ, MATCH(AP$2, 'Daily 사주 raw'!$A:$A, 0), MATCH($B17, 'Daily 사주 raw'!$1:$1, 0)), 0)</f>
        <v>0</v>
      </c>
      <c r="AQ17" s="60">
        <f t="array" ref="AQ17">IFERROR(INDEX('Daily 사주 raw'!$A:$ZZ, MATCH(AQ$2, 'Daily 사주 raw'!$A:$A, 0), MATCH($B17, 'Daily 사주 raw'!$1:$1, 0)), 0)</f>
        <v>0</v>
      </c>
      <c r="AR17" s="60">
        <f t="array" ref="AR17">IFERROR(INDEX('Daily 사주 raw'!$A:$ZZ, MATCH(AR$2, 'Daily 사주 raw'!$A:$A, 0), MATCH($B17, 'Daily 사주 raw'!$1:$1, 0)), 0)</f>
        <v>0</v>
      </c>
      <c r="AS17" s="60">
        <f t="array" ref="AS17">IFERROR(INDEX('Daily 사주 raw'!$A:$ZZ, MATCH(AS$2, 'Daily 사주 raw'!$A:$A, 0), MATCH($B17, 'Daily 사주 raw'!$1:$1, 0)), 0)</f>
        <v>0</v>
      </c>
      <c r="AT17" s="60">
        <f t="array" ref="AT17">IFERROR(INDEX('Daily 사주 raw'!$A:$ZZ, MATCH(AT$2, 'Daily 사주 raw'!$A:$A, 0), MATCH($B17, 'Daily 사주 raw'!$1:$1, 0)), 0)</f>
        <v>0</v>
      </c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/>
      <c r="CF17" s="143"/>
      <c r="CG17" s="143"/>
      <c r="CH17" s="143"/>
      <c r="CI17" s="143"/>
      <c r="CJ17" s="143"/>
      <c r="CK17" s="143"/>
      <c r="CL17" s="143"/>
      <c r="CM17" s="143"/>
      <c r="CN17" s="143"/>
      <c r="CO17" s="143"/>
    </row>
    <row r="18" ht="18.75" hidden="1" customHeight="1">
      <c r="A18" s="1"/>
      <c r="B18" s="1"/>
      <c r="C18" s="17" t="s">
        <v>116</v>
      </c>
      <c r="D18" s="60">
        <f t="array" ref="D18">IFERROR(INDEX('Daily 사주 raw'!$A:$ZZ, MATCH(D$2, 'Daily 사주 raw'!$A:$A, 0), MATCH($B18, 'Daily 사주 raw'!$1:$1, 0)), 0)</f>
        <v>0</v>
      </c>
      <c r="E18" s="60">
        <f t="array" ref="E18">IFERROR(INDEX('Daily 사주 raw'!$A:$ZZ, MATCH(E$2, 'Daily 사주 raw'!$A:$A, 0), MATCH($B18, 'Daily 사주 raw'!$1:$1, 0)), 0)</f>
        <v>0</v>
      </c>
      <c r="F18" s="60">
        <f t="array" ref="F18">IFERROR(INDEX('Daily 사주 raw'!$A:$ZZ, MATCH(F$2, 'Daily 사주 raw'!$A:$A, 0), MATCH($B18, 'Daily 사주 raw'!$1:$1, 0)), 0)</f>
        <v>0</v>
      </c>
      <c r="G18" s="60">
        <f t="array" ref="G18">IFERROR(INDEX('Daily 사주 raw'!$A:$ZZ, MATCH(G$2, 'Daily 사주 raw'!$A:$A, 0), MATCH($B18, 'Daily 사주 raw'!$1:$1, 0)), 0)</f>
        <v>0</v>
      </c>
      <c r="H18" s="60">
        <f t="array" ref="H18">IFERROR(INDEX('Daily 사주 raw'!$A:$ZZ, MATCH(H$2, 'Daily 사주 raw'!$A:$A, 0), MATCH($B18, 'Daily 사주 raw'!$1:$1, 0)), 0)</f>
        <v>0</v>
      </c>
      <c r="I18" s="60">
        <f t="array" ref="I18">IFERROR(INDEX('Daily 사주 raw'!$A:$ZZ, MATCH(I$2, 'Daily 사주 raw'!$A:$A, 0), MATCH($B18, 'Daily 사주 raw'!$1:$1, 0)), 0)</f>
        <v>0</v>
      </c>
      <c r="J18" s="60">
        <f t="array" ref="J18">IFERROR(INDEX('Daily 사주 raw'!$A:$ZZ, MATCH(J$2, 'Daily 사주 raw'!$A:$A, 0), MATCH($B18, 'Daily 사주 raw'!$1:$1, 0)), 0)</f>
        <v>0</v>
      </c>
      <c r="K18" s="60">
        <f t="array" ref="K18">IFERROR(INDEX('Daily 사주 raw'!$A:$ZZ, MATCH(K$2, 'Daily 사주 raw'!$A:$A, 0), MATCH($B18, 'Daily 사주 raw'!$1:$1, 0)), 0)</f>
        <v>0</v>
      </c>
      <c r="L18" s="60">
        <f t="array" ref="L18">IFERROR(INDEX('Daily 사주 raw'!$A:$ZZ, MATCH(L$2, 'Daily 사주 raw'!$A:$A, 0), MATCH($B18, 'Daily 사주 raw'!$1:$1, 0)), 0)</f>
        <v>0</v>
      </c>
      <c r="M18" s="60">
        <f t="array" ref="M18">IFERROR(INDEX('Daily 사주 raw'!$A:$ZZ, MATCH(M$2, 'Daily 사주 raw'!$A:$A, 0), MATCH($B18, 'Daily 사주 raw'!$1:$1, 0)), 0)</f>
        <v>0</v>
      </c>
      <c r="N18" s="60">
        <f t="array" ref="N18">IFERROR(INDEX('Daily 사주 raw'!$A:$ZZ, MATCH(N$2, 'Daily 사주 raw'!$A:$A, 0), MATCH($B18, 'Daily 사주 raw'!$1:$1, 0)), 0)</f>
        <v>0</v>
      </c>
      <c r="O18" s="60">
        <f t="array" ref="O18">IFERROR(INDEX('Daily 사주 raw'!$A:$ZZ, MATCH(O$2, 'Daily 사주 raw'!$A:$A, 0), MATCH($B18, 'Daily 사주 raw'!$1:$1, 0)), 0)</f>
        <v>0</v>
      </c>
      <c r="P18" s="60">
        <f t="array" ref="P18">IFERROR(INDEX('Daily 사주 raw'!$A:$ZZ, MATCH(P$2, 'Daily 사주 raw'!$A:$A, 0), MATCH($B18, 'Daily 사주 raw'!$1:$1, 0)), 0)</f>
        <v>0</v>
      </c>
      <c r="Q18" s="60">
        <f t="array" ref="Q18">IFERROR(INDEX('Daily 사주 raw'!$A:$ZZ, MATCH(Q$2, 'Daily 사주 raw'!$A:$A, 0), MATCH($B18, 'Daily 사주 raw'!$1:$1, 0)), 0)</f>
        <v>0</v>
      </c>
      <c r="R18" s="60">
        <f t="array" ref="R18">IFERROR(INDEX('Daily 사주 raw'!$A:$ZZ, MATCH(R$2, 'Daily 사주 raw'!$A:$A, 0), MATCH($B18, 'Daily 사주 raw'!$1:$1, 0)), 0)</f>
        <v>0</v>
      </c>
      <c r="S18" s="60">
        <f t="array" ref="S18">IFERROR(INDEX('Daily 사주 raw'!$A:$ZZ, MATCH(S$2, 'Daily 사주 raw'!$A:$A, 0), MATCH($B18, 'Daily 사주 raw'!$1:$1, 0)), 0)</f>
        <v>0</v>
      </c>
      <c r="T18" s="60">
        <f t="array" ref="T18">IFERROR(INDEX('Daily 사주 raw'!$A:$ZZ, MATCH(T$2, 'Daily 사주 raw'!$A:$A, 0), MATCH($B18, 'Daily 사주 raw'!$1:$1, 0)), 0)</f>
        <v>0</v>
      </c>
      <c r="U18" s="60">
        <f t="array" ref="U18">IFERROR(INDEX('Daily 사주 raw'!$A:$ZZ, MATCH(U$2, 'Daily 사주 raw'!$A:$A, 0), MATCH($B18, 'Daily 사주 raw'!$1:$1, 0)), 0)</f>
        <v>0</v>
      </c>
      <c r="V18" s="60">
        <f t="array" ref="V18">IFERROR(INDEX('Daily 사주 raw'!$A:$ZZ, MATCH(V$2, 'Daily 사주 raw'!$A:$A, 0), MATCH($B18, 'Daily 사주 raw'!$1:$1, 0)), 0)</f>
        <v>0</v>
      </c>
      <c r="W18" s="60">
        <f t="array" ref="W18">IFERROR(INDEX('Daily 사주 raw'!$A:$ZZ, MATCH(W$2, 'Daily 사주 raw'!$A:$A, 0), MATCH($B18, 'Daily 사주 raw'!$1:$1, 0)), 0)</f>
        <v>0</v>
      </c>
      <c r="X18" s="60">
        <f t="array" ref="X18">IFERROR(INDEX('Daily 사주 raw'!$A:$ZZ, MATCH(X$2, 'Daily 사주 raw'!$A:$A, 0), MATCH($B18, 'Daily 사주 raw'!$1:$1, 0)), 0)</f>
        <v>0</v>
      </c>
      <c r="Y18" s="60">
        <f t="array" ref="Y18">IFERROR(INDEX('Daily 사주 raw'!$A:$ZZ, MATCH(Y$2, 'Daily 사주 raw'!$A:$A, 0), MATCH($B18, 'Daily 사주 raw'!$1:$1, 0)), 0)</f>
        <v>0</v>
      </c>
      <c r="Z18" s="60">
        <f t="array" ref="Z18">IFERROR(INDEX('Daily 사주 raw'!$A:$ZZ, MATCH(Z$2, 'Daily 사주 raw'!$A:$A, 0), MATCH($B18, 'Daily 사주 raw'!$1:$1, 0)), 0)</f>
        <v>0</v>
      </c>
      <c r="AA18" s="60">
        <f t="array" ref="AA18">IFERROR(INDEX('Daily 사주 raw'!$A:$ZZ, MATCH(AA$2, 'Daily 사주 raw'!$A:$A, 0), MATCH($B18, 'Daily 사주 raw'!$1:$1, 0)), 0)</f>
        <v>0</v>
      </c>
      <c r="AB18" s="60">
        <f t="array" ref="AB18">IFERROR(INDEX('Daily 사주 raw'!$A:$ZZ, MATCH(AB$2, 'Daily 사주 raw'!$A:$A, 0), MATCH($B18, 'Daily 사주 raw'!$1:$1, 0)), 0)</f>
        <v>0</v>
      </c>
      <c r="AC18" s="60">
        <f t="array" ref="AC18">IFERROR(INDEX('Daily 사주 raw'!$A:$ZZ, MATCH(AC$2, 'Daily 사주 raw'!$A:$A, 0), MATCH($B18, 'Daily 사주 raw'!$1:$1, 0)), 0)</f>
        <v>0</v>
      </c>
      <c r="AD18" s="60">
        <f t="array" ref="AD18">IFERROR(INDEX('Daily 사주 raw'!$A:$ZZ, MATCH(AD$2, 'Daily 사주 raw'!$A:$A, 0), MATCH($B18, 'Daily 사주 raw'!$1:$1, 0)), 0)</f>
        <v>0</v>
      </c>
      <c r="AE18" s="60">
        <f t="array" ref="AE18">IFERROR(INDEX('Daily 사주 raw'!$A:$ZZ, MATCH(AE$2, 'Daily 사주 raw'!$A:$A, 0), MATCH($B18, 'Daily 사주 raw'!$1:$1, 0)), 0)</f>
        <v>0</v>
      </c>
      <c r="AF18" s="60">
        <f t="array" ref="AF18">IFERROR(INDEX('Daily 사주 raw'!$A:$ZZ, MATCH(AF$2, 'Daily 사주 raw'!$A:$A, 0), MATCH($B18, 'Daily 사주 raw'!$1:$1, 0)), 0)</f>
        <v>0</v>
      </c>
      <c r="AG18" s="60">
        <f t="array" ref="AG18">IFERROR(INDEX('Daily 사주 raw'!$A:$ZZ, MATCH(AG$2, 'Daily 사주 raw'!$A:$A, 0), MATCH($B18, 'Daily 사주 raw'!$1:$1, 0)), 0)</f>
        <v>0</v>
      </c>
      <c r="AH18" s="60">
        <f t="array" ref="AH18">IFERROR(INDEX('Daily 사주 raw'!$A:$ZZ, MATCH(AH$2, 'Daily 사주 raw'!$A:$A, 0), MATCH($B18, 'Daily 사주 raw'!$1:$1, 0)), 0)</f>
        <v>0</v>
      </c>
      <c r="AI18" s="60">
        <f t="array" ref="AI18">IFERROR(INDEX('Daily 사주 raw'!$A:$ZZ, MATCH(AI$2, 'Daily 사주 raw'!$A:$A, 0), MATCH($B18, 'Daily 사주 raw'!$1:$1, 0)), 0)</f>
        <v>0</v>
      </c>
      <c r="AJ18" s="60">
        <f t="array" ref="AJ18">IFERROR(INDEX('Daily 사주 raw'!$A:$ZZ, MATCH(AJ$2, 'Daily 사주 raw'!$A:$A, 0), MATCH($B18, 'Daily 사주 raw'!$1:$1, 0)), 0)</f>
        <v>0</v>
      </c>
      <c r="AK18" s="60">
        <f t="array" ref="AK18">IFERROR(INDEX('Daily 사주 raw'!$A:$ZZ, MATCH(AK$2, 'Daily 사주 raw'!$A:$A, 0), MATCH($B18, 'Daily 사주 raw'!$1:$1, 0)), 0)</f>
        <v>0</v>
      </c>
      <c r="AL18" s="60">
        <f t="array" ref="AL18">IFERROR(INDEX('Daily 사주 raw'!$A:$ZZ, MATCH(AL$2, 'Daily 사주 raw'!$A:$A, 0), MATCH($B18, 'Daily 사주 raw'!$1:$1, 0)), 0)</f>
        <v>0</v>
      </c>
      <c r="AM18" s="60">
        <f t="array" ref="AM18">IFERROR(INDEX('Daily 사주 raw'!$A:$ZZ, MATCH(AM$2, 'Daily 사주 raw'!$A:$A, 0), MATCH($B18, 'Daily 사주 raw'!$1:$1, 0)), 0)</f>
        <v>0</v>
      </c>
      <c r="AN18" s="60">
        <f t="array" ref="AN18">IFERROR(INDEX('Daily 사주 raw'!$A:$ZZ, MATCH(AN$2, 'Daily 사주 raw'!$A:$A, 0), MATCH($B18, 'Daily 사주 raw'!$1:$1, 0)), 0)</f>
        <v>0</v>
      </c>
      <c r="AO18" s="60">
        <f t="array" ref="AO18">IFERROR(INDEX('Daily 사주 raw'!$A:$ZZ, MATCH(AO$2, 'Daily 사주 raw'!$A:$A, 0), MATCH($B18, 'Daily 사주 raw'!$1:$1, 0)), 0)</f>
        <v>0</v>
      </c>
      <c r="AP18" s="60">
        <f t="array" ref="AP18">IFERROR(INDEX('Daily 사주 raw'!$A:$ZZ, MATCH(AP$2, 'Daily 사주 raw'!$A:$A, 0), MATCH($B18, 'Daily 사주 raw'!$1:$1, 0)), 0)</f>
        <v>0</v>
      </c>
      <c r="AQ18" s="60">
        <f t="array" ref="AQ18">IFERROR(INDEX('Daily 사주 raw'!$A:$ZZ, MATCH(AQ$2, 'Daily 사주 raw'!$A:$A, 0), MATCH($B18, 'Daily 사주 raw'!$1:$1, 0)), 0)</f>
        <v>0</v>
      </c>
      <c r="AR18" s="60">
        <f t="array" ref="AR18">IFERROR(INDEX('Daily 사주 raw'!$A:$ZZ, MATCH(AR$2, 'Daily 사주 raw'!$A:$A, 0), MATCH($B18, 'Daily 사주 raw'!$1:$1, 0)), 0)</f>
        <v>0</v>
      </c>
      <c r="AS18" s="60">
        <f t="array" ref="AS18">IFERROR(INDEX('Daily 사주 raw'!$A:$ZZ, MATCH(AS$2, 'Daily 사주 raw'!$A:$A, 0), MATCH($B18, 'Daily 사주 raw'!$1:$1, 0)), 0)</f>
        <v>0</v>
      </c>
      <c r="AT18" s="60">
        <f t="array" ref="AT18">IFERROR(INDEX('Daily 사주 raw'!$A:$ZZ, MATCH(AT$2, 'Daily 사주 raw'!$A:$A, 0), MATCH($B18, 'Daily 사주 raw'!$1:$1, 0)), 0)</f>
        <v>0</v>
      </c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</row>
    <row r="19" ht="18.75" hidden="1" customHeight="1">
      <c r="A19" s="1"/>
      <c r="B19" s="1"/>
      <c r="C19" s="17" t="s">
        <v>117</v>
      </c>
      <c r="D19" s="60">
        <f t="array" ref="D19">IFERROR(INDEX('Daily 사주 raw'!$A:$ZZ, MATCH(D$2, 'Daily 사주 raw'!$A:$A, 0), MATCH($B19, 'Daily 사주 raw'!$1:$1, 0)), 0)</f>
        <v>0</v>
      </c>
      <c r="E19" s="60">
        <f t="array" ref="E19">IFERROR(INDEX('Daily 사주 raw'!$A:$ZZ, MATCH(E$2, 'Daily 사주 raw'!$A:$A, 0), MATCH($B19, 'Daily 사주 raw'!$1:$1, 0)), 0)</f>
        <v>0</v>
      </c>
      <c r="F19" s="60">
        <f t="array" ref="F19">IFERROR(INDEX('Daily 사주 raw'!$A:$ZZ, MATCH(F$2, 'Daily 사주 raw'!$A:$A, 0), MATCH($B19, 'Daily 사주 raw'!$1:$1, 0)), 0)</f>
        <v>0</v>
      </c>
      <c r="G19" s="60">
        <f t="array" ref="G19">IFERROR(INDEX('Daily 사주 raw'!$A:$ZZ, MATCH(G$2, 'Daily 사주 raw'!$A:$A, 0), MATCH($B19, 'Daily 사주 raw'!$1:$1, 0)), 0)</f>
        <v>0</v>
      </c>
      <c r="H19" s="60">
        <f t="array" ref="H19">IFERROR(INDEX('Daily 사주 raw'!$A:$ZZ, MATCH(H$2, 'Daily 사주 raw'!$A:$A, 0), MATCH($B19, 'Daily 사주 raw'!$1:$1, 0)), 0)</f>
        <v>0</v>
      </c>
      <c r="I19" s="60">
        <f t="array" ref="I19">IFERROR(INDEX('Daily 사주 raw'!$A:$ZZ, MATCH(I$2, 'Daily 사주 raw'!$A:$A, 0), MATCH($B19, 'Daily 사주 raw'!$1:$1, 0)), 0)</f>
        <v>0</v>
      </c>
      <c r="J19" s="60">
        <f t="array" ref="J19">IFERROR(INDEX('Daily 사주 raw'!$A:$ZZ, MATCH(J$2, 'Daily 사주 raw'!$A:$A, 0), MATCH($B19, 'Daily 사주 raw'!$1:$1, 0)), 0)</f>
        <v>0</v>
      </c>
      <c r="K19" s="60">
        <f t="array" ref="K19">IFERROR(INDEX('Daily 사주 raw'!$A:$ZZ, MATCH(K$2, 'Daily 사주 raw'!$A:$A, 0), MATCH($B19, 'Daily 사주 raw'!$1:$1, 0)), 0)</f>
        <v>0</v>
      </c>
      <c r="L19" s="60">
        <f t="array" ref="L19">IFERROR(INDEX('Daily 사주 raw'!$A:$ZZ, MATCH(L$2, 'Daily 사주 raw'!$A:$A, 0), MATCH($B19, 'Daily 사주 raw'!$1:$1, 0)), 0)</f>
        <v>0</v>
      </c>
      <c r="M19" s="60">
        <f t="array" ref="M19">IFERROR(INDEX('Daily 사주 raw'!$A:$ZZ, MATCH(M$2, 'Daily 사주 raw'!$A:$A, 0), MATCH($B19, 'Daily 사주 raw'!$1:$1, 0)), 0)</f>
        <v>0</v>
      </c>
      <c r="N19" s="60">
        <f t="array" ref="N19">IFERROR(INDEX('Daily 사주 raw'!$A:$ZZ, MATCH(N$2, 'Daily 사주 raw'!$A:$A, 0), MATCH($B19, 'Daily 사주 raw'!$1:$1, 0)), 0)</f>
        <v>0</v>
      </c>
      <c r="O19" s="60">
        <f t="array" ref="O19">IFERROR(INDEX('Daily 사주 raw'!$A:$ZZ, MATCH(O$2, 'Daily 사주 raw'!$A:$A, 0), MATCH($B19, 'Daily 사주 raw'!$1:$1, 0)), 0)</f>
        <v>0</v>
      </c>
      <c r="P19" s="60">
        <f t="array" ref="P19">IFERROR(INDEX('Daily 사주 raw'!$A:$ZZ, MATCH(P$2, 'Daily 사주 raw'!$A:$A, 0), MATCH($B19, 'Daily 사주 raw'!$1:$1, 0)), 0)</f>
        <v>0</v>
      </c>
      <c r="Q19" s="60">
        <f t="array" ref="Q19">IFERROR(INDEX('Daily 사주 raw'!$A:$ZZ, MATCH(Q$2, 'Daily 사주 raw'!$A:$A, 0), MATCH($B19, 'Daily 사주 raw'!$1:$1, 0)), 0)</f>
        <v>0</v>
      </c>
      <c r="R19" s="60">
        <f t="array" ref="R19">IFERROR(INDEX('Daily 사주 raw'!$A:$ZZ, MATCH(R$2, 'Daily 사주 raw'!$A:$A, 0), MATCH($B19, 'Daily 사주 raw'!$1:$1, 0)), 0)</f>
        <v>0</v>
      </c>
      <c r="S19" s="60">
        <f t="array" ref="S19">IFERROR(INDEX('Daily 사주 raw'!$A:$ZZ, MATCH(S$2, 'Daily 사주 raw'!$A:$A, 0), MATCH($B19, 'Daily 사주 raw'!$1:$1, 0)), 0)</f>
        <v>0</v>
      </c>
      <c r="T19" s="60">
        <f t="array" ref="T19">IFERROR(INDEX('Daily 사주 raw'!$A:$ZZ, MATCH(T$2, 'Daily 사주 raw'!$A:$A, 0), MATCH($B19, 'Daily 사주 raw'!$1:$1, 0)), 0)</f>
        <v>0</v>
      </c>
      <c r="U19" s="60">
        <f t="array" ref="U19">IFERROR(INDEX('Daily 사주 raw'!$A:$ZZ, MATCH(U$2, 'Daily 사주 raw'!$A:$A, 0), MATCH($B19, 'Daily 사주 raw'!$1:$1, 0)), 0)</f>
        <v>0</v>
      </c>
      <c r="V19" s="60">
        <f t="array" ref="V19">IFERROR(INDEX('Daily 사주 raw'!$A:$ZZ, MATCH(V$2, 'Daily 사주 raw'!$A:$A, 0), MATCH($B19, 'Daily 사주 raw'!$1:$1, 0)), 0)</f>
        <v>0</v>
      </c>
      <c r="W19" s="60">
        <f t="array" ref="W19">IFERROR(INDEX('Daily 사주 raw'!$A:$ZZ, MATCH(W$2, 'Daily 사주 raw'!$A:$A, 0), MATCH($B19, 'Daily 사주 raw'!$1:$1, 0)), 0)</f>
        <v>0</v>
      </c>
      <c r="X19" s="60">
        <f t="array" ref="X19">IFERROR(INDEX('Daily 사주 raw'!$A:$ZZ, MATCH(X$2, 'Daily 사주 raw'!$A:$A, 0), MATCH($B19, 'Daily 사주 raw'!$1:$1, 0)), 0)</f>
        <v>0</v>
      </c>
      <c r="Y19" s="60">
        <f t="array" ref="Y19">IFERROR(INDEX('Daily 사주 raw'!$A:$ZZ, MATCH(Y$2, 'Daily 사주 raw'!$A:$A, 0), MATCH($B19, 'Daily 사주 raw'!$1:$1, 0)), 0)</f>
        <v>0</v>
      </c>
      <c r="Z19" s="60">
        <f t="array" ref="Z19">IFERROR(INDEX('Daily 사주 raw'!$A:$ZZ, MATCH(Z$2, 'Daily 사주 raw'!$A:$A, 0), MATCH($B19, 'Daily 사주 raw'!$1:$1, 0)), 0)</f>
        <v>0</v>
      </c>
      <c r="AA19" s="60">
        <f t="array" ref="AA19">IFERROR(INDEX('Daily 사주 raw'!$A:$ZZ, MATCH(AA$2, 'Daily 사주 raw'!$A:$A, 0), MATCH($B19, 'Daily 사주 raw'!$1:$1, 0)), 0)</f>
        <v>0</v>
      </c>
      <c r="AB19" s="60">
        <f t="array" ref="AB19">IFERROR(INDEX('Daily 사주 raw'!$A:$ZZ, MATCH(AB$2, 'Daily 사주 raw'!$A:$A, 0), MATCH($B19, 'Daily 사주 raw'!$1:$1, 0)), 0)</f>
        <v>0</v>
      </c>
      <c r="AC19" s="60">
        <f t="array" ref="AC19">IFERROR(INDEX('Daily 사주 raw'!$A:$ZZ, MATCH(AC$2, 'Daily 사주 raw'!$A:$A, 0), MATCH($B19, 'Daily 사주 raw'!$1:$1, 0)), 0)</f>
        <v>0</v>
      </c>
      <c r="AD19" s="60">
        <f t="array" ref="AD19">IFERROR(INDEX('Daily 사주 raw'!$A:$ZZ, MATCH(AD$2, 'Daily 사주 raw'!$A:$A, 0), MATCH($B19, 'Daily 사주 raw'!$1:$1, 0)), 0)</f>
        <v>0</v>
      </c>
      <c r="AE19" s="60">
        <f t="array" ref="AE19">IFERROR(INDEX('Daily 사주 raw'!$A:$ZZ, MATCH(AE$2, 'Daily 사주 raw'!$A:$A, 0), MATCH($B19, 'Daily 사주 raw'!$1:$1, 0)), 0)</f>
        <v>0</v>
      </c>
      <c r="AF19" s="60">
        <f t="array" ref="AF19">IFERROR(INDEX('Daily 사주 raw'!$A:$ZZ, MATCH(AF$2, 'Daily 사주 raw'!$A:$A, 0), MATCH($B19, 'Daily 사주 raw'!$1:$1, 0)), 0)</f>
        <v>0</v>
      </c>
      <c r="AG19" s="60">
        <f t="array" ref="AG19">IFERROR(INDEX('Daily 사주 raw'!$A:$ZZ, MATCH(AG$2, 'Daily 사주 raw'!$A:$A, 0), MATCH($B19, 'Daily 사주 raw'!$1:$1, 0)), 0)</f>
        <v>0</v>
      </c>
      <c r="AH19" s="60">
        <f t="array" ref="AH19">IFERROR(INDEX('Daily 사주 raw'!$A:$ZZ, MATCH(AH$2, 'Daily 사주 raw'!$A:$A, 0), MATCH($B19, 'Daily 사주 raw'!$1:$1, 0)), 0)</f>
        <v>0</v>
      </c>
      <c r="AI19" s="60">
        <f t="array" ref="AI19">IFERROR(INDEX('Daily 사주 raw'!$A:$ZZ, MATCH(AI$2, 'Daily 사주 raw'!$A:$A, 0), MATCH($B19, 'Daily 사주 raw'!$1:$1, 0)), 0)</f>
        <v>0</v>
      </c>
      <c r="AJ19" s="60">
        <f t="array" ref="AJ19">IFERROR(INDEX('Daily 사주 raw'!$A:$ZZ, MATCH(AJ$2, 'Daily 사주 raw'!$A:$A, 0), MATCH($B19, 'Daily 사주 raw'!$1:$1, 0)), 0)</f>
        <v>0</v>
      </c>
      <c r="AK19" s="60">
        <f t="array" ref="AK19">IFERROR(INDEX('Daily 사주 raw'!$A:$ZZ, MATCH(AK$2, 'Daily 사주 raw'!$A:$A, 0), MATCH($B19, 'Daily 사주 raw'!$1:$1, 0)), 0)</f>
        <v>0</v>
      </c>
      <c r="AL19" s="60">
        <f t="array" ref="AL19">IFERROR(INDEX('Daily 사주 raw'!$A:$ZZ, MATCH(AL$2, 'Daily 사주 raw'!$A:$A, 0), MATCH($B19, 'Daily 사주 raw'!$1:$1, 0)), 0)</f>
        <v>0</v>
      </c>
      <c r="AM19" s="60">
        <f t="array" ref="AM19">IFERROR(INDEX('Daily 사주 raw'!$A:$ZZ, MATCH(AM$2, 'Daily 사주 raw'!$A:$A, 0), MATCH($B19, 'Daily 사주 raw'!$1:$1, 0)), 0)</f>
        <v>0</v>
      </c>
      <c r="AN19" s="60">
        <f t="array" ref="AN19">IFERROR(INDEX('Daily 사주 raw'!$A:$ZZ, MATCH(AN$2, 'Daily 사주 raw'!$A:$A, 0), MATCH($B19, 'Daily 사주 raw'!$1:$1, 0)), 0)</f>
        <v>0</v>
      </c>
      <c r="AO19" s="60">
        <f t="array" ref="AO19">IFERROR(INDEX('Daily 사주 raw'!$A:$ZZ, MATCH(AO$2, 'Daily 사주 raw'!$A:$A, 0), MATCH($B19, 'Daily 사주 raw'!$1:$1, 0)), 0)</f>
        <v>0</v>
      </c>
      <c r="AP19" s="60">
        <f t="array" ref="AP19">IFERROR(INDEX('Daily 사주 raw'!$A:$ZZ, MATCH(AP$2, 'Daily 사주 raw'!$A:$A, 0), MATCH($B19, 'Daily 사주 raw'!$1:$1, 0)), 0)</f>
        <v>0</v>
      </c>
      <c r="AQ19" s="60">
        <f t="array" ref="AQ19">IFERROR(INDEX('Daily 사주 raw'!$A:$ZZ, MATCH(AQ$2, 'Daily 사주 raw'!$A:$A, 0), MATCH($B19, 'Daily 사주 raw'!$1:$1, 0)), 0)</f>
        <v>0</v>
      </c>
      <c r="AR19" s="60">
        <f t="array" ref="AR19">IFERROR(INDEX('Daily 사주 raw'!$A:$ZZ, MATCH(AR$2, 'Daily 사주 raw'!$A:$A, 0), MATCH($B19, 'Daily 사주 raw'!$1:$1, 0)), 0)</f>
        <v>0</v>
      </c>
      <c r="AS19" s="60">
        <f t="array" ref="AS19">IFERROR(INDEX('Daily 사주 raw'!$A:$ZZ, MATCH(AS$2, 'Daily 사주 raw'!$A:$A, 0), MATCH($B19, 'Daily 사주 raw'!$1:$1, 0)), 0)</f>
        <v>0</v>
      </c>
      <c r="AT19" s="60">
        <f t="array" ref="AT19">IFERROR(INDEX('Daily 사주 raw'!$A:$ZZ, MATCH(AT$2, 'Daily 사주 raw'!$A:$A, 0), MATCH($B19, 'Daily 사주 raw'!$1:$1, 0)), 0)</f>
        <v>0</v>
      </c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</row>
    <row r="20" ht="18.75" hidden="1" customHeight="1">
      <c r="A20" s="1"/>
      <c r="B20" s="1"/>
      <c r="C20" s="17" t="s">
        <v>118</v>
      </c>
      <c r="D20" s="60">
        <f t="array" ref="D20">IFERROR(INDEX('Daily 사주 raw'!$A:$ZZ, MATCH(D$2, 'Daily 사주 raw'!$A:$A, 0), MATCH($B20, 'Daily 사주 raw'!$1:$1, 0)), 0)</f>
        <v>0</v>
      </c>
      <c r="E20" s="60">
        <f t="array" ref="E20">IFERROR(INDEX('Daily 사주 raw'!$A:$ZZ, MATCH(E$2, 'Daily 사주 raw'!$A:$A, 0), MATCH($B20, 'Daily 사주 raw'!$1:$1, 0)), 0)</f>
        <v>0</v>
      </c>
      <c r="F20" s="60">
        <f t="array" ref="F20">IFERROR(INDEX('Daily 사주 raw'!$A:$ZZ, MATCH(F$2, 'Daily 사주 raw'!$A:$A, 0), MATCH($B20, 'Daily 사주 raw'!$1:$1, 0)), 0)</f>
        <v>0</v>
      </c>
      <c r="G20" s="60">
        <f t="array" ref="G20">IFERROR(INDEX('Daily 사주 raw'!$A:$ZZ, MATCH(G$2, 'Daily 사주 raw'!$A:$A, 0), MATCH($B20, 'Daily 사주 raw'!$1:$1, 0)), 0)</f>
        <v>0</v>
      </c>
      <c r="H20" s="60">
        <f t="array" ref="H20">IFERROR(INDEX('Daily 사주 raw'!$A:$ZZ, MATCH(H$2, 'Daily 사주 raw'!$A:$A, 0), MATCH($B20, 'Daily 사주 raw'!$1:$1, 0)), 0)</f>
        <v>0</v>
      </c>
      <c r="I20" s="60">
        <f t="array" ref="I20">IFERROR(INDEX('Daily 사주 raw'!$A:$ZZ, MATCH(I$2, 'Daily 사주 raw'!$A:$A, 0), MATCH($B20, 'Daily 사주 raw'!$1:$1, 0)), 0)</f>
        <v>0</v>
      </c>
      <c r="J20" s="60">
        <f t="array" ref="J20">IFERROR(INDEX('Daily 사주 raw'!$A:$ZZ, MATCH(J$2, 'Daily 사주 raw'!$A:$A, 0), MATCH($B20, 'Daily 사주 raw'!$1:$1, 0)), 0)</f>
        <v>0</v>
      </c>
      <c r="K20" s="60">
        <f t="array" ref="K20">IFERROR(INDEX('Daily 사주 raw'!$A:$ZZ, MATCH(K$2, 'Daily 사주 raw'!$A:$A, 0), MATCH($B20, 'Daily 사주 raw'!$1:$1, 0)), 0)</f>
        <v>0</v>
      </c>
      <c r="L20" s="60">
        <f t="array" ref="L20">IFERROR(INDEX('Daily 사주 raw'!$A:$ZZ, MATCH(L$2, 'Daily 사주 raw'!$A:$A, 0), MATCH($B20, 'Daily 사주 raw'!$1:$1, 0)), 0)</f>
        <v>0</v>
      </c>
      <c r="M20" s="60">
        <f t="array" ref="M20">IFERROR(INDEX('Daily 사주 raw'!$A:$ZZ, MATCH(M$2, 'Daily 사주 raw'!$A:$A, 0), MATCH($B20, 'Daily 사주 raw'!$1:$1, 0)), 0)</f>
        <v>0</v>
      </c>
      <c r="N20" s="60">
        <f t="array" ref="N20">IFERROR(INDEX('Daily 사주 raw'!$A:$ZZ, MATCH(N$2, 'Daily 사주 raw'!$A:$A, 0), MATCH($B20, 'Daily 사주 raw'!$1:$1, 0)), 0)</f>
        <v>0</v>
      </c>
      <c r="O20" s="60">
        <f t="array" ref="O20">IFERROR(INDEX('Daily 사주 raw'!$A:$ZZ, MATCH(O$2, 'Daily 사주 raw'!$A:$A, 0), MATCH($B20, 'Daily 사주 raw'!$1:$1, 0)), 0)</f>
        <v>0</v>
      </c>
      <c r="P20" s="60">
        <f t="array" ref="P20">IFERROR(INDEX('Daily 사주 raw'!$A:$ZZ, MATCH(P$2, 'Daily 사주 raw'!$A:$A, 0), MATCH($B20, 'Daily 사주 raw'!$1:$1, 0)), 0)</f>
        <v>0</v>
      </c>
      <c r="Q20" s="60">
        <f t="array" ref="Q20">IFERROR(INDEX('Daily 사주 raw'!$A:$ZZ, MATCH(Q$2, 'Daily 사주 raw'!$A:$A, 0), MATCH($B20, 'Daily 사주 raw'!$1:$1, 0)), 0)</f>
        <v>0</v>
      </c>
      <c r="R20" s="60">
        <f t="array" ref="R20">IFERROR(INDEX('Daily 사주 raw'!$A:$ZZ, MATCH(R$2, 'Daily 사주 raw'!$A:$A, 0), MATCH($B20, 'Daily 사주 raw'!$1:$1, 0)), 0)</f>
        <v>0</v>
      </c>
      <c r="S20" s="60">
        <f t="array" ref="S20">IFERROR(INDEX('Daily 사주 raw'!$A:$ZZ, MATCH(S$2, 'Daily 사주 raw'!$A:$A, 0), MATCH($B20, 'Daily 사주 raw'!$1:$1, 0)), 0)</f>
        <v>0</v>
      </c>
      <c r="T20" s="60">
        <f t="array" ref="T20">IFERROR(INDEX('Daily 사주 raw'!$A:$ZZ, MATCH(T$2, 'Daily 사주 raw'!$A:$A, 0), MATCH($B20, 'Daily 사주 raw'!$1:$1, 0)), 0)</f>
        <v>0</v>
      </c>
      <c r="U20" s="60">
        <f t="array" ref="U20">IFERROR(INDEX('Daily 사주 raw'!$A:$ZZ, MATCH(U$2, 'Daily 사주 raw'!$A:$A, 0), MATCH($B20, 'Daily 사주 raw'!$1:$1, 0)), 0)</f>
        <v>0</v>
      </c>
      <c r="V20" s="60">
        <f t="array" ref="V20">IFERROR(INDEX('Daily 사주 raw'!$A:$ZZ, MATCH(V$2, 'Daily 사주 raw'!$A:$A, 0), MATCH($B20, 'Daily 사주 raw'!$1:$1, 0)), 0)</f>
        <v>0</v>
      </c>
      <c r="W20" s="60">
        <f t="array" ref="W20">IFERROR(INDEX('Daily 사주 raw'!$A:$ZZ, MATCH(W$2, 'Daily 사주 raw'!$A:$A, 0), MATCH($B20, 'Daily 사주 raw'!$1:$1, 0)), 0)</f>
        <v>0</v>
      </c>
      <c r="X20" s="60">
        <f t="array" ref="X20">IFERROR(INDEX('Daily 사주 raw'!$A:$ZZ, MATCH(X$2, 'Daily 사주 raw'!$A:$A, 0), MATCH($B20, 'Daily 사주 raw'!$1:$1, 0)), 0)</f>
        <v>0</v>
      </c>
      <c r="Y20" s="60">
        <f t="array" ref="Y20">IFERROR(INDEX('Daily 사주 raw'!$A:$ZZ, MATCH(Y$2, 'Daily 사주 raw'!$A:$A, 0), MATCH($B20, 'Daily 사주 raw'!$1:$1, 0)), 0)</f>
        <v>0</v>
      </c>
      <c r="Z20" s="60">
        <f t="array" ref="Z20">IFERROR(INDEX('Daily 사주 raw'!$A:$ZZ, MATCH(Z$2, 'Daily 사주 raw'!$A:$A, 0), MATCH($B20, 'Daily 사주 raw'!$1:$1, 0)), 0)</f>
        <v>0</v>
      </c>
      <c r="AA20" s="60">
        <f t="array" ref="AA20">IFERROR(INDEX('Daily 사주 raw'!$A:$ZZ, MATCH(AA$2, 'Daily 사주 raw'!$A:$A, 0), MATCH($B20, 'Daily 사주 raw'!$1:$1, 0)), 0)</f>
        <v>0</v>
      </c>
      <c r="AB20" s="60">
        <f t="array" ref="AB20">IFERROR(INDEX('Daily 사주 raw'!$A:$ZZ, MATCH(AB$2, 'Daily 사주 raw'!$A:$A, 0), MATCH($B20, 'Daily 사주 raw'!$1:$1, 0)), 0)</f>
        <v>0</v>
      </c>
      <c r="AC20" s="60">
        <f t="array" ref="AC20">IFERROR(INDEX('Daily 사주 raw'!$A:$ZZ, MATCH(AC$2, 'Daily 사주 raw'!$A:$A, 0), MATCH($B20, 'Daily 사주 raw'!$1:$1, 0)), 0)</f>
        <v>0</v>
      </c>
      <c r="AD20" s="60">
        <f t="array" ref="AD20">IFERROR(INDEX('Daily 사주 raw'!$A:$ZZ, MATCH(AD$2, 'Daily 사주 raw'!$A:$A, 0), MATCH($B20, 'Daily 사주 raw'!$1:$1, 0)), 0)</f>
        <v>0</v>
      </c>
      <c r="AE20" s="60">
        <f t="array" ref="AE20">IFERROR(INDEX('Daily 사주 raw'!$A:$ZZ, MATCH(AE$2, 'Daily 사주 raw'!$A:$A, 0), MATCH($B20, 'Daily 사주 raw'!$1:$1, 0)), 0)</f>
        <v>0</v>
      </c>
      <c r="AF20" s="60">
        <f t="array" ref="AF20">IFERROR(INDEX('Daily 사주 raw'!$A:$ZZ, MATCH(AF$2, 'Daily 사주 raw'!$A:$A, 0), MATCH($B20, 'Daily 사주 raw'!$1:$1, 0)), 0)</f>
        <v>0</v>
      </c>
      <c r="AG20" s="60">
        <f t="array" ref="AG20">IFERROR(INDEX('Daily 사주 raw'!$A:$ZZ, MATCH(AG$2, 'Daily 사주 raw'!$A:$A, 0), MATCH($B20, 'Daily 사주 raw'!$1:$1, 0)), 0)</f>
        <v>0</v>
      </c>
      <c r="AH20" s="60">
        <f t="array" ref="AH20">IFERROR(INDEX('Daily 사주 raw'!$A:$ZZ, MATCH(AH$2, 'Daily 사주 raw'!$A:$A, 0), MATCH($B20, 'Daily 사주 raw'!$1:$1, 0)), 0)</f>
        <v>0</v>
      </c>
      <c r="AI20" s="60">
        <f t="array" ref="AI20">IFERROR(INDEX('Daily 사주 raw'!$A:$ZZ, MATCH(AI$2, 'Daily 사주 raw'!$A:$A, 0), MATCH($B20, 'Daily 사주 raw'!$1:$1, 0)), 0)</f>
        <v>0</v>
      </c>
      <c r="AJ20" s="60">
        <f t="array" ref="AJ20">IFERROR(INDEX('Daily 사주 raw'!$A:$ZZ, MATCH(AJ$2, 'Daily 사주 raw'!$A:$A, 0), MATCH($B20, 'Daily 사주 raw'!$1:$1, 0)), 0)</f>
        <v>0</v>
      </c>
      <c r="AK20" s="60">
        <f t="array" ref="AK20">IFERROR(INDEX('Daily 사주 raw'!$A:$ZZ, MATCH(AK$2, 'Daily 사주 raw'!$A:$A, 0), MATCH($B20, 'Daily 사주 raw'!$1:$1, 0)), 0)</f>
        <v>0</v>
      </c>
      <c r="AL20" s="60">
        <f t="array" ref="AL20">IFERROR(INDEX('Daily 사주 raw'!$A:$ZZ, MATCH(AL$2, 'Daily 사주 raw'!$A:$A, 0), MATCH($B20, 'Daily 사주 raw'!$1:$1, 0)), 0)</f>
        <v>0</v>
      </c>
      <c r="AM20" s="60">
        <f t="array" ref="AM20">IFERROR(INDEX('Daily 사주 raw'!$A:$ZZ, MATCH(AM$2, 'Daily 사주 raw'!$A:$A, 0), MATCH($B20, 'Daily 사주 raw'!$1:$1, 0)), 0)</f>
        <v>0</v>
      </c>
      <c r="AN20" s="60">
        <f t="array" ref="AN20">IFERROR(INDEX('Daily 사주 raw'!$A:$ZZ, MATCH(AN$2, 'Daily 사주 raw'!$A:$A, 0), MATCH($B20, 'Daily 사주 raw'!$1:$1, 0)), 0)</f>
        <v>0</v>
      </c>
      <c r="AO20" s="60">
        <f t="array" ref="AO20">IFERROR(INDEX('Daily 사주 raw'!$A:$ZZ, MATCH(AO$2, 'Daily 사주 raw'!$A:$A, 0), MATCH($B20, 'Daily 사주 raw'!$1:$1, 0)), 0)</f>
        <v>0</v>
      </c>
      <c r="AP20" s="60">
        <f t="array" ref="AP20">IFERROR(INDEX('Daily 사주 raw'!$A:$ZZ, MATCH(AP$2, 'Daily 사주 raw'!$A:$A, 0), MATCH($B20, 'Daily 사주 raw'!$1:$1, 0)), 0)</f>
        <v>0</v>
      </c>
      <c r="AQ20" s="60">
        <f t="array" ref="AQ20">IFERROR(INDEX('Daily 사주 raw'!$A:$ZZ, MATCH(AQ$2, 'Daily 사주 raw'!$A:$A, 0), MATCH($B20, 'Daily 사주 raw'!$1:$1, 0)), 0)</f>
        <v>0</v>
      </c>
      <c r="AR20" s="60">
        <f t="array" ref="AR20">IFERROR(INDEX('Daily 사주 raw'!$A:$ZZ, MATCH(AR$2, 'Daily 사주 raw'!$A:$A, 0), MATCH($B20, 'Daily 사주 raw'!$1:$1, 0)), 0)</f>
        <v>0</v>
      </c>
      <c r="AS20" s="60">
        <f t="array" ref="AS20">IFERROR(INDEX('Daily 사주 raw'!$A:$ZZ, MATCH(AS$2, 'Daily 사주 raw'!$A:$A, 0), MATCH($B20, 'Daily 사주 raw'!$1:$1, 0)), 0)</f>
        <v>0</v>
      </c>
      <c r="AT20" s="60">
        <f t="array" ref="AT20">IFERROR(INDEX('Daily 사주 raw'!$A:$ZZ, MATCH(AT$2, 'Daily 사주 raw'!$A:$A, 0), MATCH($B20, 'Daily 사주 raw'!$1:$1, 0)), 0)</f>
        <v>0</v>
      </c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</row>
    <row r="21" ht="18.75" customHeight="1">
      <c r="A21" s="30"/>
      <c r="B21" s="16"/>
      <c r="C21" s="30" t="s">
        <v>36</v>
      </c>
      <c r="D21" s="60" t="str">
        <f t="array" ref="D21">LET(val, IFERROR(INDEX('Daily 사주 raw'!$A:$ZZ, MATCH(D$2, 'Daily 사주 raw'!$A:$A, 0), MATCH($B21, 'Daily 사주 raw'!$1:$1, 0)), ""), IF(val=0, "", val))</f>
        <v/>
      </c>
      <c r="E21" s="60" t="str">
        <f t="array" ref="E21">LET(val, IFERROR(INDEX('Daily 사주 raw'!$A:$ZZ, MATCH(E$2, 'Daily 사주 raw'!$A:$A, 0), MATCH($B21, 'Daily 사주 raw'!$1:$1, 0)), ""), IF(val=0, "", val))</f>
        <v/>
      </c>
      <c r="F21" s="60" t="str">
        <f t="array" ref="F21">LET(val, IFERROR(INDEX('Daily 사주 raw'!$A:$ZZ, MATCH(F$2, 'Daily 사주 raw'!$A:$A, 0), MATCH($B21, 'Daily 사주 raw'!$1:$1, 0)), ""), IF(val=0, "", val))</f>
        <v/>
      </c>
      <c r="G21" s="60" t="str">
        <f t="array" ref="G21">LET(val, IFERROR(INDEX('Daily 사주 raw'!$A:$ZZ, MATCH(G$2, 'Daily 사주 raw'!$A:$A, 0), MATCH($B21, 'Daily 사주 raw'!$1:$1, 0)), ""), IF(val=0, "", val))</f>
        <v/>
      </c>
      <c r="H21" s="60" t="str">
        <f t="array" ref="H21">LET(val, IFERROR(INDEX('Daily 사주 raw'!$A:$ZZ, MATCH(H$2, 'Daily 사주 raw'!$A:$A, 0), MATCH($B21, 'Daily 사주 raw'!$1:$1, 0)), ""), IF(val=0, "", val))</f>
        <v/>
      </c>
      <c r="I21" s="60" t="str">
        <f t="array" ref="I21">LET(val, IFERROR(INDEX('Daily 사주 raw'!$A:$ZZ, MATCH(I$2, 'Daily 사주 raw'!$A:$A, 0), MATCH($B21, 'Daily 사주 raw'!$1:$1, 0)), ""), IF(val=0, "", val))</f>
        <v/>
      </c>
      <c r="J21" s="60" t="str">
        <f t="array" ref="J21">LET(val, IFERROR(INDEX('Daily 사주 raw'!$A:$ZZ, MATCH(J$2, 'Daily 사주 raw'!$A:$A, 0), MATCH($B21, 'Daily 사주 raw'!$1:$1, 0)), ""), IF(val=0, "", val))</f>
        <v/>
      </c>
      <c r="K21" s="60" t="str">
        <f t="array" ref="K21">LET(val, IFERROR(INDEX('Daily 사주 raw'!$A:$ZZ, MATCH(K$2, 'Daily 사주 raw'!$A:$A, 0), MATCH($B21, 'Daily 사주 raw'!$1:$1, 0)), ""), IF(val=0, "", val))</f>
        <v/>
      </c>
      <c r="L21" s="60" t="str">
        <f t="array" ref="L21">LET(val, IFERROR(INDEX('Daily 사주 raw'!$A:$ZZ, MATCH(L$2, 'Daily 사주 raw'!$A:$A, 0), MATCH($B21, 'Daily 사주 raw'!$1:$1, 0)), ""), IF(val=0, "", val))</f>
        <v/>
      </c>
      <c r="M21" s="60" t="str">
        <f t="array" ref="M21">LET(val, IFERROR(INDEX('Daily 사주 raw'!$A:$ZZ, MATCH(M$2, 'Daily 사주 raw'!$A:$A, 0), MATCH($B21, 'Daily 사주 raw'!$1:$1, 0)), ""), IF(val=0, "", val))</f>
        <v/>
      </c>
      <c r="N21" s="60" t="str">
        <f t="array" ref="N21">LET(val, IFERROR(INDEX('Daily 사주 raw'!$A:$ZZ, MATCH(N$2, 'Daily 사주 raw'!$A:$A, 0), MATCH($B21, 'Daily 사주 raw'!$1:$1, 0)), ""), IF(val=0, "", val))</f>
        <v/>
      </c>
      <c r="O21" s="60" t="str">
        <f t="array" ref="O21">LET(val, IFERROR(INDEX('Daily 사주 raw'!$A:$ZZ, MATCH(O$2, 'Daily 사주 raw'!$A:$A, 0), MATCH($B21, 'Daily 사주 raw'!$1:$1, 0)), ""), IF(val=0, "", val))</f>
        <v/>
      </c>
      <c r="P21" s="60" t="str">
        <f t="array" ref="P21">LET(val, IFERROR(INDEX('Daily 사주 raw'!$A:$ZZ, MATCH(P$2, 'Daily 사주 raw'!$A:$A, 0), MATCH($B21, 'Daily 사주 raw'!$1:$1, 0)), ""), IF(val=0, "", val))</f>
        <v/>
      </c>
      <c r="Q21" s="60" t="str">
        <f t="array" ref="Q21">LET(val, IFERROR(INDEX('Daily 사주 raw'!$A:$ZZ, MATCH(Q$2, 'Daily 사주 raw'!$A:$A, 0), MATCH($B21, 'Daily 사주 raw'!$1:$1, 0)), ""), IF(val=0, "", val))</f>
        <v/>
      </c>
      <c r="R21" s="60" t="str">
        <f t="array" ref="R21">LET(val, IFERROR(INDEX('Daily 사주 raw'!$A:$ZZ, MATCH(R$2, 'Daily 사주 raw'!$A:$A, 0), MATCH($B21, 'Daily 사주 raw'!$1:$1, 0)), ""), IF(val=0, "", val))</f>
        <v/>
      </c>
      <c r="S21" s="60" t="str">
        <f t="array" ref="S21">LET(val, IFERROR(INDEX('Daily 사주 raw'!$A:$ZZ, MATCH(S$2, 'Daily 사주 raw'!$A:$A, 0), MATCH($B21, 'Daily 사주 raw'!$1:$1, 0)), ""), IF(val=0, "", val))</f>
        <v/>
      </c>
      <c r="T21" s="60" t="str">
        <f t="array" ref="T21">LET(val, IFERROR(INDEX('Daily 사주 raw'!$A:$ZZ, MATCH(T$2, 'Daily 사주 raw'!$A:$A, 0), MATCH($B21, 'Daily 사주 raw'!$1:$1, 0)), ""), IF(val=0, "", val))</f>
        <v/>
      </c>
      <c r="U21" s="60" t="str">
        <f t="array" ref="U21">LET(val, IFERROR(INDEX('Daily 사주 raw'!$A:$ZZ, MATCH(U$2, 'Daily 사주 raw'!$A:$A, 0), MATCH($B21, 'Daily 사주 raw'!$1:$1, 0)), ""), IF(val=0, "", val))</f>
        <v/>
      </c>
      <c r="V21" s="60" t="str">
        <f t="array" ref="V21">LET(val, IFERROR(INDEX('Daily 사주 raw'!$A:$ZZ, MATCH(V$2, 'Daily 사주 raw'!$A:$A, 0), MATCH($B21, 'Daily 사주 raw'!$1:$1, 0)), ""), IF(val=0, "", val))</f>
        <v/>
      </c>
      <c r="W21" s="60" t="str">
        <f t="array" ref="W21">LET(val, IFERROR(INDEX('Daily 사주 raw'!$A:$ZZ, MATCH(W$2, 'Daily 사주 raw'!$A:$A, 0), MATCH($B21, 'Daily 사주 raw'!$1:$1, 0)), ""), IF(val=0, "", val))</f>
        <v/>
      </c>
      <c r="X21" s="60" t="str">
        <f t="array" ref="X21">LET(val, IFERROR(INDEX('Daily 사주 raw'!$A:$ZZ, MATCH(X$2, 'Daily 사주 raw'!$A:$A, 0), MATCH($B21, 'Daily 사주 raw'!$1:$1, 0)), ""), IF(val=0, "", val))</f>
        <v/>
      </c>
      <c r="Y21" s="60" t="str">
        <f t="array" ref="Y21">LET(val, IFERROR(INDEX('Daily 사주 raw'!$A:$ZZ, MATCH(Y$2, 'Daily 사주 raw'!$A:$A, 0), MATCH($B21, 'Daily 사주 raw'!$1:$1, 0)), ""), IF(val=0, "", val))</f>
        <v/>
      </c>
      <c r="Z21" s="60" t="str">
        <f t="array" ref="Z21">LET(val, IFERROR(INDEX('Daily 사주 raw'!$A:$ZZ, MATCH(Z$2, 'Daily 사주 raw'!$A:$A, 0), MATCH($B21, 'Daily 사주 raw'!$1:$1, 0)), ""), IF(val=0, "", val))</f>
        <v/>
      </c>
      <c r="AA21" s="60" t="str">
        <f t="array" ref="AA21">LET(val, IFERROR(INDEX('Daily 사주 raw'!$A:$ZZ, MATCH(AA$2, 'Daily 사주 raw'!$A:$A, 0), MATCH($B21, 'Daily 사주 raw'!$1:$1, 0)), ""), IF(val=0, "", val))</f>
        <v/>
      </c>
      <c r="AB21" s="60" t="str">
        <f t="array" ref="AB21">LET(val, IFERROR(INDEX('Daily 사주 raw'!$A:$ZZ, MATCH(AB$2, 'Daily 사주 raw'!$A:$A, 0), MATCH($B21, 'Daily 사주 raw'!$1:$1, 0)), ""), IF(val=0, "", val))</f>
        <v/>
      </c>
      <c r="AC21" s="60" t="str">
        <f t="array" ref="AC21">LET(val, IFERROR(INDEX('Daily 사주 raw'!$A:$ZZ, MATCH(AC$2, 'Daily 사주 raw'!$A:$A, 0), MATCH($B21, 'Daily 사주 raw'!$1:$1, 0)), ""), IF(val=0, "", val))</f>
        <v/>
      </c>
      <c r="AD21" s="60" t="str">
        <f t="array" ref="AD21">LET(val, IFERROR(INDEX('Daily 사주 raw'!$A:$ZZ, MATCH(AD$2, 'Daily 사주 raw'!$A:$A, 0), MATCH($B21, 'Daily 사주 raw'!$1:$1, 0)), ""), IF(val=0, "", val))</f>
        <v/>
      </c>
      <c r="AE21" s="60" t="str">
        <f t="array" ref="AE21">LET(val, IFERROR(INDEX('Daily 사주 raw'!$A:$ZZ, MATCH(AE$2, 'Daily 사주 raw'!$A:$A, 0), MATCH($B21, 'Daily 사주 raw'!$1:$1, 0)), ""), IF(val=0, "", val))</f>
        <v/>
      </c>
      <c r="AF21" s="60" t="str">
        <f t="array" ref="AF21">LET(val, IFERROR(INDEX('Daily 사주 raw'!$A:$ZZ, MATCH(AF$2, 'Daily 사주 raw'!$A:$A, 0), MATCH($B21, 'Daily 사주 raw'!$1:$1, 0)), ""), IF(val=0, "", val))</f>
        <v/>
      </c>
      <c r="AG21" s="60" t="str">
        <f t="array" ref="AG21">LET(val, IFERROR(INDEX('Daily 사주 raw'!$A:$ZZ, MATCH(AG$2, 'Daily 사주 raw'!$A:$A, 0), MATCH($B21, 'Daily 사주 raw'!$1:$1, 0)), ""), IF(val=0, "", val))</f>
        <v/>
      </c>
      <c r="AH21" s="60" t="str">
        <f t="array" ref="AH21">LET(val, IFERROR(INDEX('Daily 사주 raw'!$A:$ZZ, MATCH(AH$2, 'Daily 사주 raw'!$A:$A, 0), MATCH($B21, 'Daily 사주 raw'!$1:$1, 0)), ""), IF(val=0, "", val))</f>
        <v/>
      </c>
      <c r="AI21" s="60" t="str">
        <f t="array" ref="AI21">LET(val, IFERROR(INDEX('Daily 사주 raw'!$A:$ZZ, MATCH(AI$2, 'Daily 사주 raw'!$A:$A, 0), MATCH($B21, 'Daily 사주 raw'!$1:$1, 0)), ""), IF(val=0, "", val))</f>
        <v/>
      </c>
      <c r="AJ21" s="60" t="str">
        <f t="array" ref="AJ21">LET(val, IFERROR(INDEX('Daily 사주 raw'!$A:$ZZ, MATCH(AJ$2, 'Daily 사주 raw'!$A:$A, 0), MATCH($B21, 'Daily 사주 raw'!$1:$1, 0)), ""), IF(val=0, "", val))</f>
        <v/>
      </c>
      <c r="AK21" s="60" t="str">
        <f t="array" ref="AK21">LET(val, IFERROR(INDEX('Daily 사주 raw'!$A:$ZZ, MATCH(AK$2, 'Daily 사주 raw'!$A:$A, 0), MATCH($B21, 'Daily 사주 raw'!$1:$1, 0)), ""), IF(val=0, "", val))</f>
        <v/>
      </c>
      <c r="AL21" s="60" t="str">
        <f t="array" ref="AL21">LET(val, IFERROR(INDEX('Daily 사주 raw'!$A:$ZZ, MATCH(AL$2, 'Daily 사주 raw'!$A:$A, 0), MATCH($B21, 'Daily 사주 raw'!$1:$1, 0)), ""), IF(val=0, "", val))</f>
        <v/>
      </c>
      <c r="AM21" s="60" t="str">
        <f t="array" ref="AM21">LET(val, IFERROR(INDEX('Daily 사주 raw'!$A:$ZZ, MATCH(AM$2, 'Daily 사주 raw'!$A:$A, 0), MATCH($B21, 'Daily 사주 raw'!$1:$1, 0)), ""), IF(val=0, "", val))</f>
        <v/>
      </c>
      <c r="AN21" s="60" t="str">
        <f t="array" ref="AN21">LET(val, IFERROR(INDEX('Daily 사주 raw'!$A:$ZZ, MATCH(AN$2, 'Daily 사주 raw'!$A:$A, 0), MATCH($B21, 'Daily 사주 raw'!$1:$1, 0)), ""), IF(val=0, "", val))</f>
        <v/>
      </c>
      <c r="AO21" s="60" t="str">
        <f t="array" ref="AO21">LET(val, IFERROR(INDEX('Daily 사주 raw'!$A:$ZZ, MATCH(AO$2, 'Daily 사주 raw'!$A:$A, 0), MATCH($B21, 'Daily 사주 raw'!$1:$1, 0)), ""), IF(val=0, "", val))</f>
        <v/>
      </c>
      <c r="AP21" s="60" t="str">
        <f t="array" ref="AP21">LET(val, IFERROR(INDEX('Daily 사주 raw'!$A:$ZZ, MATCH(AP$2, 'Daily 사주 raw'!$A:$A, 0), MATCH($B21, 'Daily 사주 raw'!$1:$1, 0)), ""), IF(val=0, "", val))</f>
        <v/>
      </c>
      <c r="AQ21" s="60" t="str">
        <f t="array" ref="AQ21">LET(val, IFERROR(INDEX('Daily 사주 raw'!$A:$ZZ, MATCH(AQ$2, 'Daily 사주 raw'!$A:$A, 0), MATCH($B21, 'Daily 사주 raw'!$1:$1, 0)), ""), IF(val=0, "", val))</f>
        <v/>
      </c>
      <c r="AR21" s="60" t="str">
        <f t="array" ref="AR21">LET(val, IFERROR(INDEX('Daily 사주 raw'!$A:$ZZ, MATCH(AR$2, 'Daily 사주 raw'!$A:$A, 0), MATCH($B21, 'Daily 사주 raw'!$1:$1, 0)), ""), IF(val=0, "", val))</f>
        <v/>
      </c>
      <c r="AS21" s="60" t="str">
        <f t="array" ref="AS21">LET(val, IFERROR(INDEX('Daily 사주 raw'!$A:$ZZ, MATCH(AS$2, 'Daily 사주 raw'!$A:$A, 0), MATCH($B21, 'Daily 사주 raw'!$1:$1, 0)), ""), IF(val=0, "", val))</f>
        <v/>
      </c>
      <c r="AT21" s="60" t="str">
        <f t="array" ref="AT21">LET(val, IFERROR(INDEX('Daily 사주 raw'!$A:$ZZ, MATCH(AT$2, 'Daily 사주 raw'!$A:$A, 0), MATCH($B21, 'Daily 사주 raw'!$1:$1, 0)), ""), IF(val=0, "", val))</f>
        <v/>
      </c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</row>
    <row r="22" ht="18.75" customHeight="1">
      <c r="A22" s="17"/>
      <c r="B22" s="16" t="s">
        <v>37</v>
      </c>
      <c r="C22" s="17" t="s">
        <v>38</v>
      </c>
      <c r="D22" s="60" t="str">
        <f t="array" ref="D22">LET(val, IFERROR(INDEX('Daily 사주 raw'!$A:$ZZ, MATCH(D$2, 'Daily 사주 raw'!$A:$A, 0), MATCH($B22, 'Daily 사주 raw'!$1:$1, 0)), ""), IF(val=0, "", val))</f>
        <v/>
      </c>
      <c r="E22" s="60" t="str">
        <f t="array" ref="E22">LET(val, IFERROR(INDEX('Daily 사주 raw'!$A:$ZZ, MATCH(E$2, 'Daily 사주 raw'!$A:$A, 0), MATCH($B22, 'Daily 사주 raw'!$1:$1, 0)), ""), IF(val=0, "", val))</f>
        <v/>
      </c>
      <c r="F22" s="60" t="str">
        <f t="array" ref="F22">LET(val, IFERROR(INDEX('Daily 사주 raw'!$A:$ZZ, MATCH(F$2, 'Daily 사주 raw'!$A:$A, 0), MATCH($B22, 'Daily 사주 raw'!$1:$1, 0)), ""), IF(val=0, "", val))</f>
        <v/>
      </c>
      <c r="G22" s="60" t="str">
        <f t="array" ref="G22">LET(val, IFERROR(INDEX('Daily 사주 raw'!$A:$ZZ, MATCH(G$2, 'Daily 사주 raw'!$A:$A, 0), MATCH($B22, 'Daily 사주 raw'!$1:$1, 0)), ""), IF(val=0, "", val))</f>
        <v/>
      </c>
      <c r="H22" s="60" t="str">
        <f t="array" ref="H22">LET(val, IFERROR(INDEX('Daily 사주 raw'!$A:$ZZ, MATCH(H$2, 'Daily 사주 raw'!$A:$A, 0), MATCH($B22, 'Daily 사주 raw'!$1:$1, 0)), ""), IF(val=0, "", val))</f>
        <v/>
      </c>
      <c r="I22" s="60" t="str">
        <f t="array" ref="I22">LET(val, IFERROR(INDEX('Daily 사주 raw'!$A:$ZZ, MATCH(I$2, 'Daily 사주 raw'!$A:$A, 0), MATCH($B22, 'Daily 사주 raw'!$1:$1, 0)), ""), IF(val=0, "", val))</f>
        <v/>
      </c>
      <c r="J22" s="60" t="str">
        <f t="array" ref="J22">LET(val, IFERROR(INDEX('Daily 사주 raw'!$A:$ZZ, MATCH(J$2, 'Daily 사주 raw'!$A:$A, 0), MATCH($B22, 'Daily 사주 raw'!$1:$1, 0)), ""), IF(val=0, "", val))</f>
        <v/>
      </c>
      <c r="K22" s="60" t="str">
        <f t="array" ref="K22">LET(val, IFERROR(INDEX('Daily 사주 raw'!$A:$ZZ, MATCH(K$2, 'Daily 사주 raw'!$A:$A, 0), MATCH($B22, 'Daily 사주 raw'!$1:$1, 0)), ""), IF(val=0, "", val))</f>
        <v/>
      </c>
      <c r="L22" s="60" t="str">
        <f t="array" ref="L22">LET(val, IFERROR(INDEX('Daily 사주 raw'!$A:$ZZ, MATCH(L$2, 'Daily 사주 raw'!$A:$A, 0), MATCH($B22, 'Daily 사주 raw'!$1:$1, 0)), ""), IF(val=0, "", val))</f>
        <v/>
      </c>
      <c r="M22" s="60" t="str">
        <f t="array" ref="M22">LET(val, IFERROR(INDEX('Daily 사주 raw'!$A:$ZZ, MATCH(M$2, 'Daily 사주 raw'!$A:$A, 0), MATCH($B22, 'Daily 사주 raw'!$1:$1, 0)), ""), IF(val=0, "", val))</f>
        <v/>
      </c>
      <c r="N22" s="60" t="str">
        <f t="array" ref="N22">LET(val, IFERROR(INDEX('Daily 사주 raw'!$A:$ZZ, MATCH(N$2, 'Daily 사주 raw'!$A:$A, 0), MATCH($B22, 'Daily 사주 raw'!$1:$1, 0)), ""), IF(val=0, "", val))</f>
        <v/>
      </c>
      <c r="O22" s="60" t="str">
        <f t="array" ref="O22">LET(val, IFERROR(INDEX('Daily 사주 raw'!$A:$ZZ, MATCH(O$2, 'Daily 사주 raw'!$A:$A, 0), MATCH($B22, 'Daily 사주 raw'!$1:$1, 0)), ""), IF(val=0, "", val))</f>
        <v/>
      </c>
      <c r="P22" s="60" t="str">
        <f t="array" ref="P22">LET(val, IFERROR(INDEX('Daily 사주 raw'!$A:$ZZ, MATCH(P$2, 'Daily 사주 raw'!$A:$A, 0), MATCH($B22, 'Daily 사주 raw'!$1:$1, 0)), ""), IF(val=0, "", val))</f>
        <v/>
      </c>
      <c r="Q22" s="60" t="str">
        <f t="array" ref="Q22">LET(val, IFERROR(INDEX('Daily 사주 raw'!$A:$ZZ, MATCH(Q$2, 'Daily 사주 raw'!$A:$A, 0), MATCH($B22, 'Daily 사주 raw'!$1:$1, 0)), ""), IF(val=0, "", val))</f>
        <v/>
      </c>
      <c r="R22" s="60" t="str">
        <f t="array" ref="R22">LET(val, IFERROR(INDEX('Daily 사주 raw'!$A:$ZZ, MATCH(R$2, 'Daily 사주 raw'!$A:$A, 0), MATCH($B22, 'Daily 사주 raw'!$1:$1, 0)), ""), IF(val=0, "", val))</f>
        <v/>
      </c>
      <c r="S22" s="60" t="str">
        <f t="array" ref="S22">LET(val, IFERROR(INDEX('Daily 사주 raw'!$A:$ZZ, MATCH(S$2, 'Daily 사주 raw'!$A:$A, 0), MATCH($B22, 'Daily 사주 raw'!$1:$1, 0)), ""), IF(val=0, "", val))</f>
        <v/>
      </c>
      <c r="T22" s="60" t="str">
        <f t="array" ref="T22">LET(val, IFERROR(INDEX('Daily 사주 raw'!$A:$ZZ, MATCH(T$2, 'Daily 사주 raw'!$A:$A, 0), MATCH($B22, 'Daily 사주 raw'!$1:$1, 0)), ""), IF(val=0, "", val))</f>
        <v/>
      </c>
      <c r="U22" s="60" t="str">
        <f t="array" ref="U22">LET(val, IFERROR(INDEX('Daily 사주 raw'!$A:$ZZ, MATCH(U$2, 'Daily 사주 raw'!$A:$A, 0), MATCH($B22, 'Daily 사주 raw'!$1:$1, 0)), ""), IF(val=0, "", val))</f>
        <v/>
      </c>
      <c r="V22" s="60" t="str">
        <f t="array" ref="V22">LET(val, IFERROR(INDEX('Daily 사주 raw'!$A:$ZZ, MATCH(V$2, 'Daily 사주 raw'!$A:$A, 0), MATCH($B22, 'Daily 사주 raw'!$1:$1, 0)), ""), IF(val=0, "", val))</f>
        <v/>
      </c>
      <c r="W22" s="60" t="str">
        <f t="array" ref="W22">LET(val, IFERROR(INDEX('Daily 사주 raw'!$A:$ZZ, MATCH(W$2, 'Daily 사주 raw'!$A:$A, 0), MATCH($B22, 'Daily 사주 raw'!$1:$1, 0)), ""), IF(val=0, "", val))</f>
        <v/>
      </c>
      <c r="X22" s="60" t="str">
        <f t="array" ref="X22">LET(val, IFERROR(INDEX('Daily 사주 raw'!$A:$ZZ, MATCH(X$2, 'Daily 사주 raw'!$A:$A, 0), MATCH($B22, 'Daily 사주 raw'!$1:$1, 0)), ""), IF(val=0, "", val))</f>
        <v/>
      </c>
      <c r="Y22" s="60" t="str">
        <f t="array" ref="Y22">LET(val, IFERROR(INDEX('Daily 사주 raw'!$A:$ZZ, MATCH(Y$2, 'Daily 사주 raw'!$A:$A, 0), MATCH($B22, 'Daily 사주 raw'!$1:$1, 0)), ""), IF(val=0, "", val))</f>
        <v/>
      </c>
      <c r="Z22" s="60" t="str">
        <f t="array" ref="Z22">LET(val, IFERROR(INDEX('Daily 사주 raw'!$A:$ZZ, MATCH(Z$2, 'Daily 사주 raw'!$A:$A, 0), MATCH($B22, 'Daily 사주 raw'!$1:$1, 0)), ""), IF(val=0, "", val))</f>
        <v/>
      </c>
      <c r="AA22" s="60" t="str">
        <f t="array" ref="AA22">LET(val, IFERROR(INDEX('Daily 사주 raw'!$A:$ZZ, MATCH(AA$2, 'Daily 사주 raw'!$A:$A, 0), MATCH($B22, 'Daily 사주 raw'!$1:$1, 0)), ""), IF(val=0, "", val))</f>
        <v/>
      </c>
      <c r="AB22" s="60" t="str">
        <f t="array" ref="AB22">LET(val, IFERROR(INDEX('Daily 사주 raw'!$A:$ZZ, MATCH(AB$2, 'Daily 사주 raw'!$A:$A, 0), MATCH($B22, 'Daily 사주 raw'!$1:$1, 0)), ""), IF(val=0, "", val))</f>
        <v/>
      </c>
      <c r="AC22" s="60" t="str">
        <f t="array" ref="AC22">LET(val, IFERROR(INDEX('Daily 사주 raw'!$A:$ZZ, MATCH(AC$2, 'Daily 사주 raw'!$A:$A, 0), MATCH($B22, 'Daily 사주 raw'!$1:$1, 0)), ""), IF(val=0, "", val))</f>
        <v/>
      </c>
      <c r="AD22" s="60" t="str">
        <f t="array" ref="AD22">LET(val, IFERROR(INDEX('Daily 사주 raw'!$A:$ZZ, MATCH(AD$2, 'Daily 사주 raw'!$A:$A, 0), MATCH($B22, 'Daily 사주 raw'!$1:$1, 0)), ""), IF(val=0, "", val))</f>
        <v/>
      </c>
      <c r="AE22" s="60" t="str">
        <f t="array" ref="AE22">LET(val, IFERROR(INDEX('Daily 사주 raw'!$A:$ZZ, MATCH(AE$2, 'Daily 사주 raw'!$A:$A, 0), MATCH($B22, 'Daily 사주 raw'!$1:$1, 0)), ""), IF(val=0, "", val))</f>
        <v/>
      </c>
      <c r="AF22" s="60" t="str">
        <f t="array" ref="AF22">LET(val, IFERROR(INDEX('Daily 사주 raw'!$A:$ZZ, MATCH(AF$2, 'Daily 사주 raw'!$A:$A, 0), MATCH($B22, 'Daily 사주 raw'!$1:$1, 0)), ""), IF(val=0, "", val))</f>
        <v/>
      </c>
      <c r="AG22" s="60" t="str">
        <f t="array" ref="AG22">LET(val, IFERROR(INDEX('Daily 사주 raw'!$A:$ZZ, MATCH(AG$2, 'Daily 사주 raw'!$A:$A, 0), MATCH($B22, 'Daily 사주 raw'!$1:$1, 0)), ""), IF(val=0, "", val))</f>
        <v/>
      </c>
      <c r="AH22" s="60" t="str">
        <f t="array" ref="AH22">LET(val, IFERROR(INDEX('Daily 사주 raw'!$A:$ZZ, MATCH(AH$2, 'Daily 사주 raw'!$A:$A, 0), MATCH($B22, 'Daily 사주 raw'!$1:$1, 0)), ""), IF(val=0, "", val))</f>
        <v/>
      </c>
      <c r="AI22" s="60" t="str">
        <f t="array" ref="AI22">LET(val, IFERROR(INDEX('Daily 사주 raw'!$A:$ZZ, MATCH(AI$2, 'Daily 사주 raw'!$A:$A, 0), MATCH($B22, 'Daily 사주 raw'!$1:$1, 0)), ""), IF(val=0, "", val))</f>
        <v/>
      </c>
      <c r="AJ22" s="60" t="str">
        <f t="array" ref="AJ22">LET(val, IFERROR(INDEX('Daily 사주 raw'!$A:$ZZ, MATCH(AJ$2, 'Daily 사주 raw'!$A:$A, 0), MATCH($B22, 'Daily 사주 raw'!$1:$1, 0)), ""), IF(val=0, "", val))</f>
        <v/>
      </c>
      <c r="AK22" s="60" t="str">
        <f t="array" ref="AK22">LET(val, IFERROR(INDEX('Daily 사주 raw'!$A:$ZZ, MATCH(AK$2, 'Daily 사주 raw'!$A:$A, 0), MATCH($B22, 'Daily 사주 raw'!$1:$1, 0)), ""), IF(val=0, "", val))</f>
        <v/>
      </c>
      <c r="AL22" s="60" t="str">
        <f t="array" ref="AL22">LET(val, IFERROR(INDEX('Daily 사주 raw'!$A:$ZZ, MATCH(AL$2, 'Daily 사주 raw'!$A:$A, 0), MATCH($B22, 'Daily 사주 raw'!$1:$1, 0)), ""), IF(val=0, "", val))</f>
        <v/>
      </c>
      <c r="AM22" s="60" t="str">
        <f t="array" ref="AM22">LET(val, IFERROR(INDEX('Daily 사주 raw'!$A:$ZZ, MATCH(AM$2, 'Daily 사주 raw'!$A:$A, 0), MATCH($B22, 'Daily 사주 raw'!$1:$1, 0)), ""), IF(val=0, "", val))</f>
        <v/>
      </c>
      <c r="AN22" s="60" t="str">
        <f t="array" ref="AN22">LET(val, IFERROR(INDEX('Daily 사주 raw'!$A:$ZZ, MATCH(AN$2, 'Daily 사주 raw'!$A:$A, 0), MATCH($B22, 'Daily 사주 raw'!$1:$1, 0)), ""), IF(val=0, "", val))</f>
        <v/>
      </c>
      <c r="AO22" s="60" t="str">
        <f t="array" ref="AO22">LET(val, IFERROR(INDEX('Daily 사주 raw'!$A:$ZZ, MATCH(AO$2, 'Daily 사주 raw'!$A:$A, 0), MATCH($B22, 'Daily 사주 raw'!$1:$1, 0)), ""), IF(val=0, "", val))</f>
        <v/>
      </c>
      <c r="AP22" s="60" t="str">
        <f t="array" ref="AP22">LET(val, IFERROR(INDEX('Daily 사주 raw'!$A:$ZZ, MATCH(AP$2, 'Daily 사주 raw'!$A:$A, 0), MATCH($B22, 'Daily 사주 raw'!$1:$1, 0)), ""), IF(val=0, "", val))</f>
        <v/>
      </c>
      <c r="AQ22" s="60" t="str">
        <f t="array" ref="AQ22">LET(val, IFERROR(INDEX('Daily 사주 raw'!$A:$ZZ, MATCH(AQ$2, 'Daily 사주 raw'!$A:$A, 0), MATCH($B22, 'Daily 사주 raw'!$1:$1, 0)), ""), IF(val=0, "", val))</f>
        <v/>
      </c>
      <c r="AR22" s="60" t="str">
        <f t="array" ref="AR22">LET(val, IFERROR(INDEX('Daily 사주 raw'!$A:$ZZ, MATCH(AR$2, 'Daily 사주 raw'!$A:$A, 0), MATCH($B22, 'Daily 사주 raw'!$1:$1, 0)), ""), IF(val=0, "", val))</f>
        <v/>
      </c>
      <c r="AS22" s="60" t="str">
        <f t="array" ref="AS22">LET(val, IFERROR(INDEX('Daily 사주 raw'!$A:$ZZ, MATCH(AS$2, 'Daily 사주 raw'!$A:$A, 0), MATCH($B22, 'Daily 사주 raw'!$1:$1, 0)), ""), IF(val=0, "", val))</f>
        <v/>
      </c>
      <c r="AT22" s="60" t="str">
        <f t="array" ref="AT22">LET(val, IFERROR(INDEX('Daily 사주 raw'!$A:$ZZ, MATCH(AT$2, 'Daily 사주 raw'!$A:$A, 0), MATCH($B22, 'Daily 사주 raw'!$1:$1, 0)), ""), IF(val=0, "", val))</f>
        <v/>
      </c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</row>
    <row r="23" ht="18.75" customHeight="1">
      <c r="A23" s="17"/>
      <c r="B23" s="16" t="s">
        <v>39</v>
      </c>
      <c r="C23" s="17" t="s">
        <v>40</v>
      </c>
      <c r="D23" s="60" t="str">
        <f t="array" ref="D23">LET(val, IFERROR(INDEX('Daily 사주 raw'!$A:$ZZ, MATCH(D$2, 'Daily 사주 raw'!$A:$A, 0), MATCH($B23, 'Daily 사주 raw'!$1:$1, 0)), ""), IF(val=0, "", val))</f>
        <v/>
      </c>
      <c r="E23" s="60" t="str">
        <f t="array" ref="E23">LET(val, IFERROR(INDEX('Daily 사주 raw'!$A:$ZZ, MATCH(E$2, 'Daily 사주 raw'!$A:$A, 0), MATCH($B23, 'Daily 사주 raw'!$1:$1, 0)), ""), IF(val=0, "", val))</f>
        <v/>
      </c>
      <c r="F23" s="60" t="str">
        <f t="array" ref="F23">LET(val, IFERROR(INDEX('Daily 사주 raw'!$A:$ZZ, MATCH(F$2, 'Daily 사주 raw'!$A:$A, 0), MATCH($B23, 'Daily 사주 raw'!$1:$1, 0)), ""), IF(val=0, "", val))</f>
        <v/>
      </c>
      <c r="G23" s="60" t="str">
        <f t="array" ref="G23">LET(val, IFERROR(INDEX('Daily 사주 raw'!$A:$ZZ, MATCH(G$2, 'Daily 사주 raw'!$A:$A, 0), MATCH($B23, 'Daily 사주 raw'!$1:$1, 0)), ""), IF(val=0, "", val))</f>
        <v/>
      </c>
      <c r="H23" s="60" t="str">
        <f t="array" ref="H23">LET(val, IFERROR(INDEX('Daily 사주 raw'!$A:$ZZ, MATCH(H$2, 'Daily 사주 raw'!$A:$A, 0), MATCH($B23, 'Daily 사주 raw'!$1:$1, 0)), ""), IF(val=0, "", val))</f>
        <v/>
      </c>
      <c r="I23" s="60" t="str">
        <f t="array" ref="I23">LET(val, IFERROR(INDEX('Daily 사주 raw'!$A:$ZZ, MATCH(I$2, 'Daily 사주 raw'!$A:$A, 0), MATCH($B23, 'Daily 사주 raw'!$1:$1, 0)), ""), IF(val=0, "", val))</f>
        <v/>
      </c>
      <c r="J23" s="60" t="str">
        <f t="array" ref="J23">LET(val, IFERROR(INDEX('Daily 사주 raw'!$A:$ZZ, MATCH(J$2, 'Daily 사주 raw'!$A:$A, 0), MATCH($B23, 'Daily 사주 raw'!$1:$1, 0)), ""), IF(val=0, "", val))</f>
        <v/>
      </c>
      <c r="K23" s="60" t="str">
        <f t="array" ref="K23">LET(val, IFERROR(INDEX('Daily 사주 raw'!$A:$ZZ, MATCH(K$2, 'Daily 사주 raw'!$A:$A, 0), MATCH($B23, 'Daily 사주 raw'!$1:$1, 0)), ""), IF(val=0, "", val))</f>
        <v/>
      </c>
      <c r="L23" s="60" t="str">
        <f t="array" ref="L23">LET(val, IFERROR(INDEX('Daily 사주 raw'!$A:$ZZ, MATCH(L$2, 'Daily 사주 raw'!$A:$A, 0), MATCH($B23, 'Daily 사주 raw'!$1:$1, 0)), ""), IF(val=0, "", val))</f>
        <v/>
      </c>
      <c r="M23" s="60" t="str">
        <f t="array" ref="M23">LET(val, IFERROR(INDEX('Daily 사주 raw'!$A:$ZZ, MATCH(M$2, 'Daily 사주 raw'!$A:$A, 0), MATCH($B23, 'Daily 사주 raw'!$1:$1, 0)), ""), IF(val=0, "", val))</f>
        <v/>
      </c>
      <c r="N23" s="60" t="str">
        <f t="array" ref="N23">LET(val, IFERROR(INDEX('Daily 사주 raw'!$A:$ZZ, MATCH(N$2, 'Daily 사주 raw'!$A:$A, 0), MATCH($B23, 'Daily 사주 raw'!$1:$1, 0)), ""), IF(val=0, "", val))</f>
        <v/>
      </c>
      <c r="O23" s="60" t="str">
        <f t="array" ref="O23">LET(val, IFERROR(INDEX('Daily 사주 raw'!$A:$ZZ, MATCH(O$2, 'Daily 사주 raw'!$A:$A, 0), MATCH($B23, 'Daily 사주 raw'!$1:$1, 0)), ""), IF(val=0, "", val))</f>
        <v/>
      </c>
      <c r="P23" s="60" t="str">
        <f t="array" ref="P23">LET(val, IFERROR(INDEX('Daily 사주 raw'!$A:$ZZ, MATCH(P$2, 'Daily 사주 raw'!$A:$A, 0), MATCH($B23, 'Daily 사주 raw'!$1:$1, 0)), ""), IF(val=0, "", val))</f>
        <v/>
      </c>
      <c r="Q23" s="60" t="str">
        <f t="array" ref="Q23">LET(val, IFERROR(INDEX('Daily 사주 raw'!$A:$ZZ, MATCH(Q$2, 'Daily 사주 raw'!$A:$A, 0), MATCH($B23, 'Daily 사주 raw'!$1:$1, 0)), ""), IF(val=0, "", val))</f>
        <v/>
      </c>
      <c r="R23" s="60" t="str">
        <f t="array" ref="R23">LET(val, IFERROR(INDEX('Daily 사주 raw'!$A:$ZZ, MATCH(R$2, 'Daily 사주 raw'!$A:$A, 0), MATCH($B23, 'Daily 사주 raw'!$1:$1, 0)), ""), IF(val=0, "", val))</f>
        <v/>
      </c>
      <c r="S23" s="60" t="str">
        <f t="array" ref="S23">LET(val, IFERROR(INDEX('Daily 사주 raw'!$A:$ZZ, MATCH(S$2, 'Daily 사주 raw'!$A:$A, 0), MATCH($B23, 'Daily 사주 raw'!$1:$1, 0)), ""), IF(val=0, "", val))</f>
        <v/>
      </c>
      <c r="T23" s="60" t="str">
        <f t="array" ref="T23">LET(val, IFERROR(INDEX('Daily 사주 raw'!$A:$ZZ, MATCH(T$2, 'Daily 사주 raw'!$A:$A, 0), MATCH($B23, 'Daily 사주 raw'!$1:$1, 0)), ""), IF(val=0, "", val))</f>
        <v/>
      </c>
      <c r="U23" s="60" t="str">
        <f t="array" ref="U23">LET(val, IFERROR(INDEX('Daily 사주 raw'!$A:$ZZ, MATCH(U$2, 'Daily 사주 raw'!$A:$A, 0), MATCH($B23, 'Daily 사주 raw'!$1:$1, 0)), ""), IF(val=0, "", val))</f>
        <v/>
      </c>
      <c r="V23" s="60" t="str">
        <f t="array" ref="V23">LET(val, IFERROR(INDEX('Daily 사주 raw'!$A:$ZZ, MATCH(V$2, 'Daily 사주 raw'!$A:$A, 0), MATCH($B23, 'Daily 사주 raw'!$1:$1, 0)), ""), IF(val=0, "", val))</f>
        <v/>
      </c>
      <c r="W23" s="60" t="str">
        <f t="array" ref="W23">LET(val, IFERROR(INDEX('Daily 사주 raw'!$A:$ZZ, MATCH(W$2, 'Daily 사주 raw'!$A:$A, 0), MATCH($B23, 'Daily 사주 raw'!$1:$1, 0)), ""), IF(val=0, "", val))</f>
        <v/>
      </c>
      <c r="X23" s="60" t="str">
        <f t="array" ref="X23">LET(val, IFERROR(INDEX('Daily 사주 raw'!$A:$ZZ, MATCH(X$2, 'Daily 사주 raw'!$A:$A, 0), MATCH($B23, 'Daily 사주 raw'!$1:$1, 0)), ""), IF(val=0, "", val))</f>
        <v/>
      </c>
      <c r="Y23" s="60" t="str">
        <f t="array" ref="Y23">LET(val, IFERROR(INDEX('Daily 사주 raw'!$A:$ZZ, MATCH(Y$2, 'Daily 사주 raw'!$A:$A, 0), MATCH($B23, 'Daily 사주 raw'!$1:$1, 0)), ""), IF(val=0, "", val))</f>
        <v/>
      </c>
      <c r="Z23" s="60" t="str">
        <f t="array" ref="Z23">LET(val, IFERROR(INDEX('Daily 사주 raw'!$A:$ZZ, MATCH(Z$2, 'Daily 사주 raw'!$A:$A, 0), MATCH($B23, 'Daily 사주 raw'!$1:$1, 0)), ""), IF(val=0, "", val))</f>
        <v/>
      </c>
      <c r="AA23" s="60" t="str">
        <f t="array" ref="AA23">LET(val, IFERROR(INDEX('Daily 사주 raw'!$A:$ZZ, MATCH(AA$2, 'Daily 사주 raw'!$A:$A, 0), MATCH($B23, 'Daily 사주 raw'!$1:$1, 0)), ""), IF(val=0, "", val))</f>
        <v/>
      </c>
      <c r="AB23" s="60" t="str">
        <f t="array" ref="AB23">LET(val, IFERROR(INDEX('Daily 사주 raw'!$A:$ZZ, MATCH(AB$2, 'Daily 사주 raw'!$A:$A, 0), MATCH($B23, 'Daily 사주 raw'!$1:$1, 0)), ""), IF(val=0, "", val))</f>
        <v/>
      </c>
      <c r="AC23" s="60" t="str">
        <f t="array" ref="AC23">LET(val, IFERROR(INDEX('Daily 사주 raw'!$A:$ZZ, MATCH(AC$2, 'Daily 사주 raw'!$A:$A, 0), MATCH($B23, 'Daily 사주 raw'!$1:$1, 0)), ""), IF(val=0, "", val))</f>
        <v/>
      </c>
      <c r="AD23" s="60" t="str">
        <f t="array" ref="AD23">LET(val, IFERROR(INDEX('Daily 사주 raw'!$A:$ZZ, MATCH(AD$2, 'Daily 사주 raw'!$A:$A, 0), MATCH($B23, 'Daily 사주 raw'!$1:$1, 0)), ""), IF(val=0, "", val))</f>
        <v/>
      </c>
      <c r="AE23" s="60" t="str">
        <f t="array" ref="AE23">LET(val, IFERROR(INDEX('Daily 사주 raw'!$A:$ZZ, MATCH(AE$2, 'Daily 사주 raw'!$A:$A, 0), MATCH($B23, 'Daily 사주 raw'!$1:$1, 0)), ""), IF(val=0, "", val))</f>
        <v/>
      </c>
      <c r="AF23" s="60" t="str">
        <f t="array" ref="AF23">LET(val, IFERROR(INDEX('Daily 사주 raw'!$A:$ZZ, MATCH(AF$2, 'Daily 사주 raw'!$A:$A, 0), MATCH($B23, 'Daily 사주 raw'!$1:$1, 0)), ""), IF(val=0, "", val))</f>
        <v/>
      </c>
      <c r="AG23" s="60" t="str">
        <f t="array" ref="AG23">LET(val, IFERROR(INDEX('Daily 사주 raw'!$A:$ZZ, MATCH(AG$2, 'Daily 사주 raw'!$A:$A, 0), MATCH($B23, 'Daily 사주 raw'!$1:$1, 0)), ""), IF(val=0, "", val))</f>
        <v/>
      </c>
      <c r="AH23" s="60" t="str">
        <f t="array" ref="AH23">LET(val, IFERROR(INDEX('Daily 사주 raw'!$A:$ZZ, MATCH(AH$2, 'Daily 사주 raw'!$A:$A, 0), MATCH($B23, 'Daily 사주 raw'!$1:$1, 0)), ""), IF(val=0, "", val))</f>
        <v/>
      </c>
      <c r="AI23" s="60" t="str">
        <f t="array" ref="AI23">LET(val, IFERROR(INDEX('Daily 사주 raw'!$A:$ZZ, MATCH(AI$2, 'Daily 사주 raw'!$A:$A, 0), MATCH($B23, 'Daily 사주 raw'!$1:$1, 0)), ""), IF(val=0, "", val))</f>
        <v/>
      </c>
      <c r="AJ23" s="60" t="str">
        <f t="array" ref="AJ23">LET(val, IFERROR(INDEX('Daily 사주 raw'!$A:$ZZ, MATCH(AJ$2, 'Daily 사주 raw'!$A:$A, 0), MATCH($B23, 'Daily 사주 raw'!$1:$1, 0)), ""), IF(val=0, "", val))</f>
        <v/>
      </c>
      <c r="AK23" s="60" t="str">
        <f t="array" ref="AK23">LET(val, IFERROR(INDEX('Daily 사주 raw'!$A:$ZZ, MATCH(AK$2, 'Daily 사주 raw'!$A:$A, 0), MATCH($B23, 'Daily 사주 raw'!$1:$1, 0)), ""), IF(val=0, "", val))</f>
        <v/>
      </c>
      <c r="AL23" s="60" t="str">
        <f t="array" ref="AL23">LET(val, IFERROR(INDEX('Daily 사주 raw'!$A:$ZZ, MATCH(AL$2, 'Daily 사주 raw'!$A:$A, 0), MATCH($B23, 'Daily 사주 raw'!$1:$1, 0)), ""), IF(val=0, "", val))</f>
        <v/>
      </c>
      <c r="AM23" s="60" t="str">
        <f t="array" ref="AM23">LET(val, IFERROR(INDEX('Daily 사주 raw'!$A:$ZZ, MATCH(AM$2, 'Daily 사주 raw'!$A:$A, 0), MATCH($B23, 'Daily 사주 raw'!$1:$1, 0)), ""), IF(val=0, "", val))</f>
        <v/>
      </c>
      <c r="AN23" s="60" t="str">
        <f t="array" ref="AN23">LET(val, IFERROR(INDEX('Daily 사주 raw'!$A:$ZZ, MATCH(AN$2, 'Daily 사주 raw'!$A:$A, 0), MATCH($B23, 'Daily 사주 raw'!$1:$1, 0)), ""), IF(val=0, "", val))</f>
        <v/>
      </c>
      <c r="AO23" s="60" t="str">
        <f t="array" ref="AO23">LET(val, IFERROR(INDEX('Daily 사주 raw'!$A:$ZZ, MATCH(AO$2, 'Daily 사주 raw'!$A:$A, 0), MATCH($B23, 'Daily 사주 raw'!$1:$1, 0)), ""), IF(val=0, "", val))</f>
        <v/>
      </c>
      <c r="AP23" s="60" t="str">
        <f t="array" ref="AP23">LET(val, IFERROR(INDEX('Daily 사주 raw'!$A:$ZZ, MATCH(AP$2, 'Daily 사주 raw'!$A:$A, 0), MATCH($B23, 'Daily 사주 raw'!$1:$1, 0)), ""), IF(val=0, "", val))</f>
        <v/>
      </c>
      <c r="AQ23" s="60" t="str">
        <f t="array" ref="AQ23">LET(val, IFERROR(INDEX('Daily 사주 raw'!$A:$ZZ, MATCH(AQ$2, 'Daily 사주 raw'!$A:$A, 0), MATCH($B23, 'Daily 사주 raw'!$1:$1, 0)), ""), IF(val=0, "", val))</f>
        <v/>
      </c>
      <c r="AR23" s="60" t="str">
        <f t="array" ref="AR23">LET(val, IFERROR(INDEX('Daily 사주 raw'!$A:$ZZ, MATCH(AR$2, 'Daily 사주 raw'!$A:$A, 0), MATCH($B23, 'Daily 사주 raw'!$1:$1, 0)), ""), IF(val=0, "", val))</f>
        <v/>
      </c>
      <c r="AS23" s="60" t="str">
        <f t="array" ref="AS23">LET(val, IFERROR(INDEX('Daily 사주 raw'!$A:$ZZ, MATCH(AS$2, 'Daily 사주 raw'!$A:$A, 0), MATCH($B23, 'Daily 사주 raw'!$1:$1, 0)), ""), IF(val=0, "", val))</f>
        <v/>
      </c>
      <c r="AT23" s="60" t="str">
        <f t="array" ref="AT23">LET(val, IFERROR(INDEX('Daily 사주 raw'!$A:$ZZ, MATCH(AT$2, 'Daily 사주 raw'!$A:$A, 0), MATCH($B23, 'Daily 사주 raw'!$1:$1, 0)), ""), IF(val=0, "", val))</f>
        <v/>
      </c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</row>
    <row r="24" ht="18.75" customHeight="1">
      <c r="A24" s="17"/>
      <c r="B24" s="16" t="s">
        <v>41</v>
      </c>
      <c r="C24" s="17" t="s">
        <v>42</v>
      </c>
      <c r="D24" s="60">
        <f t="array" ref="D24">LET(val, IFERROR(INDEX('Daily 사주 raw'!$A:$ZZ, MATCH(D$2, 'Daily 사주 raw'!$A:$A, 0), MATCH($B24, 'Daily 사주 raw'!$1:$1, 0)), ""), IF(val=0, "", val))</f>
        <v>501</v>
      </c>
      <c r="E24" s="60">
        <f t="array" ref="E24">LET(val, IFERROR(INDEX('Daily 사주 raw'!$A:$ZZ, MATCH(E$2, 'Daily 사주 raw'!$A:$A, 0), MATCH($B24, 'Daily 사주 raw'!$1:$1, 0)), ""), IF(val=0, "", val))</f>
        <v>425</v>
      </c>
      <c r="F24" s="60">
        <f t="array" ref="F24">LET(val, IFERROR(INDEX('Daily 사주 raw'!$A:$ZZ, MATCH(F$2, 'Daily 사주 raw'!$A:$A, 0), MATCH($B24, 'Daily 사주 raw'!$1:$1, 0)), ""), IF(val=0, "", val))</f>
        <v>457</v>
      </c>
      <c r="G24" s="60">
        <f t="array" ref="G24">LET(val, IFERROR(INDEX('Daily 사주 raw'!$A:$ZZ, MATCH(G$2, 'Daily 사주 raw'!$A:$A, 0), MATCH($B24, 'Daily 사주 raw'!$1:$1, 0)), ""), IF(val=0, "", val))</f>
        <v>474</v>
      </c>
      <c r="H24" s="60">
        <f t="array" ref="H24">LET(val, IFERROR(INDEX('Daily 사주 raw'!$A:$ZZ, MATCH(H$2, 'Daily 사주 raw'!$A:$A, 0), MATCH($B24, 'Daily 사주 raw'!$1:$1, 0)), ""), IF(val=0, "", val))</f>
        <v>452</v>
      </c>
      <c r="I24" s="60">
        <f t="array" ref="I24">LET(val, IFERROR(INDEX('Daily 사주 raw'!$A:$ZZ, MATCH(I$2, 'Daily 사주 raw'!$A:$A, 0), MATCH($B24, 'Daily 사주 raw'!$1:$1, 0)), ""), IF(val=0, "", val))</f>
        <v>395</v>
      </c>
      <c r="J24" s="60">
        <f t="array" ref="J24">LET(val, IFERROR(INDEX('Daily 사주 raw'!$A:$ZZ, MATCH(J$2, 'Daily 사주 raw'!$A:$A, 0), MATCH($B24, 'Daily 사주 raw'!$1:$1, 0)), ""), IF(val=0, "", val))</f>
        <v>414</v>
      </c>
      <c r="K24" s="60">
        <f t="array" ref="K24">LET(val, IFERROR(INDEX('Daily 사주 raw'!$A:$ZZ, MATCH(K$2, 'Daily 사주 raw'!$A:$A, 0), MATCH($B24, 'Daily 사주 raw'!$1:$1, 0)), ""), IF(val=0, "", val))</f>
        <v>472</v>
      </c>
      <c r="L24" s="60">
        <f t="array" ref="L24">LET(val, IFERROR(INDEX('Daily 사주 raw'!$A:$ZZ, MATCH(L$2, 'Daily 사주 raw'!$A:$A, 0), MATCH($B24, 'Daily 사주 raw'!$1:$1, 0)), ""), IF(val=0, "", val))</f>
        <v>370</v>
      </c>
      <c r="M24" s="60">
        <f t="array" ref="M24">LET(val, IFERROR(INDEX('Daily 사주 raw'!$A:$ZZ, MATCH(M$2, 'Daily 사주 raw'!$A:$A, 0), MATCH($B24, 'Daily 사주 raw'!$1:$1, 0)), ""), IF(val=0, "", val))</f>
        <v>398</v>
      </c>
      <c r="N24" s="60">
        <f t="array" ref="N24">LET(val, IFERROR(INDEX('Daily 사주 raw'!$A:$ZZ, MATCH(N$2, 'Daily 사주 raw'!$A:$A, 0), MATCH($B24, 'Daily 사주 raw'!$1:$1, 0)), ""), IF(val=0, "", val))</f>
        <v>400</v>
      </c>
      <c r="O24" s="60">
        <f t="array" ref="O24">LET(val, IFERROR(INDEX('Daily 사주 raw'!$A:$ZZ, MATCH(O$2, 'Daily 사주 raw'!$A:$A, 0), MATCH($B24, 'Daily 사주 raw'!$1:$1, 0)), ""), IF(val=0, "", val))</f>
        <v>483</v>
      </c>
      <c r="P24" s="60">
        <f t="array" ref="P24">LET(val, IFERROR(INDEX('Daily 사주 raw'!$A:$ZZ, MATCH(P$2, 'Daily 사주 raw'!$A:$A, 0), MATCH($B24, 'Daily 사주 raw'!$1:$1, 0)), ""), IF(val=0, "", val))</f>
        <v>574</v>
      </c>
      <c r="Q24" s="60">
        <f t="array" ref="Q24">LET(val, IFERROR(INDEX('Daily 사주 raw'!$A:$ZZ, MATCH(Q$2, 'Daily 사주 raw'!$A:$A, 0), MATCH($B24, 'Daily 사주 raw'!$1:$1, 0)), ""), IF(val=0, "", val))</f>
        <v>476</v>
      </c>
      <c r="R24" s="60">
        <f t="array" ref="R24">LET(val, IFERROR(INDEX('Daily 사주 raw'!$A:$ZZ, MATCH(R$2, 'Daily 사주 raw'!$A:$A, 0), MATCH($B24, 'Daily 사주 raw'!$1:$1, 0)), ""), IF(val=0, "", val))</f>
        <v>779</v>
      </c>
      <c r="S24" s="60">
        <f t="array" ref="S24">LET(val, IFERROR(INDEX('Daily 사주 raw'!$A:$ZZ, MATCH(S$2, 'Daily 사주 raw'!$A:$A, 0), MATCH($B24, 'Daily 사주 raw'!$1:$1, 0)), ""), IF(val=0, "", val))</f>
        <v>544</v>
      </c>
      <c r="T24" s="60">
        <f t="array" ref="T24">LET(val, IFERROR(INDEX('Daily 사주 raw'!$A:$ZZ, MATCH(T$2, 'Daily 사주 raw'!$A:$A, 0), MATCH($B24, 'Daily 사주 raw'!$1:$1, 0)), ""), IF(val=0, "", val))</f>
        <v>692</v>
      </c>
      <c r="U24" s="60">
        <f t="array" ref="U24">LET(val, IFERROR(INDEX('Daily 사주 raw'!$A:$ZZ, MATCH(U$2, 'Daily 사주 raw'!$A:$A, 0), MATCH($B24, 'Daily 사주 raw'!$1:$1, 0)), ""), IF(val=0, "", val))</f>
        <v>785</v>
      </c>
      <c r="V24" s="60">
        <f t="array" ref="V24">LET(val, IFERROR(INDEX('Daily 사주 raw'!$A:$ZZ, MATCH(V$2, 'Daily 사주 raw'!$A:$A, 0), MATCH($B24, 'Daily 사주 raw'!$1:$1, 0)), ""), IF(val=0, "", val))</f>
        <v>478</v>
      </c>
      <c r="W24" s="60">
        <f t="array" ref="W24">LET(val, IFERROR(INDEX('Daily 사주 raw'!$A:$ZZ, MATCH(W$2, 'Daily 사주 raw'!$A:$A, 0), MATCH($B24, 'Daily 사주 raw'!$1:$1, 0)), ""), IF(val=0, "", val))</f>
        <v>536</v>
      </c>
      <c r="X24" s="60">
        <f t="array" ref="X24">LET(val, IFERROR(INDEX('Daily 사주 raw'!$A:$ZZ, MATCH(X$2, 'Daily 사주 raw'!$A:$A, 0), MATCH($B24, 'Daily 사주 raw'!$1:$1, 0)), ""), IF(val=0, "", val))</f>
        <v>614</v>
      </c>
      <c r="Y24" s="60">
        <f t="array" ref="Y24">LET(val, IFERROR(INDEX('Daily 사주 raw'!$A:$ZZ, MATCH(Y$2, 'Daily 사주 raw'!$A:$A, 0), MATCH($B24, 'Daily 사주 raw'!$1:$1, 0)), ""), IF(val=0, "", val))</f>
        <v>619</v>
      </c>
      <c r="Z24" s="60">
        <f t="array" ref="Z24">LET(val, IFERROR(INDEX('Daily 사주 raw'!$A:$ZZ, MATCH(Z$2, 'Daily 사주 raw'!$A:$A, 0), MATCH($B24, 'Daily 사주 raw'!$1:$1, 0)), ""), IF(val=0, "", val))</f>
        <v>499</v>
      </c>
      <c r="AA24" s="60">
        <f t="array" ref="AA24">LET(val, IFERROR(INDEX('Daily 사주 raw'!$A:$ZZ, MATCH(AA$2, 'Daily 사주 raw'!$A:$A, 0), MATCH($B24, 'Daily 사주 raw'!$1:$1, 0)), ""), IF(val=0, "", val))</f>
        <v>483</v>
      </c>
      <c r="AB24" s="60">
        <f t="array" ref="AB24">LET(val, IFERROR(INDEX('Daily 사주 raw'!$A:$ZZ, MATCH(AB$2, 'Daily 사주 raw'!$A:$A, 0), MATCH($B24, 'Daily 사주 raw'!$1:$1, 0)), ""), IF(val=0, "", val))</f>
        <v>523</v>
      </c>
      <c r="AC24" s="60">
        <f t="array" ref="AC24">LET(val, IFERROR(INDEX('Daily 사주 raw'!$A:$ZZ, MATCH(AC$2, 'Daily 사주 raw'!$A:$A, 0), MATCH($B24, 'Daily 사주 raw'!$1:$1, 0)), ""), IF(val=0, "", val))</f>
        <v>732</v>
      </c>
      <c r="AD24" s="60">
        <f t="array" ref="AD24">LET(val, IFERROR(INDEX('Daily 사주 raw'!$A:$ZZ, MATCH(AD$2, 'Daily 사주 raw'!$A:$A, 0), MATCH($B24, 'Daily 사주 raw'!$1:$1, 0)), ""), IF(val=0, "", val))</f>
        <v>567</v>
      </c>
      <c r="AE24" s="60">
        <f t="array" ref="AE24">LET(val, IFERROR(INDEX('Daily 사주 raw'!$A:$ZZ, MATCH(AE$2, 'Daily 사주 raw'!$A:$A, 0), MATCH($B24, 'Daily 사주 raw'!$1:$1, 0)), ""), IF(val=0, "", val))</f>
        <v>766</v>
      </c>
      <c r="AF24" s="60">
        <f t="array" ref="AF24">LET(val, IFERROR(INDEX('Daily 사주 raw'!$A:$ZZ, MATCH(AF$2, 'Daily 사주 raw'!$A:$A, 0), MATCH($B24, 'Daily 사주 raw'!$1:$1, 0)), ""), IF(val=0, "", val))</f>
        <v>903</v>
      </c>
      <c r="AG24" s="60">
        <f t="array" ref="AG24">LET(val, IFERROR(INDEX('Daily 사주 raw'!$A:$ZZ, MATCH(AG$2, 'Daily 사주 raw'!$A:$A, 0), MATCH($B24, 'Daily 사주 raw'!$1:$1, 0)), ""), IF(val=0, "", val))</f>
        <v>887</v>
      </c>
      <c r="AH24" s="60">
        <f t="array" ref="AH24">LET(val, IFERROR(INDEX('Daily 사주 raw'!$A:$ZZ, MATCH(AH$2, 'Daily 사주 raw'!$A:$A, 0), MATCH($B24, 'Daily 사주 raw'!$1:$1, 0)), ""), IF(val=0, "", val))</f>
        <v>712</v>
      </c>
      <c r="AI24" s="60">
        <f t="array" ref="AI24">LET(val, IFERROR(INDEX('Daily 사주 raw'!$A:$ZZ, MATCH(AI$2, 'Daily 사주 raw'!$A:$A, 0), MATCH($B24, 'Daily 사주 raw'!$1:$1, 0)), ""), IF(val=0, "", val))</f>
        <v>838</v>
      </c>
      <c r="AJ24" s="60">
        <f t="array" ref="AJ24">LET(val, IFERROR(INDEX('Daily 사주 raw'!$A:$ZZ, MATCH(AJ$2, 'Daily 사주 raw'!$A:$A, 0), MATCH($B24, 'Daily 사주 raw'!$1:$1, 0)), ""), IF(val=0, "", val))</f>
        <v>675</v>
      </c>
      <c r="AK24" s="60">
        <f t="array" ref="AK24">LET(val, IFERROR(INDEX('Daily 사주 raw'!$A:$ZZ, MATCH(AK$2, 'Daily 사주 raw'!$A:$A, 0), MATCH($B24, 'Daily 사주 raw'!$1:$1, 0)), ""), IF(val=0, "", val))</f>
        <v>805</v>
      </c>
      <c r="AL24" s="60">
        <f t="array" ref="AL24">LET(val, IFERROR(INDEX('Daily 사주 raw'!$A:$ZZ, MATCH(AL$2, 'Daily 사주 raw'!$A:$A, 0), MATCH($B24, 'Daily 사주 raw'!$1:$1, 0)), ""), IF(val=0, "", val))</f>
        <v>658</v>
      </c>
      <c r="AM24" s="60">
        <f t="array" ref="AM24">LET(val, IFERROR(INDEX('Daily 사주 raw'!$A:$ZZ, MATCH(AM$2, 'Daily 사주 raw'!$A:$A, 0), MATCH($B24, 'Daily 사주 raw'!$1:$1, 0)), ""), IF(val=0, "", val))</f>
        <v>734</v>
      </c>
      <c r="AN24" s="60">
        <f t="array" ref="AN24">LET(val, IFERROR(INDEX('Daily 사주 raw'!$A:$ZZ, MATCH(AN$2, 'Daily 사주 raw'!$A:$A, 0), MATCH($B24, 'Daily 사주 raw'!$1:$1, 0)), ""), IF(val=0, "", val))</f>
        <v>732</v>
      </c>
      <c r="AO24" s="60">
        <f t="array" ref="AO24">LET(val, IFERROR(INDEX('Daily 사주 raw'!$A:$ZZ, MATCH(AO$2, 'Daily 사주 raw'!$A:$A, 0), MATCH($B24, 'Daily 사주 raw'!$1:$1, 0)), ""), IF(val=0, "", val))</f>
        <v>750</v>
      </c>
      <c r="AP24" s="60">
        <f t="array" ref="AP24">LET(val, IFERROR(INDEX('Daily 사주 raw'!$A:$ZZ, MATCH(AP$2, 'Daily 사주 raw'!$A:$A, 0), MATCH($B24, 'Daily 사주 raw'!$1:$1, 0)), ""), IF(val=0, "", val))</f>
        <v>827</v>
      </c>
      <c r="AQ24" s="60">
        <f t="array" ref="AQ24">LET(val, IFERROR(INDEX('Daily 사주 raw'!$A:$ZZ, MATCH(AQ$2, 'Daily 사주 raw'!$A:$A, 0), MATCH($B24, 'Daily 사주 raw'!$1:$1, 0)), ""), IF(val=0, "", val))</f>
        <v>811</v>
      </c>
      <c r="AR24" s="60">
        <f t="array" ref="AR24">LET(val, IFERROR(INDEX('Daily 사주 raw'!$A:$ZZ, MATCH(AR$2, 'Daily 사주 raw'!$A:$A, 0), MATCH($B24, 'Daily 사주 raw'!$1:$1, 0)), ""), IF(val=0, "", val))</f>
        <v>709</v>
      </c>
      <c r="AS24" s="60">
        <f t="array" ref="AS24">LET(val, IFERROR(INDEX('Daily 사주 raw'!$A:$ZZ, MATCH(AS$2, 'Daily 사주 raw'!$A:$A, 0), MATCH($B24, 'Daily 사주 raw'!$1:$1, 0)), ""), IF(val=0, "", val))</f>
        <v>741</v>
      </c>
      <c r="AT24" s="60">
        <f t="array" ref="AT24">LET(val, IFERROR(INDEX('Daily 사주 raw'!$A:$ZZ, MATCH(AT$2, 'Daily 사주 raw'!$A:$A, 0), MATCH($B24, 'Daily 사주 raw'!$1:$1, 0)), ""), IF(val=0, "", val))</f>
        <v>467</v>
      </c>
      <c r="AU24" s="60">
        <f t="array" ref="AU24">LET(val, IFERROR(INDEX('Daily 사주 raw'!$A:$ZZ, MATCH(AU$2, 'Daily 사주 raw'!$A:$A, 0), MATCH($B24, 'Daily 사주 raw'!$1:$1, 0)), ""), IF(val=0, "", val))</f>
        <v>305</v>
      </c>
      <c r="AV24" s="60">
        <f t="array" ref="AV24">LET(val, IFERROR(INDEX('Daily 사주 raw'!$A:$ZZ, MATCH(AV$2, 'Daily 사주 raw'!$A:$A, 0), MATCH($B24, 'Daily 사주 raw'!$1:$1, 0)), ""), IF(val=0, "", val))</f>
        <v>232</v>
      </c>
      <c r="AW24" s="60">
        <f t="array" ref="AW24">LET(val, IFERROR(INDEX('Daily 사주 raw'!$A:$ZZ, MATCH(AW$2, 'Daily 사주 raw'!$A:$A, 0), MATCH($B24, 'Daily 사주 raw'!$1:$1, 0)), ""), IF(val=0, "", val))</f>
        <v>205</v>
      </c>
      <c r="AX24" s="60">
        <f t="array" ref="AX24">LET(val, IFERROR(INDEX('Daily 사주 raw'!$A:$ZZ, MATCH(AX$2, 'Daily 사주 raw'!$A:$A, 0), MATCH($B24, 'Daily 사주 raw'!$1:$1, 0)), ""), IF(val=0, "", val))</f>
        <v>261</v>
      </c>
      <c r="AY24" s="60">
        <f t="array" ref="AY24">LET(val, IFERROR(INDEX('Daily 사주 raw'!$A:$ZZ, MATCH(AY$2, 'Daily 사주 raw'!$A:$A, 0), MATCH($B24, 'Daily 사주 raw'!$1:$1, 0)), ""), IF(val=0, "", val))</f>
        <v>231</v>
      </c>
      <c r="AZ24" s="60">
        <f t="array" ref="AZ24">LET(val, IFERROR(INDEX('Daily 사주 raw'!$A:$ZZ, MATCH(AZ$2, 'Daily 사주 raw'!$A:$A, 0), MATCH($B24, 'Daily 사주 raw'!$1:$1, 0)), ""), IF(val=0, "", val))</f>
        <v>222</v>
      </c>
      <c r="BA24" s="60">
        <f t="array" ref="BA24">LET(val, IFERROR(INDEX('Daily 사주 raw'!$A:$ZZ, MATCH(BA$2, 'Daily 사주 raw'!$A:$A, 0), MATCH($B24, 'Daily 사주 raw'!$1:$1, 0)), ""), IF(val=0, "", val))</f>
        <v>248</v>
      </c>
      <c r="BB24" s="60">
        <f t="array" ref="BB24">LET(val, IFERROR(INDEX('Daily 사주 raw'!$A:$ZZ, MATCH(BB$2, 'Daily 사주 raw'!$A:$A, 0), MATCH($B24, 'Daily 사주 raw'!$1:$1, 0)), ""), IF(val=0, "", val))</f>
        <v>234</v>
      </c>
      <c r="BC24" s="60">
        <f t="array" ref="BC24">LET(val, IFERROR(INDEX('Daily 사주 raw'!$A:$ZZ, MATCH(BC$2, 'Daily 사주 raw'!$A:$A, 0), MATCH($B24, 'Daily 사주 raw'!$1:$1, 0)), ""), IF(val=0, "", val))</f>
        <v>206</v>
      </c>
      <c r="BD24" s="60">
        <f t="array" ref="BD24">LET(val, IFERROR(INDEX('Daily 사주 raw'!$A:$ZZ, MATCH(BD$2, 'Daily 사주 raw'!$A:$A, 0), MATCH($B24, 'Daily 사주 raw'!$1:$1, 0)), ""), IF(val=0, "", val))</f>
        <v>214</v>
      </c>
      <c r="BE24" s="60" t="str">
        <f t="array" ref="BE24">LET(val, IFERROR(INDEX('Daily 사주 raw'!$A:$ZZ, MATCH(BE$2, 'Daily 사주 raw'!$A:$A, 0), MATCH($B24, 'Daily 사주 raw'!$1:$1, 0)), ""), IF(val=0, "", val))</f>
        <v/>
      </c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</row>
    <row r="25" ht="18.75" customHeight="1">
      <c r="A25" s="17"/>
      <c r="B25" s="16" t="s">
        <v>43</v>
      </c>
      <c r="C25" s="17" t="s">
        <v>44</v>
      </c>
      <c r="D25" s="60">
        <f t="array" ref="D25">LET(val, IFERROR(INDEX('Daily 사주 raw'!$A:$ZZ, MATCH(D$2, 'Daily 사주 raw'!$A:$A, 0), MATCH($B25, 'Daily 사주 raw'!$1:$1, 0)), ""), IF(val=0, "", val))</f>
        <v>284</v>
      </c>
      <c r="E25" s="60">
        <f t="array" ref="E25">LET(val, IFERROR(INDEX('Daily 사주 raw'!$A:$ZZ, MATCH(E$2, 'Daily 사주 raw'!$A:$A, 0), MATCH($B25, 'Daily 사주 raw'!$1:$1, 0)), ""), IF(val=0, "", val))</f>
        <v>247</v>
      </c>
      <c r="F25" s="60">
        <f t="array" ref="F25">LET(val, IFERROR(INDEX('Daily 사주 raw'!$A:$ZZ, MATCH(F$2, 'Daily 사주 raw'!$A:$A, 0), MATCH($B25, 'Daily 사주 raw'!$1:$1, 0)), ""), IF(val=0, "", val))</f>
        <v>227</v>
      </c>
      <c r="G25" s="60">
        <f t="array" ref="G25">LET(val, IFERROR(INDEX('Daily 사주 raw'!$A:$ZZ, MATCH(G$2, 'Daily 사주 raw'!$A:$A, 0), MATCH($B25, 'Daily 사주 raw'!$1:$1, 0)), ""), IF(val=0, "", val))</f>
        <v>240</v>
      </c>
      <c r="H25" s="60">
        <f t="array" ref="H25">LET(val, IFERROR(INDEX('Daily 사주 raw'!$A:$ZZ, MATCH(H$2, 'Daily 사주 raw'!$A:$A, 0), MATCH($B25, 'Daily 사주 raw'!$1:$1, 0)), ""), IF(val=0, "", val))</f>
        <v>212</v>
      </c>
      <c r="I25" s="60">
        <f t="array" ref="I25">LET(val, IFERROR(INDEX('Daily 사주 raw'!$A:$ZZ, MATCH(I$2, 'Daily 사주 raw'!$A:$A, 0), MATCH($B25, 'Daily 사주 raw'!$1:$1, 0)), ""), IF(val=0, "", val))</f>
        <v>211</v>
      </c>
      <c r="J25" s="60">
        <f t="array" ref="J25">LET(val, IFERROR(INDEX('Daily 사주 raw'!$A:$ZZ, MATCH(J$2, 'Daily 사주 raw'!$A:$A, 0), MATCH($B25, 'Daily 사주 raw'!$1:$1, 0)), ""), IF(val=0, "", val))</f>
        <v>214</v>
      </c>
      <c r="K25" s="60">
        <f t="array" ref="K25">LET(val, IFERROR(INDEX('Daily 사주 raw'!$A:$ZZ, MATCH(K$2, 'Daily 사주 raw'!$A:$A, 0), MATCH($B25, 'Daily 사주 raw'!$1:$1, 0)), ""), IF(val=0, "", val))</f>
        <v>238</v>
      </c>
      <c r="L25" s="60">
        <f t="array" ref="L25">LET(val, IFERROR(INDEX('Daily 사주 raw'!$A:$ZZ, MATCH(L$2, 'Daily 사주 raw'!$A:$A, 0), MATCH($B25, 'Daily 사주 raw'!$1:$1, 0)), ""), IF(val=0, "", val))</f>
        <v>190</v>
      </c>
      <c r="M25" s="60">
        <f t="array" ref="M25">LET(val, IFERROR(INDEX('Daily 사주 raw'!$A:$ZZ, MATCH(M$2, 'Daily 사주 raw'!$A:$A, 0), MATCH($B25, 'Daily 사주 raw'!$1:$1, 0)), ""), IF(val=0, "", val))</f>
        <v>173</v>
      </c>
      <c r="N25" s="60">
        <f t="array" ref="N25">LET(val, IFERROR(INDEX('Daily 사주 raw'!$A:$ZZ, MATCH(N$2, 'Daily 사주 raw'!$A:$A, 0), MATCH($B25, 'Daily 사주 raw'!$1:$1, 0)), ""), IF(val=0, "", val))</f>
        <v>182</v>
      </c>
      <c r="O25" s="60">
        <f t="array" ref="O25">LET(val, IFERROR(INDEX('Daily 사주 raw'!$A:$ZZ, MATCH(O$2, 'Daily 사주 raw'!$A:$A, 0), MATCH($B25, 'Daily 사주 raw'!$1:$1, 0)), ""), IF(val=0, "", val))</f>
        <v>215</v>
      </c>
      <c r="P25" s="60">
        <f t="array" ref="P25">LET(val, IFERROR(INDEX('Daily 사주 raw'!$A:$ZZ, MATCH(P$2, 'Daily 사주 raw'!$A:$A, 0), MATCH($B25, 'Daily 사주 raw'!$1:$1, 0)), ""), IF(val=0, "", val))</f>
        <v>259</v>
      </c>
      <c r="Q25" s="60">
        <f t="array" ref="Q25">LET(val, IFERROR(INDEX('Daily 사주 raw'!$A:$ZZ, MATCH(Q$2, 'Daily 사주 raw'!$A:$A, 0), MATCH($B25, 'Daily 사주 raw'!$1:$1, 0)), ""), IF(val=0, "", val))</f>
        <v>240</v>
      </c>
      <c r="R25" s="60">
        <f t="array" ref="R25">LET(val, IFERROR(INDEX('Daily 사주 raw'!$A:$ZZ, MATCH(R$2, 'Daily 사주 raw'!$A:$A, 0), MATCH($B25, 'Daily 사주 raw'!$1:$1, 0)), ""), IF(val=0, "", val))</f>
        <v>359</v>
      </c>
      <c r="S25" s="60">
        <f t="array" ref="S25">LET(val, IFERROR(INDEX('Daily 사주 raw'!$A:$ZZ, MATCH(S$2, 'Daily 사주 raw'!$A:$A, 0), MATCH($B25, 'Daily 사주 raw'!$1:$1, 0)), ""), IF(val=0, "", val))</f>
        <v>298</v>
      </c>
      <c r="T25" s="60">
        <f t="array" ref="T25">LET(val, IFERROR(INDEX('Daily 사주 raw'!$A:$ZZ, MATCH(T$2, 'Daily 사주 raw'!$A:$A, 0), MATCH($B25, 'Daily 사주 raw'!$1:$1, 0)), ""), IF(val=0, "", val))</f>
        <v>296</v>
      </c>
      <c r="U25" s="60">
        <f t="array" ref="U25">LET(val, IFERROR(INDEX('Daily 사주 raw'!$A:$ZZ, MATCH(U$2, 'Daily 사주 raw'!$A:$A, 0), MATCH($B25, 'Daily 사주 raw'!$1:$1, 0)), ""), IF(val=0, "", val))</f>
        <v>344</v>
      </c>
      <c r="V25" s="60">
        <f t="array" ref="V25">LET(val, IFERROR(INDEX('Daily 사주 raw'!$A:$ZZ, MATCH(V$2, 'Daily 사주 raw'!$A:$A, 0), MATCH($B25, 'Daily 사주 raw'!$1:$1, 0)), ""), IF(val=0, "", val))</f>
        <v>261</v>
      </c>
      <c r="W25" s="60">
        <f t="array" ref="W25">LET(val, IFERROR(INDEX('Daily 사주 raw'!$A:$ZZ, MATCH(W$2, 'Daily 사주 raw'!$A:$A, 0), MATCH($B25, 'Daily 사주 raw'!$1:$1, 0)), ""), IF(val=0, "", val))</f>
        <v>279</v>
      </c>
      <c r="X25" s="60">
        <f t="array" ref="X25">LET(val, IFERROR(INDEX('Daily 사주 raw'!$A:$ZZ, MATCH(X$2, 'Daily 사주 raw'!$A:$A, 0), MATCH($B25, 'Daily 사주 raw'!$1:$1, 0)), ""), IF(val=0, "", val))</f>
        <v>271</v>
      </c>
      <c r="Y25" s="60">
        <f t="array" ref="Y25">LET(val, IFERROR(INDEX('Daily 사주 raw'!$A:$ZZ, MATCH(Y$2, 'Daily 사주 raw'!$A:$A, 0), MATCH($B25, 'Daily 사주 raw'!$1:$1, 0)), ""), IF(val=0, "", val))</f>
        <v>295</v>
      </c>
      <c r="Z25" s="60">
        <f t="array" ref="Z25">LET(val, IFERROR(INDEX('Daily 사주 raw'!$A:$ZZ, MATCH(Z$2, 'Daily 사주 raw'!$A:$A, 0), MATCH($B25, 'Daily 사주 raw'!$1:$1, 0)), ""), IF(val=0, "", val))</f>
        <v>161</v>
      </c>
      <c r="AA25" s="60">
        <f t="array" ref="AA25">LET(val, IFERROR(INDEX('Daily 사주 raw'!$A:$ZZ, MATCH(AA$2, 'Daily 사주 raw'!$A:$A, 0), MATCH($B25, 'Daily 사주 raw'!$1:$1, 0)), ""), IF(val=0, "", val))</f>
        <v>181</v>
      </c>
      <c r="AB25" s="60">
        <f t="array" ref="AB25">LET(val, IFERROR(INDEX('Daily 사주 raw'!$A:$ZZ, MATCH(AB$2, 'Daily 사주 raw'!$A:$A, 0), MATCH($B25, 'Daily 사주 raw'!$1:$1, 0)), ""), IF(val=0, "", val))</f>
        <v>194</v>
      </c>
      <c r="AC25" s="60">
        <f t="array" ref="AC25">LET(val, IFERROR(INDEX('Daily 사주 raw'!$A:$ZZ, MATCH(AC$2, 'Daily 사주 raw'!$A:$A, 0), MATCH($B25, 'Daily 사주 raw'!$1:$1, 0)), ""), IF(val=0, "", val))</f>
        <v>238</v>
      </c>
      <c r="AD25" s="60">
        <f t="array" ref="AD25">LET(val, IFERROR(INDEX('Daily 사주 raw'!$A:$ZZ, MATCH(AD$2, 'Daily 사주 raw'!$A:$A, 0), MATCH($B25, 'Daily 사주 raw'!$1:$1, 0)), ""), IF(val=0, "", val))</f>
        <v>212</v>
      </c>
      <c r="AE25" s="60">
        <f t="array" ref="AE25">LET(val, IFERROR(INDEX('Daily 사주 raw'!$A:$ZZ, MATCH(AE$2, 'Daily 사주 raw'!$A:$A, 0), MATCH($B25, 'Daily 사주 raw'!$1:$1, 0)), ""), IF(val=0, "", val))</f>
        <v>294</v>
      </c>
      <c r="AF25" s="60">
        <f t="array" ref="AF25">LET(val, IFERROR(INDEX('Daily 사주 raw'!$A:$ZZ, MATCH(AF$2, 'Daily 사주 raw'!$A:$A, 0), MATCH($B25, 'Daily 사주 raw'!$1:$1, 0)), ""), IF(val=0, "", val))</f>
        <v>293</v>
      </c>
      <c r="AG25" s="60">
        <f t="array" ref="AG25">LET(val, IFERROR(INDEX('Daily 사주 raw'!$A:$ZZ, MATCH(AG$2, 'Daily 사주 raw'!$A:$A, 0), MATCH($B25, 'Daily 사주 raw'!$1:$1, 0)), ""), IF(val=0, "", val))</f>
        <v>242</v>
      </c>
      <c r="AH25" s="60">
        <f t="array" ref="AH25">LET(val, IFERROR(INDEX('Daily 사주 raw'!$A:$ZZ, MATCH(AH$2, 'Daily 사주 raw'!$A:$A, 0), MATCH($B25, 'Daily 사주 raw'!$1:$1, 0)), ""), IF(val=0, "", val))</f>
        <v>206</v>
      </c>
      <c r="AI25" s="60">
        <f t="array" ref="AI25">LET(val, IFERROR(INDEX('Daily 사주 raw'!$A:$ZZ, MATCH(AI$2, 'Daily 사주 raw'!$A:$A, 0), MATCH($B25, 'Daily 사주 raw'!$1:$1, 0)), ""), IF(val=0, "", val))</f>
        <v>225</v>
      </c>
      <c r="AJ25" s="60">
        <f t="array" ref="AJ25">LET(val, IFERROR(INDEX('Daily 사주 raw'!$A:$ZZ, MATCH(AJ$2, 'Daily 사주 raw'!$A:$A, 0), MATCH($B25, 'Daily 사주 raw'!$1:$1, 0)), ""), IF(val=0, "", val))</f>
        <v>196</v>
      </c>
      <c r="AK25" s="60">
        <f t="array" ref="AK25">LET(val, IFERROR(INDEX('Daily 사주 raw'!$A:$ZZ, MATCH(AK$2, 'Daily 사주 raw'!$A:$A, 0), MATCH($B25, 'Daily 사주 raw'!$1:$1, 0)), ""), IF(val=0, "", val))</f>
        <v>210</v>
      </c>
      <c r="AL25" s="60">
        <f t="array" ref="AL25">LET(val, IFERROR(INDEX('Daily 사주 raw'!$A:$ZZ, MATCH(AL$2, 'Daily 사주 raw'!$A:$A, 0), MATCH($B25, 'Daily 사주 raw'!$1:$1, 0)), ""), IF(val=0, "", val))</f>
        <v>189</v>
      </c>
      <c r="AM25" s="60">
        <f t="array" ref="AM25">LET(val, IFERROR(INDEX('Daily 사주 raw'!$A:$ZZ, MATCH(AM$2, 'Daily 사주 raw'!$A:$A, 0), MATCH($B25, 'Daily 사주 raw'!$1:$1, 0)), ""), IF(val=0, "", val))</f>
        <v>197</v>
      </c>
      <c r="AN25" s="60">
        <f t="array" ref="AN25">LET(val, IFERROR(INDEX('Daily 사주 raw'!$A:$ZZ, MATCH(AN$2, 'Daily 사주 raw'!$A:$A, 0), MATCH($B25, 'Daily 사주 raw'!$1:$1, 0)), ""), IF(val=0, "", val))</f>
        <v>177</v>
      </c>
      <c r="AO25" s="60">
        <f t="array" ref="AO25">LET(val, IFERROR(INDEX('Daily 사주 raw'!$A:$ZZ, MATCH(AO$2, 'Daily 사주 raw'!$A:$A, 0), MATCH($B25, 'Daily 사주 raw'!$1:$1, 0)), ""), IF(val=0, "", val))</f>
        <v>168</v>
      </c>
      <c r="AP25" s="60">
        <f t="array" ref="AP25">LET(val, IFERROR(INDEX('Daily 사주 raw'!$A:$ZZ, MATCH(AP$2, 'Daily 사주 raw'!$A:$A, 0), MATCH($B25, 'Daily 사주 raw'!$1:$1, 0)), ""), IF(val=0, "", val))</f>
        <v>186</v>
      </c>
      <c r="AQ25" s="60">
        <f t="array" ref="AQ25">LET(val, IFERROR(INDEX('Daily 사주 raw'!$A:$ZZ, MATCH(AQ$2, 'Daily 사주 raw'!$A:$A, 0), MATCH($B25, 'Daily 사주 raw'!$1:$1, 0)), ""), IF(val=0, "", val))</f>
        <v>179</v>
      </c>
      <c r="AR25" s="60">
        <f t="array" ref="AR25">LET(val, IFERROR(INDEX('Daily 사주 raw'!$A:$ZZ, MATCH(AR$2, 'Daily 사주 raw'!$A:$A, 0), MATCH($B25, 'Daily 사주 raw'!$1:$1, 0)), ""), IF(val=0, "", val))</f>
        <v>207</v>
      </c>
      <c r="AS25" s="60">
        <f t="array" ref="AS25">LET(val, IFERROR(INDEX('Daily 사주 raw'!$A:$ZZ, MATCH(AS$2, 'Daily 사주 raw'!$A:$A, 0), MATCH($B25, 'Daily 사주 raw'!$1:$1, 0)), ""), IF(val=0, "", val))</f>
        <v>206</v>
      </c>
      <c r="AT25" s="60">
        <f t="array" ref="AT25">LET(val, IFERROR(INDEX('Daily 사주 raw'!$A:$ZZ, MATCH(AT$2, 'Daily 사주 raw'!$A:$A, 0), MATCH($B25, 'Daily 사주 raw'!$1:$1, 0)), ""), IF(val=0, "", val))</f>
        <v>126</v>
      </c>
      <c r="AU25" s="60">
        <f t="array" ref="AU25">LET(val, IFERROR(INDEX('Daily 사주 raw'!$A:$ZZ, MATCH(AU$2, 'Daily 사주 raw'!$A:$A, 0), MATCH($B25, 'Daily 사주 raw'!$1:$1, 0)), ""), IF(val=0, "", val))</f>
        <v>102</v>
      </c>
      <c r="AV25" s="60">
        <f t="array" ref="AV25">LET(val, IFERROR(INDEX('Daily 사주 raw'!$A:$ZZ, MATCH(AV$2, 'Daily 사주 raw'!$A:$A, 0), MATCH($B25, 'Daily 사주 raw'!$1:$1, 0)), ""), IF(val=0, "", val))</f>
        <v>80</v>
      </c>
      <c r="AW25" s="60">
        <f t="array" ref="AW25">LET(val, IFERROR(INDEX('Daily 사주 raw'!$A:$ZZ, MATCH(AW$2, 'Daily 사주 raw'!$A:$A, 0), MATCH($B25, 'Daily 사주 raw'!$1:$1, 0)), ""), IF(val=0, "", val))</f>
        <v>86</v>
      </c>
      <c r="AX25" s="60">
        <f t="array" ref="AX25">LET(val, IFERROR(INDEX('Daily 사주 raw'!$A:$ZZ, MATCH(AX$2, 'Daily 사주 raw'!$A:$A, 0), MATCH($B25, 'Daily 사주 raw'!$1:$1, 0)), ""), IF(val=0, "", val))</f>
        <v>98</v>
      </c>
      <c r="AY25" s="60">
        <f t="array" ref="AY25">LET(val, IFERROR(INDEX('Daily 사주 raw'!$A:$ZZ, MATCH(AY$2, 'Daily 사주 raw'!$A:$A, 0), MATCH($B25, 'Daily 사주 raw'!$1:$1, 0)), ""), IF(val=0, "", val))</f>
        <v>107</v>
      </c>
      <c r="AZ25" s="60">
        <f t="array" ref="AZ25">LET(val, IFERROR(INDEX('Daily 사주 raw'!$A:$ZZ, MATCH(AZ$2, 'Daily 사주 raw'!$A:$A, 0), MATCH($B25, 'Daily 사주 raw'!$1:$1, 0)), ""), IF(val=0, "", val))</f>
        <v>111</v>
      </c>
      <c r="BA25" s="60">
        <f t="array" ref="BA25">LET(val, IFERROR(INDEX('Daily 사주 raw'!$A:$ZZ, MATCH(BA$2, 'Daily 사주 raw'!$A:$A, 0), MATCH($B25, 'Daily 사주 raw'!$1:$1, 0)), ""), IF(val=0, "", val))</f>
        <v>119</v>
      </c>
      <c r="BB25" s="60">
        <f t="array" ref="BB25">LET(val, IFERROR(INDEX('Daily 사주 raw'!$A:$ZZ, MATCH(BB$2, 'Daily 사주 raw'!$A:$A, 0), MATCH($B25, 'Daily 사주 raw'!$1:$1, 0)), ""), IF(val=0, "", val))</f>
        <v>117</v>
      </c>
      <c r="BC25" s="60">
        <f t="array" ref="BC25">LET(val, IFERROR(INDEX('Daily 사주 raw'!$A:$ZZ, MATCH(BC$2, 'Daily 사주 raw'!$A:$A, 0), MATCH($B25, 'Daily 사주 raw'!$1:$1, 0)), ""), IF(val=0, "", val))</f>
        <v>91</v>
      </c>
      <c r="BD25" s="60">
        <f t="array" ref="BD25">LET(val, IFERROR(INDEX('Daily 사주 raw'!$A:$ZZ, MATCH(BD$2, 'Daily 사주 raw'!$A:$A, 0), MATCH($B25, 'Daily 사주 raw'!$1:$1, 0)), ""), IF(val=0, "", val))</f>
        <v>91</v>
      </c>
      <c r="BE25" s="60" t="str">
        <f t="array" ref="BE25">LET(val, IFERROR(INDEX('Daily 사주 raw'!$A:$ZZ, MATCH(BE$2, 'Daily 사주 raw'!$A:$A, 0), MATCH($B25, 'Daily 사주 raw'!$1:$1, 0)), ""), IF(val=0, "", val))</f>
        <v/>
      </c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</row>
    <row r="26" ht="18.75" customHeight="1">
      <c r="A26" s="17"/>
      <c r="B26" s="16" t="s">
        <v>45</v>
      </c>
      <c r="C26" s="17" t="s">
        <v>22</v>
      </c>
      <c r="D26" s="60">
        <f t="array" ref="D26">LET(val, IFERROR(INDEX('Daily 사주 raw'!$A:$ZZ, MATCH(D$2, 'Daily 사주 raw'!$A:$A, 0), MATCH($B26, 'Daily 사주 raw'!$1:$1, 0)), ""), IF(val=0, "", val))</f>
        <v>47</v>
      </c>
      <c r="E26" s="60">
        <f t="array" ref="E26">LET(val, IFERROR(INDEX('Daily 사주 raw'!$A:$ZZ, MATCH(E$2, 'Daily 사주 raw'!$A:$A, 0), MATCH($B26, 'Daily 사주 raw'!$1:$1, 0)), ""), IF(val=0, "", val))</f>
        <v>48</v>
      </c>
      <c r="F26" s="60">
        <f t="array" ref="F26">LET(val, IFERROR(INDEX('Daily 사주 raw'!$A:$ZZ, MATCH(F$2, 'Daily 사주 raw'!$A:$A, 0), MATCH($B26, 'Daily 사주 raw'!$1:$1, 0)), ""), IF(val=0, "", val))</f>
        <v>54</v>
      </c>
      <c r="G26" s="60">
        <f t="array" ref="G26">LET(val, IFERROR(INDEX('Daily 사주 raw'!$A:$ZZ, MATCH(G$2, 'Daily 사주 raw'!$A:$A, 0), MATCH($B26, 'Daily 사주 raw'!$1:$1, 0)), ""), IF(val=0, "", val))</f>
        <v>48</v>
      </c>
      <c r="H26" s="60">
        <f t="array" ref="H26">LET(val, IFERROR(INDEX('Daily 사주 raw'!$A:$ZZ, MATCH(H$2, 'Daily 사주 raw'!$A:$A, 0), MATCH($B26, 'Daily 사주 raw'!$1:$1, 0)), ""), IF(val=0, "", val))</f>
        <v>45</v>
      </c>
      <c r="I26" s="60">
        <f t="array" ref="I26">LET(val, IFERROR(INDEX('Daily 사주 raw'!$A:$ZZ, MATCH(I$2, 'Daily 사주 raw'!$A:$A, 0), MATCH($B26, 'Daily 사주 raw'!$1:$1, 0)), ""), IF(val=0, "", val))</f>
        <v>65</v>
      </c>
      <c r="J26" s="60">
        <f t="array" ref="J26">LET(val, IFERROR(INDEX('Daily 사주 raw'!$A:$ZZ, MATCH(J$2, 'Daily 사주 raw'!$A:$A, 0), MATCH($B26, 'Daily 사주 raw'!$1:$1, 0)), ""), IF(val=0, "", val))</f>
        <v>44</v>
      </c>
      <c r="K26" s="60">
        <f t="array" ref="K26">LET(val, IFERROR(INDEX('Daily 사주 raw'!$A:$ZZ, MATCH(K$2, 'Daily 사주 raw'!$A:$A, 0), MATCH($B26, 'Daily 사주 raw'!$1:$1, 0)), ""), IF(val=0, "", val))</f>
        <v>46</v>
      </c>
      <c r="L26" s="60">
        <f t="array" ref="L26">LET(val, IFERROR(INDEX('Daily 사주 raw'!$A:$ZZ, MATCH(L$2, 'Daily 사주 raw'!$A:$A, 0), MATCH($B26, 'Daily 사주 raw'!$1:$1, 0)), ""), IF(val=0, "", val))</f>
        <v>44</v>
      </c>
      <c r="M26" s="60">
        <f t="array" ref="M26">LET(val, IFERROR(INDEX('Daily 사주 raw'!$A:$ZZ, MATCH(M$2, 'Daily 사주 raw'!$A:$A, 0), MATCH($B26, 'Daily 사주 raw'!$1:$1, 0)), ""), IF(val=0, "", val))</f>
        <v>36</v>
      </c>
      <c r="N26" s="60">
        <f t="array" ref="N26">LET(val, IFERROR(INDEX('Daily 사주 raw'!$A:$ZZ, MATCH(N$2, 'Daily 사주 raw'!$A:$A, 0), MATCH($B26, 'Daily 사주 raw'!$1:$1, 0)), ""), IF(val=0, "", val))</f>
        <v>32</v>
      </c>
      <c r="O26" s="60">
        <f t="array" ref="O26">LET(val, IFERROR(INDEX('Daily 사주 raw'!$A:$ZZ, MATCH(O$2, 'Daily 사주 raw'!$A:$A, 0), MATCH($B26, 'Daily 사주 raw'!$1:$1, 0)), ""), IF(val=0, "", val))</f>
        <v>42</v>
      </c>
      <c r="P26" s="60">
        <f t="array" ref="P26">LET(val, IFERROR(INDEX('Daily 사주 raw'!$A:$ZZ, MATCH(P$2, 'Daily 사주 raw'!$A:$A, 0), MATCH($B26, 'Daily 사주 raw'!$1:$1, 0)), ""), IF(val=0, "", val))</f>
        <v>46</v>
      </c>
      <c r="Q26" s="60">
        <f t="array" ref="Q26">LET(val, IFERROR(INDEX('Daily 사주 raw'!$A:$ZZ, MATCH(Q$2, 'Daily 사주 raw'!$A:$A, 0), MATCH($B26, 'Daily 사주 raw'!$1:$1, 0)), ""), IF(val=0, "", val))</f>
        <v>40</v>
      </c>
      <c r="R26" s="60">
        <f t="array" ref="R26">LET(val, IFERROR(INDEX('Daily 사주 raw'!$A:$ZZ, MATCH(R$2, 'Daily 사주 raw'!$A:$A, 0), MATCH($B26, 'Daily 사주 raw'!$1:$1, 0)), ""), IF(val=0, "", val))</f>
        <v>32</v>
      </c>
      <c r="S26" s="60">
        <f t="array" ref="S26">LET(val, IFERROR(INDEX('Daily 사주 raw'!$A:$ZZ, MATCH(S$2, 'Daily 사주 raw'!$A:$A, 0), MATCH($B26, 'Daily 사주 raw'!$1:$1, 0)), ""), IF(val=0, "", val))</f>
        <v>36</v>
      </c>
      <c r="T26" s="60">
        <f t="array" ref="T26">LET(val, IFERROR(INDEX('Daily 사주 raw'!$A:$ZZ, MATCH(T$2, 'Daily 사주 raw'!$A:$A, 0), MATCH($B26, 'Daily 사주 raw'!$1:$1, 0)), ""), IF(val=0, "", val))</f>
        <v>34</v>
      </c>
      <c r="U26" s="60">
        <f t="array" ref="U26">LET(val, IFERROR(INDEX('Daily 사주 raw'!$A:$ZZ, MATCH(U$2, 'Daily 사주 raw'!$A:$A, 0), MATCH($B26, 'Daily 사주 raw'!$1:$1, 0)), ""), IF(val=0, "", val))</f>
        <v>36</v>
      </c>
      <c r="V26" s="60">
        <f t="array" ref="V26">LET(val, IFERROR(INDEX('Daily 사주 raw'!$A:$ZZ, MATCH(V$2, 'Daily 사주 raw'!$A:$A, 0), MATCH($B26, 'Daily 사주 raw'!$1:$1, 0)), ""), IF(val=0, "", val))</f>
        <v>35</v>
      </c>
      <c r="W26" s="60">
        <f t="array" ref="W26">LET(val, IFERROR(INDEX('Daily 사주 raw'!$A:$ZZ, MATCH(W$2, 'Daily 사주 raw'!$A:$A, 0), MATCH($B26, 'Daily 사주 raw'!$1:$1, 0)), ""), IF(val=0, "", val))</f>
        <v>32</v>
      </c>
      <c r="X26" s="60">
        <f t="array" ref="X26">LET(val, IFERROR(INDEX('Daily 사주 raw'!$A:$ZZ, MATCH(X$2, 'Daily 사주 raw'!$A:$A, 0), MATCH($B26, 'Daily 사주 raw'!$1:$1, 0)), ""), IF(val=0, "", val))</f>
        <v>34</v>
      </c>
      <c r="Y26" s="60">
        <f t="array" ref="Y26">LET(val, IFERROR(INDEX('Daily 사주 raw'!$A:$ZZ, MATCH(Y$2, 'Daily 사주 raw'!$A:$A, 0), MATCH($B26, 'Daily 사주 raw'!$1:$1, 0)), ""), IF(val=0, "", val))</f>
        <v>50</v>
      </c>
      <c r="Z26" s="60">
        <f t="array" ref="Z26">LET(val, IFERROR(INDEX('Daily 사주 raw'!$A:$ZZ, MATCH(Z$2, 'Daily 사주 raw'!$A:$A, 0), MATCH($B26, 'Daily 사주 raw'!$1:$1, 0)), ""), IF(val=0, "", val))</f>
        <v>28</v>
      </c>
      <c r="AA26" s="60">
        <f t="array" ref="AA26">LET(val, IFERROR(INDEX('Daily 사주 raw'!$A:$ZZ, MATCH(AA$2, 'Daily 사주 raw'!$A:$A, 0), MATCH($B26, 'Daily 사주 raw'!$1:$1, 0)), ""), IF(val=0, "", val))</f>
        <v>23</v>
      </c>
      <c r="AB26" s="60">
        <f t="array" ref="AB26">LET(val, IFERROR(INDEX('Daily 사주 raw'!$A:$ZZ, MATCH(AB$2, 'Daily 사주 raw'!$A:$A, 0), MATCH($B26, 'Daily 사주 raw'!$1:$1, 0)), ""), IF(val=0, "", val))</f>
        <v>38</v>
      </c>
      <c r="AC26" s="60">
        <f t="array" ref="AC26">LET(val, IFERROR(INDEX('Daily 사주 raw'!$A:$ZZ, MATCH(AC$2, 'Daily 사주 raw'!$A:$A, 0), MATCH($B26, 'Daily 사주 raw'!$1:$1, 0)), ""), IF(val=0, "", val))</f>
        <v>39</v>
      </c>
      <c r="AD26" s="60">
        <f t="array" ref="AD26">LET(val, IFERROR(INDEX('Daily 사주 raw'!$A:$ZZ, MATCH(AD$2, 'Daily 사주 raw'!$A:$A, 0), MATCH($B26, 'Daily 사주 raw'!$1:$1, 0)), ""), IF(val=0, "", val))</f>
        <v>34</v>
      </c>
      <c r="AE26" s="60">
        <f t="array" ref="AE26">LET(val, IFERROR(INDEX('Daily 사주 raw'!$A:$ZZ, MATCH(AE$2, 'Daily 사주 raw'!$A:$A, 0), MATCH($B26, 'Daily 사주 raw'!$1:$1, 0)), ""), IF(val=0, "", val))</f>
        <v>64</v>
      </c>
      <c r="AF26" s="60">
        <f t="array" ref="AF26">LET(val, IFERROR(INDEX('Daily 사주 raw'!$A:$ZZ, MATCH(AF$2, 'Daily 사주 raw'!$A:$A, 0), MATCH($B26, 'Daily 사주 raw'!$1:$1, 0)), ""), IF(val=0, "", val))</f>
        <v>92</v>
      </c>
      <c r="AG26" s="60">
        <f t="array" ref="AG26">LET(val, IFERROR(INDEX('Daily 사주 raw'!$A:$ZZ, MATCH(AG$2, 'Daily 사주 raw'!$A:$A, 0), MATCH($B26, 'Daily 사주 raw'!$1:$1, 0)), ""), IF(val=0, "", val))</f>
        <v>67</v>
      </c>
      <c r="AH26" s="60">
        <f t="array" ref="AH26">LET(val, IFERROR(INDEX('Daily 사주 raw'!$A:$ZZ, MATCH(AH$2, 'Daily 사주 raw'!$A:$A, 0), MATCH($B26, 'Daily 사주 raw'!$1:$1, 0)), ""), IF(val=0, "", val))</f>
        <v>62</v>
      </c>
      <c r="AI26" s="60">
        <f t="array" ref="AI26">LET(val, IFERROR(INDEX('Daily 사주 raw'!$A:$ZZ, MATCH(AI$2, 'Daily 사주 raw'!$A:$A, 0), MATCH($B26, 'Daily 사주 raw'!$1:$1, 0)), ""), IF(val=0, "", val))</f>
        <v>61</v>
      </c>
      <c r="AJ26" s="60">
        <f t="array" ref="AJ26">LET(val, IFERROR(INDEX('Daily 사주 raw'!$A:$ZZ, MATCH(AJ$2, 'Daily 사주 raw'!$A:$A, 0), MATCH($B26, 'Daily 사주 raw'!$1:$1, 0)), ""), IF(val=0, "", val))</f>
        <v>57</v>
      </c>
      <c r="AK26" s="60">
        <f t="array" ref="AK26">LET(val, IFERROR(INDEX('Daily 사주 raw'!$A:$ZZ, MATCH(AK$2, 'Daily 사주 raw'!$A:$A, 0), MATCH($B26, 'Daily 사주 raw'!$1:$1, 0)), ""), IF(val=0, "", val))</f>
        <v>49</v>
      </c>
      <c r="AL26" s="60">
        <f t="array" ref="AL26">LET(val, IFERROR(INDEX('Daily 사주 raw'!$A:$ZZ, MATCH(AL$2, 'Daily 사주 raw'!$A:$A, 0), MATCH($B26, 'Daily 사주 raw'!$1:$1, 0)), ""), IF(val=0, "", val))</f>
        <v>35</v>
      </c>
      <c r="AM26" s="60">
        <f t="array" ref="AM26">LET(val, IFERROR(INDEX('Daily 사주 raw'!$A:$ZZ, MATCH(AM$2, 'Daily 사주 raw'!$A:$A, 0), MATCH($B26, 'Daily 사주 raw'!$1:$1, 0)), ""), IF(val=0, "", val))</f>
        <v>49</v>
      </c>
      <c r="AN26" s="60">
        <f t="array" ref="AN26">LET(val, IFERROR(INDEX('Daily 사주 raw'!$A:$ZZ, MATCH(AN$2, 'Daily 사주 raw'!$A:$A, 0), MATCH($B26, 'Daily 사주 raw'!$1:$1, 0)), ""), IF(val=0, "", val))</f>
        <v>37</v>
      </c>
      <c r="AO26" s="60">
        <f t="array" ref="AO26">LET(val, IFERROR(INDEX('Daily 사주 raw'!$A:$ZZ, MATCH(AO$2, 'Daily 사주 raw'!$A:$A, 0), MATCH($B26, 'Daily 사주 raw'!$1:$1, 0)), ""), IF(val=0, "", val))</f>
        <v>22</v>
      </c>
      <c r="AP26" s="60">
        <f t="array" ref="AP26">LET(val, IFERROR(INDEX('Daily 사주 raw'!$A:$ZZ, MATCH(AP$2, 'Daily 사주 raw'!$A:$A, 0), MATCH($B26, 'Daily 사주 raw'!$1:$1, 0)), ""), IF(val=0, "", val))</f>
        <v>32</v>
      </c>
      <c r="AQ26" s="60">
        <f t="array" ref="AQ26">LET(val, IFERROR(INDEX('Daily 사주 raw'!$A:$ZZ, MATCH(AQ$2, 'Daily 사주 raw'!$A:$A, 0), MATCH($B26, 'Daily 사주 raw'!$1:$1, 0)), ""), IF(val=0, "", val))</f>
        <v>27</v>
      </c>
      <c r="AR26" s="60">
        <f t="array" ref="AR26">LET(val, IFERROR(INDEX('Daily 사주 raw'!$A:$ZZ, MATCH(AR$2, 'Daily 사주 raw'!$A:$A, 0), MATCH($B26, 'Daily 사주 raw'!$1:$1, 0)), ""), IF(val=0, "", val))</f>
        <v>47</v>
      </c>
      <c r="AS26" s="60">
        <f t="array" ref="AS26">LET(val, IFERROR(INDEX('Daily 사주 raw'!$A:$ZZ, MATCH(AS$2, 'Daily 사주 raw'!$A:$A, 0), MATCH($B26, 'Daily 사주 raw'!$1:$1, 0)), ""), IF(val=0, "", val))</f>
        <v>33</v>
      </c>
      <c r="AT26" s="60">
        <f t="array" ref="AT26">LET(val, IFERROR(INDEX('Daily 사주 raw'!$A:$ZZ, MATCH(AT$2, 'Daily 사주 raw'!$A:$A, 0), MATCH($B26, 'Daily 사주 raw'!$1:$1, 0)), ""), IF(val=0, "", val))</f>
        <v>22</v>
      </c>
      <c r="AU26" s="60">
        <f t="array" ref="AU26">LET(val, IFERROR(INDEX('Daily 사주 raw'!$A:$ZZ, MATCH(AU$2, 'Daily 사주 raw'!$A:$A, 0), MATCH($B26, 'Daily 사주 raw'!$1:$1, 0)), ""), IF(val=0, "", val))</f>
        <v>16</v>
      </c>
      <c r="AV26" s="60">
        <f t="array" ref="AV26">LET(val, IFERROR(INDEX('Daily 사주 raw'!$A:$ZZ, MATCH(AV$2, 'Daily 사주 raw'!$A:$A, 0), MATCH($B26, 'Daily 사주 raw'!$1:$1, 0)), ""), IF(val=0, "", val))</f>
        <v>13</v>
      </c>
      <c r="AW26" s="60">
        <f t="array" ref="AW26">LET(val, IFERROR(INDEX('Daily 사주 raw'!$A:$ZZ, MATCH(AW$2, 'Daily 사주 raw'!$A:$A, 0), MATCH($B26, 'Daily 사주 raw'!$1:$1, 0)), ""), IF(val=0, "", val))</f>
        <v>13</v>
      </c>
      <c r="AX26" s="60">
        <f t="array" ref="AX26">LET(val, IFERROR(INDEX('Daily 사주 raw'!$A:$ZZ, MATCH(AX$2, 'Daily 사주 raw'!$A:$A, 0), MATCH($B26, 'Daily 사주 raw'!$1:$1, 0)), ""), IF(val=0, "", val))</f>
        <v>9</v>
      </c>
      <c r="AY26" s="60">
        <f t="array" ref="AY26">LET(val, IFERROR(INDEX('Daily 사주 raw'!$A:$ZZ, MATCH(AY$2, 'Daily 사주 raw'!$A:$A, 0), MATCH($B26, 'Daily 사주 raw'!$1:$1, 0)), ""), IF(val=0, "", val))</f>
        <v>10</v>
      </c>
      <c r="AZ26" s="60">
        <f t="array" ref="AZ26">LET(val, IFERROR(INDEX('Daily 사주 raw'!$A:$ZZ, MATCH(AZ$2, 'Daily 사주 raw'!$A:$A, 0), MATCH($B26, 'Daily 사주 raw'!$1:$1, 0)), ""), IF(val=0, "", val))</f>
        <v>13</v>
      </c>
      <c r="BA26" s="60">
        <f t="array" ref="BA26">LET(val, IFERROR(INDEX('Daily 사주 raw'!$A:$ZZ, MATCH(BA$2, 'Daily 사주 raw'!$A:$A, 0), MATCH($B26, 'Daily 사주 raw'!$1:$1, 0)), ""), IF(val=0, "", val))</f>
        <v>25</v>
      </c>
      <c r="BB26" s="60">
        <f t="array" ref="BB26">LET(val, IFERROR(INDEX('Daily 사주 raw'!$A:$ZZ, MATCH(BB$2, 'Daily 사주 raw'!$A:$A, 0), MATCH($B26, 'Daily 사주 raw'!$1:$1, 0)), ""), IF(val=0, "", val))</f>
        <v>36</v>
      </c>
      <c r="BC26" s="60">
        <f t="array" ref="BC26">LET(val, IFERROR(INDEX('Daily 사주 raw'!$A:$ZZ, MATCH(BC$2, 'Daily 사주 raw'!$A:$A, 0), MATCH($B26, 'Daily 사주 raw'!$1:$1, 0)), ""), IF(val=0, "", val))</f>
        <v>24</v>
      </c>
      <c r="BD26" s="60">
        <f t="array" ref="BD26">LET(val, IFERROR(INDEX('Daily 사주 raw'!$A:$ZZ, MATCH(BD$2, 'Daily 사주 raw'!$A:$A, 0), MATCH($B26, 'Daily 사주 raw'!$1:$1, 0)), ""), IF(val=0, "", val))</f>
        <v>14</v>
      </c>
      <c r="BE26" s="60" t="str">
        <f t="array" ref="BE26">LET(val, IFERROR(INDEX('Daily 사주 raw'!$A:$ZZ, MATCH(BE$2, 'Daily 사주 raw'!$A:$A, 0), MATCH($B26, 'Daily 사주 raw'!$1:$1, 0)), ""), IF(val=0, "", val))</f>
        <v/>
      </c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</row>
    <row r="27" ht="18.75" customHeight="1">
      <c r="A27" s="17"/>
      <c r="B27" s="16" t="s">
        <v>46</v>
      </c>
      <c r="C27" s="17" t="s">
        <v>47</v>
      </c>
      <c r="D27" s="60">
        <f t="array" ref="D27">LET(val, IFERROR(INDEX('Daily 사주 raw'!$A:$ZZ, MATCH(D$2, 'Daily 사주 raw'!$A:$A, 0), MATCH($B27, 'Daily 사주 raw'!$1:$1, 0)), ""), IF(val=0, "", val))</f>
        <v>70</v>
      </c>
      <c r="E27" s="60">
        <f t="array" ref="E27">LET(val, IFERROR(INDEX('Daily 사주 raw'!$A:$ZZ, MATCH(E$2, 'Daily 사주 raw'!$A:$A, 0), MATCH($B27, 'Daily 사주 raw'!$1:$1, 0)), ""), IF(val=0, "", val))</f>
        <v>53</v>
      </c>
      <c r="F27" s="60">
        <f t="array" ref="F27">LET(val, IFERROR(INDEX('Daily 사주 raw'!$A:$ZZ, MATCH(F$2, 'Daily 사주 raw'!$A:$A, 0), MATCH($B27, 'Daily 사주 raw'!$1:$1, 0)), ""), IF(val=0, "", val))</f>
        <v>43</v>
      </c>
      <c r="G27" s="60">
        <f t="array" ref="G27">LET(val, IFERROR(INDEX('Daily 사주 raw'!$A:$ZZ, MATCH(G$2, 'Daily 사주 raw'!$A:$A, 0), MATCH($B27, 'Daily 사주 raw'!$1:$1, 0)), ""), IF(val=0, "", val))</f>
        <v>54</v>
      </c>
      <c r="H27" s="60">
        <f t="array" ref="H27">LET(val, IFERROR(INDEX('Daily 사주 raw'!$A:$ZZ, MATCH(H$2, 'Daily 사주 raw'!$A:$A, 0), MATCH($B27, 'Daily 사주 raw'!$1:$1, 0)), ""), IF(val=0, "", val))</f>
        <v>57</v>
      </c>
      <c r="I27" s="60">
        <f t="array" ref="I27">LET(val, IFERROR(INDEX('Daily 사주 raw'!$A:$ZZ, MATCH(I$2, 'Daily 사주 raw'!$A:$A, 0), MATCH($B27, 'Daily 사주 raw'!$1:$1, 0)), ""), IF(val=0, "", val))</f>
        <v>41</v>
      </c>
      <c r="J27" s="60">
        <f t="array" ref="J27">LET(val, IFERROR(INDEX('Daily 사주 raw'!$A:$ZZ, MATCH(J$2, 'Daily 사주 raw'!$A:$A, 0), MATCH($B27, 'Daily 사주 raw'!$1:$1, 0)), ""), IF(val=0, "", val))</f>
        <v>22</v>
      </c>
      <c r="K27" s="60">
        <f t="array" ref="K27">LET(val, IFERROR(INDEX('Daily 사주 raw'!$A:$ZZ, MATCH(K$2, 'Daily 사주 raw'!$A:$A, 0), MATCH($B27, 'Daily 사주 raw'!$1:$1, 0)), ""), IF(val=0, "", val))</f>
        <v>43</v>
      </c>
      <c r="L27" s="60">
        <f t="array" ref="L27">LET(val, IFERROR(INDEX('Daily 사주 raw'!$A:$ZZ, MATCH(L$2, 'Daily 사주 raw'!$A:$A, 0), MATCH($B27, 'Daily 사주 raw'!$1:$1, 0)), ""), IF(val=0, "", val))</f>
        <v>71</v>
      </c>
      <c r="M27" s="60">
        <f t="array" ref="M27">LET(val, IFERROR(INDEX('Daily 사주 raw'!$A:$ZZ, MATCH(M$2, 'Daily 사주 raw'!$A:$A, 0), MATCH($B27, 'Daily 사주 raw'!$1:$1, 0)), ""), IF(val=0, "", val))</f>
        <v>48</v>
      </c>
      <c r="N27" s="60">
        <f t="array" ref="N27">LET(val, IFERROR(INDEX('Daily 사주 raw'!$A:$ZZ, MATCH(N$2, 'Daily 사주 raw'!$A:$A, 0), MATCH($B27, 'Daily 사주 raw'!$1:$1, 0)), ""), IF(val=0, "", val))</f>
        <v>65</v>
      </c>
      <c r="O27" s="60">
        <f t="array" ref="O27">LET(val, IFERROR(INDEX('Daily 사주 raw'!$A:$ZZ, MATCH(O$2, 'Daily 사주 raw'!$A:$A, 0), MATCH($B27, 'Daily 사주 raw'!$1:$1, 0)), ""), IF(val=0, "", val))</f>
        <v>93</v>
      </c>
      <c r="P27" s="60">
        <f t="array" ref="P27">LET(val, IFERROR(INDEX('Daily 사주 raw'!$A:$ZZ, MATCH(P$2, 'Daily 사주 raw'!$A:$A, 0), MATCH($B27, 'Daily 사주 raw'!$1:$1, 0)), ""), IF(val=0, "", val))</f>
        <v>101</v>
      </c>
      <c r="Q27" s="60">
        <f t="array" ref="Q27">LET(val, IFERROR(INDEX('Daily 사주 raw'!$A:$ZZ, MATCH(Q$2, 'Daily 사주 raw'!$A:$A, 0), MATCH($B27, 'Daily 사주 raw'!$1:$1, 0)), ""), IF(val=0, "", val))</f>
        <v>83</v>
      </c>
      <c r="R27" s="60">
        <f t="array" ref="R27">LET(val, IFERROR(INDEX('Daily 사주 raw'!$A:$ZZ, MATCH(R$2, 'Daily 사주 raw'!$A:$A, 0), MATCH($B27, 'Daily 사주 raw'!$1:$1, 0)), ""), IF(val=0, "", val))</f>
        <v>143</v>
      </c>
      <c r="S27" s="60">
        <f t="array" ref="S27">LET(val, IFERROR(INDEX('Daily 사주 raw'!$A:$ZZ, MATCH(S$2, 'Daily 사주 raw'!$A:$A, 0), MATCH($B27, 'Daily 사주 raw'!$1:$1, 0)), ""), IF(val=0, "", val))</f>
        <v>115</v>
      </c>
      <c r="T27" s="60">
        <f t="array" ref="T27">LET(val, IFERROR(INDEX('Daily 사주 raw'!$A:$ZZ, MATCH(T$2, 'Daily 사주 raw'!$A:$A, 0), MATCH($B27, 'Daily 사주 raw'!$1:$1, 0)), ""), IF(val=0, "", val))</f>
        <v>119</v>
      </c>
      <c r="U27" s="60">
        <f t="array" ref="U27">LET(val, IFERROR(INDEX('Daily 사주 raw'!$A:$ZZ, MATCH(U$2, 'Daily 사주 raw'!$A:$A, 0), MATCH($B27, 'Daily 사주 raw'!$1:$1, 0)), ""), IF(val=0, "", val))</f>
        <v>145</v>
      </c>
      <c r="V27" s="60">
        <f t="array" ref="V27">LET(val, IFERROR(INDEX('Daily 사주 raw'!$A:$ZZ, MATCH(V$2, 'Daily 사주 raw'!$A:$A, 0), MATCH($B27, 'Daily 사주 raw'!$1:$1, 0)), ""), IF(val=0, "", val))</f>
        <v>102</v>
      </c>
      <c r="W27" s="60">
        <f t="array" ref="W27">LET(val, IFERROR(INDEX('Daily 사주 raw'!$A:$ZZ, MATCH(W$2, 'Daily 사주 raw'!$A:$A, 0), MATCH($B27, 'Daily 사주 raw'!$1:$1, 0)), ""), IF(val=0, "", val))</f>
        <v>106</v>
      </c>
      <c r="X27" s="60">
        <f t="array" ref="X27">LET(val, IFERROR(INDEX('Daily 사주 raw'!$A:$ZZ, MATCH(X$2, 'Daily 사주 raw'!$A:$A, 0), MATCH($B27, 'Daily 사주 raw'!$1:$1, 0)), ""), IF(val=0, "", val))</f>
        <v>108</v>
      </c>
      <c r="Y27" s="60">
        <f t="array" ref="Y27">LET(val, IFERROR(INDEX('Daily 사주 raw'!$A:$ZZ, MATCH(Y$2, 'Daily 사주 raw'!$A:$A, 0), MATCH($B27, 'Daily 사주 raw'!$1:$1, 0)), ""), IF(val=0, "", val))</f>
        <v>167</v>
      </c>
      <c r="Z27" s="60">
        <f t="array" ref="Z27">LET(val, IFERROR(INDEX('Daily 사주 raw'!$A:$ZZ, MATCH(Z$2, 'Daily 사주 raw'!$A:$A, 0), MATCH($B27, 'Daily 사주 raw'!$1:$1, 0)), ""), IF(val=0, "", val))</f>
        <v>125</v>
      </c>
      <c r="AA27" s="60">
        <f t="array" ref="AA27">LET(val, IFERROR(INDEX('Daily 사주 raw'!$A:$ZZ, MATCH(AA$2, 'Daily 사주 raw'!$A:$A, 0), MATCH($B27, 'Daily 사주 raw'!$1:$1, 0)), ""), IF(val=0, "", val))</f>
        <v>113</v>
      </c>
      <c r="AB27" s="60">
        <f t="array" ref="AB27">LET(val, IFERROR(INDEX('Daily 사주 raw'!$A:$ZZ, MATCH(AB$2, 'Daily 사주 raw'!$A:$A, 0), MATCH($B27, 'Daily 사주 raw'!$1:$1, 0)), ""), IF(val=0, "", val))</f>
        <v>134</v>
      </c>
      <c r="AC27" s="60">
        <f t="array" ref="AC27">LET(val, IFERROR(INDEX('Daily 사주 raw'!$A:$ZZ, MATCH(AC$2, 'Daily 사주 raw'!$A:$A, 0), MATCH($B27, 'Daily 사주 raw'!$1:$1, 0)), ""), IF(val=0, "", val))</f>
        <v>158</v>
      </c>
      <c r="AD27" s="60">
        <f t="array" ref="AD27">LET(val, IFERROR(INDEX('Daily 사주 raw'!$A:$ZZ, MATCH(AD$2, 'Daily 사주 raw'!$A:$A, 0), MATCH($B27, 'Daily 사주 raw'!$1:$1, 0)), ""), IF(val=0, "", val))</f>
        <v>116</v>
      </c>
      <c r="AE27" s="60">
        <f t="array" ref="AE27">LET(val, IFERROR(INDEX('Daily 사주 raw'!$A:$ZZ, MATCH(AE$2, 'Daily 사주 raw'!$A:$A, 0), MATCH($B27, 'Daily 사주 raw'!$1:$1, 0)), ""), IF(val=0, "", val))</f>
        <v>188</v>
      </c>
      <c r="AF27" s="60">
        <f t="array" ref="AF27">LET(val, IFERROR(INDEX('Daily 사주 raw'!$A:$ZZ, MATCH(AF$2, 'Daily 사주 raw'!$A:$A, 0), MATCH($B27, 'Daily 사주 raw'!$1:$1, 0)), ""), IF(val=0, "", val))</f>
        <v>191</v>
      </c>
      <c r="AG27" s="60">
        <f t="array" ref="AG27">LET(val, IFERROR(INDEX('Daily 사주 raw'!$A:$ZZ, MATCH(AG$2, 'Daily 사주 raw'!$A:$A, 0), MATCH($B27, 'Daily 사주 raw'!$1:$1, 0)), ""), IF(val=0, "", val))</f>
        <v>191</v>
      </c>
      <c r="AH27" s="60">
        <f t="array" ref="AH27">LET(val, IFERROR(INDEX('Daily 사주 raw'!$A:$ZZ, MATCH(AH$2, 'Daily 사주 raw'!$A:$A, 0), MATCH($B27, 'Daily 사주 raw'!$1:$1, 0)), ""), IF(val=0, "", val))</f>
        <v>132</v>
      </c>
      <c r="AI27" s="60">
        <f t="array" ref="AI27">LET(val, IFERROR(INDEX('Daily 사주 raw'!$A:$ZZ, MATCH(AI$2, 'Daily 사주 raw'!$A:$A, 0), MATCH($B27, 'Daily 사주 raw'!$1:$1, 0)), ""), IF(val=0, "", val))</f>
        <v>166</v>
      </c>
      <c r="AJ27" s="60">
        <f t="array" ref="AJ27">LET(val, IFERROR(INDEX('Daily 사주 raw'!$A:$ZZ, MATCH(AJ$2, 'Daily 사주 raw'!$A:$A, 0), MATCH($B27, 'Daily 사주 raw'!$1:$1, 0)), ""), IF(val=0, "", val))</f>
        <v>140</v>
      </c>
      <c r="AK27" s="60">
        <f t="array" ref="AK27">LET(val, IFERROR(INDEX('Daily 사주 raw'!$A:$ZZ, MATCH(AK$2, 'Daily 사주 raw'!$A:$A, 0), MATCH($B27, 'Daily 사주 raw'!$1:$1, 0)), ""), IF(val=0, "", val))</f>
        <v>171</v>
      </c>
      <c r="AL27" s="60">
        <f t="array" ref="AL27">LET(val, IFERROR(INDEX('Daily 사주 raw'!$A:$ZZ, MATCH(AL$2, 'Daily 사주 raw'!$A:$A, 0), MATCH($B27, 'Daily 사주 raw'!$1:$1, 0)), ""), IF(val=0, "", val))</f>
        <v>152</v>
      </c>
      <c r="AM27" s="60">
        <f t="array" ref="AM27">LET(val, IFERROR(INDEX('Daily 사주 raw'!$A:$ZZ, MATCH(AM$2, 'Daily 사주 raw'!$A:$A, 0), MATCH($B27, 'Daily 사주 raw'!$1:$1, 0)), ""), IF(val=0, "", val))</f>
        <v>154</v>
      </c>
      <c r="AN27" s="60">
        <f t="array" ref="AN27">LET(val, IFERROR(INDEX('Daily 사주 raw'!$A:$ZZ, MATCH(AN$2, 'Daily 사주 raw'!$A:$A, 0), MATCH($B27, 'Daily 사주 raw'!$1:$1, 0)), ""), IF(val=0, "", val))</f>
        <v>117</v>
      </c>
      <c r="AO27" s="60">
        <f t="array" ref="AO27">LET(val, IFERROR(INDEX('Daily 사주 raw'!$A:$ZZ, MATCH(AO$2, 'Daily 사주 raw'!$A:$A, 0), MATCH($B27, 'Daily 사주 raw'!$1:$1, 0)), ""), IF(val=0, "", val))</f>
        <v>137</v>
      </c>
      <c r="AP27" s="60">
        <f t="array" ref="AP27">LET(val, IFERROR(INDEX('Daily 사주 raw'!$A:$ZZ, MATCH(AP$2, 'Daily 사주 raw'!$A:$A, 0), MATCH($B27, 'Daily 사주 raw'!$1:$1, 0)), ""), IF(val=0, "", val))</f>
        <v>149</v>
      </c>
      <c r="AQ27" s="60">
        <f t="array" ref="AQ27">LET(val, IFERROR(INDEX('Daily 사주 raw'!$A:$ZZ, MATCH(AQ$2, 'Daily 사주 raw'!$A:$A, 0), MATCH($B27, 'Daily 사주 raw'!$1:$1, 0)), ""), IF(val=0, "", val))</f>
        <v>117</v>
      </c>
      <c r="AR27" s="60">
        <f t="array" ref="AR27">LET(val, IFERROR(INDEX('Daily 사주 raw'!$A:$ZZ, MATCH(AR$2, 'Daily 사주 raw'!$A:$A, 0), MATCH($B27, 'Daily 사주 raw'!$1:$1, 0)), ""), IF(val=0, "", val))</f>
        <v>142</v>
      </c>
      <c r="AS27" s="60">
        <f t="array" ref="AS27">LET(val, IFERROR(INDEX('Daily 사주 raw'!$A:$ZZ, MATCH(AS$2, 'Daily 사주 raw'!$A:$A, 0), MATCH($B27, 'Daily 사주 raw'!$1:$1, 0)), ""), IF(val=0, "", val))</f>
        <v>142</v>
      </c>
      <c r="AT27" s="60">
        <f t="array" ref="AT27">LET(val, IFERROR(INDEX('Daily 사주 raw'!$A:$ZZ, MATCH(AT$2, 'Daily 사주 raw'!$A:$A, 0), MATCH($B27, 'Daily 사주 raw'!$1:$1, 0)), ""), IF(val=0, "", val))</f>
        <v>91</v>
      </c>
      <c r="AU27" s="60">
        <f t="array" ref="AU27">LET(val, IFERROR(INDEX('Daily 사주 raw'!$A:$ZZ, MATCH(AU$2, 'Daily 사주 raw'!$A:$A, 0), MATCH($B27, 'Daily 사주 raw'!$1:$1, 0)), ""), IF(val=0, "", val))</f>
        <v>61</v>
      </c>
      <c r="AV27" s="60">
        <f t="array" ref="AV27">LET(val, IFERROR(INDEX('Daily 사주 raw'!$A:$ZZ, MATCH(AV$2, 'Daily 사주 raw'!$A:$A, 0), MATCH($B27, 'Daily 사주 raw'!$1:$1, 0)), ""), IF(val=0, "", val))</f>
        <v>49</v>
      </c>
      <c r="AW27" s="60">
        <f t="array" ref="AW27">LET(val, IFERROR(INDEX('Daily 사주 raw'!$A:$ZZ, MATCH(AW$2, 'Daily 사주 raw'!$A:$A, 0), MATCH($B27, 'Daily 사주 raw'!$1:$1, 0)), ""), IF(val=0, "", val))</f>
        <v>50</v>
      </c>
      <c r="AX27" s="60">
        <f t="array" ref="AX27">LET(val, IFERROR(INDEX('Daily 사주 raw'!$A:$ZZ, MATCH(AX$2, 'Daily 사주 raw'!$A:$A, 0), MATCH($B27, 'Daily 사주 raw'!$1:$1, 0)), ""), IF(val=0, "", val))</f>
        <v>44</v>
      </c>
      <c r="AY27" s="60">
        <f t="array" ref="AY27">LET(val, IFERROR(INDEX('Daily 사주 raw'!$A:$ZZ, MATCH(AY$2, 'Daily 사주 raw'!$A:$A, 0), MATCH($B27, 'Daily 사주 raw'!$1:$1, 0)), ""), IF(val=0, "", val))</f>
        <v>41</v>
      </c>
      <c r="AZ27" s="60">
        <f t="array" ref="AZ27">LET(val, IFERROR(INDEX('Daily 사주 raw'!$A:$ZZ, MATCH(AZ$2, 'Daily 사주 raw'!$A:$A, 0), MATCH($B27, 'Daily 사주 raw'!$1:$1, 0)), ""), IF(val=0, "", val))</f>
        <v>39</v>
      </c>
      <c r="BA27" s="60">
        <f t="array" ref="BA27">LET(val, IFERROR(INDEX('Daily 사주 raw'!$A:$ZZ, MATCH(BA$2, 'Daily 사주 raw'!$A:$A, 0), MATCH($B27, 'Daily 사주 raw'!$1:$1, 0)), ""), IF(val=0, "", val))</f>
        <v>61</v>
      </c>
      <c r="BB27" s="60">
        <f t="array" ref="BB27">LET(val, IFERROR(INDEX('Daily 사주 raw'!$A:$ZZ, MATCH(BB$2, 'Daily 사주 raw'!$A:$A, 0), MATCH($B27, 'Daily 사주 raw'!$1:$1, 0)), ""), IF(val=0, "", val))</f>
        <v>55</v>
      </c>
      <c r="BC27" s="60">
        <f t="array" ref="BC27">LET(val, IFERROR(INDEX('Daily 사주 raw'!$A:$ZZ, MATCH(BC$2, 'Daily 사주 raw'!$A:$A, 0), MATCH($B27, 'Daily 사주 raw'!$1:$1, 0)), ""), IF(val=0, "", val))</f>
        <v>44</v>
      </c>
      <c r="BD27" s="60">
        <f t="array" ref="BD27">LET(val, IFERROR(INDEX('Daily 사주 raw'!$A:$ZZ, MATCH(BD$2, 'Daily 사주 raw'!$A:$A, 0), MATCH($B27, 'Daily 사주 raw'!$1:$1, 0)), ""), IF(val=0, "", val))</f>
        <v>44</v>
      </c>
      <c r="BE27" s="60" t="str">
        <f t="array" ref="BE27">LET(val, IFERROR(INDEX('Daily 사주 raw'!$A:$ZZ, MATCH(BE$2, 'Daily 사주 raw'!$A:$A, 0), MATCH($B27, 'Daily 사주 raw'!$1:$1, 0)), ""), IF(val=0, "", val))</f>
        <v/>
      </c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</row>
    <row r="28" ht="18.75" customHeight="1">
      <c r="A28" s="17"/>
      <c r="B28" s="16" t="s">
        <v>48</v>
      </c>
      <c r="C28" s="17" t="s">
        <v>20</v>
      </c>
      <c r="D28" s="60">
        <f t="array" ref="D28">LET(val, IFERROR(INDEX('Daily 사주 raw'!$A:$ZZ, MATCH(D$2, 'Daily 사주 raw'!$A:$A, 0), MATCH($B28, 'Daily 사주 raw'!$1:$1, 0)), ""), IF(val=0, "", val))</f>
        <v>2</v>
      </c>
      <c r="E28" s="60" t="str">
        <f t="array" ref="E28">LET(val, IFERROR(INDEX('Daily 사주 raw'!$A:$ZZ, MATCH(E$2, 'Daily 사주 raw'!$A:$A, 0), MATCH($B28, 'Daily 사주 raw'!$1:$1, 0)), ""), IF(val=0, "", val))</f>
        <v/>
      </c>
      <c r="F28" s="60">
        <f t="array" ref="F28">LET(val, IFERROR(INDEX('Daily 사주 raw'!$A:$ZZ, MATCH(F$2, 'Daily 사주 raw'!$A:$A, 0), MATCH($B28, 'Daily 사주 raw'!$1:$1, 0)), ""), IF(val=0, "", val))</f>
        <v>3</v>
      </c>
      <c r="G28" s="60">
        <f t="array" ref="G28">LET(val, IFERROR(INDEX('Daily 사주 raw'!$A:$ZZ, MATCH(G$2, 'Daily 사주 raw'!$A:$A, 0), MATCH($B28, 'Daily 사주 raw'!$1:$1, 0)), ""), IF(val=0, "", val))</f>
        <v>2</v>
      </c>
      <c r="H28" s="60">
        <f t="array" ref="H28">LET(val, IFERROR(INDEX('Daily 사주 raw'!$A:$ZZ, MATCH(H$2, 'Daily 사주 raw'!$A:$A, 0), MATCH($B28, 'Daily 사주 raw'!$1:$1, 0)), ""), IF(val=0, "", val))</f>
        <v>2</v>
      </c>
      <c r="I28" s="60">
        <f t="array" ref="I28">LET(val, IFERROR(INDEX('Daily 사주 raw'!$A:$ZZ, MATCH(I$2, 'Daily 사주 raw'!$A:$A, 0), MATCH($B28, 'Daily 사주 raw'!$1:$1, 0)), ""), IF(val=0, "", val))</f>
        <v>5</v>
      </c>
      <c r="J28" s="60">
        <f t="array" ref="J28">LET(val, IFERROR(INDEX('Daily 사주 raw'!$A:$ZZ, MATCH(J$2, 'Daily 사주 raw'!$A:$A, 0), MATCH($B28, 'Daily 사주 raw'!$1:$1, 0)), ""), IF(val=0, "", val))</f>
        <v>4</v>
      </c>
      <c r="K28" s="60">
        <f t="array" ref="K28">LET(val, IFERROR(INDEX('Daily 사주 raw'!$A:$ZZ, MATCH(K$2, 'Daily 사주 raw'!$A:$A, 0), MATCH($B28, 'Daily 사주 raw'!$1:$1, 0)), ""), IF(val=0, "", val))</f>
        <v>5</v>
      </c>
      <c r="L28" s="60">
        <f t="array" ref="L28">LET(val, IFERROR(INDEX('Daily 사주 raw'!$A:$ZZ, MATCH(L$2, 'Daily 사주 raw'!$A:$A, 0), MATCH($B28, 'Daily 사주 raw'!$1:$1, 0)), ""), IF(val=0, "", val))</f>
        <v>4</v>
      </c>
      <c r="M28" s="60">
        <f t="array" ref="M28">LET(val, IFERROR(INDEX('Daily 사주 raw'!$A:$ZZ, MATCH(M$2, 'Daily 사주 raw'!$A:$A, 0), MATCH($B28, 'Daily 사주 raw'!$1:$1, 0)), ""), IF(val=0, "", val))</f>
        <v>5</v>
      </c>
      <c r="N28" s="60">
        <f t="array" ref="N28">LET(val, IFERROR(INDEX('Daily 사주 raw'!$A:$ZZ, MATCH(N$2, 'Daily 사주 raw'!$A:$A, 0), MATCH($B28, 'Daily 사주 raw'!$1:$1, 0)), ""), IF(val=0, "", val))</f>
        <v>2</v>
      </c>
      <c r="O28" s="60">
        <f t="array" ref="O28">LET(val, IFERROR(INDEX('Daily 사주 raw'!$A:$ZZ, MATCH(O$2, 'Daily 사주 raw'!$A:$A, 0), MATCH($B28, 'Daily 사주 raw'!$1:$1, 0)), ""), IF(val=0, "", val))</f>
        <v>7</v>
      </c>
      <c r="P28" s="60">
        <f t="array" ref="P28">LET(val, IFERROR(INDEX('Daily 사주 raw'!$A:$ZZ, MATCH(P$2, 'Daily 사주 raw'!$A:$A, 0), MATCH($B28, 'Daily 사주 raw'!$1:$1, 0)), ""), IF(val=0, "", val))</f>
        <v>7</v>
      </c>
      <c r="Q28" s="60">
        <f t="array" ref="Q28">LET(val, IFERROR(INDEX('Daily 사주 raw'!$A:$ZZ, MATCH(Q$2, 'Daily 사주 raw'!$A:$A, 0), MATCH($B28, 'Daily 사주 raw'!$1:$1, 0)), ""), IF(val=0, "", val))</f>
        <v>7</v>
      </c>
      <c r="R28" s="60">
        <f t="array" ref="R28">LET(val, IFERROR(INDEX('Daily 사주 raw'!$A:$ZZ, MATCH(R$2, 'Daily 사주 raw'!$A:$A, 0), MATCH($B28, 'Daily 사주 raw'!$1:$1, 0)), ""), IF(val=0, "", val))</f>
        <v>4</v>
      </c>
      <c r="S28" s="60">
        <f t="array" ref="S28">LET(val, IFERROR(INDEX('Daily 사주 raw'!$A:$ZZ, MATCH(S$2, 'Daily 사주 raw'!$A:$A, 0), MATCH($B28, 'Daily 사주 raw'!$1:$1, 0)), ""), IF(val=0, "", val))</f>
        <v>5</v>
      </c>
      <c r="T28" s="60">
        <f t="array" ref="T28">LET(val, IFERROR(INDEX('Daily 사주 raw'!$A:$ZZ, MATCH(T$2, 'Daily 사주 raw'!$A:$A, 0), MATCH($B28, 'Daily 사주 raw'!$1:$1, 0)), ""), IF(val=0, "", val))</f>
        <v>8</v>
      </c>
      <c r="U28" s="60">
        <f t="array" ref="U28">LET(val, IFERROR(INDEX('Daily 사주 raw'!$A:$ZZ, MATCH(U$2, 'Daily 사주 raw'!$A:$A, 0), MATCH($B28, 'Daily 사주 raw'!$1:$1, 0)), ""), IF(val=0, "", val))</f>
        <v>12</v>
      </c>
      <c r="V28" s="60">
        <f t="array" ref="V28">LET(val, IFERROR(INDEX('Daily 사주 raw'!$A:$ZZ, MATCH(V$2, 'Daily 사주 raw'!$A:$A, 0), MATCH($B28, 'Daily 사주 raw'!$1:$1, 0)), ""), IF(val=0, "", val))</f>
        <v>9</v>
      </c>
      <c r="W28" s="60">
        <f t="array" ref="W28">LET(val, IFERROR(INDEX('Daily 사주 raw'!$A:$ZZ, MATCH(W$2, 'Daily 사주 raw'!$A:$A, 0), MATCH($B28, 'Daily 사주 raw'!$1:$1, 0)), ""), IF(val=0, "", val))</f>
        <v>6</v>
      </c>
      <c r="X28" s="60">
        <f t="array" ref="X28">LET(val, IFERROR(INDEX('Daily 사주 raw'!$A:$ZZ, MATCH(X$2, 'Daily 사주 raw'!$A:$A, 0), MATCH($B28, 'Daily 사주 raw'!$1:$1, 0)), ""), IF(val=0, "", val))</f>
        <v>9</v>
      </c>
      <c r="Y28" s="60">
        <f t="array" ref="Y28">LET(val, IFERROR(INDEX('Daily 사주 raw'!$A:$ZZ, MATCH(Y$2, 'Daily 사주 raw'!$A:$A, 0), MATCH($B28, 'Daily 사주 raw'!$1:$1, 0)), ""), IF(val=0, "", val))</f>
        <v>12</v>
      </c>
      <c r="Z28" s="60">
        <f t="array" ref="Z28">LET(val, IFERROR(INDEX('Daily 사주 raw'!$A:$ZZ, MATCH(Z$2, 'Daily 사주 raw'!$A:$A, 0), MATCH($B28, 'Daily 사주 raw'!$1:$1, 0)), ""), IF(val=0, "", val))</f>
        <v>2</v>
      </c>
      <c r="AA28" s="60">
        <f t="array" ref="AA28">LET(val, IFERROR(INDEX('Daily 사주 raw'!$A:$ZZ, MATCH(AA$2, 'Daily 사주 raw'!$A:$A, 0), MATCH($B28, 'Daily 사주 raw'!$1:$1, 0)), ""), IF(val=0, "", val))</f>
        <v>5</v>
      </c>
      <c r="AB28" s="60">
        <f t="array" ref="AB28">LET(val, IFERROR(INDEX('Daily 사주 raw'!$A:$ZZ, MATCH(AB$2, 'Daily 사주 raw'!$A:$A, 0), MATCH($B28, 'Daily 사주 raw'!$1:$1, 0)), ""), IF(val=0, "", val))</f>
        <v>9</v>
      </c>
      <c r="AC28" s="60">
        <f t="array" ref="AC28">LET(val, IFERROR(INDEX('Daily 사주 raw'!$A:$ZZ, MATCH(AC$2, 'Daily 사주 raw'!$A:$A, 0), MATCH($B28, 'Daily 사주 raw'!$1:$1, 0)), ""), IF(val=0, "", val))</f>
        <v>5</v>
      </c>
      <c r="AD28" s="60">
        <f t="array" ref="AD28">LET(val, IFERROR(INDEX('Daily 사주 raw'!$A:$ZZ, MATCH(AD$2, 'Daily 사주 raw'!$A:$A, 0), MATCH($B28, 'Daily 사주 raw'!$1:$1, 0)), ""), IF(val=0, "", val))</f>
        <v>3</v>
      </c>
      <c r="AE28" s="60">
        <f t="array" ref="AE28">LET(val, IFERROR(INDEX('Daily 사주 raw'!$A:$ZZ, MATCH(AE$2, 'Daily 사주 raw'!$A:$A, 0), MATCH($B28, 'Daily 사주 raw'!$1:$1, 0)), ""), IF(val=0, "", val))</f>
        <v>9</v>
      </c>
      <c r="AF28" s="60">
        <f t="array" ref="AF28">LET(val, IFERROR(INDEX('Daily 사주 raw'!$A:$ZZ, MATCH(AF$2, 'Daily 사주 raw'!$A:$A, 0), MATCH($B28, 'Daily 사주 raw'!$1:$1, 0)), ""), IF(val=0, "", val))</f>
        <v>23</v>
      </c>
      <c r="AG28" s="60">
        <f t="array" ref="AG28">LET(val, IFERROR(INDEX('Daily 사주 raw'!$A:$ZZ, MATCH(AG$2, 'Daily 사주 raw'!$A:$A, 0), MATCH($B28, 'Daily 사주 raw'!$1:$1, 0)), ""), IF(val=0, "", val))</f>
        <v>18</v>
      </c>
      <c r="AH28" s="60">
        <f t="array" ref="AH28">LET(val, IFERROR(INDEX('Daily 사주 raw'!$A:$ZZ, MATCH(AH$2, 'Daily 사주 raw'!$A:$A, 0), MATCH($B28, 'Daily 사주 raw'!$1:$1, 0)), ""), IF(val=0, "", val))</f>
        <v>18</v>
      </c>
      <c r="AI28" s="60">
        <f t="array" ref="AI28">LET(val, IFERROR(INDEX('Daily 사주 raw'!$A:$ZZ, MATCH(AI$2, 'Daily 사주 raw'!$A:$A, 0), MATCH($B28, 'Daily 사주 raw'!$1:$1, 0)), ""), IF(val=0, "", val))</f>
        <v>20</v>
      </c>
      <c r="AJ28" s="60">
        <f t="array" ref="AJ28">LET(val, IFERROR(INDEX('Daily 사주 raw'!$A:$ZZ, MATCH(AJ$2, 'Daily 사주 raw'!$A:$A, 0), MATCH($B28, 'Daily 사주 raw'!$1:$1, 0)), ""), IF(val=0, "", val))</f>
        <v>17</v>
      </c>
      <c r="AK28" s="60">
        <f t="array" ref="AK28">LET(val, IFERROR(INDEX('Daily 사주 raw'!$A:$ZZ, MATCH(AK$2, 'Daily 사주 raw'!$A:$A, 0), MATCH($B28, 'Daily 사주 raw'!$1:$1, 0)), ""), IF(val=0, "", val))</f>
        <v>16</v>
      </c>
      <c r="AL28" s="60">
        <f t="array" ref="AL28">LET(val, IFERROR(INDEX('Daily 사주 raw'!$A:$ZZ, MATCH(AL$2, 'Daily 사주 raw'!$A:$A, 0), MATCH($B28, 'Daily 사주 raw'!$1:$1, 0)), ""), IF(val=0, "", val))</f>
        <v>9</v>
      </c>
      <c r="AM28" s="60">
        <f t="array" ref="AM28">LET(val, IFERROR(INDEX('Daily 사주 raw'!$A:$ZZ, MATCH(AM$2, 'Daily 사주 raw'!$A:$A, 0), MATCH($B28, 'Daily 사주 raw'!$1:$1, 0)), ""), IF(val=0, "", val))</f>
        <v>14</v>
      </c>
      <c r="AN28" s="60">
        <f t="array" ref="AN28">LET(val, IFERROR(INDEX('Daily 사주 raw'!$A:$ZZ, MATCH(AN$2, 'Daily 사주 raw'!$A:$A, 0), MATCH($B28, 'Daily 사주 raw'!$1:$1, 0)), ""), IF(val=0, "", val))</f>
        <v>7</v>
      </c>
      <c r="AO28" s="60">
        <f t="array" ref="AO28">LET(val, IFERROR(INDEX('Daily 사주 raw'!$A:$ZZ, MATCH(AO$2, 'Daily 사주 raw'!$A:$A, 0), MATCH($B28, 'Daily 사주 raw'!$1:$1, 0)), ""), IF(val=0, "", val))</f>
        <v>3</v>
      </c>
      <c r="AP28" s="60">
        <f t="array" ref="AP28">LET(val, IFERROR(INDEX('Daily 사주 raw'!$A:$ZZ, MATCH(AP$2, 'Daily 사주 raw'!$A:$A, 0), MATCH($B28, 'Daily 사주 raw'!$1:$1, 0)), ""), IF(val=0, "", val))</f>
        <v>4</v>
      </c>
      <c r="AQ28" s="60" t="str">
        <f t="array" ref="AQ28">LET(val, IFERROR(INDEX('Daily 사주 raw'!$A:$ZZ, MATCH(AQ$2, 'Daily 사주 raw'!$A:$A, 0), MATCH($B28, 'Daily 사주 raw'!$1:$1, 0)), ""), IF(val=0, "", val))</f>
        <v/>
      </c>
      <c r="AR28" s="60">
        <f t="array" ref="AR28">LET(val, IFERROR(INDEX('Daily 사주 raw'!$A:$ZZ, MATCH(AR$2, 'Daily 사주 raw'!$A:$A, 0), MATCH($B28, 'Daily 사주 raw'!$1:$1, 0)), ""), IF(val=0, "", val))</f>
        <v>7</v>
      </c>
      <c r="AS28" s="60">
        <f t="array" ref="AS28">LET(val, IFERROR(INDEX('Daily 사주 raw'!$A:$ZZ, MATCH(AS$2, 'Daily 사주 raw'!$A:$A, 0), MATCH($B28, 'Daily 사주 raw'!$1:$1, 0)), ""), IF(val=0, "", val))</f>
        <v>2</v>
      </c>
      <c r="AT28" s="60">
        <f t="array" ref="AT28">LET(val, IFERROR(INDEX('Daily 사주 raw'!$A:$ZZ, MATCH(AT$2, 'Daily 사주 raw'!$A:$A, 0), MATCH($B28, 'Daily 사주 raw'!$1:$1, 0)), ""), IF(val=0, "", val))</f>
        <v>4</v>
      </c>
      <c r="AU28" s="60">
        <f t="array" ref="AU28">LET(val, IFERROR(INDEX('Daily 사주 raw'!$A:$ZZ, MATCH(AU$2, 'Daily 사주 raw'!$A:$A, 0), MATCH($B28, 'Daily 사주 raw'!$1:$1, 0)), ""), IF(val=0, "", val))</f>
        <v>3</v>
      </c>
      <c r="AV28" s="60">
        <f t="array" ref="AV28">LET(val, IFERROR(INDEX('Daily 사주 raw'!$A:$ZZ, MATCH(AV$2, 'Daily 사주 raw'!$A:$A, 0), MATCH($B28, 'Daily 사주 raw'!$1:$1, 0)), ""), IF(val=0, "", val))</f>
        <v>4</v>
      </c>
      <c r="AW28" s="60">
        <f t="array" ref="AW28">LET(val, IFERROR(INDEX('Daily 사주 raw'!$A:$ZZ, MATCH(AW$2, 'Daily 사주 raw'!$A:$A, 0), MATCH($B28, 'Daily 사주 raw'!$1:$1, 0)), ""), IF(val=0, "", val))</f>
        <v>4</v>
      </c>
      <c r="AX28" s="60">
        <f t="array" ref="AX28">LET(val, IFERROR(INDEX('Daily 사주 raw'!$A:$ZZ, MATCH(AX$2, 'Daily 사주 raw'!$A:$A, 0), MATCH($B28, 'Daily 사주 raw'!$1:$1, 0)), ""), IF(val=0, "", val))</f>
        <v>2</v>
      </c>
      <c r="AY28" s="60">
        <f t="array" ref="AY28">LET(val, IFERROR(INDEX('Daily 사주 raw'!$A:$ZZ, MATCH(AY$2, 'Daily 사주 raw'!$A:$A, 0), MATCH($B28, 'Daily 사주 raw'!$1:$1, 0)), ""), IF(val=0, "", val))</f>
        <v>1</v>
      </c>
      <c r="AZ28" s="60">
        <f t="array" ref="AZ28">LET(val, IFERROR(INDEX('Daily 사주 raw'!$A:$ZZ, MATCH(AZ$2, 'Daily 사주 raw'!$A:$A, 0), MATCH($B28, 'Daily 사주 raw'!$1:$1, 0)), ""), IF(val=0, "", val))</f>
        <v>2</v>
      </c>
      <c r="BA28" s="60">
        <f t="array" ref="BA28">LET(val, IFERROR(INDEX('Daily 사주 raw'!$A:$ZZ, MATCH(BA$2, 'Daily 사주 raw'!$A:$A, 0), MATCH($B28, 'Daily 사주 raw'!$1:$1, 0)), ""), IF(val=0, "", val))</f>
        <v>3</v>
      </c>
      <c r="BB28" s="60">
        <f t="array" ref="BB28">LET(val, IFERROR(INDEX('Daily 사주 raw'!$A:$ZZ, MATCH(BB$2, 'Daily 사주 raw'!$A:$A, 0), MATCH($B28, 'Daily 사주 raw'!$1:$1, 0)), ""), IF(val=0, "", val))</f>
        <v>3</v>
      </c>
      <c r="BC28" s="60" t="str">
        <f t="array" ref="BC28">LET(val, IFERROR(INDEX('Daily 사주 raw'!$A:$ZZ, MATCH(BC$2, 'Daily 사주 raw'!$A:$A, 0), MATCH($B28, 'Daily 사주 raw'!$1:$1, 0)), ""), IF(val=0, "", val))</f>
        <v/>
      </c>
      <c r="BD28" s="60">
        <f t="array" ref="BD28">LET(val, IFERROR(INDEX('Daily 사주 raw'!$A:$ZZ, MATCH(BD$2, 'Daily 사주 raw'!$A:$A, 0), MATCH($B28, 'Daily 사주 raw'!$1:$1, 0)), ""), IF(val=0, "", val))</f>
        <v>2</v>
      </c>
      <c r="BE28" s="60" t="str">
        <f t="array" ref="BE28">LET(val, IFERROR(INDEX('Daily 사주 raw'!$A:$ZZ, MATCH(BE$2, 'Daily 사주 raw'!$A:$A, 0), MATCH($B28, 'Daily 사주 raw'!$1:$1, 0)), ""), IF(val=0, "", val))</f>
        <v/>
      </c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</row>
    <row r="29">
      <c r="A29" s="30"/>
      <c r="B29" s="16"/>
      <c r="C29" s="30" t="s">
        <v>49</v>
      </c>
      <c r="D29" s="60" t="str">
        <f t="array" ref="D29">LET(val, IFERROR(INDEX('Daily 사주 raw'!$A:$ZZ, MATCH(D$2, 'Daily 사주 raw'!$A:$A, 0), MATCH($B29, 'Daily 사주 raw'!$1:$1, 0)), ""), IF(val=0, "", val))</f>
        <v/>
      </c>
      <c r="E29" s="60" t="str">
        <f t="array" ref="E29">LET(val, IFERROR(INDEX('Daily 사주 raw'!$A:$ZZ, MATCH(E$2, 'Daily 사주 raw'!$A:$A, 0), MATCH($B29, 'Daily 사주 raw'!$1:$1, 0)), ""), IF(val=0, "", val))</f>
        <v/>
      </c>
      <c r="F29" s="60" t="str">
        <f t="array" ref="F29">LET(val, IFERROR(INDEX('Daily 사주 raw'!$A:$ZZ, MATCH(F$2, 'Daily 사주 raw'!$A:$A, 0), MATCH($B29, 'Daily 사주 raw'!$1:$1, 0)), ""), IF(val=0, "", val))</f>
        <v/>
      </c>
      <c r="G29" s="60" t="str">
        <f t="array" ref="G29">LET(val, IFERROR(INDEX('Daily 사주 raw'!$A:$ZZ, MATCH(G$2, 'Daily 사주 raw'!$A:$A, 0), MATCH($B29, 'Daily 사주 raw'!$1:$1, 0)), ""), IF(val=0, "", val))</f>
        <v/>
      </c>
      <c r="H29" s="60" t="str">
        <f t="array" ref="H29">LET(val, IFERROR(INDEX('Daily 사주 raw'!$A:$ZZ, MATCH(H$2, 'Daily 사주 raw'!$A:$A, 0), MATCH($B29, 'Daily 사주 raw'!$1:$1, 0)), ""), IF(val=0, "", val))</f>
        <v/>
      </c>
      <c r="I29" s="60" t="str">
        <f t="array" ref="I29">LET(val, IFERROR(INDEX('Daily 사주 raw'!$A:$ZZ, MATCH(I$2, 'Daily 사주 raw'!$A:$A, 0), MATCH($B29, 'Daily 사주 raw'!$1:$1, 0)), ""), IF(val=0, "", val))</f>
        <v/>
      </c>
      <c r="J29" s="60" t="str">
        <f t="array" ref="J29">LET(val, IFERROR(INDEX('Daily 사주 raw'!$A:$ZZ, MATCH(J$2, 'Daily 사주 raw'!$A:$A, 0), MATCH($B29, 'Daily 사주 raw'!$1:$1, 0)), ""), IF(val=0, "", val))</f>
        <v/>
      </c>
      <c r="K29" s="60" t="str">
        <f t="array" ref="K29">LET(val, IFERROR(INDEX('Daily 사주 raw'!$A:$ZZ, MATCH(K$2, 'Daily 사주 raw'!$A:$A, 0), MATCH($B29, 'Daily 사주 raw'!$1:$1, 0)), ""), IF(val=0, "", val))</f>
        <v/>
      </c>
      <c r="L29" s="60" t="str">
        <f t="array" ref="L29">LET(val, IFERROR(INDEX('Daily 사주 raw'!$A:$ZZ, MATCH(L$2, 'Daily 사주 raw'!$A:$A, 0), MATCH($B29, 'Daily 사주 raw'!$1:$1, 0)), ""), IF(val=0, "", val))</f>
        <v/>
      </c>
      <c r="M29" s="60" t="str">
        <f t="array" ref="M29">LET(val, IFERROR(INDEX('Daily 사주 raw'!$A:$ZZ, MATCH(M$2, 'Daily 사주 raw'!$A:$A, 0), MATCH($B29, 'Daily 사주 raw'!$1:$1, 0)), ""), IF(val=0, "", val))</f>
        <v/>
      </c>
      <c r="N29" s="60" t="str">
        <f t="array" ref="N29">LET(val, IFERROR(INDEX('Daily 사주 raw'!$A:$ZZ, MATCH(N$2, 'Daily 사주 raw'!$A:$A, 0), MATCH($B29, 'Daily 사주 raw'!$1:$1, 0)), ""), IF(val=0, "", val))</f>
        <v/>
      </c>
      <c r="O29" s="60" t="str">
        <f t="array" ref="O29">LET(val, IFERROR(INDEX('Daily 사주 raw'!$A:$ZZ, MATCH(O$2, 'Daily 사주 raw'!$A:$A, 0), MATCH($B29, 'Daily 사주 raw'!$1:$1, 0)), ""), IF(val=0, "", val))</f>
        <v/>
      </c>
      <c r="P29" s="60" t="str">
        <f t="array" ref="P29">LET(val, IFERROR(INDEX('Daily 사주 raw'!$A:$ZZ, MATCH(P$2, 'Daily 사주 raw'!$A:$A, 0), MATCH($B29, 'Daily 사주 raw'!$1:$1, 0)), ""), IF(val=0, "", val))</f>
        <v/>
      </c>
      <c r="Q29" s="60" t="str">
        <f t="array" ref="Q29">LET(val, IFERROR(INDEX('Daily 사주 raw'!$A:$ZZ, MATCH(Q$2, 'Daily 사주 raw'!$A:$A, 0), MATCH($B29, 'Daily 사주 raw'!$1:$1, 0)), ""), IF(val=0, "", val))</f>
        <v/>
      </c>
      <c r="R29" s="60" t="str">
        <f t="array" ref="R29">LET(val, IFERROR(INDEX('Daily 사주 raw'!$A:$ZZ, MATCH(R$2, 'Daily 사주 raw'!$A:$A, 0), MATCH($B29, 'Daily 사주 raw'!$1:$1, 0)), ""), IF(val=0, "", val))</f>
        <v/>
      </c>
      <c r="S29" s="60" t="str">
        <f t="array" ref="S29">LET(val, IFERROR(INDEX('Daily 사주 raw'!$A:$ZZ, MATCH(S$2, 'Daily 사주 raw'!$A:$A, 0), MATCH($B29, 'Daily 사주 raw'!$1:$1, 0)), ""), IF(val=0, "", val))</f>
        <v/>
      </c>
      <c r="T29" s="60" t="str">
        <f t="array" ref="T29">LET(val, IFERROR(INDEX('Daily 사주 raw'!$A:$ZZ, MATCH(T$2, 'Daily 사주 raw'!$A:$A, 0), MATCH($B29, 'Daily 사주 raw'!$1:$1, 0)), ""), IF(val=0, "", val))</f>
        <v/>
      </c>
      <c r="U29" s="60" t="str">
        <f t="array" ref="U29">LET(val, IFERROR(INDEX('Daily 사주 raw'!$A:$ZZ, MATCH(U$2, 'Daily 사주 raw'!$A:$A, 0), MATCH($B29, 'Daily 사주 raw'!$1:$1, 0)), ""), IF(val=0, "", val))</f>
        <v/>
      </c>
      <c r="V29" s="60" t="str">
        <f t="array" ref="V29">LET(val, IFERROR(INDEX('Daily 사주 raw'!$A:$ZZ, MATCH(V$2, 'Daily 사주 raw'!$A:$A, 0), MATCH($B29, 'Daily 사주 raw'!$1:$1, 0)), ""), IF(val=0, "", val))</f>
        <v/>
      </c>
      <c r="W29" s="60" t="str">
        <f t="array" ref="W29">LET(val, IFERROR(INDEX('Daily 사주 raw'!$A:$ZZ, MATCH(W$2, 'Daily 사주 raw'!$A:$A, 0), MATCH($B29, 'Daily 사주 raw'!$1:$1, 0)), ""), IF(val=0, "", val))</f>
        <v/>
      </c>
      <c r="X29" s="60" t="str">
        <f t="array" ref="X29">LET(val, IFERROR(INDEX('Daily 사주 raw'!$A:$ZZ, MATCH(X$2, 'Daily 사주 raw'!$A:$A, 0), MATCH($B29, 'Daily 사주 raw'!$1:$1, 0)), ""), IF(val=0, "", val))</f>
        <v/>
      </c>
      <c r="Y29" s="60" t="str">
        <f t="array" ref="Y29">LET(val, IFERROR(INDEX('Daily 사주 raw'!$A:$ZZ, MATCH(Y$2, 'Daily 사주 raw'!$A:$A, 0), MATCH($B29, 'Daily 사주 raw'!$1:$1, 0)), ""), IF(val=0, "", val))</f>
        <v/>
      </c>
      <c r="Z29" s="60" t="str">
        <f t="array" ref="Z29">LET(val, IFERROR(INDEX('Daily 사주 raw'!$A:$ZZ, MATCH(Z$2, 'Daily 사주 raw'!$A:$A, 0), MATCH($B29, 'Daily 사주 raw'!$1:$1, 0)), ""), IF(val=0, "", val))</f>
        <v/>
      </c>
      <c r="AA29" s="60" t="str">
        <f t="array" ref="AA29">LET(val, IFERROR(INDEX('Daily 사주 raw'!$A:$ZZ, MATCH(AA$2, 'Daily 사주 raw'!$A:$A, 0), MATCH($B29, 'Daily 사주 raw'!$1:$1, 0)), ""), IF(val=0, "", val))</f>
        <v/>
      </c>
      <c r="AB29" s="60" t="str">
        <f t="array" ref="AB29">LET(val, IFERROR(INDEX('Daily 사주 raw'!$A:$ZZ, MATCH(AB$2, 'Daily 사주 raw'!$A:$A, 0), MATCH($B29, 'Daily 사주 raw'!$1:$1, 0)), ""), IF(val=0, "", val))</f>
        <v/>
      </c>
      <c r="AC29" s="60" t="str">
        <f t="array" ref="AC29">LET(val, IFERROR(INDEX('Daily 사주 raw'!$A:$ZZ, MATCH(AC$2, 'Daily 사주 raw'!$A:$A, 0), MATCH($B29, 'Daily 사주 raw'!$1:$1, 0)), ""), IF(val=0, "", val))</f>
        <v/>
      </c>
      <c r="AD29" s="60" t="str">
        <f t="array" ref="AD29">LET(val, IFERROR(INDEX('Daily 사주 raw'!$A:$ZZ, MATCH(AD$2, 'Daily 사주 raw'!$A:$A, 0), MATCH($B29, 'Daily 사주 raw'!$1:$1, 0)), ""), IF(val=0, "", val))</f>
        <v/>
      </c>
      <c r="AE29" s="60" t="str">
        <f t="array" ref="AE29">LET(val, IFERROR(INDEX('Daily 사주 raw'!$A:$ZZ, MATCH(AE$2, 'Daily 사주 raw'!$A:$A, 0), MATCH($B29, 'Daily 사주 raw'!$1:$1, 0)), ""), IF(val=0, "", val))</f>
        <v/>
      </c>
      <c r="AF29" s="60" t="str">
        <f t="array" ref="AF29">LET(val, IFERROR(INDEX('Daily 사주 raw'!$A:$ZZ, MATCH(AF$2, 'Daily 사주 raw'!$A:$A, 0), MATCH($B29, 'Daily 사주 raw'!$1:$1, 0)), ""), IF(val=0, "", val))</f>
        <v/>
      </c>
      <c r="AG29" s="60" t="str">
        <f t="array" ref="AG29">LET(val, IFERROR(INDEX('Daily 사주 raw'!$A:$ZZ, MATCH(AG$2, 'Daily 사주 raw'!$A:$A, 0), MATCH($B29, 'Daily 사주 raw'!$1:$1, 0)), ""), IF(val=0, "", val))</f>
        <v/>
      </c>
      <c r="AH29" s="60" t="str">
        <f t="array" ref="AH29">LET(val, IFERROR(INDEX('Daily 사주 raw'!$A:$ZZ, MATCH(AH$2, 'Daily 사주 raw'!$A:$A, 0), MATCH($B29, 'Daily 사주 raw'!$1:$1, 0)), ""), IF(val=0, "", val))</f>
        <v/>
      </c>
      <c r="AI29" s="60" t="str">
        <f t="array" ref="AI29">LET(val, IFERROR(INDEX('Daily 사주 raw'!$A:$ZZ, MATCH(AI$2, 'Daily 사주 raw'!$A:$A, 0), MATCH($B29, 'Daily 사주 raw'!$1:$1, 0)), ""), IF(val=0, "", val))</f>
        <v/>
      </c>
      <c r="AJ29" s="60" t="str">
        <f t="array" ref="AJ29">LET(val, IFERROR(INDEX('Daily 사주 raw'!$A:$ZZ, MATCH(AJ$2, 'Daily 사주 raw'!$A:$A, 0), MATCH($B29, 'Daily 사주 raw'!$1:$1, 0)), ""), IF(val=0, "", val))</f>
        <v/>
      </c>
      <c r="AK29" s="60" t="str">
        <f t="array" ref="AK29">LET(val, IFERROR(INDEX('Daily 사주 raw'!$A:$ZZ, MATCH(AK$2, 'Daily 사주 raw'!$A:$A, 0), MATCH($B29, 'Daily 사주 raw'!$1:$1, 0)), ""), IF(val=0, "", val))</f>
        <v/>
      </c>
      <c r="AL29" s="60" t="str">
        <f t="array" ref="AL29">LET(val, IFERROR(INDEX('Daily 사주 raw'!$A:$ZZ, MATCH(AL$2, 'Daily 사주 raw'!$A:$A, 0), MATCH($B29, 'Daily 사주 raw'!$1:$1, 0)), ""), IF(val=0, "", val))</f>
        <v/>
      </c>
      <c r="AM29" s="60" t="str">
        <f t="array" ref="AM29">LET(val, IFERROR(INDEX('Daily 사주 raw'!$A:$ZZ, MATCH(AM$2, 'Daily 사주 raw'!$A:$A, 0), MATCH($B29, 'Daily 사주 raw'!$1:$1, 0)), ""), IF(val=0, "", val))</f>
        <v/>
      </c>
      <c r="AN29" s="60" t="str">
        <f t="array" ref="AN29">LET(val, IFERROR(INDEX('Daily 사주 raw'!$A:$ZZ, MATCH(AN$2, 'Daily 사주 raw'!$A:$A, 0), MATCH($B29, 'Daily 사주 raw'!$1:$1, 0)), ""), IF(val=0, "", val))</f>
        <v/>
      </c>
      <c r="AO29" s="60" t="str">
        <f t="array" ref="AO29">LET(val, IFERROR(INDEX('Daily 사주 raw'!$A:$ZZ, MATCH(AO$2, 'Daily 사주 raw'!$A:$A, 0), MATCH($B29, 'Daily 사주 raw'!$1:$1, 0)), ""), IF(val=0, "", val))</f>
        <v/>
      </c>
      <c r="AP29" s="60" t="str">
        <f t="array" ref="AP29">LET(val, IFERROR(INDEX('Daily 사주 raw'!$A:$ZZ, MATCH(AP$2, 'Daily 사주 raw'!$A:$A, 0), MATCH($B29, 'Daily 사주 raw'!$1:$1, 0)), ""), IF(val=0, "", val))</f>
        <v/>
      </c>
      <c r="AQ29" s="60" t="str">
        <f t="array" ref="AQ29">LET(val, IFERROR(INDEX('Daily 사주 raw'!$A:$ZZ, MATCH(AQ$2, 'Daily 사주 raw'!$A:$A, 0), MATCH($B29, 'Daily 사주 raw'!$1:$1, 0)), ""), IF(val=0, "", val))</f>
        <v/>
      </c>
      <c r="AR29" s="60" t="str">
        <f t="array" ref="AR29">LET(val, IFERROR(INDEX('Daily 사주 raw'!$A:$ZZ, MATCH(AR$2, 'Daily 사주 raw'!$A:$A, 0), MATCH($B29, 'Daily 사주 raw'!$1:$1, 0)), ""), IF(val=0, "", val))</f>
        <v/>
      </c>
      <c r="AS29" s="60" t="str">
        <f t="array" ref="AS29">LET(val, IFERROR(INDEX('Daily 사주 raw'!$A:$ZZ, MATCH(AS$2, 'Daily 사주 raw'!$A:$A, 0), MATCH($B29, 'Daily 사주 raw'!$1:$1, 0)), ""), IF(val=0, "", val))</f>
        <v/>
      </c>
      <c r="AT29" s="60" t="str">
        <f t="array" ref="AT29">LET(val, IFERROR(INDEX('Daily 사주 raw'!$A:$ZZ, MATCH(AT$2, 'Daily 사주 raw'!$A:$A, 0), MATCH($B29, 'Daily 사주 raw'!$1:$1, 0)), ""), IF(val=0, "", val))</f>
        <v/>
      </c>
      <c r="AU29" s="60" t="str">
        <f t="array" ref="AU29">LET(val, IFERROR(INDEX('Daily 사주 raw'!$A:$ZZ, MATCH(AU$2, 'Daily 사주 raw'!$A:$A, 0), MATCH($B29, 'Daily 사주 raw'!$1:$1, 0)), ""), IF(val=0, "", val))</f>
        <v/>
      </c>
      <c r="AV29" s="60" t="str">
        <f t="array" ref="AV29">LET(val, IFERROR(INDEX('Daily 사주 raw'!$A:$ZZ, MATCH(AV$2, 'Daily 사주 raw'!$A:$A, 0), MATCH($B29, 'Daily 사주 raw'!$1:$1, 0)), ""), IF(val=0, "", val))</f>
        <v/>
      </c>
      <c r="AW29" s="60" t="str">
        <f t="array" ref="AW29">LET(val, IFERROR(INDEX('Daily 사주 raw'!$A:$ZZ, MATCH(AW$2, 'Daily 사주 raw'!$A:$A, 0), MATCH($B29, 'Daily 사주 raw'!$1:$1, 0)), ""), IF(val=0, "", val))</f>
        <v/>
      </c>
      <c r="AX29" s="60" t="str">
        <f t="array" ref="AX29">LET(val, IFERROR(INDEX('Daily 사주 raw'!$A:$ZZ, MATCH(AX$2, 'Daily 사주 raw'!$A:$A, 0), MATCH($B29, 'Daily 사주 raw'!$1:$1, 0)), ""), IF(val=0, "", val))</f>
        <v/>
      </c>
      <c r="AY29" s="60" t="str">
        <f t="array" ref="AY29">LET(val, IFERROR(INDEX('Daily 사주 raw'!$A:$ZZ, MATCH(AY$2, 'Daily 사주 raw'!$A:$A, 0), MATCH($B29, 'Daily 사주 raw'!$1:$1, 0)), ""), IF(val=0, "", val))</f>
        <v/>
      </c>
      <c r="AZ29" s="60" t="str">
        <f t="array" ref="AZ29">LET(val, IFERROR(INDEX('Daily 사주 raw'!$A:$ZZ, MATCH(AZ$2, 'Daily 사주 raw'!$A:$A, 0), MATCH($B29, 'Daily 사주 raw'!$1:$1, 0)), ""), IF(val=0, "", val))</f>
        <v/>
      </c>
      <c r="BA29" s="60" t="str">
        <f t="array" ref="BA29">LET(val, IFERROR(INDEX('Daily 사주 raw'!$A:$ZZ, MATCH(BA$2, 'Daily 사주 raw'!$A:$A, 0), MATCH($B29, 'Daily 사주 raw'!$1:$1, 0)), ""), IF(val=0, "", val))</f>
        <v/>
      </c>
      <c r="BB29" s="60" t="str">
        <f t="array" ref="BB29">LET(val, IFERROR(INDEX('Daily 사주 raw'!$A:$ZZ, MATCH(BB$2, 'Daily 사주 raw'!$A:$A, 0), MATCH($B29, 'Daily 사주 raw'!$1:$1, 0)), ""), IF(val=0, "", val))</f>
        <v/>
      </c>
      <c r="BC29" s="60" t="str">
        <f t="array" ref="BC29">LET(val, IFERROR(INDEX('Daily 사주 raw'!$A:$ZZ, MATCH(BC$2, 'Daily 사주 raw'!$A:$A, 0), MATCH($B29, 'Daily 사주 raw'!$1:$1, 0)), ""), IF(val=0, "", val))</f>
        <v/>
      </c>
      <c r="BD29" s="60" t="str">
        <f t="array" ref="BD29">LET(val, IFERROR(INDEX('Daily 사주 raw'!$A:$ZZ, MATCH(BD$2, 'Daily 사주 raw'!$A:$A, 0), MATCH($B29, 'Daily 사주 raw'!$1:$1, 0)), ""), IF(val=0, "", val))</f>
        <v/>
      </c>
      <c r="BE29" s="60" t="str">
        <f t="array" ref="BE29">LET(val, IFERROR(INDEX('Daily 사주 raw'!$A:$ZZ, MATCH(BE$2, 'Daily 사주 raw'!$A:$A, 0), MATCH($B29, 'Daily 사주 raw'!$1:$1, 0)), ""), IF(val=0, "", val))</f>
        <v/>
      </c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</row>
    <row r="30">
      <c r="A30" s="30"/>
      <c r="B30" s="16" t="s">
        <v>50</v>
      </c>
      <c r="C30" s="17" t="s">
        <v>42</v>
      </c>
      <c r="D30" s="60">
        <f t="array" ref="D30">LET(val, IFERROR(INDEX('Daily 사주 raw'!$A:$ZZ, MATCH(D$2, 'Daily 사주 raw'!$A:$A, 0), MATCH($B30, 'Daily 사주 raw'!$1:$1, 0)), ""), IF(val=0, "", val))</f>
        <v>6587</v>
      </c>
      <c r="E30" s="60">
        <f t="array" ref="E30">LET(val, IFERROR(INDEX('Daily 사주 raw'!$A:$ZZ, MATCH(E$2, 'Daily 사주 raw'!$A:$A, 0), MATCH($B30, 'Daily 사주 raw'!$1:$1, 0)), ""), IF(val=0, "", val))</f>
        <v>4327</v>
      </c>
      <c r="F30" s="60">
        <f t="array" ref="F30">LET(val, IFERROR(INDEX('Daily 사주 raw'!$A:$ZZ, MATCH(F$2, 'Daily 사주 raw'!$A:$A, 0), MATCH($B30, 'Daily 사주 raw'!$1:$1, 0)), ""), IF(val=0, "", val))</f>
        <v>3667</v>
      </c>
      <c r="G30" s="60">
        <f t="array" ref="G30">LET(val, IFERROR(INDEX('Daily 사주 raw'!$A:$ZZ, MATCH(G$2, 'Daily 사주 raw'!$A:$A, 0), MATCH($B30, 'Daily 사주 raw'!$1:$1, 0)), ""), IF(val=0, "", val))</f>
        <v>3596</v>
      </c>
      <c r="H30" s="60">
        <f t="array" ref="H30">LET(val, IFERROR(INDEX('Daily 사주 raw'!$A:$ZZ, MATCH(H$2, 'Daily 사주 raw'!$A:$A, 0), MATCH($B30, 'Daily 사주 raw'!$1:$1, 0)), ""), IF(val=0, "", val))</f>
        <v>3542</v>
      </c>
      <c r="I30" s="60">
        <f t="array" ref="I30">LET(val, IFERROR(INDEX('Daily 사주 raw'!$A:$ZZ, MATCH(I$2, 'Daily 사주 raw'!$A:$A, 0), MATCH($B30, 'Daily 사주 raw'!$1:$1, 0)), ""), IF(val=0, "", val))</f>
        <v>3790</v>
      </c>
      <c r="J30" s="60">
        <f t="array" ref="J30">LET(val, IFERROR(INDEX('Daily 사주 raw'!$A:$ZZ, MATCH(J$2, 'Daily 사주 raw'!$A:$A, 0), MATCH($B30, 'Daily 사주 raw'!$1:$1, 0)), ""), IF(val=0, "", val))</f>
        <v>3790</v>
      </c>
      <c r="K30" s="60">
        <f t="array" ref="K30">LET(val, IFERROR(INDEX('Daily 사주 raw'!$A:$ZZ, MATCH(K$2, 'Daily 사주 raw'!$A:$A, 0), MATCH($B30, 'Daily 사주 raw'!$1:$1, 0)), ""), IF(val=0, "", val))</f>
        <v>3579</v>
      </c>
      <c r="L30" s="60">
        <f t="array" ref="L30">LET(val, IFERROR(INDEX('Daily 사주 raw'!$A:$ZZ, MATCH(L$2, 'Daily 사주 raw'!$A:$A, 0), MATCH($B30, 'Daily 사주 raw'!$1:$1, 0)), ""), IF(val=0, "", val))</f>
        <v>3371</v>
      </c>
      <c r="M30" s="60">
        <f t="array" ref="M30">LET(val, IFERROR(INDEX('Daily 사주 raw'!$A:$ZZ, MATCH(M$2, 'Daily 사주 raw'!$A:$A, 0), MATCH($B30, 'Daily 사주 raw'!$1:$1, 0)), ""), IF(val=0, "", val))</f>
        <v>3710</v>
      </c>
      <c r="N30" s="60">
        <f t="array" ref="N30">LET(val, IFERROR(INDEX('Daily 사주 raw'!$A:$ZZ, MATCH(N$2, 'Daily 사주 raw'!$A:$A, 0), MATCH($B30, 'Daily 사주 raw'!$1:$1, 0)), ""), IF(val=0, "", val))</f>
        <v>3346</v>
      </c>
      <c r="O30" s="60">
        <f t="array" ref="O30">LET(val, IFERROR(INDEX('Daily 사주 raw'!$A:$ZZ, MATCH(O$2, 'Daily 사주 raw'!$A:$A, 0), MATCH($B30, 'Daily 사주 raw'!$1:$1, 0)), ""), IF(val=0, "", val))</f>
        <v>3794</v>
      </c>
      <c r="P30" s="60">
        <f t="array" ref="P30">LET(val, IFERROR(INDEX('Daily 사주 raw'!$A:$ZZ, MATCH(P$2, 'Daily 사주 raw'!$A:$A, 0), MATCH($B30, 'Daily 사주 raw'!$1:$1, 0)), ""), IF(val=0, "", val))</f>
        <v>3719</v>
      </c>
      <c r="Q30" s="60">
        <f t="array" ref="Q30">LET(val, IFERROR(INDEX('Daily 사주 raw'!$A:$ZZ, MATCH(Q$2, 'Daily 사주 raw'!$A:$A, 0), MATCH($B30, 'Daily 사주 raw'!$1:$1, 0)), ""), IF(val=0, "", val))</f>
        <v>3711</v>
      </c>
      <c r="R30" s="60">
        <f t="array" ref="R30">LET(val, IFERROR(INDEX('Daily 사주 raw'!$A:$ZZ, MATCH(R$2, 'Daily 사주 raw'!$A:$A, 0), MATCH($B30, 'Daily 사주 raw'!$1:$1, 0)), ""), IF(val=0, "", val))</f>
        <v>3699</v>
      </c>
      <c r="S30" s="60">
        <f t="array" ref="S30">LET(val, IFERROR(INDEX('Daily 사주 raw'!$A:$ZZ, MATCH(S$2, 'Daily 사주 raw'!$A:$A, 0), MATCH($B30, 'Daily 사주 raw'!$1:$1, 0)), ""), IF(val=0, "", val))</f>
        <v>3767</v>
      </c>
      <c r="T30" s="60">
        <f t="array" ref="T30">LET(val, IFERROR(INDEX('Daily 사주 raw'!$A:$ZZ, MATCH(T$2, 'Daily 사주 raw'!$A:$A, 0), MATCH($B30, 'Daily 사주 raw'!$1:$1, 0)), ""), IF(val=0, "", val))</f>
        <v>5589</v>
      </c>
      <c r="U30" s="60">
        <f t="array" ref="U30">LET(val, IFERROR(INDEX('Daily 사주 raw'!$A:$ZZ, MATCH(U$2, 'Daily 사주 raw'!$A:$A, 0), MATCH($B30, 'Daily 사주 raw'!$1:$1, 0)), ""), IF(val=0, "", val))</f>
        <v>3729</v>
      </c>
      <c r="V30" s="60">
        <f t="array" ref="V30">LET(val, IFERROR(INDEX('Daily 사주 raw'!$A:$ZZ, MATCH(V$2, 'Daily 사주 raw'!$A:$A, 0), MATCH($B30, 'Daily 사주 raw'!$1:$1, 0)), ""), IF(val=0, "", val))</f>
        <v>3311</v>
      </c>
      <c r="W30" s="60">
        <f t="array" ref="W30">LET(val, IFERROR(INDEX('Daily 사주 raw'!$A:$ZZ, MATCH(W$2, 'Daily 사주 raw'!$A:$A, 0), MATCH($B30, 'Daily 사주 raw'!$1:$1, 0)), ""), IF(val=0, "", val))</f>
        <v>11210</v>
      </c>
      <c r="X30" s="60">
        <f t="array" ref="X30">LET(val, IFERROR(INDEX('Daily 사주 raw'!$A:$ZZ, MATCH(X$2, 'Daily 사주 raw'!$A:$A, 0), MATCH($B30, 'Daily 사주 raw'!$1:$1, 0)), ""), IF(val=0, "", val))</f>
        <v>10298</v>
      </c>
      <c r="Y30" s="60">
        <f t="array" ref="Y30">LET(val, IFERROR(INDEX('Daily 사주 raw'!$A:$ZZ, MATCH(Y$2, 'Daily 사주 raw'!$A:$A, 0), MATCH($B30, 'Daily 사주 raw'!$1:$1, 0)), ""), IF(val=0, "", val))</f>
        <v>6096</v>
      </c>
      <c r="Z30" s="60">
        <f t="array" ref="Z30">LET(val, IFERROR(INDEX('Daily 사주 raw'!$A:$ZZ, MATCH(Z$2, 'Daily 사주 raw'!$A:$A, 0), MATCH($B30, 'Daily 사주 raw'!$1:$1, 0)), ""), IF(val=0, "", val))</f>
        <v>3185</v>
      </c>
      <c r="AA30" s="60">
        <f t="array" ref="AA30">LET(val, IFERROR(INDEX('Daily 사주 raw'!$A:$ZZ, MATCH(AA$2, 'Daily 사주 raw'!$A:$A, 0), MATCH($B30, 'Daily 사주 raw'!$1:$1, 0)), ""), IF(val=0, "", val))</f>
        <v>2818</v>
      </c>
      <c r="AB30" s="60">
        <f t="array" ref="AB30">LET(val, IFERROR(INDEX('Daily 사주 raw'!$A:$ZZ, MATCH(AB$2, 'Daily 사주 raw'!$A:$A, 0), MATCH($B30, 'Daily 사주 raw'!$1:$1, 0)), ""), IF(val=0, "", val))</f>
        <v>2948</v>
      </c>
      <c r="AC30" s="60">
        <f t="array" ref="AC30">LET(val, IFERROR(INDEX('Daily 사주 raw'!$A:$ZZ, MATCH(AC$2, 'Daily 사주 raw'!$A:$A, 0), MATCH($B30, 'Daily 사주 raw'!$1:$1, 0)), ""), IF(val=0, "", val))</f>
        <v>3023</v>
      </c>
      <c r="AD30" s="60">
        <f t="array" ref="AD30">LET(val, IFERROR(INDEX('Daily 사주 raw'!$A:$ZZ, MATCH(AD$2, 'Daily 사주 raw'!$A:$A, 0), MATCH($B30, 'Daily 사주 raw'!$1:$1, 0)), ""), IF(val=0, "", val))</f>
        <v>3815</v>
      </c>
      <c r="AE30" s="60">
        <f t="array" ref="AE30">LET(val, IFERROR(INDEX('Daily 사주 raw'!$A:$ZZ, MATCH(AE$2, 'Daily 사주 raw'!$A:$A, 0), MATCH($B30, 'Daily 사주 raw'!$1:$1, 0)), ""), IF(val=0, "", val))</f>
        <v>3072</v>
      </c>
      <c r="AF30" s="60">
        <f t="array" ref="AF30">LET(val, IFERROR(INDEX('Daily 사주 raw'!$A:$ZZ, MATCH(AF$2, 'Daily 사주 raw'!$A:$A, 0), MATCH($B30, 'Daily 사주 raw'!$1:$1, 0)), ""), IF(val=0, "", val))</f>
        <v>2866</v>
      </c>
      <c r="AG30" s="60">
        <f t="array" ref="AG30">LET(val, IFERROR(INDEX('Daily 사주 raw'!$A:$ZZ, MATCH(AG$2, 'Daily 사주 raw'!$A:$A, 0), MATCH($B30, 'Daily 사주 raw'!$1:$1, 0)), ""), IF(val=0, "", val))</f>
        <v>2844</v>
      </c>
      <c r="AH30" s="60">
        <f t="array" ref="AH30">LET(val, IFERROR(INDEX('Daily 사주 raw'!$A:$ZZ, MATCH(AH$2, 'Daily 사주 raw'!$A:$A, 0), MATCH($B30, 'Daily 사주 raw'!$1:$1, 0)), ""), IF(val=0, "", val))</f>
        <v>2597</v>
      </c>
      <c r="AI30" s="60">
        <f t="array" ref="AI30">LET(val, IFERROR(INDEX('Daily 사주 raw'!$A:$ZZ, MATCH(AI$2, 'Daily 사주 raw'!$A:$A, 0), MATCH($B30, 'Daily 사주 raw'!$1:$1, 0)), ""), IF(val=0, "", val))</f>
        <v>2719</v>
      </c>
      <c r="AJ30" s="60">
        <f t="array" ref="AJ30">LET(val, IFERROR(INDEX('Daily 사주 raw'!$A:$ZZ, MATCH(AJ$2, 'Daily 사주 raw'!$A:$A, 0), MATCH($B30, 'Daily 사주 raw'!$1:$1, 0)), ""), IF(val=0, "", val))</f>
        <v>3048</v>
      </c>
      <c r="AK30" s="60">
        <f t="array" ref="AK30">LET(val, IFERROR(INDEX('Daily 사주 raw'!$A:$ZZ, MATCH(AK$2, 'Daily 사주 raw'!$A:$A, 0), MATCH($B30, 'Daily 사주 raw'!$1:$1, 0)), ""), IF(val=0, "", val))</f>
        <v>2720</v>
      </c>
      <c r="AL30" s="60">
        <f t="array" ref="AL30">LET(val, IFERROR(INDEX('Daily 사주 raw'!$A:$ZZ, MATCH(AL$2, 'Daily 사주 raw'!$A:$A, 0), MATCH($B30, 'Daily 사주 raw'!$1:$1, 0)), ""), IF(val=0, "", val))</f>
        <v>2613</v>
      </c>
      <c r="AM30" s="60">
        <f t="array" ref="AM30">LET(val, IFERROR(INDEX('Daily 사주 raw'!$A:$ZZ, MATCH(AM$2, 'Daily 사주 raw'!$A:$A, 0), MATCH($B30, 'Daily 사주 raw'!$1:$1, 0)), ""), IF(val=0, "", val))</f>
        <v>3431</v>
      </c>
      <c r="AN30" s="60">
        <f t="array" ref="AN30">LET(val, IFERROR(INDEX('Daily 사주 raw'!$A:$ZZ, MATCH(AN$2, 'Daily 사주 raw'!$A:$A, 0), MATCH($B30, 'Daily 사주 raw'!$1:$1, 0)), ""), IF(val=0, "", val))</f>
        <v>3614</v>
      </c>
      <c r="AO30" s="60">
        <f t="array" ref="AO30">LET(val, IFERROR(INDEX('Daily 사주 raw'!$A:$ZZ, MATCH(AO$2, 'Daily 사주 raw'!$A:$A, 0), MATCH($B30, 'Daily 사주 raw'!$1:$1, 0)), ""), IF(val=0, "", val))</f>
        <v>2993</v>
      </c>
      <c r="AP30" s="60">
        <f t="array" ref="AP30">LET(val, IFERROR(INDEX('Daily 사주 raw'!$A:$ZZ, MATCH(AP$2, 'Daily 사주 raw'!$A:$A, 0), MATCH($B30, 'Daily 사주 raw'!$1:$1, 0)), ""), IF(val=0, "", val))</f>
        <v>2429</v>
      </c>
      <c r="AQ30" s="60">
        <f t="array" ref="AQ30">LET(val, IFERROR(INDEX('Daily 사주 raw'!$A:$ZZ, MATCH(AQ$2, 'Daily 사주 raw'!$A:$A, 0), MATCH($B30, 'Daily 사주 raw'!$1:$1, 0)), ""), IF(val=0, "", val))</f>
        <v>2371</v>
      </c>
      <c r="AR30" s="60">
        <f t="array" ref="AR30">LET(val, IFERROR(INDEX('Daily 사주 raw'!$A:$ZZ, MATCH(AR$2, 'Daily 사주 raw'!$A:$A, 0), MATCH($B30, 'Daily 사주 raw'!$1:$1, 0)), ""), IF(val=0, "", val))</f>
        <v>2962</v>
      </c>
      <c r="AS30" s="60">
        <f t="array" ref="AS30">LET(val, IFERROR(INDEX('Daily 사주 raw'!$A:$ZZ, MATCH(AS$2, 'Daily 사주 raw'!$A:$A, 0), MATCH($B30, 'Daily 사주 raw'!$1:$1, 0)), ""), IF(val=0, "", val))</f>
        <v>2307</v>
      </c>
      <c r="AT30" s="60">
        <f t="array" ref="AT30">LET(val, IFERROR(INDEX('Daily 사주 raw'!$A:$ZZ, MATCH(AT$2, 'Daily 사주 raw'!$A:$A, 0), MATCH($B30, 'Daily 사주 raw'!$1:$1, 0)), ""), IF(val=0, "", val))</f>
        <v>2117</v>
      </c>
      <c r="AU30" s="60">
        <f t="array" ref="AU30">LET(val, IFERROR(INDEX('Daily 사주 raw'!$A:$ZZ, MATCH(AU$2, 'Daily 사주 raw'!$A:$A, 0), MATCH($B30, 'Daily 사주 raw'!$1:$1, 0)), ""), IF(val=0, "", val))</f>
        <v>6211</v>
      </c>
      <c r="AV30" s="60">
        <f t="array" ref="AV30">LET(val, IFERROR(INDEX('Daily 사주 raw'!$A:$ZZ, MATCH(AV$2, 'Daily 사주 raw'!$A:$A, 0), MATCH($B30, 'Daily 사주 raw'!$1:$1, 0)), ""), IF(val=0, "", val))</f>
        <v>8881</v>
      </c>
      <c r="AW30" s="60">
        <f t="array" ref="AW30">LET(val, IFERROR(INDEX('Daily 사주 raw'!$A:$ZZ, MATCH(AW$2, 'Daily 사주 raw'!$A:$A, 0), MATCH($B30, 'Daily 사주 raw'!$1:$1, 0)), ""), IF(val=0, "", val))</f>
        <v>6590</v>
      </c>
      <c r="AX30" s="60">
        <f t="array" ref="AX30">LET(val, IFERROR(INDEX('Daily 사주 raw'!$A:$ZZ, MATCH(AX$2, 'Daily 사주 raw'!$A:$A, 0), MATCH($B30, 'Daily 사주 raw'!$1:$1, 0)), ""), IF(val=0, "", val))</f>
        <v>6806</v>
      </c>
      <c r="AY30" s="60">
        <f t="array" ref="AY30">LET(val, IFERROR(INDEX('Daily 사주 raw'!$A:$ZZ, MATCH(AY$2, 'Daily 사주 raw'!$A:$A, 0), MATCH($B30, 'Daily 사주 raw'!$1:$1, 0)), ""), IF(val=0, "", val))</f>
        <v>8106</v>
      </c>
      <c r="AZ30" s="60">
        <f t="array" ref="AZ30">LET(val, IFERROR(INDEX('Daily 사주 raw'!$A:$ZZ, MATCH(AZ$2, 'Daily 사주 raw'!$A:$A, 0), MATCH($B30, 'Daily 사주 raw'!$1:$1, 0)), ""), IF(val=0, "", val))</f>
        <v>6308</v>
      </c>
      <c r="BA30" s="60">
        <f t="array" ref="BA30">LET(val, IFERROR(INDEX('Daily 사주 raw'!$A:$ZZ, MATCH(BA$2, 'Daily 사주 raw'!$A:$A, 0), MATCH($B30, 'Daily 사주 raw'!$1:$1, 0)), ""), IF(val=0, "", val))</f>
        <v>4910</v>
      </c>
      <c r="BB30" s="60">
        <f t="array" ref="BB30">LET(val, IFERROR(INDEX('Daily 사주 raw'!$A:$ZZ, MATCH(BB$2, 'Daily 사주 raw'!$A:$A, 0), MATCH($B30, 'Daily 사주 raw'!$1:$1, 0)), ""), IF(val=0, "", val))</f>
        <v>2821</v>
      </c>
      <c r="BC30" s="60">
        <f t="array" ref="BC30">LET(val, IFERROR(INDEX('Daily 사주 raw'!$A:$ZZ, MATCH(BC$2, 'Daily 사주 raw'!$A:$A, 0), MATCH($B30, 'Daily 사주 raw'!$1:$1, 0)), ""), IF(val=0, "", val))</f>
        <v>2616</v>
      </c>
      <c r="BD30" s="60">
        <f t="array" ref="BD30">LET(val, IFERROR(INDEX('Daily 사주 raw'!$A:$ZZ, MATCH(BD$2, 'Daily 사주 raw'!$A:$A, 0), MATCH($B30, 'Daily 사주 raw'!$1:$1, 0)), ""), IF(val=0, "", val))</f>
        <v>2553</v>
      </c>
      <c r="BE30" s="60" t="str">
        <f t="array" ref="BE30">LET(val, IFERROR(INDEX('Daily 사주 raw'!$A:$ZZ, MATCH(BE$2, 'Daily 사주 raw'!$A:$A, 0), MATCH($B30, 'Daily 사주 raw'!$1:$1, 0)), ""), IF(val=0, "", val))</f>
        <v/>
      </c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</row>
    <row r="31">
      <c r="A31" s="30"/>
      <c r="B31" s="16" t="s">
        <v>51</v>
      </c>
      <c r="C31" s="17" t="s">
        <v>44</v>
      </c>
      <c r="D31" s="60">
        <f t="array" ref="D31">LET(val, IFERROR(INDEX('Daily 사주 raw'!$A:$ZZ, MATCH(D$2, 'Daily 사주 raw'!$A:$A, 0), MATCH($B31, 'Daily 사주 raw'!$1:$1, 0)), ""), IF(val=0, "", val))</f>
        <v>5590</v>
      </c>
      <c r="E31" s="60">
        <f t="array" ref="E31">LET(val, IFERROR(INDEX('Daily 사주 raw'!$A:$ZZ, MATCH(E$2, 'Daily 사주 raw'!$A:$A, 0), MATCH($B31, 'Daily 사주 raw'!$1:$1, 0)), ""), IF(val=0, "", val))</f>
        <v>3274</v>
      </c>
      <c r="F31" s="60">
        <f t="array" ref="F31">LET(val, IFERROR(INDEX('Daily 사주 raw'!$A:$ZZ, MATCH(F$2, 'Daily 사주 raw'!$A:$A, 0), MATCH($B31, 'Daily 사주 raw'!$1:$1, 0)), ""), IF(val=0, "", val))</f>
        <v>2551</v>
      </c>
      <c r="G31" s="60">
        <f t="array" ref="G31">LET(val, IFERROR(INDEX('Daily 사주 raw'!$A:$ZZ, MATCH(G$2, 'Daily 사주 raw'!$A:$A, 0), MATCH($B31, 'Daily 사주 raw'!$1:$1, 0)), ""), IF(val=0, "", val))</f>
        <v>2541</v>
      </c>
      <c r="H31" s="60">
        <f t="array" ref="H31">LET(val, IFERROR(INDEX('Daily 사주 raw'!$A:$ZZ, MATCH(H$2, 'Daily 사주 raw'!$A:$A, 0), MATCH($B31, 'Daily 사주 raw'!$1:$1, 0)), ""), IF(val=0, "", val))</f>
        <v>2528</v>
      </c>
      <c r="I31" s="60">
        <f t="array" ref="I31">LET(val, IFERROR(INDEX('Daily 사주 raw'!$A:$ZZ, MATCH(I$2, 'Daily 사주 raw'!$A:$A, 0), MATCH($B31, 'Daily 사주 raw'!$1:$1, 0)), ""), IF(val=0, "", val))</f>
        <v>2809</v>
      </c>
      <c r="J31" s="60">
        <f t="array" ref="J31">LET(val, IFERROR(INDEX('Daily 사주 raw'!$A:$ZZ, MATCH(J$2, 'Daily 사주 raw'!$A:$A, 0), MATCH($B31, 'Daily 사주 raw'!$1:$1, 0)), ""), IF(val=0, "", val))</f>
        <v>2802</v>
      </c>
      <c r="K31" s="60">
        <f t="array" ref="K31">LET(val, IFERROR(INDEX('Daily 사주 raw'!$A:$ZZ, MATCH(K$2, 'Daily 사주 raw'!$A:$A, 0), MATCH($B31, 'Daily 사주 raw'!$1:$1, 0)), ""), IF(val=0, "", val))</f>
        <v>2607</v>
      </c>
      <c r="L31" s="60">
        <f t="array" ref="L31">LET(val, IFERROR(INDEX('Daily 사주 raw'!$A:$ZZ, MATCH(L$2, 'Daily 사주 raw'!$A:$A, 0), MATCH($B31, 'Daily 사주 raw'!$1:$1, 0)), ""), IF(val=0, "", val))</f>
        <v>2187</v>
      </c>
      <c r="M31" s="60">
        <f t="array" ref="M31">LET(val, IFERROR(INDEX('Daily 사주 raw'!$A:$ZZ, MATCH(M$2, 'Daily 사주 raw'!$A:$A, 0), MATCH($B31, 'Daily 사주 raw'!$1:$1, 0)), ""), IF(val=0, "", val))</f>
        <v>2556</v>
      </c>
      <c r="N31" s="60">
        <f t="array" ref="N31">LET(val, IFERROR(INDEX('Daily 사주 raw'!$A:$ZZ, MATCH(N$2, 'Daily 사주 raw'!$A:$A, 0), MATCH($B31, 'Daily 사주 raw'!$1:$1, 0)), ""), IF(val=0, "", val))</f>
        <v>2357</v>
      </c>
      <c r="O31" s="60">
        <f t="array" ref="O31">LET(val, IFERROR(INDEX('Daily 사주 raw'!$A:$ZZ, MATCH(O$2, 'Daily 사주 raw'!$A:$A, 0), MATCH($B31, 'Daily 사주 raw'!$1:$1, 0)), ""), IF(val=0, "", val))</f>
        <v>2411</v>
      </c>
      <c r="P31" s="60">
        <f t="array" ref="P31">LET(val, IFERROR(INDEX('Daily 사주 raw'!$A:$ZZ, MATCH(P$2, 'Daily 사주 raw'!$A:$A, 0), MATCH($B31, 'Daily 사주 raw'!$1:$1, 0)), ""), IF(val=0, "", val))</f>
        <v>2219</v>
      </c>
      <c r="Q31" s="60">
        <f t="array" ref="Q31">LET(val, IFERROR(INDEX('Daily 사주 raw'!$A:$ZZ, MATCH(Q$2, 'Daily 사주 raw'!$A:$A, 0), MATCH($B31, 'Daily 사주 raw'!$1:$1, 0)), ""), IF(val=0, "", val))</f>
        <v>2197</v>
      </c>
      <c r="R31" s="60">
        <f t="array" ref="R31">LET(val, IFERROR(INDEX('Daily 사주 raw'!$A:$ZZ, MATCH(R$2, 'Daily 사주 raw'!$A:$A, 0), MATCH($B31, 'Daily 사주 raw'!$1:$1, 0)), ""), IF(val=0, "", val))</f>
        <v>2230</v>
      </c>
      <c r="S31" s="60">
        <f t="array" ref="S31">LET(val, IFERROR(INDEX('Daily 사주 raw'!$A:$ZZ, MATCH(S$2, 'Daily 사주 raw'!$A:$A, 0), MATCH($B31, 'Daily 사주 raw'!$1:$1, 0)), ""), IF(val=0, "", val))</f>
        <v>2408</v>
      </c>
      <c r="T31" s="60">
        <f t="array" ref="T31">LET(val, IFERROR(INDEX('Daily 사주 raw'!$A:$ZZ, MATCH(T$2, 'Daily 사주 raw'!$A:$A, 0), MATCH($B31, 'Daily 사주 raw'!$1:$1, 0)), ""), IF(val=0, "", val))</f>
        <v>4572</v>
      </c>
      <c r="U31" s="60">
        <f t="array" ref="U31">LET(val, IFERROR(INDEX('Daily 사주 raw'!$A:$ZZ, MATCH(U$2, 'Daily 사주 raw'!$A:$A, 0), MATCH($B31, 'Daily 사주 raw'!$1:$1, 0)), ""), IF(val=0, "", val))</f>
        <v>2619</v>
      </c>
      <c r="V31" s="60">
        <f t="array" ref="V31">LET(val, IFERROR(INDEX('Daily 사주 raw'!$A:$ZZ, MATCH(V$2, 'Daily 사주 raw'!$A:$A, 0), MATCH($B31, 'Daily 사주 raw'!$1:$1, 0)), ""), IF(val=0, "", val))</f>
        <v>2319</v>
      </c>
      <c r="W31" s="60">
        <f t="array" ref="W31">LET(val, IFERROR(INDEX('Daily 사주 raw'!$A:$ZZ, MATCH(W$2, 'Daily 사주 raw'!$A:$A, 0), MATCH($B31, 'Daily 사주 raw'!$1:$1, 0)), ""), IF(val=0, "", val))</f>
        <v>4911</v>
      </c>
      <c r="X31" s="60">
        <f t="array" ref="X31">LET(val, IFERROR(INDEX('Daily 사주 raw'!$A:$ZZ, MATCH(X$2, 'Daily 사주 raw'!$A:$A, 0), MATCH($B31, 'Daily 사주 raw'!$1:$1, 0)), ""), IF(val=0, "", val))</f>
        <v>4437</v>
      </c>
      <c r="Y31" s="60">
        <f t="array" ref="Y31">LET(val, IFERROR(INDEX('Daily 사주 raw'!$A:$ZZ, MATCH(Y$2, 'Daily 사주 raw'!$A:$A, 0), MATCH($B31, 'Daily 사주 raw'!$1:$1, 0)), ""), IF(val=0, "", val))</f>
        <v>2669</v>
      </c>
      <c r="Z31" s="60">
        <f t="array" ref="Z31">LET(val, IFERROR(INDEX('Daily 사주 raw'!$A:$ZZ, MATCH(Z$2, 'Daily 사주 raw'!$A:$A, 0), MATCH($B31, 'Daily 사주 raw'!$1:$1, 0)), ""), IF(val=0, "", val))</f>
        <v>1662</v>
      </c>
      <c r="AA31" s="60">
        <f t="array" ref="AA31">LET(val, IFERROR(INDEX('Daily 사주 raw'!$A:$ZZ, MATCH(AA$2, 'Daily 사주 raw'!$A:$A, 0), MATCH($B31, 'Daily 사주 raw'!$1:$1, 0)), ""), IF(val=0, "", val))</f>
        <v>1576</v>
      </c>
      <c r="AB31" s="60">
        <f t="array" ref="AB31">LET(val, IFERROR(INDEX('Daily 사주 raw'!$A:$ZZ, MATCH(AB$2, 'Daily 사주 raw'!$A:$A, 0), MATCH($B31, 'Daily 사주 raw'!$1:$1, 0)), ""), IF(val=0, "", val))</f>
        <v>1710</v>
      </c>
      <c r="AC31" s="60">
        <f t="array" ref="AC31">LET(val, IFERROR(INDEX('Daily 사주 raw'!$A:$ZZ, MATCH(AC$2, 'Daily 사주 raw'!$A:$A, 0), MATCH($B31, 'Daily 사주 raw'!$1:$1, 0)), ""), IF(val=0, "", val))</f>
        <v>1740</v>
      </c>
      <c r="AD31" s="60">
        <f t="array" ref="AD31">LET(val, IFERROR(INDEX('Daily 사주 raw'!$A:$ZZ, MATCH(AD$2, 'Daily 사주 raw'!$A:$A, 0), MATCH($B31, 'Daily 사주 raw'!$1:$1, 0)), ""), IF(val=0, "", val))</f>
        <v>2332</v>
      </c>
      <c r="AE31" s="60">
        <f t="array" ref="AE31">LET(val, IFERROR(INDEX('Daily 사주 raw'!$A:$ZZ, MATCH(AE$2, 'Daily 사주 raw'!$A:$A, 0), MATCH($B31, 'Daily 사주 raw'!$1:$1, 0)), ""), IF(val=0, "", val))</f>
        <v>1679</v>
      </c>
      <c r="AF31" s="60">
        <f t="array" ref="AF31">LET(val, IFERROR(INDEX('Daily 사주 raw'!$A:$ZZ, MATCH(AF$2, 'Daily 사주 raw'!$A:$A, 0), MATCH($B31, 'Daily 사주 raw'!$1:$1, 0)), ""), IF(val=0, "", val))</f>
        <v>1450</v>
      </c>
      <c r="AG31" s="60">
        <f t="array" ref="AG31">LET(val, IFERROR(INDEX('Daily 사주 raw'!$A:$ZZ, MATCH(AG$2, 'Daily 사주 raw'!$A:$A, 0), MATCH($B31, 'Daily 사주 raw'!$1:$1, 0)), ""), IF(val=0, "", val))</f>
        <v>1347</v>
      </c>
      <c r="AH31" s="60">
        <f t="array" ref="AH31">LET(val, IFERROR(INDEX('Daily 사주 raw'!$A:$ZZ, MATCH(AH$2, 'Daily 사주 raw'!$A:$A, 0), MATCH($B31, 'Daily 사주 raw'!$1:$1, 0)), ""), IF(val=0, "", val))</f>
        <v>1353</v>
      </c>
      <c r="AI31" s="60">
        <f t="array" ref="AI31">LET(val, IFERROR(INDEX('Daily 사주 raw'!$A:$ZZ, MATCH(AI$2, 'Daily 사주 raw'!$A:$A, 0), MATCH($B31, 'Daily 사주 raw'!$1:$1, 0)), ""), IF(val=0, "", val))</f>
        <v>1412</v>
      </c>
      <c r="AJ31" s="60">
        <f t="array" ref="AJ31">LET(val, IFERROR(INDEX('Daily 사주 raw'!$A:$ZZ, MATCH(AJ$2, 'Daily 사주 raw'!$A:$A, 0), MATCH($B31, 'Daily 사주 raw'!$1:$1, 0)), ""), IF(val=0, "", val))</f>
        <v>1566</v>
      </c>
      <c r="AK31" s="60">
        <f t="array" ref="AK31">LET(val, IFERROR(INDEX('Daily 사주 raw'!$A:$ZZ, MATCH(AK$2, 'Daily 사주 raw'!$A:$A, 0), MATCH($B31, 'Daily 사주 raw'!$1:$1, 0)), ""), IF(val=0, "", val))</f>
        <v>1285</v>
      </c>
      <c r="AL31" s="60">
        <f t="array" ref="AL31">LET(val, IFERROR(INDEX('Daily 사주 raw'!$A:$ZZ, MATCH(AL$2, 'Daily 사주 raw'!$A:$A, 0), MATCH($B31, 'Daily 사주 raw'!$1:$1, 0)), ""), IF(val=0, "", val))</f>
        <v>1248</v>
      </c>
      <c r="AM31" s="60">
        <f t="array" ref="AM31">LET(val, IFERROR(INDEX('Daily 사주 raw'!$A:$ZZ, MATCH(AM$2, 'Daily 사주 raw'!$A:$A, 0), MATCH($B31, 'Daily 사주 raw'!$1:$1, 0)), ""), IF(val=0, "", val))</f>
        <v>1327</v>
      </c>
      <c r="AN31" s="60">
        <f t="array" ref="AN31">LET(val, IFERROR(INDEX('Daily 사주 raw'!$A:$ZZ, MATCH(AN$2, 'Daily 사주 raw'!$A:$A, 0), MATCH($B31, 'Daily 사주 raw'!$1:$1, 0)), ""), IF(val=0, "", val))</f>
        <v>1306</v>
      </c>
      <c r="AO31" s="60">
        <f t="array" ref="AO31">LET(val, IFERROR(INDEX('Daily 사주 raw'!$A:$ZZ, MATCH(AO$2, 'Daily 사주 raw'!$A:$A, 0), MATCH($B31, 'Daily 사주 raw'!$1:$1, 0)), ""), IF(val=0, "", val))</f>
        <v>1156</v>
      </c>
      <c r="AP31" s="60">
        <f t="array" ref="AP31">LET(val, IFERROR(INDEX('Daily 사주 raw'!$A:$ZZ, MATCH(AP$2, 'Daily 사주 raw'!$A:$A, 0), MATCH($B31, 'Daily 사주 raw'!$1:$1, 0)), ""), IF(val=0, "", val))</f>
        <v>1189</v>
      </c>
      <c r="AQ31" s="60">
        <f t="array" ref="AQ31">LET(val, IFERROR(INDEX('Daily 사주 raw'!$A:$ZZ, MATCH(AQ$2, 'Daily 사주 raw'!$A:$A, 0), MATCH($B31, 'Daily 사주 raw'!$1:$1, 0)), ""), IF(val=0, "", val))</f>
        <v>1160</v>
      </c>
      <c r="AR31" s="60">
        <f t="array" ref="AR31">LET(val, IFERROR(INDEX('Daily 사주 raw'!$A:$ZZ, MATCH(AR$2, 'Daily 사주 raw'!$A:$A, 0), MATCH($B31, 'Daily 사주 raw'!$1:$1, 0)), ""), IF(val=0, "", val))</f>
        <v>1612</v>
      </c>
      <c r="AS31" s="60">
        <f t="array" ref="AS31">LET(val, IFERROR(INDEX('Daily 사주 raw'!$A:$ZZ, MATCH(AS$2, 'Daily 사주 raw'!$A:$A, 0), MATCH($B31, 'Daily 사주 raw'!$1:$1, 0)), ""), IF(val=0, "", val))</f>
        <v>1173</v>
      </c>
      <c r="AT31" s="60">
        <f t="array" ref="AT31">LET(val, IFERROR(INDEX('Daily 사주 raw'!$A:$ZZ, MATCH(AT$2, 'Daily 사주 raw'!$A:$A, 0), MATCH($B31, 'Daily 사주 raw'!$1:$1, 0)), ""), IF(val=0, "", val))</f>
        <v>1114</v>
      </c>
      <c r="AU31" s="60">
        <f t="array" ref="AU31">LET(val, IFERROR(INDEX('Daily 사주 raw'!$A:$ZZ, MATCH(AU$2, 'Daily 사주 raw'!$A:$A, 0), MATCH($B31, 'Daily 사주 raw'!$1:$1, 0)), ""), IF(val=0, "", val))</f>
        <v>2897</v>
      </c>
      <c r="AV31" s="60">
        <f t="array" ref="AV31">LET(val, IFERROR(INDEX('Daily 사주 raw'!$A:$ZZ, MATCH(AV$2, 'Daily 사주 raw'!$A:$A, 0), MATCH($B31, 'Daily 사주 raw'!$1:$1, 0)), ""), IF(val=0, "", val))</f>
        <v>3700</v>
      </c>
      <c r="AW31" s="60">
        <f t="array" ref="AW31">LET(val, IFERROR(INDEX('Daily 사주 raw'!$A:$ZZ, MATCH(AW$2, 'Daily 사주 raw'!$A:$A, 0), MATCH($B31, 'Daily 사주 raw'!$1:$1, 0)), ""), IF(val=0, "", val))</f>
        <v>2774</v>
      </c>
      <c r="AX31" s="60">
        <f t="array" ref="AX31">LET(val, IFERROR(INDEX('Daily 사주 raw'!$A:$ZZ, MATCH(AX$2, 'Daily 사주 raw'!$A:$A, 0), MATCH($B31, 'Daily 사주 raw'!$1:$1, 0)), ""), IF(val=0, "", val))</f>
        <v>3138</v>
      </c>
      <c r="AY31" s="60">
        <f t="array" ref="AY31">LET(val, IFERROR(INDEX('Daily 사주 raw'!$A:$ZZ, MATCH(AY$2, 'Daily 사주 raw'!$A:$A, 0), MATCH($B31, 'Daily 사주 raw'!$1:$1, 0)), ""), IF(val=0, "", val))</f>
        <v>3900</v>
      </c>
      <c r="AZ31" s="60">
        <f t="array" ref="AZ31">LET(val, IFERROR(INDEX('Daily 사주 raw'!$A:$ZZ, MATCH(AZ$2, 'Daily 사주 raw'!$A:$A, 0), MATCH($B31, 'Daily 사주 raw'!$1:$1, 0)), ""), IF(val=0, "", val))</f>
        <v>3004</v>
      </c>
      <c r="BA31" s="60">
        <f t="array" ref="BA31">LET(val, IFERROR(INDEX('Daily 사주 raw'!$A:$ZZ, MATCH(BA$2, 'Daily 사주 raw'!$A:$A, 0), MATCH($B31, 'Daily 사주 raw'!$1:$1, 0)), ""), IF(val=0, "", val))</f>
        <v>2510</v>
      </c>
      <c r="BB31" s="60">
        <f t="array" ref="BB31">LET(val, IFERROR(INDEX('Daily 사주 raw'!$A:$ZZ, MATCH(BB$2, 'Daily 사주 raw'!$A:$A, 0), MATCH($B31, 'Daily 사주 raw'!$1:$1, 0)), ""), IF(val=0, "", val))</f>
        <v>1538</v>
      </c>
      <c r="BC31" s="60">
        <f t="array" ref="BC31">LET(val, IFERROR(INDEX('Daily 사주 raw'!$A:$ZZ, MATCH(BC$2, 'Daily 사주 raw'!$A:$A, 0), MATCH($B31, 'Daily 사주 raw'!$1:$1, 0)), ""), IF(val=0, "", val))</f>
        <v>1427</v>
      </c>
      <c r="BD31" s="60">
        <f t="array" ref="BD31">LET(val, IFERROR(INDEX('Daily 사주 raw'!$A:$ZZ, MATCH(BD$2, 'Daily 사주 raw'!$A:$A, 0), MATCH($B31, 'Daily 사주 raw'!$1:$1, 0)), ""), IF(val=0, "", val))</f>
        <v>1410</v>
      </c>
      <c r="BE31" s="60" t="str">
        <f t="array" ref="BE31">LET(val, IFERROR(INDEX('Daily 사주 raw'!$A:$ZZ, MATCH(BE$2, 'Daily 사주 raw'!$A:$A, 0), MATCH($B31, 'Daily 사주 raw'!$1:$1, 0)), ""), IF(val=0, "", val))</f>
        <v/>
      </c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</row>
    <row r="32">
      <c r="A32" s="30"/>
      <c r="B32" s="16" t="s">
        <v>52</v>
      </c>
      <c r="C32" s="17" t="s">
        <v>22</v>
      </c>
      <c r="D32" s="60">
        <f t="array" ref="D32">LET(val, IFERROR(INDEX('Daily 사주 raw'!$A:$ZZ, MATCH(D$2, 'Daily 사주 raw'!$A:$A, 0), MATCH($B32, 'Daily 사주 raw'!$1:$1, 0)), ""), IF(val=0, "", val))</f>
        <v>821</v>
      </c>
      <c r="E32" s="60">
        <f t="array" ref="E32">LET(val, IFERROR(INDEX('Daily 사주 raw'!$A:$ZZ, MATCH(E$2, 'Daily 사주 raw'!$A:$A, 0), MATCH($B32, 'Daily 사주 raw'!$1:$1, 0)), ""), IF(val=0, "", val))</f>
        <v>579</v>
      </c>
      <c r="F32" s="60">
        <f t="array" ref="F32">LET(val, IFERROR(INDEX('Daily 사주 raw'!$A:$ZZ, MATCH(F$2, 'Daily 사주 raw'!$A:$A, 0), MATCH($B32, 'Daily 사주 raw'!$1:$1, 0)), ""), IF(val=0, "", val))</f>
        <v>533</v>
      </c>
      <c r="G32" s="60">
        <f t="array" ref="G32">LET(val, IFERROR(INDEX('Daily 사주 raw'!$A:$ZZ, MATCH(G$2, 'Daily 사주 raw'!$A:$A, 0), MATCH($B32, 'Daily 사주 raw'!$1:$1, 0)), ""), IF(val=0, "", val))</f>
        <v>520</v>
      </c>
      <c r="H32" s="60">
        <f t="array" ref="H32">LET(val, IFERROR(INDEX('Daily 사주 raw'!$A:$ZZ, MATCH(H$2, 'Daily 사주 raw'!$A:$A, 0), MATCH($B32, 'Daily 사주 raw'!$1:$1, 0)), ""), IF(val=0, "", val))</f>
        <v>514</v>
      </c>
      <c r="I32" s="60">
        <f t="array" ref="I32">LET(val, IFERROR(INDEX('Daily 사주 raw'!$A:$ZZ, MATCH(I$2, 'Daily 사주 raw'!$A:$A, 0), MATCH($B32, 'Daily 사주 raw'!$1:$1, 0)), ""), IF(val=0, "", val))</f>
        <v>503</v>
      </c>
      <c r="J32" s="60">
        <f t="array" ref="J32">LET(val, IFERROR(INDEX('Daily 사주 raw'!$A:$ZZ, MATCH(J$2, 'Daily 사주 raw'!$A:$A, 0), MATCH($B32, 'Daily 사주 raw'!$1:$1, 0)), ""), IF(val=0, "", val))</f>
        <v>549</v>
      </c>
      <c r="K32" s="60">
        <f t="array" ref="K32">LET(val, IFERROR(INDEX('Daily 사주 raw'!$A:$ZZ, MATCH(K$2, 'Daily 사주 raw'!$A:$A, 0), MATCH($B32, 'Daily 사주 raw'!$1:$1, 0)), ""), IF(val=0, "", val))</f>
        <v>549</v>
      </c>
      <c r="L32" s="60">
        <f t="array" ref="L32">LET(val, IFERROR(INDEX('Daily 사주 raw'!$A:$ZZ, MATCH(L$2, 'Daily 사주 raw'!$A:$A, 0), MATCH($B32, 'Daily 사주 raw'!$1:$1, 0)), ""), IF(val=0, "", val))</f>
        <v>416</v>
      </c>
      <c r="M32" s="60">
        <f t="array" ref="M32">LET(val, IFERROR(INDEX('Daily 사주 raw'!$A:$ZZ, MATCH(M$2, 'Daily 사주 raw'!$A:$A, 0), MATCH($B32, 'Daily 사주 raw'!$1:$1, 0)), ""), IF(val=0, "", val))</f>
        <v>448</v>
      </c>
      <c r="N32" s="60">
        <f t="array" ref="N32">LET(val, IFERROR(INDEX('Daily 사주 raw'!$A:$ZZ, MATCH(N$2, 'Daily 사주 raw'!$A:$A, 0), MATCH($B32, 'Daily 사주 raw'!$1:$1, 0)), ""), IF(val=0, "", val))</f>
        <v>400</v>
      </c>
      <c r="O32" s="60">
        <f t="array" ref="O32">LET(val, IFERROR(INDEX('Daily 사주 raw'!$A:$ZZ, MATCH(O$2, 'Daily 사주 raw'!$A:$A, 0), MATCH($B32, 'Daily 사주 raw'!$1:$1, 0)), ""), IF(val=0, "", val))</f>
        <v>393</v>
      </c>
      <c r="P32" s="60">
        <f t="array" ref="P32">LET(val, IFERROR(INDEX('Daily 사주 raw'!$A:$ZZ, MATCH(P$2, 'Daily 사주 raw'!$A:$A, 0), MATCH($B32, 'Daily 사주 raw'!$1:$1, 0)), ""), IF(val=0, "", val))</f>
        <v>324</v>
      </c>
      <c r="Q32" s="60">
        <f t="array" ref="Q32">LET(val, IFERROR(INDEX('Daily 사주 raw'!$A:$ZZ, MATCH(Q$2, 'Daily 사주 raw'!$A:$A, 0), MATCH($B32, 'Daily 사주 raw'!$1:$1, 0)), ""), IF(val=0, "", val))</f>
        <v>331</v>
      </c>
      <c r="R32" s="60">
        <f t="array" ref="R32">LET(val, IFERROR(INDEX('Daily 사주 raw'!$A:$ZZ, MATCH(R$2, 'Daily 사주 raw'!$A:$A, 0), MATCH($B32, 'Daily 사주 raw'!$1:$1, 0)), ""), IF(val=0, "", val))</f>
        <v>294</v>
      </c>
      <c r="S32" s="60">
        <f t="array" ref="S32">LET(val, IFERROR(INDEX('Daily 사주 raw'!$A:$ZZ, MATCH(S$2, 'Daily 사주 raw'!$A:$A, 0), MATCH($B32, 'Daily 사주 raw'!$1:$1, 0)), ""), IF(val=0, "", val))</f>
        <v>277</v>
      </c>
      <c r="T32" s="60">
        <f t="array" ref="T32">LET(val, IFERROR(INDEX('Daily 사주 raw'!$A:$ZZ, MATCH(T$2, 'Daily 사주 raw'!$A:$A, 0), MATCH($B32, 'Daily 사주 raw'!$1:$1, 0)), ""), IF(val=0, "", val))</f>
        <v>309</v>
      </c>
      <c r="U32" s="60">
        <f t="array" ref="U32">LET(val, IFERROR(INDEX('Daily 사주 raw'!$A:$ZZ, MATCH(U$2, 'Daily 사주 raw'!$A:$A, 0), MATCH($B32, 'Daily 사주 raw'!$1:$1, 0)), ""), IF(val=0, "", val))</f>
        <v>292</v>
      </c>
      <c r="V32" s="60">
        <f t="array" ref="V32">LET(val, IFERROR(INDEX('Daily 사주 raw'!$A:$ZZ, MATCH(V$2, 'Daily 사주 raw'!$A:$A, 0), MATCH($B32, 'Daily 사주 raw'!$1:$1, 0)), ""), IF(val=0, "", val))</f>
        <v>290</v>
      </c>
      <c r="W32" s="60">
        <f t="array" ref="W32">LET(val, IFERROR(INDEX('Daily 사주 raw'!$A:$ZZ, MATCH(W$2, 'Daily 사주 raw'!$A:$A, 0), MATCH($B32, 'Daily 사주 raw'!$1:$1, 0)), ""), IF(val=0, "", val))</f>
        <v>535</v>
      </c>
      <c r="X32" s="60">
        <f t="array" ref="X32">LET(val, IFERROR(INDEX('Daily 사주 raw'!$A:$ZZ, MATCH(X$2, 'Daily 사주 raw'!$A:$A, 0), MATCH($B32, 'Daily 사주 raw'!$1:$1, 0)), ""), IF(val=0, "", val))</f>
        <v>545</v>
      </c>
      <c r="Y32" s="60">
        <f t="array" ref="Y32">LET(val, IFERROR(INDEX('Daily 사주 raw'!$A:$ZZ, MATCH(Y$2, 'Daily 사주 raw'!$A:$A, 0), MATCH($B32, 'Daily 사주 raw'!$1:$1, 0)), ""), IF(val=0, "", val))</f>
        <v>420</v>
      </c>
      <c r="Z32" s="60">
        <f t="array" ref="Z32">LET(val, IFERROR(INDEX('Daily 사주 raw'!$A:$ZZ, MATCH(Z$2, 'Daily 사주 raw'!$A:$A, 0), MATCH($B32, 'Daily 사주 raw'!$1:$1, 0)), ""), IF(val=0, "", val))</f>
        <v>293</v>
      </c>
      <c r="AA32" s="60">
        <f t="array" ref="AA32">LET(val, IFERROR(INDEX('Daily 사주 raw'!$A:$ZZ, MATCH(AA$2, 'Daily 사주 raw'!$A:$A, 0), MATCH($B32, 'Daily 사주 raw'!$1:$1, 0)), ""), IF(val=0, "", val))</f>
        <v>226</v>
      </c>
      <c r="AB32" s="60">
        <f t="array" ref="AB32">LET(val, IFERROR(INDEX('Daily 사주 raw'!$A:$ZZ, MATCH(AB$2, 'Daily 사주 raw'!$A:$A, 0), MATCH($B32, 'Daily 사주 raw'!$1:$1, 0)), ""), IF(val=0, "", val))</f>
        <v>273</v>
      </c>
      <c r="AC32" s="60">
        <f t="array" ref="AC32">LET(val, IFERROR(INDEX('Daily 사주 raw'!$A:$ZZ, MATCH(AC$2, 'Daily 사주 raw'!$A:$A, 0), MATCH($B32, 'Daily 사주 raw'!$1:$1, 0)), ""), IF(val=0, "", val))</f>
        <v>257</v>
      </c>
      <c r="AD32" s="60">
        <f t="array" ref="AD32">LET(val, IFERROR(INDEX('Daily 사주 raw'!$A:$ZZ, MATCH(AD$2, 'Daily 사주 raw'!$A:$A, 0), MATCH($B32, 'Daily 사주 raw'!$1:$1, 0)), ""), IF(val=0, "", val))</f>
        <v>461</v>
      </c>
      <c r="AE32" s="60">
        <f t="array" ref="AE32">LET(val, IFERROR(INDEX('Daily 사주 raw'!$A:$ZZ, MATCH(AE$2, 'Daily 사주 raw'!$A:$A, 0), MATCH($B32, 'Daily 사주 raw'!$1:$1, 0)), ""), IF(val=0, "", val))</f>
        <v>340</v>
      </c>
      <c r="AF32" s="60">
        <f t="array" ref="AF32">LET(val, IFERROR(INDEX('Daily 사주 raw'!$A:$ZZ, MATCH(AF$2, 'Daily 사주 raw'!$A:$A, 0), MATCH($B32, 'Daily 사주 raw'!$1:$1, 0)), ""), IF(val=0, "", val))</f>
        <v>305</v>
      </c>
      <c r="AG32" s="60">
        <f t="array" ref="AG32">LET(val, IFERROR(INDEX('Daily 사주 raw'!$A:$ZZ, MATCH(AG$2, 'Daily 사주 raw'!$A:$A, 0), MATCH($B32, 'Daily 사주 raw'!$1:$1, 0)), ""), IF(val=0, "", val))</f>
        <v>271</v>
      </c>
      <c r="AH32" s="60">
        <f t="array" ref="AH32">LET(val, IFERROR(INDEX('Daily 사주 raw'!$A:$ZZ, MATCH(AH$2, 'Daily 사주 raw'!$A:$A, 0), MATCH($B32, 'Daily 사주 raw'!$1:$1, 0)), ""), IF(val=0, "", val))</f>
        <v>278</v>
      </c>
      <c r="AI32" s="60">
        <f t="array" ref="AI32">LET(val, IFERROR(INDEX('Daily 사주 raw'!$A:$ZZ, MATCH(AI$2, 'Daily 사주 raw'!$A:$A, 0), MATCH($B32, 'Daily 사주 raw'!$1:$1, 0)), ""), IF(val=0, "", val))</f>
        <v>293</v>
      </c>
      <c r="AJ32" s="60">
        <f t="array" ref="AJ32">LET(val, IFERROR(INDEX('Daily 사주 raw'!$A:$ZZ, MATCH(AJ$2, 'Daily 사주 raw'!$A:$A, 0), MATCH($B32, 'Daily 사주 raw'!$1:$1, 0)), ""), IF(val=0, "", val))</f>
        <v>305</v>
      </c>
      <c r="AK32" s="60">
        <f t="array" ref="AK32">LET(val, IFERROR(INDEX('Daily 사주 raw'!$A:$ZZ, MATCH(AK$2, 'Daily 사주 raw'!$A:$A, 0), MATCH($B32, 'Daily 사주 raw'!$1:$1, 0)), ""), IF(val=0, "", val))</f>
        <v>246</v>
      </c>
      <c r="AL32" s="60">
        <f t="array" ref="AL32">LET(val, IFERROR(INDEX('Daily 사주 raw'!$A:$ZZ, MATCH(AL$2, 'Daily 사주 raw'!$A:$A, 0), MATCH($B32, 'Daily 사주 raw'!$1:$1, 0)), ""), IF(val=0, "", val))</f>
        <v>201</v>
      </c>
      <c r="AM32" s="60">
        <f t="array" ref="AM32">LET(val, IFERROR(INDEX('Daily 사주 raw'!$A:$ZZ, MATCH(AM$2, 'Daily 사주 raw'!$A:$A, 0), MATCH($B32, 'Daily 사주 raw'!$1:$1, 0)), ""), IF(val=0, "", val))</f>
        <v>233</v>
      </c>
      <c r="AN32" s="60">
        <f t="array" ref="AN32">LET(val, IFERROR(INDEX('Daily 사주 raw'!$A:$ZZ, MATCH(AN$2, 'Daily 사주 raw'!$A:$A, 0), MATCH($B32, 'Daily 사주 raw'!$1:$1, 0)), ""), IF(val=0, "", val))</f>
        <v>226</v>
      </c>
      <c r="AO32" s="60">
        <f t="array" ref="AO32">LET(val, IFERROR(INDEX('Daily 사주 raw'!$A:$ZZ, MATCH(AO$2, 'Daily 사주 raw'!$A:$A, 0), MATCH($B32, 'Daily 사주 raw'!$1:$1, 0)), ""), IF(val=0, "", val))</f>
        <v>211</v>
      </c>
      <c r="AP32" s="60">
        <f t="array" ref="AP32">LET(val, IFERROR(INDEX('Daily 사주 raw'!$A:$ZZ, MATCH(AP$2, 'Daily 사주 raw'!$A:$A, 0), MATCH($B32, 'Daily 사주 raw'!$1:$1, 0)), ""), IF(val=0, "", val))</f>
        <v>201</v>
      </c>
      <c r="AQ32" s="60">
        <f t="array" ref="AQ32">LET(val, IFERROR(INDEX('Daily 사주 raw'!$A:$ZZ, MATCH(AQ$2, 'Daily 사주 raw'!$A:$A, 0), MATCH($B32, 'Daily 사주 raw'!$1:$1, 0)), ""), IF(val=0, "", val))</f>
        <v>194</v>
      </c>
      <c r="AR32" s="60">
        <f t="array" ref="AR32">LET(val, IFERROR(INDEX('Daily 사주 raw'!$A:$ZZ, MATCH(AR$2, 'Daily 사주 raw'!$A:$A, 0), MATCH($B32, 'Daily 사주 raw'!$1:$1, 0)), ""), IF(val=0, "", val))</f>
        <v>204</v>
      </c>
      <c r="AS32" s="60">
        <f t="array" ref="AS32">LET(val, IFERROR(INDEX('Daily 사주 raw'!$A:$ZZ, MATCH(AS$2, 'Daily 사주 raw'!$A:$A, 0), MATCH($B32, 'Daily 사주 raw'!$1:$1, 0)), ""), IF(val=0, "", val))</f>
        <v>183</v>
      </c>
      <c r="AT32" s="60">
        <f t="array" ref="AT32">LET(val, IFERROR(INDEX('Daily 사주 raw'!$A:$ZZ, MATCH(AT$2, 'Daily 사주 raw'!$A:$A, 0), MATCH($B32, 'Daily 사주 raw'!$1:$1, 0)), ""), IF(val=0, "", val))</f>
        <v>191</v>
      </c>
      <c r="AU32" s="60">
        <f t="array" ref="AU32">LET(val, IFERROR(INDEX('Daily 사주 raw'!$A:$ZZ, MATCH(AU$2, 'Daily 사주 raw'!$A:$A, 0), MATCH($B32, 'Daily 사주 raw'!$1:$1, 0)), ""), IF(val=0, "", val))</f>
        <v>178</v>
      </c>
      <c r="AV32" s="60">
        <f t="array" ref="AV32">LET(val, IFERROR(INDEX('Daily 사주 raw'!$A:$ZZ, MATCH(AV$2, 'Daily 사주 raw'!$A:$A, 0), MATCH($B32, 'Daily 사주 raw'!$1:$1, 0)), ""), IF(val=0, "", val))</f>
        <v>181</v>
      </c>
      <c r="AW32" s="60">
        <f t="array" ref="AW32">LET(val, IFERROR(INDEX('Daily 사주 raw'!$A:$ZZ, MATCH(AW$2, 'Daily 사주 raw'!$A:$A, 0), MATCH($B32, 'Daily 사주 raw'!$1:$1, 0)), ""), IF(val=0, "", val))</f>
        <v>194</v>
      </c>
      <c r="AX32" s="60">
        <f t="array" ref="AX32">LET(val, IFERROR(INDEX('Daily 사주 raw'!$A:$ZZ, MATCH(AX$2, 'Daily 사주 raw'!$A:$A, 0), MATCH($B32, 'Daily 사주 raw'!$1:$1, 0)), ""), IF(val=0, "", val))</f>
        <v>194</v>
      </c>
      <c r="AY32" s="60">
        <f t="array" ref="AY32">LET(val, IFERROR(INDEX('Daily 사주 raw'!$A:$ZZ, MATCH(AY$2, 'Daily 사주 raw'!$A:$A, 0), MATCH($B32, 'Daily 사주 raw'!$1:$1, 0)), ""), IF(val=0, "", val))</f>
        <v>185</v>
      </c>
      <c r="AZ32" s="60">
        <f t="array" ref="AZ32">LET(val, IFERROR(INDEX('Daily 사주 raw'!$A:$ZZ, MATCH(AZ$2, 'Daily 사주 raw'!$A:$A, 0), MATCH($B32, 'Daily 사주 raw'!$1:$1, 0)), ""), IF(val=0, "", val))</f>
        <v>191</v>
      </c>
      <c r="BA32" s="60">
        <f t="array" ref="BA32">LET(val, IFERROR(INDEX('Daily 사주 raw'!$A:$ZZ, MATCH(BA$2, 'Daily 사주 raw'!$A:$A, 0), MATCH($B32, 'Daily 사주 raw'!$1:$1, 0)), ""), IF(val=0, "", val))</f>
        <v>189</v>
      </c>
      <c r="BB32" s="60">
        <f t="array" ref="BB32">LET(val, IFERROR(INDEX('Daily 사주 raw'!$A:$ZZ, MATCH(BB$2, 'Daily 사주 raw'!$A:$A, 0), MATCH($B32, 'Daily 사주 raw'!$1:$1, 0)), ""), IF(val=0, "", val))</f>
        <v>187</v>
      </c>
      <c r="BC32" s="60">
        <f t="array" ref="BC32">LET(val, IFERROR(INDEX('Daily 사주 raw'!$A:$ZZ, MATCH(BC$2, 'Daily 사주 raw'!$A:$A, 0), MATCH($B32, 'Daily 사주 raw'!$1:$1, 0)), ""), IF(val=0, "", val))</f>
        <v>152</v>
      </c>
      <c r="BD32" s="60">
        <f t="array" ref="BD32">LET(val, IFERROR(INDEX('Daily 사주 raw'!$A:$ZZ, MATCH(BD$2, 'Daily 사주 raw'!$A:$A, 0), MATCH($B32, 'Daily 사주 raw'!$1:$1, 0)), ""), IF(val=0, "", val))</f>
        <v>203</v>
      </c>
      <c r="BE32" s="60">
        <f t="array" ref="BE32">LET(val, IFERROR(INDEX('Daily 사주 raw'!$A:$ZZ, MATCH(BE$2, 'Daily 사주 raw'!$A:$A, 0), MATCH($B32, 'Daily 사주 raw'!$1:$1, 0)), ""), IF(val=0, "", val))</f>
        <v>120</v>
      </c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</row>
    <row r="33">
      <c r="A33" s="30"/>
      <c r="B33" s="16" t="s">
        <v>53</v>
      </c>
      <c r="C33" s="17" t="s">
        <v>47</v>
      </c>
      <c r="D33" s="60">
        <f t="array" ref="D33">LET(val, IFERROR(INDEX('Daily 사주 raw'!$A:$ZZ, MATCH(D$2, 'Daily 사주 raw'!$A:$A, 0), MATCH($B33, 'Daily 사주 raw'!$1:$1, 0)), ""), IF(val=0, "", val))</f>
        <v>845</v>
      </c>
      <c r="E33" s="60">
        <f t="array" ref="E33">LET(val, IFERROR(INDEX('Daily 사주 raw'!$A:$ZZ, MATCH(E$2, 'Daily 사주 raw'!$A:$A, 0), MATCH($B33, 'Daily 사주 raw'!$1:$1, 0)), ""), IF(val=0, "", val))</f>
        <v>468</v>
      </c>
      <c r="F33" s="60">
        <f t="array" ref="F33">LET(val, IFERROR(INDEX('Daily 사주 raw'!$A:$ZZ, MATCH(F$2, 'Daily 사주 raw'!$A:$A, 0), MATCH($B33, 'Daily 사주 raw'!$1:$1, 0)), ""), IF(val=0, "", val))</f>
        <v>411</v>
      </c>
      <c r="G33" s="60">
        <f t="array" ref="G33">LET(val, IFERROR(INDEX('Daily 사주 raw'!$A:$ZZ, MATCH(G$2, 'Daily 사주 raw'!$A:$A, 0), MATCH($B33, 'Daily 사주 raw'!$1:$1, 0)), ""), IF(val=0, "", val))</f>
        <v>426</v>
      </c>
      <c r="H33" s="60">
        <f t="array" ref="H33">LET(val, IFERROR(INDEX('Daily 사주 raw'!$A:$ZZ, MATCH(H$2, 'Daily 사주 raw'!$A:$A, 0), MATCH($B33, 'Daily 사주 raw'!$1:$1, 0)), ""), IF(val=0, "", val))</f>
        <v>401</v>
      </c>
      <c r="I33" s="60">
        <f t="array" ref="I33">LET(val, IFERROR(INDEX('Daily 사주 raw'!$A:$ZZ, MATCH(I$2, 'Daily 사주 raw'!$A:$A, 0), MATCH($B33, 'Daily 사주 raw'!$1:$1, 0)), ""), IF(val=0, "", val))</f>
        <v>306</v>
      </c>
      <c r="J33" s="60">
        <f t="array" ref="J33">LET(val, IFERROR(INDEX('Daily 사주 raw'!$A:$ZZ, MATCH(J$2, 'Daily 사주 raw'!$A:$A, 0), MATCH($B33, 'Daily 사주 raw'!$1:$1, 0)), ""), IF(val=0, "", val))</f>
        <v>124</v>
      </c>
      <c r="K33" s="60">
        <f t="array" ref="K33">LET(val, IFERROR(INDEX('Daily 사주 raw'!$A:$ZZ, MATCH(K$2, 'Daily 사주 raw'!$A:$A, 0), MATCH($B33, 'Daily 사주 raw'!$1:$1, 0)), ""), IF(val=0, "", val))</f>
        <v>330</v>
      </c>
      <c r="L33" s="60">
        <f t="array" ref="L33">LET(val, IFERROR(INDEX('Daily 사주 raw'!$A:$ZZ, MATCH(L$2, 'Daily 사주 raw'!$A:$A, 0), MATCH($B33, 'Daily 사주 raw'!$1:$1, 0)), ""), IF(val=0, "", val))</f>
        <v>550</v>
      </c>
      <c r="M33" s="60">
        <f t="array" ref="M33">LET(val, IFERROR(INDEX('Daily 사주 raw'!$A:$ZZ, MATCH(M$2, 'Daily 사주 raw'!$A:$A, 0), MATCH($B33, 'Daily 사주 raw'!$1:$1, 0)), ""), IF(val=0, "", val))</f>
        <v>719</v>
      </c>
      <c r="N33" s="60">
        <f t="array" ref="N33">LET(val, IFERROR(INDEX('Daily 사주 raw'!$A:$ZZ, MATCH(N$2, 'Daily 사주 raw'!$A:$A, 0), MATCH($B33, 'Daily 사주 raw'!$1:$1, 0)), ""), IF(val=0, "", val))</f>
        <v>639</v>
      </c>
      <c r="O33" s="60">
        <f t="array" ref="O33">LET(val, IFERROR(INDEX('Daily 사주 raw'!$A:$ZZ, MATCH(O$2, 'Daily 사주 raw'!$A:$A, 0), MATCH($B33, 'Daily 사주 raw'!$1:$1, 0)), ""), IF(val=0, "", val))</f>
        <v>647</v>
      </c>
      <c r="P33" s="60">
        <f t="array" ref="P33">LET(val, IFERROR(INDEX('Daily 사주 raw'!$A:$ZZ, MATCH(P$2, 'Daily 사주 raw'!$A:$A, 0), MATCH($B33, 'Daily 사주 raw'!$1:$1, 0)), ""), IF(val=0, "", val))</f>
        <v>596</v>
      </c>
      <c r="Q33" s="60">
        <f t="array" ref="Q33">LET(val, IFERROR(INDEX('Daily 사주 raw'!$A:$ZZ, MATCH(Q$2, 'Daily 사주 raw'!$A:$A, 0), MATCH($B33, 'Daily 사주 raw'!$1:$1, 0)), ""), IF(val=0, "", val))</f>
        <v>597</v>
      </c>
      <c r="R33" s="60">
        <f t="array" ref="R33">LET(val, IFERROR(INDEX('Daily 사주 raw'!$A:$ZZ, MATCH(R$2, 'Daily 사주 raw'!$A:$A, 0), MATCH($B33, 'Daily 사주 raw'!$1:$1, 0)), ""), IF(val=0, "", val))</f>
        <v>500</v>
      </c>
      <c r="S33" s="60">
        <f t="array" ref="S33">LET(val, IFERROR(INDEX('Daily 사주 raw'!$A:$ZZ, MATCH(S$2, 'Daily 사주 raw'!$A:$A, 0), MATCH($B33, 'Daily 사주 raw'!$1:$1, 0)), ""), IF(val=0, "", val))</f>
        <v>596</v>
      </c>
      <c r="T33" s="60">
        <f t="array" ref="T33">LET(val, IFERROR(INDEX('Daily 사주 raw'!$A:$ZZ, MATCH(T$2, 'Daily 사주 raw'!$A:$A, 0), MATCH($B33, 'Daily 사주 raw'!$1:$1, 0)), ""), IF(val=0, "", val))</f>
        <v>846</v>
      </c>
      <c r="U33" s="60">
        <f t="array" ref="U33">LET(val, IFERROR(INDEX('Daily 사주 raw'!$A:$ZZ, MATCH(U$2, 'Daily 사주 raw'!$A:$A, 0), MATCH($B33, 'Daily 사주 raw'!$1:$1, 0)), ""), IF(val=0, "", val))</f>
        <v>709</v>
      </c>
      <c r="V33" s="60">
        <f t="array" ref="V33">LET(val, IFERROR(INDEX('Daily 사주 raw'!$A:$ZZ, MATCH(V$2, 'Daily 사주 raw'!$A:$A, 0), MATCH($B33, 'Daily 사주 raw'!$1:$1, 0)), ""), IF(val=0, "", val))</f>
        <v>639</v>
      </c>
      <c r="W33" s="60">
        <f t="array" ref="W33">LET(val, IFERROR(INDEX('Daily 사주 raw'!$A:$ZZ, MATCH(W$2, 'Daily 사주 raw'!$A:$A, 0), MATCH($B33, 'Daily 사주 raw'!$1:$1, 0)), ""), IF(val=0, "", val))</f>
        <v>1245</v>
      </c>
      <c r="X33" s="60">
        <f t="array" ref="X33">LET(val, IFERROR(INDEX('Daily 사주 raw'!$A:$ZZ, MATCH(X$2, 'Daily 사주 raw'!$A:$A, 0), MATCH($B33, 'Daily 사주 raw'!$1:$1, 0)), ""), IF(val=0, "", val))</f>
        <v>1261</v>
      </c>
      <c r="Y33" s="60">
        <f t="array" ref="Y33">LET(val, IFERROR(INDEX('Daily 사주 raw'!$A:$ZZ, MATCH(Y$2, 'Daily 사주 raw'!$A:$A, 0), MATCH($B33, 'Daily 사주 raw'!$1:$1, 0)), ""), IF(val=0, "", val))</f>
        <v>959</v>
      </c>
      <c r="Z33" s="60">
        <f t="array" ref="Z33">LET(val, IFERROR(INDEX('Daily 사주 raw'!$A:$ZZ, MATCH(Z$2, 'Daily 사주 raw'!$A:$A, 0), MATCH($B33, 'Daily 사주 raw'!$1:$1, 0)), ""), IF(val=0, "", val))</f>
        <v>688</v>
      </c>
      <c r="AA33" s="60">
        <f t="array" ref="AA33">LET(val, IFERROR(INDEX('Daily 사주 raw'!$A:$ZZ, MATCH(AA$2, 'Daily 사주 raw'!$A:$A, 0), MATCH($B33, 'Daily 사주 raw'!$1:$1, 0)), ""), IF(val=0, "", val))</f>
        <v>583</v>
      </c>
      <c r="AB33" s="60">
        <f t="array" ref="AB33">LET(val, IFERROR(INDEX('Daily 사주 raw'!$A:$ZZ, MATCH(AB$2, 'Daily 사주 raw'!$A:$A, 0), MATCH($B33, 'Daily 사주 raw'!$1:$1, 0)), ""), IF(val=0, "", val))</f>
        <v>689</v>
      </c>
      <c r="AC33" s="60">
        <f t="array" ref="AC33">LET(val, IFERROR(INDEX('Daily 사주 raw'!$A:$ZZ, MATCH(AC$2, 'Daily 사주 raw'!$A:$A, 0), MATCH($B33, 'Daily 사주 raw'!$1:$1, 0)), ""), IF(val=0, "", val))</f>
        <v>594</v>
      </c>
      <c r="AD33" s="60">
        <f t="array" ref="AD33">LET(val, IFERROR(INDEX('Daily 사주 raw'!$A:$ZZ, MATCH(AD$2, 'Daily 사주 raw'!$A:$A, 0), MATCH($B33, 'Daily 사주 raw'!$1:$1, 0)), ""), IF(val=0, "", val))</f>
        <v>746</v>
      </c>
      <c r="AE33" s="60">
        <f t="array" ref="AE33">LET(val, IFERROR(INDEX('Daily 사주 raw'!$A:$ZZ, MATCH(AE$2, 'Daily 사주 raw'!$A:$A, 0), MATCH($B33, 'Daily 사주 raw'!$1:$1, 0)), ""), IF(val=0, "", val))</f>
        <v>578</v>
      </c>
      <c r="AF33" s="60">
        <f t="array" ref="AF33">LET(val, IFERROR(INDEX('Daily 사주 raw'!$A:$ZZ, MATCH(AF$2, 'Daily 사주 raw'!$A:$A, 0), MATCH($B33, 'Daily 사주 raw'!$1:$1, 0)), ""), IF(val=0, "", val))</f>
        <v>602</v>
      </c>
      <c r="AG33" s="60">
        <f t="array" ref="AG33">LET(val, IFERROR(INDEX('Daily 사주 raw'!$A:$ZZ, MATCH(AG$2, 'Daily 사주 raw'!$A:$A, 0), MATCH($B33, 'Daily 사주 raw'!$1:$1, 0)), ""), IF(val=0, "", val))</f>
        <v>560</v>
      </c>
      <c r="AH33" s="60">
        <f t="array" ref="AH33">LET(val, IFERROR(INDEX('Daily 사주 raw'!$A:$ZZ, MATCH(AH$2, 'Daily 사주 raw'!$A:$A, 0), MATCH($B33, 'Daily 사주 raw'!$1:$1, 0)), ""), IF(val=0, "", val))</f>
        <v>564</v>
      </c>
      <c r="AI33" s="60">
        <f t="array" ref="AI33">LET(val, IFERROR(INDEX('Daily 사주 raw'!$A:$ZZ, MATCH(AI$2, 'Daily 사주 raw'!$A:$A, 0), MATCH($B33, 'Daily 사주 raw'!$1:$1, 0)), ""), IF(val=0, "", val))</f>
        <v>618</v>
      </c>
      <c r="AJ33" s="60">
        <f t="array" ref="AJ33">LET(val, IFERROR(INDEX('Daily 사주 raw'!$A:$ZZ, MATCH(AJ$2, 'Daily 사주 raw'!$A:$A, 0), MATCH($B33, 'Daily 사주 raw'!$1:$1, 0)), ""), IF(val=0, "", val))</f>
        <v>641</v>
      </c>
      <c r="AK33" s="60">
        <f t="array" ref="AK33">LET(val, IFERROR(INDEX('Daily 사주 raw'!$A:$ZZ, MATCH(AK$2, 'Daily 사주 raw'!$A:$A, 0), MATCH($B33, 'Daily 사주 raw'!$1:$1, 0)), ""), IF(val=0, "", val))</f>
        <v>537</v>
      </c>
      <c r="AL33" s="60">
        <f t="array" ref="AL33">LET(val, IFERROR(INDEX('Daily 사주 raw'!$A:$ZZ, MATCH(AL$2, 'Daily 사주 raw'!$A:$A, 0), MATCH($B33, 'Daily 사주 raw'!$1:$1, 0)), ""), IF(val=0, "", val))</f>
        <v>500</v>
      </c>
      <c r="AM33" s="60">
        <f t="array" ref="AM33">LET(val, IFERROR(INDEX('Daily 사주 raw'!$A:$ZZ, MATCH(AM$2, 'Daily 사주 raw'!$A:$A, 0), MATCH($B33, 'Daily 사주 raw'!$1:$1, 0)), ""), IF(val=0, "", val))</f>
        <v>585</v>
      </c>
      <c r="AN33" s="60">
        <f t="array" ref="AN33">LET(val, IFERROR(INDEX('Daily 사주 raw'!$A:$ZZ, MATCH(AN$2, 'Daily 사주 raw'!$A:$A, 0), MATCH($B33, 'Daily 사주 raw'!$1:$1, 0)), ""), IF(val=0, "", val))</f>
        <v>548</v>
      </c>
      <c r="AO33" s="60">
        <f t="array" ref="AO33">LET(val, IFERROR(INDEX('Daily 사주 raw'!$A:$ZZ, MATCH(AO$2, 'Daily 사주 raw'!$A:$A, 0), MATCH($B33, 'Daily 사주 raw'!$1:$1, 0)), ""), IF(val=0, "", val))</f>
        <v>490</v>
      </c>
      <c r="AP33" s="60">
        <f t="array" ref="AP33">LET(val, IFERROR(INDEX('Daily 사주 raw'!$A:$ZZ, MATCH(AP$2, 'Daily 사주 raw'!$A:$A, 0), MATCH($B33, 'Daily 사주 raw'!$1:$1, 0)), ""), IF(val=0, "", val))</f>
        <v>501</v>
      </c>
      <c r="AQ33" s="60">
        <f t="array" ref="AQ33">LET(val, IFERROR(INDEX('Daily 사주 raw'!$A:$ZZ, MATCH(AQ$2, 'Daily 사주 raw'!$A:$A, 0), MATCH($B33, 'Daily 사주 raw'!$1:$1, 0)), ""), IF(val=0, "", val))</f>
        <v>462</v>
      </c>
      <c r="AR33" s="60">
        <f t="array" ref="AR33">LET(val, IFERROR(INDEX('Daily 사주 raw'!$A:$ZZ, MATCH(AR$2, 'Daily 사주 raw'!$A:$A, 0), MATCH($B33, 'Daily 사주 raw'!$1:$1, 0)), ""), IF(val=0, "", val))</f>
        <v>464</v>
      </c>
      <c r="AS33" s="60">
        <f t="array" ref="AS33">LET(val, IFERROR(INDEX('Daily 사주 raw'!$A:$ZZ, MATCH(AS$2, 'Daily 사주 raw'!$A:$A, 0), MATCH($B33, 'Daily 사주 raw'!$1:$1, 0)), ""), IF(val=0, "", val))</f>
        <v>463</v>
      </c>
      <c r="AT33" s="60">
        <f t="array" ref="AT33">LET(val, IFERROR(INDEX('Daily 사주 raw'!$A:$ZZ, MATCH(AT$2, 'Daily 사주 raw'!$A:$A, 0), MATCH($B33, 'Daily 사주 raw'!$1:$1, 0)), ""), IF(val=0, "", val))</f>
        <v>479</v>
      </c>
      <c r="AU33" s="60">
        <f t="array" ref="AU33">LET(val, IFERROR(INDEX('Daily 사주 raw'!$A:$ZZ, MATCH(AU$2, 'Daily 사주 raw'!$A:$A, 0), MATCH($B33, 'Daily 사주 raw'!$1:$1, 0)), ""), IF(val=0, "", val))</f>
        <v>443</v>
      </c>
      <c r="AV33" s="60">
        <f t="array" ref="AV33">LET(val, IFERROR(INDEX('Daily 사주 raw'!$A:$ZZ, MATCH(AV$2, 'Daily 사주 raw'!$A:$A, 0), MATCH($B33, 'Daily 사주 raw'!$1:$1, 0)), ""), IF(val=0, "", val))</f>
        <v>538</v>
      </c>
      <c r="AW33" s="60">
        <f t="array" ref="AW33">LET(val, IFERROR(INDEX('Daily 사주 raw'!$A:$ZZ, MATCH(AW$2, 'Daily 사주 raw'!$A:$A, 0), MATCH($B33, 'Daily 사주 raw'!$1:$1, 0)), ""), IF(val=0, "", val))</f>
        <v>452</v>
      </c>
      <c r="AX33" s="60">
        <f t="array" ref="AX33">LET(val, IFERROR(INDEX('Daily 사주 raw'!$A:$ZZ, MATCH(AX$2, 'Daily 사주 raw'!$A:$A, 0), MATCH($B33, 'Daily 사주 raw'!$1:$1, 0)), ""), IF(val=0, "", val))</f>
        <v>544</v>
      </c>
      <c r="AY33" s="60">
        <f t="array" ref="AY33">LET(val, IFERROR(INDEX('Daily 사주 raw'!$A:$ZZ, MATCH(AY$2, 'Daily 사주 raw'!$A:$A, 0), MATCH($B33, 'Daily 사주 raw'!$1:$1, 0)), ""), IF(val=0, "", val))</f>
        <v>617</v>
      </c>
      <c r="AZ33" s="60">
        <f t="array" ref="AZ33">LET(val, IFERROR(INDEX('Daily 사주 raw'!$A:$ZZ, MATCH(AZ$2, 'Daily 사주 raw'!$A:$A, 0), MATCH($B33, 'Daily 사주 raw'!$1:$1, 0)), ""), IF(val=0, "", val))</f>
        <v>594</v>
      </c>
      <c r="BA33" s="60">
        <f t="array" ref="BA33">LET(val, IFERROR(INDEX('Daily 사주 raw'!$A:$ZZ, MATCH(BA$2, 'Daily 사주 raw'!$A:$A, 0), MATCH($B33, 'Daily 사주 raw'!$1:$1, 0)), ""), IF(val=0, "", val))</f>
        <v>560</v>
      </c>
      <c r="BB33" s="60">
        <f t="array" ref="BB33">LET(val, IFERROR(INDEX('Daily 사주 raw'!$A:$ZZ, MATCH(BB$2, 'Daily 사주 raw'!$A:$A, 0), MATCH($B33, 'Daily 사주 raw'!$1:$1, 0)), ""), IF(val=0, "", val))</f>
        <v>444</v>
      </c>
      <c r="BC33" s="60">
        <f t="array" ref="BC33">LET(val, IFERROR(INDEX('Daily 사주 raw'!$A:$ZZ, MATCH(BC$2, 'Daily 사주 raw'!$A:$A, 0), MATCH($B33, 'Daily 사주 raw'!$1:$1, 0)), ""), IF(val=0, "", val))</f>
        <v>441</v>
      </c>
      <c r="BD33" s="60">
        <f t="array" ref="BD33">LET(val, IFERROR(INDEX('Daily 사주 raw'!$A:$ZZ, MATCH(BD$2, 'Daily 사주 raw'!$A:$A, 0), MATCH($B33, 'Daily 사주 raw'!$1:$1, 0)), ""), IF(val=0, "", val))</f>
        <v>467</v>
      </c>
      <c r="BE33" s="60" t="str">
        <f t="array" ref="BE33">LET(val, IFERROR(INDEX('Daily 사주 raw'!$A:$ZZ, MATCH(BE$2, 'Daily 사주 raw'!$A:$A, 0), MATCH($B33, 'Daily 사주 raw'!$1:$1, 0)), ""), IF(val=0, "", val))</f>
        <v/>
      </c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</row>
    <row r="34">
      <c r="A34" s="30"/>
      <c r="B34" s="16" t="s">
        <v>54</v>
      </c>
      <c r="C34" s="17" t="s">
        <v>20</v>
      </c>
      <c r="D34" s="60">
        <f t="array" ref="D34">LET(val, IFERROR(INDEX('Daily 사주 raw'!$A:$ZZ, MATCH(D$2, 'Daily 사주 raw'!$A:$A, 0), MATCH($B34, 'Daily 사주 raw'!$1:$1, 0)), ""), IF(val=0, "", val))</f>
        <v>30</v>
      </c>
      <c r="E34" s="60">
        <f t="array" ref="E34">LET(val, IFERROR(INDEX('Daily 사주 raw'!$A:$ZZ, MATCH(E$2, 'Daily 사주 raw'!$A:$A, 0), MATCH($B34, 'Daily 사주 raw'!$1:$1, 0)), ""), IF(val=0, "", val))</f>
        <v>21</v>
      </c>
      <c r="F34" s="60">
        <f t="array" ref="F34">LET(val, IFERROR(INDEX('Daily 사주 raw'!$A:$ZZ, MATCH(F$2, 'Daily 사주 raw'!$A:$A, 0), MATCH($B34, 'Daily 사주 raw'!$1:$1, 0)), ""), IF(val=0, "", val))</f>
        <v>9</v>
      </c>
      <c r="G34" s="60">
        <f t="array" ref="G34">LET(val, IFERROR(INDEX('Daily 사주 raw'!$A:$ZZ, MATCH(G$2, 'Daily 사주 raw'!$A:$A, 0), MATCH($B34, 'Daily 사주 raw'!$1:$1, 0)), ""), IF(val=0, "", val))</f>
        <v>6</v>
      </c>
      <c r="H34" s="60">
        <f t="array" ref="H34">LET(val, IFERROR(INDEX('Daily 사주 raw'!$A:$ZZ, MATCH(H$2, 'Daily 사주 raw'!$A:$A, 0), MATCH($B34, 'Daily 사주 raw'!$1:$1, 0)), ""), IF(val=0, "", val))</f>
        <v>13</v>
      </c>
      <c r="I34" s="60">
        <f t="array" ref="I34">LET(val, IFERROR(INDEX('Daily 사주 raw'!$A:$ZZ, MATCH(I$2, 'Daily 사주 raw'!$A:$A, 0), MATCH($B34, 'Daily 사주 raw'!$1:$1, 0)), ""), IF(val=0, "", val))</f>
        <v>14</v>
      </c>
      <c r="J34" s="60">
        <f t="array" ref="J34">LET(val, IFERROR(INDEX('Daily 사주 raw'!$A:$ZZ, MATCH(J$2, 'Daily 사주 raw'!$A:$A, 0), MATCH($B34, 'Daily 사주 raw'!$1:$1, 0)), ""), IF(val=0, "", val))</f>
        <v>8</v>
      </c>
      <c r="K34" s="60">
        <f t="array" ref="K34">LET(val, IFERROR(INDEX('Daily 사주 raw'!$A:$ZZ, MATCH(K$2, 'Daily 사주 raw'!$A:$A, 0), MATCH($B34, 'Daily 사주 raw'!$1:$1, 0)), ""), IF(val=0, "", val))</f>
        <v>32</v>
      </c>
      <c r="L34" s="60">
        <f t="array" ref="L34">LET(val, IFERROR(INDEX('Daily 사주 raw'!$A:$ZZ, MATCH(L$2, 'Daily 사주 raw'!$A:$A, 0), MATCH($B34, 'Daily 사주 raw'!$1:$1, 0)), ""), IF(val=0, "", val))</f>
        <v>42</v>
      </c>
      <c r="M34" s="60">
        <f t="array" ref="M34">LET(val, IFERROR(INDEX('Daily 사주 raw'!$A:$ZZ, MATCH(M$2, 'Daily 사주 raw'!$A:$A, 0), MATCH($B34, 'Daily 사주 raw'!$1:$1, 0)), ""), IF(val=0, "", val))</f>
        <v>50</v>
      </c>
      <c r="N34" s="60">
        <f t="array" ref="N34">LET(val, IFERROR(INDEX('Daily 사주 raw'!$A:$ZZ, MATCH(N$2, 'Daily 사주 raw'!$A:$A, 0), MATCH($B34, 'Daily 사주 raw'!$1:$1, 0)), ""), IF(val=0, "", val))</f>
        <v>48</v>
      </c>
      <c r="O34" s="60">
        <f t="array" ref="O34">LET(val, IFERROR(INDEX('Daily 사주 raw'!$A:$ZZ, MATCH(O$2, 'Daily 사주 raw'!$A:$A, 0), MATCH($B34, 'Daily 사주 raw'!$1:$1, 0)), ""), IF(val=0, "", val))</f>
        <v>49</v>
      </c>
      <c r="P34" s="60">
        <f t="array" ref="P34">LET(val, IFERROR(INDEX('Daily 사주 raw'!$A:$ZZ, MATCH(P$2, 'Daily 사주 raw'!$A:$A, 0), MATCH($B34, 'Daily 사주 raw'!$1:$1, 0)), ""), IF(val=0, "", val))</f>
        <v>48</v>
      </c>
      <c r="Q34" s="60">
        <f t="array" ref="Q34">LET(val, IFERROR(INDEX('Daily 사주 raw'!$A:$ZZ, MATCH(Q$2, 'Daily 사주 raw'!$A:$A, 0), MATCH($B34, 'Daily 사주 raw'!$1:$1, 0)), ""), IF(val=0, "", val))</f>
        <v>43</v>
      </c>
      <c r="R34" s="60">
        <f t="array" ref="R34">LET(val, IFERROR(INDEX('Daily 사주 raw'!$A:$ZZ, MATCH(R$2, 'Daily 사주 raw'!$A:$A, 0), MATCH($B34, 'Daily 사주 raw'!$1:$1, 0)), ""), IF(val=0, "", val))</f>
        <v>44</v>
      </c>
      <c r="S34" s="60">
        <f t="array" ref="S34">LET(val, IFERROR(INDEX('Daily 사주 raw'!$A:$ZZ, MATCH(S$2, 'Daily 사주 raw'!$A:$A, 0), MATCH($B34, 'Daily 사주 raw'!$1:$1, 0)), ""), IF(val=0, "", val))</f>
        <v>36</v>
      </c>
      <c r="T34" s="60">
        <f t="array" ref="T34">LET(val, IFERROR(INDEX('Daily 사주 raw'!$A:$ZZ, MATCH(T$2, 'Daily 사주 raw'!$A:$A, 0), MATCH($B34, 'Daily 사주 raw'!$1:$1, 0)), ""), IF(val=0, "", val))</f>
        <v>61</v>
      </c>
      <c r="U34" s="60">
        <f t="array" ref="U34">LET(val, IFERROR(INDEX('Daily 사주 raw'!$A:$ZZ, MATCH(U$2, 'Daily 사주 raw'!$A:$A, 0), MATCH($B34, 'Daily 사주 raw'!$1:$1, 0)), ""), IF(val=0, "", val))</f>
        <v>48</v>
      </c>
      <c r="V34" s="60">
        <f t="array" ref="V34">LET(val, IFERROR(INDEX('Daily 사주 raw'!$A:$ZZ, MATCH(V$2, 'Daily 사주 raw'!$A:$A, 0), MATCH($B34, 'Daily 사주 raw'!$1:$1, 0)), ""), IF(val=0, "", val))</f>
        <v>54</v>
      </c>
      <c r="W34" s="60">
        <f t="array" ref="W34">LET(val, IFERROR(INDEX('Daily 사주 raw'!$A:$ZZ, MATCH(W$2, 'Daily 사주 raw'!$A:$A, 0), MATCH($B34, 'Daily 사주 raw'!$1:$1, 0)), ""), IF(val=0, "", val))</f>
        <v>69</v>
      </c>
      <c r="X34" s="60">
        <f t="array" ref="X34">LET(val, IFERROR(INDEX('Daily 사주 raw'!$A:$ZZ, MATCH(X$2, 'Daily 사주 raw'!$A:$A, 0), MATCH($B34, 'Daily 사주 raw'!$1:$1, 0)), ""), IF(val=0, "", val))</f>
        <v>91</v>
      </c>
      <c r="Y34" s="60">
        <f t="array" ref="Y34">LET(val, IFERROR(INDEX('Daily 사주 raw'!$A:$ZZ, MATCH(Y$2, 'Daily 사주 raw'!$A:$A, 0), MATCH($B34, 'Daily 사주 raw'!$1:$1, 0)), ""), IF(val=0, "", val))</f>
        <v>63</v>
      </c>
      <c r="Z34" s="60">
        <f t="array" ref="Z34">LET(val, IFERROR(INDEX('Daily 사주 raw'!$A:$ZZ, MATCH(Z$2, 'Daily 사주 raw'!$A:$A, 0), MATCH($B34, 'Daily 사주 raw'!$1:$1, 0)), ""), IF(val=0, "", val))</f>
        <v>41</v>
      </c>
      <c r="AA34" s="60">
        <f t="array" ref="AA34">LET(val, IFERROR(INDEX('Daily 사주 raw'!$A:$ZZ, MATCH(AA$2, 'Daily 사주 raw'!$A:$A, 0), MATCH($B34, 'Daily 사주 raw'!$1:$1, 0)), ""), IF(val=0, "", val))</f>
        <v>29</v>
      </c>
      <c r="AB34" s="60">
        <f t="array" ref="AB34">LET(val, IFERROR(INDEX('Daily 사주 raw'!$A:$ZZ, MATCH(AB$2, 'Daily 사주 raw'!$A:$A, 0), MATCH($B34, 'Daily 사주 raw'!$1:$1, 0)), ""), IF(val=0, "", val))</f>
        <v>50</v>
      </c>
      <c r="AC34" s="60">
        <f t="array" ref="AC34">LET(val, IFERROR(INDEX('Daily 사주 raw'!$A:$ZZ, MATCH(AC$2, 'Daily 사주 raw'!$A:$A, 0), MATCH($B34, 'Daily 사주 raw'!$1:$1, 0)), ""), IF(val=0, "", val))</f>
        <v>49</v>
      </c>
      <c r="AD34" s="60">
        <f t="array" ref="AD34">LET(val, IFERROR(INDEX('Daily 사주 raw'!$A:$ZZ, MATCH(AD$2, 'Daily 사주 raw'!$A:$A, 0), MATCH($B34, 'Daily 사주 raw'!$1:$1, 0)), ""), IF(val=0, "", val))</f>
        <v>40</v>
      </c>
      <c r="AE34" s="60">
        <f t="array" ref="AE34">LET(val, IFERROR(INDEX('Daily 사주 raw'!$A:$ZZ, MATCH(AE$2, 'Daily 사주 raw'!$A:$A, 0), MATCH($B34, 'Daily 사주 raw'!$1:$1, 0)), ""), IF(val=0, "", val))</f>
        <v>33</v>
      </c>
      <c r="AF34" s="60">
        <f t="array" ref="AF34">LET(val, IFERROR(INDEX('Daily 사주 raw'!$A:$ZZ, MATCH(AF$2, 'Daily 사주 raw'!$A:$A, 0), MATCH($B34, 'Daily 사주 raw'!$1:$1, 0)), ""), IF(val=0, "", val))</f>
        <v>46</v>
      </c>
      <c r="AG34" s="60">
        <f t="array" ref="AG34">LET(val, IFERROR(INDEX('Daily 사주 raw'!$A:$ZZ, MATCH(AG$2, 'Daily 사주 raw'!$A:$A, 0), MATCH($B34, 'Daily 사주 raw'!$1:$1, 0)), ""), IF(val=0, "", val))</f>
        <v>34</v>
      </c>
      <c r="AH34" s="60">
        <f t="array" ref="AH34">LET(val, IFERROR(INDEX('Daily 사주 raw'!$A:$ZZ, MATCH(AH$2, 'Daily 사주 raw'!$A:$A, 0), MATCH($B34, 'Daily 사주 raw'!$1:$1, 0)), ""), IF(val=0, "", val))</f>
        <v>36</v>
      </c>
      <c r="AI34" s="60">
        <f t="array" ref="AI34">LET(val, IFERROR(INDEX('Daily 사주 raw'!$A:$ZZ, MATCH(AI$2, 'Daily 사주 raw'!$A:$A, 0), MATCH($B34, 'Daily 사주 raw'!$1:$1, 0)), ""), IF(val=0, "", val))</f>
        <v>47</v>
      </c>
      <c r="AJ34" s="60">
        <f t="array" ref="AJ34">LET(val, IFERROR(INDEX('Daily 사주 raw'!$A:$ZZ, MATCH(AJ$2, 'Daily 사주 raw'!$A:$A, 0), MATCH($B34, 'Daily 사주 raw'!$1:$1, 0)), ""), IF(val=0, "", val))</f>
        <v>42</v>
      </c>
      <c r="AK34" s="60">
        <f t="array" ref="AK34">LET(val, IFERROR(INDEX('Daily 사주 raw'!$A:$ZZ, MATCH(AK$2, 'Daily 사주 raw'!$A:$A, 0), MATCH($B34, 'Daily 사주 raw'!$1:$1, 0)), ""), IF(val=0, "", val))</f>
        <v>43</v>
      </c>
      <c r="AL34" s="60">
        <f t="array" ref="AL34">LET(val, IFERROR(INDEX('Daily 사주 raw'!$A:$ZZ, MATCH(AL$2, 'Daily 사주 raw'!$A:$A, 0), MATCH($B34, 'Daily 사주 raw'!$1:$1, 0)), ""), IF(val=0, "", val))</f>
        <v>38</v>
      </c>
      <c r="AM34" s="60">
        <f t="array" ref="AM34">LET(val, IFERROR(INDEX('Daily 사주 raw'!$A:$ZZ, MATCH(AM$2, 'Daily 사주 raw'!$A:$A, 0), MATCH($B34, 'Daily 사주 raw'!$1:$1, 0)), ""), IF(val=0, "", val))</f>
        <v>40</v>
      </c>
      <c r="AN34" s="60">
        <f t="array" ref="AN34">LET(val, IFERROR(INDEX('Daily 사주 raw'!$A:$ZZ, MATCH(AN$2, 'Daily 사주 raw'!$A:$A, 0), MATCH($B34, 'Daily 사주 raw'!$1:$1, 0)), ""), IF(val=0, "", val))</f>
        <v>40</v>
      </c>
      <c r="AO34" s="60">
        <f t="array" ref="AO34">LET(val, IFERROR(INDEX('Daily 사주 raw'!$A:$ZZ, MATCH(AO$2, 'Daily 사주 raw'!$A:$A, 0), MATCH($B34, 'Daily 사주 raw'!$1:$1, 0)), ""), IF(val=0, "", val))</f>
        <v>29</v>
      </c>
      <c r="AP34" s="60">
        <f t="array" ref="AP34">LET(val, IFERROR(INDEX('Daily 사주 raw'!$A:$ZZ, MATCH(AP$2, 'Daily 사주 raw'!$A:$A, 0), MATCH($B34, 'Daily 사주 raw'!$1:$1, 0)), ""), IF(val=0, "", val))</f>
        <v>26</v>
      </c>
      <c r="AQ34" s="60">
        <f t="array" ref="AQ34">LET(val, IFERROR(INDEX('Daily 사주 raw'!$A:$ZZ, MATCH(AQ$2, 'Daily 사주 raw'!$A:$A, 0), MATCH($B34, 'Daily 사주 raw'!$1:$1, 0)), ""), IF(val=0, "", val))</f>
        <v>23</v>
      </c>
      <c r="AR34" s="60">
        <f t="array" ref="AR34">LET(val, IFERROR(INDEX('Daily 사주 raw'!$A:$ZZ, MATCH(AR$2, 'Daily 사주 raw'!$A:$A, 0), MATCH($B34, 'Daily 사주 raw'!$1:$1, 0)), ""), IF(val=0, "", val))</f>
        <v>18</v>
      </c>
      <c r="AS34" s="60">
        <f t="array" ref="AS34">LET(val, IFERROR(INDEX('Daily 사주 raw'!$A:$ZZ, MATCH(AS$2, 'Daily 사주 raw'!$A:$A, 0), MATCH($B34, 'Daily 사주 raw'!$1:$1, 0)), ""), IF(val=0, "", val))</f>
        <v>29</v>
      </c>
      <c r="AT34" s="60">
        <f t="array" ref="AT34">LET(val, IFERROR(INDEX('Daily 사주 raw'!$A:$ZZ, MATCH(AT$2, 'Daily 사주 raw'!$A:$A, 0), MATCH($B34, 'Daily 사주 raw'!$1:$1, 0)), ""), IF(val=0, "", val))</f>
        <v>24</v>
      </c>
      <c r="AU34" s="60">
        <f t="array" ref="AU34">LET(val, IFERROR(INDEX('Daily 사주 raw'!$A:$ZZ, MATCH(AU$2, 'Daily 사주 raw'!$A:$A, 0), MATCH($B34, 'Daily 사주 raw'!$1:$1, 0)), ""), IF(val=0, "", val))</f>
        <v>22</v>
      </c>
      <c r="AV34" s="60">
        <f t="array" ref="AV34">LET(val, IFERROR(INDEX('Daily 사주 raw'!$A:$ZZ, MATCH(AV$2, 'Daily 사주 raw'!$A:$A, 0), MATCH($B34, 'Daily 사주 raw'!$1:$1, 0)), ""), IF(val=0, "", val))</f>
        <v>27</v>
      </c>
      <c r="AW34" s="60">
        <f t="array" ref="AW34">LET(val, IFERROR(INDEX('Daily 사주 raw'!$A:$ZZ, MATCH(AW$2, 'Daily 사주 raw'!$A:$A, 0), MATCH($B34, 'Daily 사주 raw'!$1:$1, 0)), ""), IF(val=0, "", val))</f>
        <v>31</v>
      </c>
      <c r="AX34" s="60">
        <f t="array" ref="AX34">LET(val, IFERROR(INDEX('Daily 사주 raw'!$A:$ZZ, MATCH(AX$2, 'Daily 사주 raw'!$A:$A, 0), MATCH($B34, 'Daily 사주 raw'!$1:$1, 0)), ""), IF(val=0, "", val))</f>
        <v>31</v>
      </c>
      <c r="AY34" s="60">
        <f t="array" ref="AY34">LET(val, IFERROR(INDEX('Daily 사주 raw'!$A:$ZZ, MATCH(AY$2, 'Daily 사주 raw'!$A:$A, 0), MATCH($B34, 'Daily 사주 raw'!$1:$1, 0)), ""), IF(val=0, "", val))</f>
        <v>45</v>
      </c>
      <c r="AZ34" s="60">
        <f t="array" ref="AZ34">LET(val, IFERROR(INDEX('Daily 사주 raw'!$A:$ZZ, MATCH(AZ$2, 'Daily 사주 raw'!$A:$A, 0), MATCH($B34, 'Daily 사주 raw'!$1:$1, 0)), ""), IF(val=0, "", val))</f>
        <v>40</v>
      </c>
      <c r="BA34" s="60">
        <f t="array" ref="BA34">LET(val, IFERROR(INDEX('Daily 사주 raw'!$A:$ZZ, MATCH(BA$2, 'Daily 사주 raw'!$A:$A, 0), MATCH($B34, 'Daily 사주 raw'!$1:$1, 0)), ""), IF(val=0, "", val))</f>
        <v>29</v>
      </c>
      <c r="BB34" s="60">
        <f t="array" ref="BB34">LET(val, IFERROR(INDEX('Daily 사주 raw'!$A:$ZZ, MATCH(BB$2, 'Daily 사주 raw'!$A:$A, 0), MATCH($B34, 'Daily 사주 raw'!$1:$1, 0)), ""), IF(val=0, "", val))</f>
        <v>21</v>
      </c>
      <c r="BC34" s="60">
        <f t="array" ref="BC34">LET(val, IFERROR(INDEX('Daily 사주 raw'!$A:$ZZ, MATCH(BC$2, 'Daily 사주 raw'!$A:$A, 0), MATCH($B34, 'Daily 사주 raw'!$1:$1, 0)), ""), IF(val=0, "", val))</f>
        <v>26</v>
      </c>
      <c r="BD34" s="60">
        <f t="array" ref="BD34">LET(val, IFERROR(INDEX('Daily 사주 raw'!$A:$ZZ, MATCH(BD$2, 'Daily 사주 raw'!$A:$A, 0), MATCH($B34, 'Daily 사주 raw'!$1:$1, 0)), ""), IF(val=0, "", val))</f>
        <v>30</v>
      </c>
      <c r="BE34" s="60">
        <f t="array" ref="BE34">LET(val, IFERROR(INDEX('Daily 사주 raw'!$A:$ZZ, MATCH(BE$2, 'Daily 사주 raw'!$A:$A, 0), MATCH($B34, 'Daily 사주 raw'!$1:$1, 0)), ""), IF(val=0, "", val))</f>
        <v>7</v>
      </c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</row>
  </sheetData>
  <conditionalFormatting sqref="D1:CO1">
    <cfRule type="containsText" dxfId="2" priority="1" operator="containsText" text="토">
      <formula>NOT(ISERROR(SEARCH(("토"),(D1))))</formula>
    </cfRule>
  </conditionalFormatting>
  <conditionalFormatting sqref="D1:CO1">
    <cfRule type="containsText" dxfId="2" priority="2" operator="containsText" text="일">
      <formula>NOT(ISERROR(SEARCH(("일"),(D1))))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3.25"/>
    <col customWidth="1" hidden="1" min="2" max="2" width="46.13"/>
    <col customWidth="1" min="3" max="3" width="46.13"/>
    <col customWidth="1" min="4" max="17" width="11.5"/>
    <col customWidth="1" min="18" max="93" width="6.38"/>
  </cols>
  <sheetData>
    <row r="1">
      <c r="A1" s="144"/>
      <c r="B1" s="1"/>
      <c r="C1" s="1"/>
      <c r="D1" s="36"/>
      <c r="E1" s="36"/>
      <c r="F1" s="36" t="s">
        <v>152</v>
      </c>
      <c r="G1" s="36"/>
      <c r="H1" s="36" t="s">
        <v>153</v>
      </c>
      <c r="I1" s="36"/>
      <c r="J1" s="36" t="s">
        <v>154</v>
      </c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</row>
    <row r="2">
      <c r="A2" s="1"/>
      <c r="B2" s="1"/>
      <c r="C2" s="1"/>
      <c r="D2" s="36" t="s">
        <v>95</v>
      </c>
      <c r="E2" s="36" t="s">
        <v>96</v>
      </c>
      <c r="F2" s="36" t="s">
        <v>97</v>
      </c>
      <c r="G2" s="36" t="s">
        <v>97</v>
      </c>
      <c r="H2" s="36" t="s">
        <v>98</v>
      </c>
      <c r="I2" s="36" t="s">
        <v>99</v>
      </c>
      <c r="J2" s="36" t="s">
        <v>100</v>
      </c>
      <c r="K2" s="36" t="s">
        <v>101</v>
      </c>
      <c r="L2" s="36" t="s">
        <v>102</v>
      </c>
      <c r="M2" s="36" t="s">
        <v>103</v>
      </c>
      <c r="N2" s="36" t="s">
        <v>104</v>
      </c>
      <c r="O2" s="36" t="s">
        <v>105</v>
      </c>
      <c r="P2" s="36" t="s">
        <v>106</v>
      </c>
      <c r="Q2" s="36" t="s">
        <v>107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</row>
    <row r="3" ht="22.5" customHeight="1">
      <c r="A3" s="123"/>
      <c r="B3" s="7" t="s">
        <v>3</v>
      </c>
      <c r="C3" s="35" t="s">
        <v>61</v>
      </c>
      <c r="D3" s="40">
        <v>46020.0</v>
      </c>
      <c r="E3" s="40">
        <f t="shared" ref="E3:Q3" si="1">D3+7</f>
        <v>46027</v>
      </c>
      <c r="F3" s="40">
        <f t="shared" si="1"/>
        <v>46034</v>
      </c>
      <c r="G3" s="40">
        <f t="shared" si="1"/>
        <v>46041</v>
      </c>
      <c r="H3" s="40">
        <f t="shared" si="1"/>
        <v>46048</v>
      </c>
      <c r="I3" s="40">
        <f t="shared" si="1"/>
        <v>46055</v>
      </c>
      <c r="J3" s="40">
        <f t="shared" si="1"/>
        <v>46062</v>
      </c>
      <c r="K3" s="40">
        <f t="shared" si="1"/>
        <v>46069</v>
      </c>
      <c r="L3" s="40">
        <f t="shared" si="1"/>
        <v>46076</v>
      </c>
      <c r="M3" s="40">
        <f t="shared" si="1"/>
        <v>46083</v>
      </c>
      <c r="N3" s="40">
        <f t="shared" si="1"/>
        <v>46090</v>
      </c>
      <c r="O3" s="40">
        <f t="shared" si="1"/>
        <v>46097</v>
      </c>
      <c r="P3" s="40">
        <f t="shared" si="1"/>
        <v>46104</v>
      </c>
      <c r="Q3" s="40">
        <f t="shared" si="1"/>
        <v>46111</v>
      </c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</row>
    <row r="4" ht="18.75" customHeight="1">
      <c r="A4" s="124"/>
      <c r="B4" s="11" t="s">
        <v>10</v>
      </c>
      <c r="C4" s="145" t="s">
        <v>139</v>
      </c>
      <c r="D4" s="146">
        <f t="array" ref="D4">IFERROR(INDEX('Weekly 사주 raw'!$A:$ZZ, MATCH(D$3, 'Weekly 사주 raw'!$A:$A, 0), MATCH($B4, 'Weekly 사주 raw'!$1:$1, 0)), 0)</f>
        <v>0.225</v>
      </c>
      <c r="E4" s="146">
        <f t="array" ref="E4">IFERROR(INDEX('Weekly 사주 raw'!$A:$ZZ, MATCH(E$3, 'Weekly 사주 raw'!$A:$A, 0), MATCH($B4, 'Weekly 사주 raw'!$1:$1, 0)), 0)</f>
        <v>0.5221674877</v>
      </c>
      <c r="F4" s="146">
        <f t="array" ref="F4">IFERROR(INDEX('Weekly 사주 raw'!$A:$ZZ, MATCH(F$3, 'Weekly 사주 raw'!$A:$A, 0), MATCH($B4, 'Weekly 사주 raw'!$1:$1, 0)), 0)</f>
        <v>0.44375</v>
      </c>
      <c r="G4" s="146">
        <f t="array" ref="G4">IFERROR(INDEX('Weekly 사주 raw'!$A:$ZZ, MATCH(G$3, 'Weekly 사주 raw'!$A:$A, 0), MATCH($B4, 'Weekly 사주 raw'!$1:$1, 0)), 0)</f>
        <v>0.2911051213</v>
      </c>
      <c r="H4" s="146">
        <f t="array" ref="H4">IFERROR(INDEX('Weekly 사주 raw'!$A:$ZZ, MATCH(H$3, 'Weekly 사주 raw'!$A:$A, 0), MATCH($B4, 'Weekly 사주 raw'!$1:$1, 0)), 0)</f>
        <v>0.39</v>
      </c>
      <c r="I4" s="146">
        <f t="array" ref="I4">IFERROR(INDEX('Weekly 사주 raw'!$A:$ZZ, MATCH(I$3, 'Weekly 사주 raw'!$A:$A, 0), MATCH($B4, 'Weekly 사주 raw'!$1:$1, 0)), 0)</f>
        <v>0.3636363636</v>
      </c>
      <c r="J4" s="146">
        <f t="array" ref="J4">IFERROR(INDEX('Weekly 사주 raw'!$A:$ZZ, MATCH(J$3, 'Weekly 사주 raw'!$A:$A, 0), MATCH($B4, 'Weekly 사주 raw'!$1:$1, 0)), 0)</f>
        <v>0.3897058824</v>
      </c>
      <c r="K4" s="146">
        <f t="array" ref="K4">IFERROR(INDEX('Weekly 사주 raw'!$A:$ZZ, MATCH(K$3, 'Weekly 사주 raw'!$A:$A, 0), MATCH($B4, 'Weekly 사주 raw'!$1:$1, 0)), 0)</f>
        <v>0</v>
      </c>
      <c r="L4" s="146">
        <f t="array" ref="L4">IFERROR(INDEX('Weekly 사주 raw'!$A:$ZZ, MATCH(L$3, 'Weekly 사주 raw'!$A:$A, 0), MATCH($B4, 'Weekly 사주 raw'!$1:$1, 0)), 0)</f>
        <v>0</v>
      </c>
      <c r="M4" s="147"/>
      <c r="N4" s="147"/>
      <c r="O4" s="147"/>
      <c r="P4" s="147"/>
      <c r="Q4" s="147"/>
      <c r="R4" s="147"/>
      <c r="S4" s="147"/>
      <c r="T4" s="147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</row>
    <row r="5" ht="18.75" customHeight="1">
      <c r="A5" s="135"/>
      <c r="B5" s="16" t="s">
        <v>12</v>
      </c>
      <c r="C5" s="136" t="s">
        <v>149</v>
      </c>
      <c r="D5" s="137">
        <f t="array" ref="D5">IFERROR(INDEX('Weekly 사주 raw'!$A:$ZZ, MATCH(D$3, 'Weekly 사주 raw'!$A:$A, 0), MATCH($B5, 'Weekly 사주 raw'!$1:$1, 0)), 0)</f>
        <v>36</v>
      </c>
      <c r="E5" s="137">
        <f t="array" ref="E5">IFERROR(INDEX('Weekly 사주 raw'!$A:$ZZ, MATCH(E$3, 'Weekly 사주 raw'!$A:$A, 0), MATCH($B5, 'Weekly 사주 raw'!$1:$1, 0)), 0)</f>
        <v>106</v>
      </c>
      <c r="F5" s="137">
        <f t="array" ref="F5">IFERROR(INDEX('Weekly 사주 raw'!$A:$ZZ, MATCH(F$3, 'Weekly 사주 raw'!$A:$A, 0), MATCH($B5, 'Weekly 사주 raw'!$1:$1, 0)), 0)</f>
        <v>142</v>
      </c>
      <c r="G5" s="137">
        <f t="array" ref="G5">IFERROR(INDEX('Weekly 사주 raw'!$A:$ZZ, MATCH(G$3, 'Weekly 사주 raw'!$A:$A, 0), MATCH($B5, 'Weekly 사주 raw'!$1:$1, 0)), 0)</f>
        <v>108</v>
      </c>
      <c r="H5" s="137">
        <f t="array" ref="H5">IFERROR(INDEX('Weekly 사주 raw'!$A:$ZZ, MATCH(H$3, 'Weekly 사주 raw'!$A:$A, 0), MATCH($B5, 'Weekly 사주 raw'!$1:$1, 0)), 0)</f>
        <v>117</v>
      </c>
      <c r="I5" s="137">
        <f t="array" ref="I5">IFERROR(INDEX('Weekly 사주 raw'!$A:$ZZ, MATCH(I$3, 'Weekly 사주 raw'!$A:$A, 0), MATCH($B5, 'Weekly 사주 raw'!$1:$1, 0)), 0)</f>
        <v>88</v>
      </c>
      <c r="J5" s="137">
        <f t="array" ref="J5">IFERROR(INDEX('Weekly 사주 raw'!$A:$ZZ, MATCH(J$3, 'Weekly 사주 raw'!$A:$A, 0), MATCH($B5, 'Weekly 사주 raw'!$1:$1, 0)), 0)</f>
        <v>53</v>
      </c>
      <c r="K5" s="137">
        <f t="array" ref="K5">IFERROR(INDEX('Weekly 사주 raw'!$A:$ZZ, MATCH(K$3, 'Weekly 사주 raw'!$A:$A, 0), MATCH($B5, 'Weekly 사주 raw'!$1:$1, 0)), 0)</f>
        <v>0</v>
      </c>
      <c r="L5" s="137">
        <f t="array" ref="L5">IFERROR(INDEX('Weekly 사주 raw'!$A:$ZZ, MATCH(L$3, 'Weekly 사주 raw'!$A:$A, 0), MATCH($B5, 'Weekly 사주 raw'!$1:$1, 0)), 0)</f>
        <v>0</v>
      </c>
      <c r="M5" s="60"/>
      <c r="N5" s="60"/>
      <c r="O5" s="60"/>
      <c r="P5" s="60"/>
      <c r="Q5" s="60"/>
      <c r="R5" s="60"/>
      <c r="S5" s="60"/>
      <c r="T5" s="60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</row>
    <row r="6" ht="18.75" customHeight="1">
      <c r="A6" s="135"/>
      <c r="B6" s="16" t="s">
        <v>15</v>
      </c>
      <c r="C6" s="136" t="s">
        <v>150</v>
      </c>
      <c r="D6" s="137">
        <f t="array" ref="D6">IFERROR(INDEX('Weekly 사주 raw'!$A:$ZZ, MATCH(D$3, 'Weekly 사주 raw'!$A:$A, 0), MATCH($B6, 'Weekly 사주 raw'!$1:$1, 0)), 0)</f>
        <v>160</v>
      </c>
      <c r="E6" s="137">
        <f t="array" ref="E6">IFERROR(INDEX('Weekly 사주 raw'!$A:$ZZ, MATCH(E$3, 'Weekly 사주 raw'!$A:$A, 0), MATCH($B6, 'Weekly 사주 raw'!$1:$1, 0)), 0)</f>
        <v>203</v>
      </c>
      <c r="F6" s="137">
        <f t="array" ref="F6">IFERROR(INDEX('Weekly 사주 raw'!$A:$ZZ, MATCH(F$3, 'Weekly 사주 raw'!$A:$A, 0), MATCH($B6, 'Weekly 사주 raw'!$1:$1, 0)), 0)</f>
        <v>320</v>
      </c>
      <c r="G6" s="137">
        <f t="array" ref="G6">IFERROR(INDEX('Weekly 사주 raw'!$A:$ZZ, MATCH(G$3, 'Weekly 사주 raw'!$A:$A, 0), MATCH($B6, 'Weekly 사주 raw'!$1:$1, 0)), 0)</f>
        <v>371</v>
      </c>
      <c r="H6" s="137">
        <f t="array" ref="H6">IFERROR(INDEX('Weekly 사주 raw'!$A:$ZZ, MATCH(H$3, 'Weekly 사주 raw'!$A:$A, 0), MATCH($B6, 'Weekly 사주 raw'!$1:$1, 0)), 0)</f>
        <v>300</v>
      </c>
      <c r="I6" s="137">
        <f t="array" ref="I6">IFERROR(INDEX('Weekly 사주 raw'!$A:$ZZ, MATCH(I$3, 'Weekly 사주 raw'!$A:$A, 0), MATCH($B6, 'Weekly 사주 raw'!$1:$1, 0)), 0)</f>
        <v>242</v>
      </c>
      <c r="J6" s="137">
        <f t="array" ref="J6">IFERROR(INDEX('Weekly 사주 raw'!$A:$ZZ, MATCH(J$3, 'Weekly 사주 raw'!$A:$A, 0), MATCH($B6, 'Weekly 사주 raw'!$1:$1, 0)), 0)</f>
        <v>136</v>
      </c>
      <c r="K6" s="137">
        <f t="array" ref="K6">IFERROR(INDEX('Weekly 사주 raw'!$A:$ZZ, MATCH(K$3, 'Weekly 사주 raw'!$A:$A, 0), MATCH($B6, 'Weekly 사주 raw'!$1:$1, 0)), 0)</f>
        <v>161</v>
      </c>
      <c r="L6" s="137">
        <f t="array" ref="L6">IFERROR(INDEX('Weekly 사주 raw'!$A:$ZZ, MATCH(L$3, 'Weekly 사주 raw'!$A:$A, 0), MATCH($B6, 'Weekly 사주 raw'!$1:$1, 0)), 0)</f>
        <v>5</v>
      </c>
      <c r="M6" s="60"/>
      <c r="N6" s="60"/>
      <c r="O6" s="60"/>
      <c r="P6" s="60"/>
      <c r="Q6" s="60"/>
      <c r="R6" s="60"/>
      <c r="S6" s="60"/>
      <c r="T6" s="60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  <c r="CB6" s="138"/>
      <c r="CC6" s="138"/>
      <c r="CD6" s="138"/>
      <c r="CE6" s="138"/>
      <c r="CF6" s="138"/>
      <c r="CG6" s="138"/>
      <c r="CH6" s="138"/>
      <c r="CI6" s="138"/>
      <c r="CJ6" s="138"/>
      <c r="CK6" s="138"/>
      <c r="CL6" s="138"/>
      <c r="CM6" s="138"/>
      <c r="CN6" s="138"/>
      <c r="CO6" s="138"/>
    </row>
    <row r="7" ht="18.75" customHeight="1">
      <c r="A7" s="1"/>
      <c r="B7" s="11" t="s">
        <v>18</v>
      </c>
      <c r="C7" s="148" t="s">
        <v>18</v>
      </c>
      <c r="D7" s="149">
        <f t="array" ref="D7">IFERROR(INDEX('Weekly 사주 raw'!$A:$ZZ, MATCH(D$3, 'Weekly 사주 raw'!$A:$A, 0), MATCH($B7, 'Weekly 사주 raw'!$1:$1, 0)), 0)</f>
        <v>0.03971291866</v>
      </c>
      <c r="E7" s="149">
        <f t="array" ref="E7">IFERROR(INDEX('Weekly 사주 raw'!$A:$ZZ, MATCH(E$3, 'Weekly 사주 raw'!$A:$A, 0), MATCH($B7, 'Weekly 사주 raw'!$1:$1, 0)), 0)</f>
        <v>0.06910167818</v>
      </c>
      <c r="F7" s="149">
        <f t="array" ref="F7">IFERROR(INDEX('Weekly 사주 raw'!$A:$ZZ, MATCH(F$3, 'Weekly 사주 raw'!$A:$A, 0), MATCH($B7, 'Weekly 사주 raw'!$1:$1, 0)), 0)</f>
        <v>0.1755345599</v>
      </c>
      <c r="G7" s="149">
        <f t="array" ref="G7">IFERROR(INDEX('Weekly 사주 raw'!$A:$ZZ, MATCH(G$3, 'Weekly 사주 raw'!$A:$A, 0), MATCH($B7, 'Weekly 사주 raw'!$1:$1, 0)), 0)</f>
        <v>0.172327044</v>
      </c>
      <c r="H7" s="149">
        <f t="array" ref="H7">IFERROR(INDEX('Weekly 사주 raw'!$A:$ZZ, MATCH(H$3, 'Weekly 사주 raw'!$A:$A, 0), MATCH($B7, 'Weekly 사주 raw'!$1:$1, 0)), 0)</f>
        <v>0.1449152542</v>
      </c>
      <c r="I7" s="149">
        <f t="array" ref="I7">IFERROR(INDEX('Weekly 사주 raw'!$A:$ZZ, MATCH(I$3, 'Weekly 사주 raw'!$A:$A, 0), MATCH($B7, 'Weekly 사주 raw'!$1:$1, 0)), 0)</f>
        <v>0.171244886</v>
      </c>
      <c r="J7" s="149">
        <f t="array" ref="J7">IFERROR(INDEX('Weekly 사주 raw'!$A:$ZZ, MATCH(J$3, 'Weekly 사주 raw'!$A:$A, 0), MATCH($B7, 'Weekly 사주 raw'!$1:$1, 0)), 0)</f>
        <v>0.1382660688</v>
      </c>
      <c r="K7" s="149">
        <f t="array" ref="K7">IFERROR(INDEX('Weekly 사주 raw'!$A:$ZZ, MATCH(K$3, 'Weekly 사주 raw'!$A:$A, 0), MATCH($B7, 'Weekly 사주 raw'!$1:$1, 0)), 0)</f>
        <v>0.1667965705</v>
      </c>
      <c r="L7" s="149">
        <f t="array" ref="L7">IFERROR(INDEX('Weekly 사주 raw'!$A:$ZZ, MATCH(L$3, 'Weekly 사주 raw'!$A:$A, 0), MATCH($B7, 'Weekly 사주 raw'!$1:$1, 0)), 0)</f>
        <v>0.05833333333</v>
      </c>
      <c r="M7" s="147"/>
      <c r="N7" s="147"/>
      <c r="O7" s="147"/>
      <c r="P7" s="147"/>
      <c r="Q7" s="147"/>
      <c r="R7" s="147"/>
      <c r="S7" s="147"/>
      <c r="T7" s="147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</row>
    <row r="8" ht="18.75" customHeight="1">
      <c r="A8" s="135"/>
      <c r="B8" s="23" t="s">
        <v>19</v>
      </c>
      <c r="C8" s="136" t="s">
        <v>20</v>
      </c>
      <c r="D8" s="137">
        <f t="array" ref="D8">IFERROR(INDEX('Weekly 사주 raw'!$A:$ZZ, MATCH(D$3, 'Weekly 사주 raw'!$A:$A, 0), MATCH($B8, 'Weekly 사주 raw'!$1:$1, 0)), 0)</f>
        <v>166</v>
      </c>
      <c r="E8" s="137">
        <f t="array" ref="E8">IFERROR(INDEX('Weekly 사주 raw'!$A:$ZZ, MATCH(E$3, 'Weekly 사주 raw'!$A:$A, 0), MATCH($B8, 'Weekly 사주 raw'!$1:$1, 0)), 0)</f>
        <v>210</v>
      </c>
      <c r="F8" s="137">
        <f t="array" ref="F8">IFERROR(INDEX('Weekly 사주 raw'!$A:$ZZ, MATCH(F$3, 'Weekly 사주 raw'!$A:$A, 0), MATCH($B8, 'Weekly 사주 raw'!$1:$1, 0)), 0)</f>
        <v>353</v>
      </c>
      <c r="G8" s="137">
        <f t="array" ref="G8">IFERROR(INDEX('Weekly 사주 raw'!$A:$ZZ, MATCH(G$3, 'Weekly 사주 raw'!$A:$A, 0), MATCH($B8, 'Weekly 사주 raw'!$1:$1, 0)), 0)</f>
        <v>411</v>
      </c>
      <c r="H8" s="137">
        <f t="array" ref="H8">IFERROR(INDEX('Weekly 사주 raw'!$A:$ZZ, MATCH(H$3, 'Weekly 사주 raw'!$A:$A, 0), MATCH($B8, 'Weekly 사주 raw'!$1:$1, 0)), 0)</f>
        <v>342</v>
      </c>
      <c r="I8" s="137">
        <f t="array" ref="I8">IFERROR(INDEX('Weekly 사주 raw'!$A:$ZZ, MATCH(I$3, 'Weekly 사주 raw'!$A:$A, 0), MATCH($B8, 'Weekly 사주 raw'!$1:$1, 0)), 0)</f>
        <v>293</v>
      </c>
      <c r="J8" s="137">
        <f t="array" ref="J8">IFERROR(INDEX('Weekly 사주 raw'!$A:$ZZ, MATCH(J$3, 'Weekly 사주 raw'!$A:$A, 0), MATCH($B8, 'Weekly 사주 raw'!$1:$1, 0)), 0)</f>
        <v>185</v>
      </c>
      <c r="K8" s="137">
        <f t="array" ref="K8">IFERROR(INDEX('Weekly 사주 raw'!$A:$ZZ, MATCH(K$3, 'Weekly 사주 raw'!$A:$A, 0), MATCH($B8, 'Weekly 사주 raw'!$1:$1, 0)), 0)</f>
        <v>214</v>
      </c>
      <c r="L8" s="137">
        <f t="array" ref="L8">IFERROR(INDEX('Weekly 사주 raw'!$A:$ZZ, MATCH(L$3, 'Weekly 사주 raw'!$A:$A, 0), MATCH($B8, 'Weekly 사주 raw'!$1:$1, 0)), 0)</f>
        <v>7</v>
      </c>
      <c r="M8" s="60"/>
      <c r="N8" s="60"/>
      <c r="O8" s="60"/>
      <c r="P8" s="60"/>
      <c r="Q8" s="60"/>
      <c r="R8" s="60"/>
      <c r="S8" s="60"/>
      <c r="T8" s="60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</row>
    <row r="9" ht="18.75" customHeight="1">
      <c r="A9" s="136"/>
      <c r="B9" s="23" t="s">
        <v>21</v>
      </c>
      <c r="C9" s="136" t="s">
        <v>22</v>
      </c>
      <c r="D9" s="137">
        <f t="array" ref="D9">LET(val, IFERROR(INDEX('Weekly 사주 raw'!$A:$ZZ, MATCH(D$3, 'Weekly 사주 raw'!$A:$A, 0), MATCH($B9, 'Weekly 사주 raw'!$1:$1, 0)), ""), IF(val=0, "", val))</f>
        <v>4180</v>
      </c>
      <c r="E9" s="137">
        <f t="array" ref="E9">LET(val, IFERROR(INDEX('Weekly 사주 raw'!$A:$ZZ, MATCH(E$3, 'Weekly 사주 raw'!$A:$A, 0), MATCH($B9, 'Weekly 사주 raw'!$1:$1, 0)), ""), IF(val=0, "", val))</f>
        <v>3039</v>
      </c>
      <c r="F9" s="137">
        <f t="array" ref="F9">LET(val, IFERROR(INDEX('Weekly 사주 raw'!$A:$ZZ, MATCH(F$3, 'Weekly 사주 raw'!$A:$A, 0), MATCH($B9, 'Weekly 사주 raw'!$1:$1, 0)), ""), IF(val=0, "", val))</f>
        <v>2011</v>
      </c>
      <c r="G9" s="137">
        <f t="array" ref="G9">LET(val, IFERROR(INDEX('Weekly 사주 raw'!$A:$ZZ, MATCH(G$3, 'Weekly 사주 raw'!$A:$A, 0), MATCH($B9, 'Weekly 사주 raw'!$1:$1, 0)), ""), IF(val=0, "", val))</f>
        <v>2385</v>
      </c>
      <c r="H9" s="137">
        <f t="array" ref="H9">LET(val, IFERROR(INDEX('Weekly 사주 raw'!$A:$ZZ, MATCH(H$3, 'Weekly 사주 raw'!$A:$A, 0), MATCH($B9, 'Weekly 사주 raw'!$1:$1, 0)), ""), IF(val=0, "", val))</f>
        <v>2360</v>
      </c>
      <c r="I9" s="137">
        <f t="array" ref="I9">LET(val, IFERROR(INDEX('Weekly 사주 raw'!$A:$ZZ, MATCH(I$3, 'Weekly 사주 raw'!$A:$A, 0), MATCH($B9, 'Weekly 사주 raw'!$1:$1, 0)), ""), IF(val=0, "", val))</f>
        <v>1711</v>
      </c>
      <c r="J9" s="137">
        <f t="array" ref="J9">LET(val, IFERROR(INDEX('Weekly 사주 raw'!$A:$ZZ, MATCH(J$3, 'Weekly 사주 raw'!$A:$A, 0), MATCH($B9, 'Weekly 사주 raw'!$1:$1, 0)), ""), IF(val=0, "", val))</f>
        <v>1338</v>
      </c>
      <c r="K9" s="137">
        <f t="array" ref="K9">LET(val, IFERROR(INDEX('Weekly 사주 raw'!$A:$ZZ, MATCH(K$3, 'Weekly 사주 raw'!$A:$A, 0), MATCH($B9, 'Weekly 사주 raw'!$1:$1, 0)), ""), IF(val=0, "", val))</f>
        <v>1283</v>
      </c>
      <c r="L9" s="137">
        <f t="array" ref="L9">LET(val, IFERROR(INDEX('Weekly 사주 raw'!$A:$ZZ, MATCH(L$3, 'Weekly 사주 raw'!$A:$A, 0), MATCH($B9, 'Weekly 사주 raw'!$1:$1, 0)), ""), IF(val=0, "", val))</f>
        <v>120</v>
      </c>
      <c r="M9" s="137" t="str">
        <f t="array" ref="M9">LET(val, IFERROR(INDEX('Weekly 사주 raw'!$A:$ZZ, MATCH(M$3, 'Weekly 사주 raw'!$A:$A, 0), MATCH($B9, 'Weekly 사주 raw'!$1:$1, 0)), ""), IF(val=0, "", val))</f>
        <v/>
      </c>
      <c r="N9" s="137" t="str">
        <f t="array" ref="N9">LET(val, IFERROR(INDEX('Weekly 사주 raw'!$A:$ZZ, MATCH(N$3, 'Weekly 사주 raw'!$A:$A, 0), MATCH($B9, 'Weekly 사주 raw'!$1:$1, 0)), ""), IF(val=0, "", val))</f>
        <v/>
      </c>
      <c r="O9" s="60"/>
      <c r="P9" s="60"/>
      <c r="Q9" s="60"/>
      <c r="R9" s="60"/>
      <c r="S9" s="60"/>
      <c r="T9" s="60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</row>
    <row r="10" ht="18.75" customHeight="1">
      <c r="A10" s="136"/>
      <c r="B10" s="23" t="s">
        <v>23</v>
      </c>
      <c r="C10" s="136" t="s">
        <v>24</v>
      </c>
      <c r="D10" s="137">
        <f t="array" ref="D10">LET(val, IFERROR(INDEX('Weekly 사주 raw'!$A:$ZZ, MATCH(D$3, 'Weekly 사주 raw'!$A:$A, 0), MATCH($B10, 'Weekly 사주 raw'!$1:$1, 0)), ""), IF(val=0, "", val))</f>
        <v>11810</v>
      </c>
      <c r="E10" s="137">
        <f t="array" ref="E10">LET(val, IFERROR(INDEX('Weekly 사주 raw'!$A:$ZZ, MATCH(E$3, 'Weekly 사주 raw'!$A:$A, 0), MATCH($B10, 'Weekly 사주 raw'!$1:$1, 0)), ""), IF(val=0, "", val))</f>
        <v>8440</v>
      </c>
      <c r="F10" s="137">
        <f t="array" ref="F10">LET(val, IFERROR(INDEX('Weekly 사주 raw'!$A:$ZZ, MATCH(F$3, 'Weekly 사주 raw'!$A:$A, 0), MATCH($B10, 'Weekly 사주 raw'!$1:$1, 0)), ""), IF(val=0, "", val))</f>
        <v>5712</v>
      </c>
      <c r="G10" s="137">
        <f t="array" ref="G10">LET(val, IFERROR(INDEX('Weekly 사주 raw'!$A:$ZZ, MATCH(G$3, 'Weekly 사주 raw'!$A:$A, 0), MATCH($B10, 'Weekly 사주 raw'!$1:$1, 0)), ""), IF(val=0, "", val))</f>
        <v>6633</v>
      </c>
      <c r="H10" s="137">
        <f t="array" ref="H10">LET(val, IFERROR(INDEX('Weekly 사주 raw'!$A:$ZZ, MATCH(H$3, 'Weekly 사주 raw'!$A:$A, 0), MATCH($B10, 'Weekly 사주 raw'!$1:$1, 0)), ""), IF(val=0, "", val))</f>
        <v>5980</v>
      </c>
      <c r="I10" s="137">
        <f t="array" ref="I10">LET(val, IFERROR(INDEX('Weekly 사주 raw'!$A:$ZZ, MATCH(I$3, 'Weekly 사주 raw'!$A:$A, 0), MATCH($B10, 'Weekly 사주 raw'!$1:$1, 0)), ""), IF(val=0, "", val))</f>
        <v>4224</v>
      </c>
      <c r="J10" s="137">
        <f t="array" ref="J10">LET(val, IFERROR(INDEX('Weekly 사주 raw'!$A:$ZZ, MATCH(J$3, 'Weekly 사주 raw'!$A:$A, 0), MATCH($B10, 'Weekly 사주 raw'!$1:$1, 0)), ""), IF(val=0, "", val))</f>
        <v>3348</v>
      </c>
      <c r="K10" s="137">
        <f t="array" ref="K10">LET(val, IFERROR(INDEX('Weekly 사주 raw'!$A:$ZZ, MATCH(K$3, 'Weekly 사주 raw'!$A:$A, 0), MATCH($B10, 'Weekly 사주 raw'!$1:$1, 0)), ""), IF(val=0, "", val))</f>
        <v>3239</v>
      </c>
      <c r="L10" s="137">
        <f t="array" ref="L10">LET(val, IFERROR(INDEX('Weekly 사주 raw'!$A:$ZZ, MATCH(L$3, 'Weekly 사주 raw'!$A:$A, 0), MATCH($B10, 'Weekly 사주 raw'!$1:$1, 0)), ""), IF(val=0, "", val))</f>
        <v>275</v>
      </c>
      <c r="M10" s="137" t="str">
        <f t="array" ref="M10">LET(val, IFERROR(INDEX('Weekly 사주 raw'!$A:$ZZ, MATCH(M$3, 'Weekly 사주 raw'!$A:$A, 0), MATCH($B10, 'Weekly 사주 raw'!$1:$1, 0)), ""), IF(val=0, "", val))</f>
        <v/>
      </c>
      <c r="N10" s="137" t="str">
        <f t="array" ref="N10">LET(val, IFERROR(INDEX('Weekly 사주 raw'!$A:$ZZ, MATCH(N$3, 'Weekly 사주 raw'!$A:$A, 0), MATCH($B10, 'Weekly 사주 raw'!$1:$1, 0)), ""), IF(val=0, "", val))</f>
        <v/>
      </c>
      <c r="O10" s="60"/>
      <c r="P10" s="60"/>
      <c r="Q10" s="60"/>
      <c r="R10" s="60"/>
      <c r="S10" s="60"/>
      <c r="T10" s="60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</row>
    <row r="11" ht="18.75" customHeight="1">
      <c r="A11" s="141"/>
      <c r="B11" s="23" t="s">
        <v>25</v>
      </c>
      <c r="C11" s="150" t="s">
        <v>25</v>
      </c>
      <c r="D11" s="151">
        <f t="array" ref="D11">LET(val, IFERROR(INDEX('Weekly 사주 raw'!$A:$ZZ, MATCH(D$3, 'Weekly 사주 raw'!$A:$A, 0), MATCH($B11, 'Weekly 사주 raw'!$1:$1, 0)), ""), IF(val=0, "", val))</f>
        <v>40293.37349</v>
      </c>
      <c r="E11" s="151">
        <f t="array" ref="E11">LET(val, IFERROR(INDEX('Weekly 사주 raw'!$A:$ZZ, MATCH(E$3, 'Weekly 사주 raw'!$A:$A, 0), MATCH($B11, 'Weekly 사주 raw'!$1:$1, 0)), ""), IF(val=0, "", val))</f>
        <v>25046.19048</v>
      </c>
      <c r="F11" s="151">
        <f t="array" ref="F11">LET(val, IFERROR(INDEX('Weekly 사주 raw'!$A:$ZZ, MATCH(F$3, 'Weekly 사주 raw'!$A:$A, 0), MATCH($B11, 'Weekly 사주 raw'!$1:$1, 0)), ""), IF(val=0, "", val))</f>
        <v>21381.30312</v>
      </c>
      <c r="G11" s="151">
        <f t="array" ref="G11">LET(val, IFERROR(INDEX('Weekly 사주 raw'!$A:$ZZ, MATCH(G$3, 'Weekly 사주 raw'!$A:$A, 0), MATCH($B11, 'Weekly 사주 raw'!$1:$1, 0)), ""), IF(val=0, "", val))</f>
        <v>19315.08516</v>
      </c>
      <c r="H11" s="151">
        <f t="array" ref="H11">LET(val, IFERROR(INDEX('Weekly 사주 raw'!$A:$ZZ, MATCH(H$3, 'Weekly 사주 raw'!$A:$A, 0), MATCH($B11, 'Weekly 사주 raw'!$1:$1, 0)), ""), IF(val=0, "", val))</f>
        <v>19681.87135</v>
      </c>
      <c r="I11" s="151">
        <f t="array" ref="I11">LET(val, IFERROR(INDEX('Weekly 사주 raw'!$A:$ZZ, MATCH(I$3, 'Weekly 사주 raw'!$A:$A, 0), MATCH($B11, 'Weekly 사주 raw'!$1:$1, 0)), ""), IF(val=0, "", val))</f>
        <v>20841.97952</v>
      </c>
      <c r="J11" s="151">
        <f t="array" ref="J11">LET(val, IFERROR(INDEX('Weekly 사주 raw'!$A:$ZZ, MATCH(J$3, 'Weekly 사주 raw'!$A:$A, 0), MATCH($B11, 'Weekly 사주 raw'!$1:$1, 0)), ""), IF(val=0, "", val))</f>
        <v>24025.40541</v>
      </c>
      <c r="K11" s="151">
        <f t="array" ref="K11">LET(val, IFERROR(INDEX('Weekly 사주 raw'!$A:$ZZ, MATCH(K$3, 'Weekly 사주 raw'!$A:$A, 0), MATCH($B11, 'Weekly 사주 raw'!$1:$1, 0)), ""), IF(val=0, "", val))</f>
        <v>24415.42056</v>
      </c>
      <c r="L11" s="151">
        <f t="array" ref="L11">LET(val, IFERROR(INDEX('Weekly 사주 raw'!$A:$ZZ, MATCH(L$3, 'Weekly 사주 raw'!$A:$A, 0), MATCH($B11, 'Weekly 사주 raw'!$1:$1, 0)), ""), IF(val=0, "", val))</f>
        <v>28214.28571</v>
      </c>
      <c r="M11" s="102" t="str">
        <f t="array" ref="M11">LET(val, IFERROR(INDEX('Weekly 사주 raw'!$A:$ZZ, MATCH(M$3, 'Weekly 사주 raw'!$A:$A, 0), MATCH($B11, 'Weekly 사주 raw'!$1:$1, 0)), ""), IF(val=0, "", val))</f>
        <v/>
      </c>
      <c r="N11" s="102" t="str">
        <f t="array" ref="N11">LET(val, IFERROR(INDEX('Weekly 사주 raw'!$A:$ZZ, MATCH(N$3, 'Weekly 사주 raw'!$A:$A, 0), MATCH($B11, 'Weekly 사주 raw'!$1:$1, 0)), ""), IF(val=0, "", val))</f>
        <v/>
      </c>
      <c r="O11" s="60"/>
      <c r="P11" s="60"/>
      <c r="Q11" s="60"/>
      <c r="R11" s="60"/>
      <c r="S11" s="60"/>
      <c r="T11" s="60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</row>
    <row r="12" ht="18.75" customHeight="1">
      <c r="A12" s="135"/>
      <c r="B12" s="23" t="s">
        <v>26</v>
      </c>
      <c r="C12" s="135" t="s">
        <v>27</v>
      </c>
      <c r="D12" s="102">
        <f t="array" ref="D12">LET(val, IFERROR(INDEX('Weekly 사주 raw'!$A:$ZZ, MATCH(D$3, 'Weekly 사주 raw'!$A:$A, 0), MATCH($B12, 'Weekly 사주 raw'!$1:$1, 0)), ""), IF(val=0, "", val))</f>
        <v>6688700</v>
      </c>
      <c r="E12" s="102">
        <f t="array" ref="E12">LET(val, IFERROR(INDEX('Weekly 사주 raw'!$A:$ZZ, MATCH(E$3, 'Weekly 사주 raw'!$A:$A, 0), MATCH($B12, 'Weekly 사주 raw'!$1:$1, 0)), ""), IF(val=0, "", val))</f>
        <v>5259700</v>
      </c>
      <c r="F12" s="102">
        <f t="array" ref="F12">LET(val, IFERROR(INDEX('Weekly 사주 raw'!$A:$ZZ, MATCH(F$3, 'Weekly 사주 raw'!$A:$A, 0), MATCH($B12, 'Weekly 사주 raw'!$1:$1, 0)), ""), IF(val=0, "", val))</f>
        <v>7547600</v>
      </c>
      <c r="G12" s="102">
        <f t="array" ref="G12">LET(val, IFERROR(INDEX('Weekly 사주 raw'!$A:$ZZ, MATCH(G$3, 'Weekly 사주 raw'!$A:$A, 0), MATCH($B12, 'Weekly 사주 raw'!$1:$1, 0)), ""), IF(val=0, "", val))</f>
        <v>7938500</v>
      </c>
      <c r="H12" s="102">
        <f t="array" ref="H12">LET(val, IFERROR(INDEX('Weekly 사주 raw'!$A:$ZZ, MATCH(H$3, 'Weekly 사주 raw'!$A:$A, 0), MATCH($B12, 'Weekly 사주 raw'!$1:$1, 0)), ""), IF(val=0, "", val))</f>
        <v>6731200</v>
      </c>
      <c r="I12" s="102">
        <f t="array" ref="I12">LET(val, IFERROR(INDEX('Weekly 사주 raw'!$A:$ZZ, MATCH(I$3, 'Weekly 사주 raw'!$A:$A, 0), MATCH($B12, 'Weekly 사주 raw'!$1:$1, 0)), ""), IF(val=0, "", val))</f>
        <v>6106700</v>
      </c>
      <c r="J12" s="102">
        <f t="array" ref="J12">LET(val, IFERROR(INDEX('Weekly 사주 raw'!$A:$ZZ, MATCH(J$3, 'Weekly 사주 raw'!$A:$A, 0), MATCH($B12, 'Weekly 사주 raw'!$1:$1, 0)), ""), IF(val=0, "", val))</f>
        <v>4444700</v>
      </c>
      <c r="K12" s="102">
        <f t="array" ref="K12">LET(val, IFERROR(INDEX('Weekly 사주 raw'!$A:$ZZ, MATCH(K$3, 'Weekly 사주 raw'!$A:$A, 0), MATCH($B12, 'Weekly 사주 raw'!$1:$1, 0)), ""), IF(val=0, "", val))</f>
        <v>5224900</v>
      </c>
      <c r="L12" s="102">
        <f t="array" ref="L12">LET(val, IFERROR(INDEX('Weekly 사주 raw'!$A:$ZZ, MATCH(L$3, 'Weekly 사주 raw'!$A:$A, 0), MATCH($B12, 'Weekly 사주 raw'!$1:$1, 0)), ""), IF(val=0, "", val))</f>
        <v>197500</v>
      </c>
      <c r="M12" s="102" t="str">
        <f t="array" ref="M12">LET(val, IFERROR(INDEX('Weekly 사주 raw'!$A:$ZZ, MATCH(M$3, 'Weekly 사주 raw'!$A:$A, 0), MATCH($B12, 'Weekly 사주 raw'!$1:$1, 0)), ""), IF(val=0, "", val))</f>
        <v/>
      </c>
      <c r="N12" s="102" t="str">
        <f t="array" ref="N12">LET(val, IFERROR(INDEX('Weekly 사주 raw'!$A:$ZZ, MATCH(N$3, 'Weekly 사주 raw'!$A:$A, 0), MATCH($B12, 'Weekly 사주 raw'!$1:$1, 0)), ""), IF(val=0, "", val))</f>
        <v/>
      </c>
      <c r="O12" s="60"/>
      <c r="P12" s="60"/>
      <c r="Q12" s="60"/>
      <c r="R12" s="60"/>
      <c r="S12" s="60"/>
      <c r="T12" s="60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</row>
    <row r="13" ht="18.75" customHeight="1">
      <c r="A13" s="135"/>
      <c r="B13" s="23" t="s">
        <v>28</v>
      </c>
      <c r="C13" s="136" t="s">
        <v>20</v>
      </c>
      <c r="D13" s="137">
        <f t="array" ref="D13">LET(val, IFERROR(INDEX('Weekly 사주 raw'!$A:$ZZ, MATCH(D$3, 'Weekly 사주 raw'!$A:$A, 0), MATCH($B13, 'Weekly 사주 raw'!$1:$1, 0)), ""), IF(val=0, "", val))</f>
        <v>166</v>
      </c>
      <c r="E13" s="137">
        <f t="array" ref="E13">LET(val, IFERROR(INDEX('Weekly 사주 raw'!$A:$ZZ, MATCH(E$3, 'Weekly 사주 raw'!$A:$A, 0), MATCH($B13, 'Weekly 사주 raw'!$1:$1, 0)), ""), IF(val=0, "", val))</f>
        <v>210</v>
      </c>
      <c r="F13" s="137">
        <f t="array" ref="F13">LET(val, IFERROR(INDEX('Weekly 사주 raw'!$A:$ZZ, MATCH(F$3, 'Weekly 사주 raw'!$A:$A, 0), MATCH($B13, 'Weekly 사주 raw'!$1:$1, 0)), ""), IF(val=0, "", val))</f>
        <v>353</v>
      </c>
      <c r="G13" s="137">
        <f t="array" ref="G13">LET(val, IFERROR(INDEX('Weekly 사주 raw'!$A:$ZZ, MATCH(G$3, 'Weekly 사주 raw'!$A:$A, 0), MATCH($B13, 'Weekly 사주 raw'!$1:$1, 0)), ""), IF(val=0, "", val))</f>
        <v>411</v>
      </c>
      <c r="H13" s="137">
        <f t="array" ref="H13">LET(val, IFERROR(INDEX('Weekly 사주 raw'!$A:$ZZ, MATCH(H$3, 'Weekly 사주 raw'!$A:$A, 0), MATCH($B13, 'Weekly 사주 raw'!$1:$1, 0)), ""), IF(val=0, "", val))</f>
        <v>342</v>
      </c>
      <c r="I13" s="137">
        <f t="array" ref="I13">LET(val, IFERROR(INDEX('Weekly 사주 raw'!$A:$ZZ, MATCH(I$3, 'Weekly 사주 raw'!$A:$A, 0), MATCH($B13, 'Weekly 사주 raw'!$1:$1, 0)), ""), IF(val=0, "", val))</f>
        <v>293</v>
      </c>
      <c r="J13" s="137">
        <f t="array" ref="J13">LET(val, IFERROR(INDEX('Weekly 사주 raw'!$A:$ZZ, MATCH(J$3, 'Weekly 사주 raw'!$A:$A, 0), MATCH($B13, 'Weekly 사주 raw'!$1:$1, 0)), ""), IF(val=0, "", val))</f>
        <v>185</v>
      </c>
      <c r="K13" s="137">
        <f t="array" ref="K13">LET(val, IFERROR(INDEX('Weekly 사주 raw'!$A:$ZZ, MATCH(K$3, 'Weekly 사주 raw'!$A:$A, 0), MATCH($B13, 'Weekly 사주 raw'!$1:$1, 0)), ""), IF(val=0, "", val))</f>
        <v>214</v>
      </c>
      <c r="L13" s="137">
        <f t="array" ref="L13">LET(val, IFERROR(INDEX('Weekly 사주 raw'!$A:$ZZ, MATCH(L$3, 'Weekly 사주 raw'!$A:$A, 0), MATCH($B13, 'Weekly 사주 raw'!$1:$1, 0)), ""), IF(val=0, "", val))</f>
        <v>7</v>
      </c>
      <c r="M13" s="137" t="str">
        <f t="array" ref="M13">LET(val, IFERROR(INDEX('Weekly 사주 raw'!$A:$ZZ, MATCH(M$3, 'Weekly 사주 raw'!$A:$A, 0), MATCH($B13, 'Weekly 사주 raw'!$1:$1, 0)), ""), IF(val=0, "", val))</f>
        <v/>
      </c>
      <c r="N13" s="137" t="str">
        <f t="array" ref="N13">LET(val, IFERROR(INDEX('Weekly 사주 raw'!$A:$ZZ, MATCH(N$3, 'Weekly 사주 raw'!$A:$A, 0), MATCH($B13, 'Weekly 사주 raw'!$1:$1, 0)), ""), IF(val=0, "", val))</f>
        <v/>
      </c>
      <c r="O13" s="60"/>
      <c r="P13" s="60"/>
      <c r="Q13" s="60"/>
      <c r="R13" s="60"/>
      <c r="S13" s="60"/>
      <c r="T13" s="60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</row>
    <row r="14" ht="18.75" customHeight="1">
      <c r="A14" s="136"/>
      <c r="B14" s="23" t="s">
        <v>29</v>
      </c>
      <c r="C14" s="136" t="s">
        <v>30</v>
      </c>
      <c r="D14" s="137">
        <f t="array" ref="D14">LET(val, IFERROR(INDEX('Weekly 사주 raw'!$A:$ZZ, MATCH(D$3, 'Weekly 사주 raw'!$A:$A, 0), MATCH($B14, 'Weekly 사주 raw'!$1:$1, 0)), ""), IF(val=0, "", val))</f>
        <v>245</v>
      </c>
      <c r="E14" s="137">
        <f t="array" ref="E14">LET(val, IFERROR(INDEX('Weekly 사주 raw'!$A:$ZZ, MATCH(E$3, 'Weekly 사주 raw'!$A:$A, 0), MATCH($B14, 'Weekly 사주 raw'!$1:$1, 0)), ""), IF(val=0, "", val))</f>
        <v>283</v>
      </c>
      <c r="F14" s="137">
        <f t="array" ref="F14">LET(val, IFERROR(INDEX('Weekly 사주 raw'!$A:$ZZ, MATCH(F$3, 'Weekly 사주 raw'!$A:$A, 0), MATCH($B14, 'Weekly 사주 raw'!$1:$1, 0)), ""), IF(val=0, "", val))</f>
        <v>453</v>
      </c>
      <c r="G14" s="137">
        <f t="array" ref="G14">LET(val, IFERROR(INDEX('Weekly 사주 raw'!$A:$ZZ, MATCH(G$3, 'Weekly 사주 raw'!$A:$A, 0), MATCH($B14, 'Weekly 사주 raw'!$1:$1, 0)), ""), IF(val=0, "", val))</f>
        <v>518</v>
      </c>
      <c r="H14" s="137">
        <f t="array" ref="H14">LET(val, IFERROR(INDEX('Weekly 사주 raw'!$A:$ZZ, MATCH(H$3, 'Weekly 사주 raw'!$A:$A, 0), MATCH($B14, 'Weekly 사주 raw'!$1:$1, 0)), ""), IF(val=0, "", val))</f>
        <v>491</v>
      </c>
      <c r="I14" s="137">
        <f t="array" ref="I14">LET(val, IFERROR(INDEX('Weekly 사주 raw'!$A:$ZZ, MATCH(I$3, 'Weekly 사주 raw'!$A:$A, 0), MATCH($B14, 'Weekly 사주 raw'!$1:$1, 0)), ""), IF(val=0, "", val))</f>
        <v>437</v>
      </c>
      <c r="J14" s="137">
        <f t="array" ref="J14">LET(val, IFERROR(INDEX('Weekly 사주 raw'!$A:$ZZ, MATCH(J$3, 'Weekly 사주 raw'!$A:$A, 0), MATCH($B14, 'Weekly 사주 raw'!$1:$1, 0)), ""), IF(val=0, "", val))</f>
        <v>227</v>
      </c>
      <c r="K14" s="137">
        <f t="array" ref="K14">LET(val, IFERROR(INDEX('Weekly 사주 raw'!$A:$ZZ, MATCH(K$3, 'Weekly 사주 raw'!$A:$A, 0), MATCH($B14, 'Weekly 사주 raw'!$1:$1, 0)), ""), IF(val=0, "", val))</f>
        <v>265</v>
      </c>
      <c r="L14" s="137">
        <f t="array" ref="L14">LET(val, IFERROR(INDEX('Weekly 사주 raw'!$A:$ZZ, MATCH(L$3, 'Weekly 사주 raw'!$A:$A, 0), MATCH($B14, 'Weekly 사주 raw'!$1:$1, 0)), ""), IF(val=0, "", val))</f>
        <v>7</v>
      </c>
      <c r="M14" s="137" t="str">
        <f t="array" ref="M14">LET(val, IFERROR(INDEX('Weekly 사주 raw'!$A:$ZZ, MATCH(M$3, 'Weekly 사주 raw'!$A:$A, 0), MATCH($B14, 'Weekly 사주 raw'!$1:$1, 0)), ""), IF(val=0, "", val))</f>
        <v/>
      </c>
      <c r="N14" s="137" t="str">
        <f t="array" ref="N14">LET(val, IFERROR(INDEX('Weekly 사주 raw'!$A:$ZZ, MATCH(N$3, 'Weekly 사주 raw'!$A:$A, 0), MATCH($B14, 'Weekly 사주 raw'!$1:$1, 0)), ""), IF(val=0, "", val))</f>
        <v/>
      </c>
      <c r="O14" s="60"/>
      <c r="P14" s="60"/>
      <c r="Q14" s="60"/>
      <c r="R14" s="60"/>
      <c r="S14" s="60"/>
      <c r="T14" s="60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</row>
    <row r="15" ht="18.75" customHeight="1">
      <c r="A15" s="1"/>
      <c r="B15" s="11" t="s">
        <v>31</v>
      </c>
      <c r="C15" s="1" t="s">
        <v>32</v>
      </c>
      <c r="D15" s="139">
        <f t="array" ref="D15">LET(val, IFERROR(INDEX('Weekly 사주 raw'!$A:$ZZ, MATCH(D$3, 'Weekly 사주 raw'!$A:$A, 0), MATCH($B15, 'Weekly 사주 raw'!$1:$1, 0)), ""), IF(val=0, "", val))</f>
        <v>0.9275774726</v>
      </c>
      <c r="E15" s="139">
        <f t="array" ref="E15">LET(val, IFERROR(INDEX('Weekly 사주 raw'!$A:$ZZ, MATCH(E$3, 'Weekly 사주 raw'!$A:$A, 0), MATCH($B15, 'Weekly 사주 raw'!$1:$1, 0)), ""), IF(val=0, "", val))</f>
        <v>0.7705981524</v>
      </c>
      <c r="F15" s="139">
        <f t="array" ref="F15">LET(val, IFERROR(INDEX('Weekly 사주 raw'!$A:$ZZ, MATCH(F$3, 'Weekly 사주 raw'!$A:$A, 0), MATCH($B15, 'Weekly 사주 raw'!$1:$1, 0)), ""), IF(val=0, "", val))</f>
        <v>0.7139751043</v>
      </c>
      <c r="G15" s="139">
        <f t="array" ref="G15">LET(val, IFERROR(INDEX('Weekly 사주 raw'!$A:$ZZ, MATCH(G$3, 'Weekly 사주 raw'!$A:$A, 0), MATCH($B15, 'Weekly 사주 raw'!$1:$1, 0)), ""), IF(val=0, "", val))</f>
        <v>0.7244063006</v>
      </c>
      <c r="H15" s="139">
        <f t="array" ref="H15">LET(val, IFERROR(INDEX('Weekly 사주 raw'!$A:$ZZ, MATCH(H$3, 'Weekly 사주 raw'!$A:$A, 0), MATCH($B15, 'Weekly 사주 raw'!$1:$1, 0)), ""), IF(val=0, "", val))</f>
        <v>0.7173613423</v>
      </c>
      <c r="I15" s="139">
        <f t="array" ref="I15">LET(val, IFERROR(INDEX('Weekly 사주 raw'!$A:$ZZ, MATCH(I$3, 'Weekly 사주 raw'!$A:$A, 0), MATCH($B15, 'Weekly 사주 raw'!$1:$1, 0)), ""), IF(val=0, "", val))</f>
        <v>0.7113419425</v>
      </c>
      <c r="J15" s="139">
        <f t="array" ref="J15">LET(val, IFERROR(INDEX('Weekly 사주 raw'!$A:$ZZ, MATCH(J$3, 'Weekly 사주 raw'!$A:$A, 0), MATCH($B15, 'Weekly 사주 raw'!$1:$1, 0)), ""), IF(val=0, "", val))</f>
        <v>0.7375978901</v>
      </c>
      <c r="K15" s="139">
        <f t="array" ref="K15">LET(val, IFERROR(INDEX('Weekly 사주 raw'!$A:$ZZ, MATCH(K$3, 'Weekly 사주 raw'!$A:$A, 0), MATCH($B15, 'Weekly 사주 raw'!$1:$1, 0)), ""), IF(val=0, "", val))</f>
        <v>0.7269194205</v>
      </c>
      <c r="L15" s="139">
        <f t="array" ref="L15">LET(val, IFERROR(INDEX('Weekly 사주 raw'!$A:$ZZ, MATCH(L$3, 'Weekly 사주 raw'!$A:$A, 0), MATCH($B15, 'Weekly 사주 raw'!$1:$1, 0)), ""), IF(val=0, "", val))</f>
        <v>0.7</v>
      </c>
      <c r="M15" s="139" t="str">
        <f t="array" ref="M15">LET(val, IFERROR(INDEX('Weekly 사주 raw'!$A:$ZZ, MATCH(M$3, 'Weekly 사주 raw'!$A:$A, 0), MATCH($B15, 'Weekly 사주 raw'!$1:$1, 0)), ""), IF(val=0, "", val))</f>
        <v/>
      </c>
      <c r="N15" s="139" t="str">
        <f t="array" ref="N15">LET(val, IFERROR(INDEX('Weekly 사주 raw'!$A:$ZZ, MATCH(N$3, 'Weekly 사주 raw'!$A:$A, 0), MATCH($B15, 'Weekly 사주 raw'!$1:$1, 0)), ""), IF(val=0, "", val))</f>
        <v/>
      </c>
      <c r="O15" s="147"/>
      <c r="P15" s="147"/>
      <c r="Q15" s="147"/>
      <c r="R15" s="147"/>
      <c r="S15" s="147"/>
      <c r="T15" s="147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  <c r="BU15" s="140"/>
      <c r="BV15" s="140"/>
      <c r="BW15" s="140"/>
      <c r="BX15" s="140"/>
      <c r="BY15" s="140"/>
      <c r="BZ15" s="140"/>
      <c r="CA15" s="140"/>
      <c r="CB15" s="140"/>
      <c r="CC15" s="140"/>
      <c r="CD15" s="140"/>
      <c r="CE15" s="140"/>
      <c r="CF15" s="140"/>
      <c r="CG15" s="140"/>
      <c r="CH15" s="140"/>
      <c r="CI15" s="140"/>
      <c r="CJ15" s="140"/>
      <c r="CK15" s="140"/>
      <c r="CL15" s="140"/>
      <c r="CM15" s="140"/>
      <c r="CN15" s="140"/>
      <c r="CO15" s="140"/>
    </row>
    <row r="16" ht="18.75" customHeight="1">
      <c r="A16" s="28"/>
      <c r="B16" s="23" t="s">
        <v>33</v>
      </c>
      <c r="C16" s="136" t="s">
        <v>34</v>
      </c>
      <c r="D16" s="142">
        <f t="array" ref="D16">LET(val, IFERROR(INDEX('Weekly 사주 raw'!$A:$ZZ, MATCH(D$3, 'Weekly 사주 raw'!$A:$A, 0), MATCH($B16, 'Weekly 사주 raw'!$1:$1, 0)), ""), IF(val=0, "", val))</f>
        <v>484412.5588</v>
      </c>
      <c r="E16" s="142">
        <f t="array" ref="E16">LET(val, IFERROR(INDEX('Weekly 사주 raw'!$A:$ZZ, MATCH(E$3, 'Weekly 사주 raw'!$A:$A, 0), MATCH($B16, 'Weekly 사주 raw'!$1:$1, 0)), ""), IF(val=0, "", val))</f>
        <v>1206584.898</v>
      </c>
      <c r="F16" s="142">
        <f t="array" ref="F16">LET(val, IFERROR(INDEX('Weekly 사주 raw'!$A:$ZZ, MATCH(F$3, 'Weekly 사주 raw'!$A:$A, 0), MATCH($B16, 'Weekly 사주 raw'!$1:$1, 0)), ""), IF(val=0, "", val))</f>
        <v>2158801.503</v>
      </c>
      <c r="G16" s="142">
        <f t="array" ref="G16">LET(val, IFERROR(INDEX('Weekly 사주 raw'!$A:$ZZ, MATCH(G$3, 'Weekly 사주 raw'!$A:$A, 0), MATCH($B16, 'Weekly 사주 raw'!$1:$1, 0)), ""), IF(val=0, "", val))</f>
        <v>2187800.583</v>
      </c>
      <c r="H16" s="142">
        <f t="array" ref="H16">LET(val, IFERROR(INDEX('Weekly 사주 raw'!$A:$ZZ, MATCH(H$3, 'Weekly 사주 raw'!$A:$A, 0), MATCH($B16, 'Weekly 사주 raw'!$1:$1, 0)), ""), IF(val=0, "", val))</f>
        <v>1902497.333</v>
      </c>
      <c r="I16" s="142">
        <f t="array" ref="I16">LET(val, IFERROR(INDEX('Weekly 사주 raw'!$A:$ZZ, MATCH(I$3, 'Weekly 사주 raw'!$A:$A, 0), MATCH($B16, 'Weekly 사주 raw'!$1:$1, 0)), ""), IF(val=0, "", val))</f>
        <v>1762748.16</v>
      </c>
      <c r="J16" s="142">
        <f t="array" ref="J16">LET(val, IFERROR(INDEX('Weekly 사주 raw'!$A:$ZZ, MATCH(J$3, 'Weekly 사주 raw'!$A:$A, 0), MATCH($B16, 'Weekly 사주 raw'!$1:$1, 0)), ""), IF(val=0, "", val))</f>
        <v>1166298.658</v>
      </c>
      <c r="K16" s="142">
        <f t="array" ref="K16">LET(val, IFERROR(INDEX('Weekly 사주 raw'!$A:$ZZ, MATCH(K$3, 'Weekly 사주 raw'!$A:$A, 0), MATCH($B16, 'Weekly 사주 raw'!$1:$1, 0)), ""), IF(val=0, "", val))</f>
        <v>1426818.72</v>
      </c>
      <c r="L16" s="142">
        <f t="array" ref="L16">LET(val, IFERROR(INDEX('Weekly 사주 raw'!$A:$ZZ, MATCH(L$3, 'Weekly 사주 raw'!$A:$A, 0), MATCH($B16, 'Weekly 사주 raw'!$1:$1, 0)), ""), IF(val=0, "", val))</f>
        <v>59250</v>
      </c>
      <c r="M16" s="142" t="str">
        <f t="array" ref="M16">LET(val, IFERROR(INDEX('Weekly 사주 raw'!$A:$ZZ, MATCH(M$3, 'Weekly 사주 raw'!$A:$A, 0), MATCH($B16, 'Weekly 사주 raw'!$1:$1, 0)), ""), IF(val=0, "", val))</f>
        <v/>
      </c>
      <c r="N16" s="142" t="str">
        <f t="array" ref="N16">LET(val, IFERROR(INDEX('Weekly 사주 raw'!$A:$ZZ, MATCH(N$3, 'Weekly 사주 raw'!$A:$A, 0), MATCH($B16, 'Weekly 사주 raw'!$1:$1, 0)), ""), IF(val=0, "", val))</f>
        <v/>
      </c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</row>
    <row r="17" ht="18.75" customHeight="1">
      <c r="A17" s="28"/>
      <c r="B17" s="23" t="s">
        <v>35</v>
      </c>
      <c r="C17" s="136" t="s">
        <v>27</v>
      </c>
      <c r="D17" s="142">
        <f t="array" ref="D17">LET(val, IFERROR(INDEX('Weekly 사주 raw'!$A:$ZZ, MATCH(D$3, 'Weekly 사주 raw'!$A:$A, 0), MATCH($B17, 'Weekly 사주 raw'!$1:$1, 0)), ""), IF(val=0, "", val))</f>
        <v>6688700</v>
      </c>
      <c r="E17" s="142">
        <f t="array" ref="E17">LET(val, IFERROR(INDEX('Weekly 사주 raw'!$A:$ZZ, MATCH(E$3, 'Weekly 사주 raw'!$A:$A, 0), MATCH($B17, 'Weekly 사주 raw'!$1:$1, 0)), ""), IF(val=0, "", val))</f>
        <v>5259700</v>
      </c>
      <c r="F17" s="142">
        <f t="array" ref="F17">LET(val, IFERROR(INDEX('Weekly 사주 raw'!$A:$ZZ, MATCH(F$3, 'Weekly 사주 raw'!$A:$A, 0), MATCH($B17, 'Weekly 사주 raw'!$1:$1, 0)), ""), IF(val=0, "", val))</f>
        <v>7547600</v>
      </c>
      <c r="G17" s="142">
        <f t="array" ref="G17">LET(val, IFERROR(INDEX('Weekly 사주 raw'!$A:$ZZ, MATCH(G$3, 'Weekly 사주 raw'!$A:$A, 0), MATCH($B17, 'Weekly 사주 raw'!$1:$1, 0)), ""), IF(val=0, "", val))</f>
        <v>7938500</v>
      </c>
      <c r="H17" s="142">
        <f t="array" ref="H17">LET(val, IFERROR(INDEX('Weekly 사주 raw'!$A:$ZZ, MATCH(H$3, 'Weekly 사주 raw'!$A:$A, 0), MATCH($B17, 'Weekly 사주 raw'!$1:$1, 0)), ""), IF(val=0, "", val))</f>
        <v>6731200</v>
      </c>
      <c r="I17" s="142">
        <f t="array" ref="I17">LET(val, IFERROR(INDEX('Weekly 사주 raw'!$A:$ZZ, MATCH(I$3, 'Weekly 사주 raw'!$A:$A, 0), MATCH($B17, 'Weekly 사주 raw'!$1:$1, 0)), ""), IF(val=0, "", val))</f>
        <v>6106700</v>
      </c>
      <c r="J17" s="142">
        <f t="array" ref="J17">LET(val, IFERROR(INDEX('Weekly 사주 raw'!$A:$ZZ, MATCH(J$3, 'Weekly 사주 raw'!$A:$A, 0), MATCH($B17, 'Weekly 사주 raw'!$1:$1, 0)), ""), IF(val=0, "", val))</f>
        <v>4444700</v>
      </c>
      <c r="K17" s="142">
        <f t="array" ref="K17">LET(val, IFERROR(INDEX('Weekly 사주 raw'!$A:$ZZ, MATCH(K$3, 'Weekly 사주 raw'!$A:$A, 0), MATCH($B17, 'Weekly 사주 raw'!$1:$1, 0)), ""), IF(val=0, "", val))</f>
        <v>5224900</v>
      </c>
      <c r="L17" s="142">
        <f t="array" ref="L17">LET(val, IFERROR(INDEX('Weekly 사주 raw'!$A:$ZZ, MATCH(L$3, 'Weekly 사주 raw'!$A:$A, 0), MATCH($B17, 'Weekly 사주 raw'!$1:$1, 0)), ""), IF(val=0, "", val))</f>
        <v>197500</v>
      </c>
      <c r="M17" s="142" t="str">
        <f t="array" ref="M17">LET(val, IFERROR(INDEX('Weekly 사주 raw'!$A:$ZZ, MATCH(M$3, 'Weekly 사주 raw'!$A:$A, 0), MATCH($B17, 'Weekly 사주 raw'!$1:$1, 0)), ""), IF(val=0, "", val))</f>
        <v/>
      </c>
      <c r="N17" s="142" t="str">
        <f t="array" ref="N17">LET(val, IFERROR(INDEX('Weekly 사주 raw'!$A:$ZZ, MATCH(N$3, 'Weekly 사주 raw'!$A:$A, 0), MATCH($B17, 'Weekly 사주 raw'!$1:$1, 0)), ""), IF(val=0, "", val))</f>
        <v/>
      </c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</row>
    <row r="18" ht="18.75" hidden="1" customHeight="1">
      <c r="A18" s="1"/>
      <c r="B18" s="1"/>
      <c r="C18" s="1" t="s">
        <v>115</v>
      </c>
      <c r="D18" s="60">
        <f t="array" ref="D18">IFERROR(INDEX('Weekly 사주 raw'!$A:$ZZ, MATCH(D$3, 'Weekly 사주 raw'!$A:$A, 0), MATCH($B18, 'Weekly 사주 raw'!$1:$1, 0)), 0)</f>
        <v>0</v>
      </c>
      <c r="E18" s="60">
        <f t="array" ref="E18">IFERROR(INDEX('Weekly 사주 raw'!$A:$ZZ, MATCH(E$3, 'Weekly 사주 raw'!$A:$A, 0), MATCH($B18, 'Weekly 사주 raw'!$1:$1, 0)), 0)</f>
        <v>0</v>
      </c>
      <c r="F18" s="60">
        <f t="array" ref="F18">IFERROR(INDEX('Weekly 사주 raw'!$A:$ZZ, MATCH(F$3, 'Weekly 사주 raw'!$A:$A, 0), MATCH($B18, 'Weekly 사주 raw'!$1:$1, 0)), 0)</f>
        <v>0</v>
      </c>
      <c r="G18" s="60">
        <f t="array" ref="G18">IFERROR(INDEX('Weekly 사주 raw'!$A:$ZZ, MATCH(G$3, 'Weekly 사주 raw'!$A:$A, 0), MATCH($B18, 'Weekly 사주 raw'!$1:$1, 0)), 0)</f>
        <v>0</v>
      </c>
      <c r="H18" s="60">
        <f t="array" ref="H18">IFERROR(INDEX('Weekly 사주 raw'!$A:$ZZ, MATCH(H$3, 'Weekly 사주 raw'!$A:$A, 0), MATCH($B18, 'Weekly 사주 raw'!$1:$1, 0)), 0)</f>
        <v>0</v>
      </c>
      <c r="I18" s="60">
        <f t="array" ref="I18">IFERROR(INDEX('Weekly 사주 raw'!$A:$ZZ, MATCH(I$3, 'Weekly 사주 raw'!$A:$A, 0), MATCH($B18, 'Weekly 사주 raw'!$1:$1, 0)), 0)</f>
        <v>0</v>
      </c>
      <c r="J18" s="60">
        <f t="array" ref="J18">IFERROR(INDEX('Weekly 사주 raw'!$A:$ZZ, MATCH(J$3, 'Weekly 사주 raw'!$A:$A, 0), MATCH($B18, 'Weekly 사주 raw'!$1:$1, 0)), 0)</f>
        <v>0</v>
      </c>
      <c r="K18" s="60">
        <f t="array" ref="K18">IFERROR(INDEX('Weekly 사주 raw'!$A:$ZZ, MATCH(K$3, 'Weekly 사주 raw'!$A:$A, 0), MATCH($B18, 'Weekly 사주 raw'!$1:$1, 0)), 0)</f>
        <v>0</v>
      </c>
      <c r="L18" s="60">
        <f t="array" ref="L18">IFERROR(INDEX('Weekly 사주 raw'!$A:$ZZ, MATCH(L$3, 'Weekly 사주 raw'!$A:$A, 0), MATCH($B18, 'Weekly 사주 raw'!$1:$1, 0)), 0)</f>
        <v>0</v>
      </c>
      <c r="M18" s="60">
        <f t="array" ref="M18">IFERROR(INDEX('Weekly 사주 raw'!$A:$ZZ, MATCH(M$3, 'Weekly 사주 raw'!$A:$A, 0), MATCH($B18, 'Weekly 사주 raw'!$1:$1, 0)), 0)</f>
        <v>0</v>
      </c>
      <c r="N18" s="60">
        <f t="array" ref="N18">IFERROR(INDEX('Weekly 사주 raw'!$A:$ZZ, MATCH(N$3, 'Weekly 사주 raw'!$A:$A, 0), MATCH($B18, 'Weekly 사주 raw'!$1:$1, 0)), 0)</f>
        <v>0</v>
      </c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</row>
    <row r="19" ht="18.75" hidden="1" customHeight="1">
      <c r="A19" s="1"/>
      <c r="B19" s="1"/>
      <c r="C19" s="17" t="s">
        <v>116</v>
      </c>
      <c r="D19" s="60">
        <f t="array" ref="D19">IFERROR(INDEX('Weekly 사주 raw'!$A:$ZZ, MATCH(D$3, 'Weekly 사주 raw'!$A:$A, 0), MATCH($B19, 'Weekly 사주 raw'!$1:$1, 0)), 0)</f>
        <v>0</v>
      </c>
      <c r="E19" s="60">
        <f t="array" ref="E19">IFERROR(INDEX('Weekly 사주 raw'!$A:$ZZ, MATCH(E$3, 'Weekly 사주 raw'!$A:$A, 0), MATCH($B19, 'Weekly 사주 raw'!$1:$1, 0)), 0)</f>
        <v>0</v>
      </c>
      <c r="F19" s="60">
        <f t="array" ref="F19">IFERROR(INDEX('Weekly 사주 raw'!$A:$ZZ, MATCH(F$3, 'Weekly 사주 raw'!$A:$A, 0), MATCH($B19, 'Weekly 사주 raw'!$1:$1, 0)), 0)</f>
        <v>0</v>
      </c>
      <c r="G19" s="60">
        <f t="array" ref="G19">IFERROR(INDEX('Weekly 사주 raw'!$A:$ZZ, MATCH(G$3, 'Weekly 사주 raw'!$A:$A, 0), MATCH($B19, 'Weekly 사주 raw'!$1:$1, 0)), 0)</f>
        <v>0</v>
      </c>
      <c r="H19" s="60">
        <f t="array" ref="H19">IFERROR(INDEX('Weekly 사주 raw'!$A:$ZZ, MATCH(H$3, 'Weekly 사주 raw'!$A:$A, 0), MATCH($B19, 'Weekly 사주 raw'!$1:$1, 0)), 0)</f>
        <v>0</v>
      </c>
      <c r="I19" s="60">
        <f t="array" ref="I19">IFERROR(INDEX('Weekly 사주 raw'!$A:$ZZ, MATCH(I$3, 'Weekly 사주 raw'!$A:$A, 0), MATCH($B19, 'Weekly 사주 raw'!$1:$1, 0)), 0)</f>
        <v>0</v>
      </c>
      <c r="J19" s="60">
        <f t="array" ref="J19">IFERROR(INDEX('Weekly 사주 raw'!$A:$ZZ, MATCH(J$3, 'Weekly 사주 raw'!$A:$A, 0), MATCH($B19, 'Weekly 사주 raw'!$1:$1, 0)), 0)</f>
        <v>0</v>
      </c>
      <c r="K19" s="60">
        <f t="array" ref="K19">IFERROR(INDEX('Weekly 사주 raw'!$A:$ZZ, MATCH(K$3, 'Weekly 사주 raw'!$A:$A, 0), MATCH($B19, 'Weekly 사주 raw'!$1:$1, 0)), 0)</f>
        <v>0</v>
      </c>
      <c r="L19" s="60">
        <f t="array" ref="L19">IFERROR(INDEX('Weekly 사주 raw'!$A:$ZZ, MATCH(L$3, 'Weekly 사주 raw'!$A:$A, 0), MATCH($B19, 'Weekly 사주 raw'!$1:$1, 0)), 0)</f>
        <v>0</v>
      </c>
      <c r="M19" s="60">
        <f t="array" ref="M19">IFERROR(INDEX('Weekly 사주 raw'!$A:$ZZ, MATCH(M$3, 'Weekly 사주 raw'!$A:$A, 0), MATCH($B19, 'Weekly 사주 raw'!$1:$1, 0)), 0)</f>
        <v>0</v>
      </c>
      <c r="N19" s="60">
        <f t="array" ref="N19">IFERROR(INDEX('Weekly 사주 raw'!$A:$ZZ, MATCH(N$3, 'Weekly 사주 raw'!$A:$A, 0), MATCH($B19, 'Weekly 사주 raw'!$1:$1, 0)), 0)</f>
        <v>0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</row>
    <row r="20" ht="18.75" hidden="1" customHeight="1">
      <c r="A20" s="1"/>
      <c r="B20" s="1"/>
      <c r="C20" s="17" t="s">
        <v>117</v>
      </c>
      <c r="D20" s="60">
        <f t="array" ref="D20">IFERROR(INDEX('Weekly 사주 raw'!$A:$ZZ, MATCH(D$3, 'Weekly 사주 raw'!$A:$A, 0), MATCH($B20, 'Weekly 사주 raw'!$1:$1, 0)), 0)</f>
        <v>0</v>
      </c>
      <c r="E20" s="60">
        <f t="array" ref="E20">IFERROR(INDEX('Weekly 사주 raw'!$A:$ZZ, MATCH(E$3, 'Weekly 사주 raw'!$A:$A, 0), MATCH($B20, 'Weekly 사주 raw'!$1:$1, 0)), 0)</f>
        <v>0</v>
      </c>
      <c r="F20" s="60">
        <f t="array" ref="F20">IFERROR(INDEX('Weekly 사주 raw'!$A:$ZZ, MATCH(F$3, 'Weekly 사주 raw'!$A:$A, 0), MATCH($B20, 'Weekly 사주 raw'!$1:$1, 0)), 0)</f>
        <v>0</v>
      </c>
      <c r="G20" s="60">
        <f t="array" ref="G20">IFERROR(INDEX('Weekly 사주 raw'!$A:$ZZ, MATCH(G$3, 'Weekly 사주 raw'!$A:$A, 0), MATCH($B20, 'Weekly 사주 raw'!$1:$1, 0)), 0)</f>
        <v>0</v>
      </c>
      <c r="H20" s="60">
        <f t="array" ref="H20">IFERROR(INDEX('Weekly 사주 raw'!$A:$ZZ, MATCH(H$3, 'Weekly 사주 raw'!$A:$A, 0), MATCH($B20, 'Weekly 사주 raw'!$1:$1, 0)), 0)</f>
        <v>0</v>
      </c>
      <c r="I20" s="60">
        <f t="array" ref="I20">IFERROR(INDEX('Weekly 사주 raw'!$A:$ZZ, MATCH(I$3, 'Weekly 사주 raw'!$A:$A, 0), MATCH($B20, 'Weekly 사주 raw'!$1:$1, 0)), 0)</f>
        <v>0</v>
      </c>
      <c r="J20" s="60">
        <f t="array" ref="J20">IFERROR(INDEX('Weekly 사주 raw'!$A:$ZZ, MATCH(J$3, 'Weekly 사주 raw'!$A:$A, 0), MATCH($B20, 'Weekly 사주 raw'!$1:$1, 0)), 0)</f>
        <v>0</v>
      </c>
      <c r="K20" s="60">
        <f t="array" ref="K20">IFERROR(INDEX('Weekly 사주 raw'!$A:$ZZ, MATCH(K$3, 'Weekly 사주 raw'!$A:$A, 0), MATCH($B20, 'Weekly 사주 raw'!$1:$1, 0)), 0)</f>
        <v>0</v>
      </c>
      <c r="L20" s="60">
        <f t="array" ref="L20">IFERROR(INDEX('Weekly 사주 raw'!$A:$ZZ, MATCH(L$3, 'Weekly 사주 raw'!$A:$A, 0), MATCH($B20, 'Weekly 사주 raw'!$1:$1, 0)), 0)</f>
        <v>0</v>
      </c>
      <c r="M20" s="60">
        <f t="array" ref="M20">IFERROR(INDEX('Weekly 사주 raw'!$A:$ZZ, MATCH(M$3, 'Weekly 사주 raw'!$A:$A, 0), MATCH($B20, 'Weekly 사주 raw'!$1:$1, 0)), 0)</f>
        <v>0</v>
      </c>
      <c r="N20" s="60">
        <f t="array" ref="N20">IFERROR(INDEX('Weekly 사주 raw'!$A:$ZZ, MATCH(N$3, 'Weekly 사주 raw'!$A:$A, 0), MATCH($B20, 'Weekly 사주 raw'!$1:$1, 0)), 0)</f>
        <v>0</v>
      </c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</row>
    <row r="21" ht="18.75" hidden="1" customHeight="1">
      <c r="A21" s="1"/>
      <c r="B21" s="1"/>
      <c r="C21" s="17" t="s">
        <v>118</v>
      </c>
      <c r="D21" s="60">
        <f t="array" ref="D21">IFERROR(INDEX('Weekly 사주 raw'!$A:$ZZ, MATCH(D$3, 'Weekly 사주 raw'!$A:$A, 0), MATCH($B21, 'Weekly 사주 raw'!$1:$1, 0)), 0)</f>
        <v>0</v>
      </c>
      <c r="E21" s="60">
        <f t="array" ref="E21">IFERROR(INDEX('Weekly 사주 raw'!$A:$ZZ, MATCH(E$3, 'Weekly 사주 raw'!$A:$A, 0), MATCH($B21, 'Weekly 사주 raw'!$1:$1, 0)), 0)</f>
        <v>0</v>
      </c>
      <c r="F21" s="60">
        <f t="array" ref="F21">IFERROR(INDEX('Weekly 사주 raw'!$A:$ZZ, MATCH(F$3, 'Weekly 사주 raw'!$A:$A, 0), MATCH($B21, 'Weekly 사주 raw'!$1:$1, 0)), 0)</f>
        <v>0</v>
      </c>
      <c r="G21" s="60">
        <f t="array" ref="G21">IFERROR(INDEX('Weekly 사주 raw'!$A:$ZZ, MATCH(G$3, 'Weekly 사주 raw'!$A:$A, 0), MATCH($B21, 'Weekly 사주 raw'!$1:$1, 0)), 0)</f>
        <v>0</v>
      </c>
      <c r="H21" s="60">
        <f t="array" ref="H21">IFERROR(INDEX('Weekly 사주 raw'!$A:$ZZ, MATCH(H$3, 'Weekly 사주 raw'!$A:$A, 0), MATCH($B21, 'Weekly 사주 raw'!$1:$1, 0)), 0)</f>
        <v>0</v>
      </c>
      <c r="I21" s="60">
        <f t="array" ref="I21">IFERROR(INDEX('Weekly 사주 raw'!$A:$ZZ, MATCH(I$3, 'Weekly 사주 raw'!$A:$A, 0), MATCH($B21, 'Weekly 사주 raw'!$1:$1, 0)), 0)</f>
        <v>0</v>
      </c>
      <c r="J21" s="60">
        <f t="array" ref="J21">IFERROR(INDEX('Weekly 사주 raw'!$A:$ZZ, MATCH(J$3, 'Weekly 사주 raw'!$A:$A, 0), MATCH($B21, 'Weekly 사주 raw'!$1:$1, 0)), 0)</f>
        <v>0</v>
      </c>
      <c r="K21" s="60">
        <f t="array" ref="K21">IFERROR(INDEX('Weekly 사주 raw'!$A:$ZZ, MATCH(K$3, 'Weekly 사주 raw'!$A:$A, 0), MATCH($B21, 'Weekly 사주 raw'!$1:$1, 0)), 0)</f>
        <v>0</v>
      </c>
      <c r="L21" s="60">
        <f t="array" ref="L21">IFERROR(INDEX('Weekly 사주 raw'!$A:$ZZ, MATCH(L$3, 'Weekly 사주 raw'!$A:$A, 0), MATCH($B21, 'Weekly 사주 raw'!$1:$1, 0)), 0)</f>
        <v>0</v>
      </c>
      <c r="M21" s="60">
        <f t="array" ref="M21">IFERROR(INDEX('Weekly 사주 raw'!$A:$ZZ, MATCH(M$3, 'Weekly 사주 raw'!$A:$A, 0), MATCH($B21, 'Weekly 사주 raw'!$1:$1, 0)), 0)</f>
        <v>0</v>
      </c>
      <c r="N21" s="60">
        <f t="array" ref="N21">IFERROR(INDEX('Weekly 사주 raw'!$A:$ZZ, MATCH(N$3, 'Weekly 사주 raw'!$A:$A, 0), MATCH($B21, 'Weekly 사주 raw'!$1:$1, 0)), 0)</f>
        <v>0</v>
      </c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  <c r="BU21" s="143"/>
      <c r="BV21" s="143"/>
      <c r="BW21" s="143"/>
      <c r="BX21" s="143"/>
      <c r="BY21" s="143"/>
      <c r="BZ21" s="143"/>
      <c r="CA21" s="143"/>
      <c r="CB21" s="143"/>
      <c r="CC21" s="143"/>
      <c r="CD21" s="143"/>
      <c r="CE21" s="143"/>
      <c r="CF21" s="143"/>
      <c r="CG21" s="143"/>
      <c r="CH21" s="143"/>
      <c r="CI21" s="143"/>
      <c r="CJ21" s="143"/>
      <c r="CK21" s="143"/>
      <c r="CL21" s="143"/>
      <c r="CM21" s="143"/>
      <c r="CN21" s="143"/>
      <c r="CO21" s="143"/>
    </row>
    <row r="22" ht="18.75" customHeight="1">
      <c r="A22" s="30"/>
      <c r="B22" s="16"/>
      <c r="C22" s="30" t="s">
        <v>36</v>
      </c>
      <c r="D22" s="60" t="str">
        <f t="array" ref="D22">LET(val, IFERROR(INDEX('Weekly 사주 raw'!$A:$ZZ, MATCH(D$3, 'Weekly 사주 raw'!$A:$A, 0), MATCH($B22, 'Weekly 사주 raw'!$1:$1, 0)), ""), IF(val=0, "", val))</f>
        <v/>
      </c>
      <c r="E22" s="60" t="str">
        <f t="array" ref="E22">LET(val, IFERROR(INDEX('Weekly 사주 raw'!$A:$ZZ, MATCH(E$3, 'Weekly 사주 raw'!$A:$A, 0), MATCH($B22, 'Weekly 사주 raw'!$1:$1, 0)), ""), IF(val=0, "", val))</f>
        <v/>
      </c>
      <c r="F22" s="60" t="str">
        <f t="array" ref="F22">LET(val, IFERROR(INDEX('Weekly 사주 raw'!$A:$ZZ, MATCH(F$3, 'Weekly 사주 raw'!$A:$A, 0), MATCH($B22, 'Weekly 사주 raw'!$1:$1, 0)), ""), IF(val=0, "", val))</f>
        <v/>
      </c>
      <c r="G22" s="60" t="str">
        <f t="array" ref="G22">LET(val, IFERROR(INDEX('Weekly 사주 raw'!$A:$ZZ, MATCH(G$3, 'Weekly 사주 raw'!$A:$A, 0), MATCH($B22, 'Weekly 사주 raw'!$1:$1, 0)), ""), IF(val=0, "", val))</f>
        <v/>
      </c>
      <c r="H22" s="60" t="str">
        <f t="array" ref="H22">LET(val, IFERROR(INDEX('Weekly 사주 raw'!$A:$ZZ, MATCH(H$3, 'Weekly 사주 raw'!$A:$A, 0), MATCH($B22, 'Weekly 사주 raw'!$1:$1, 0)), ""), IF(val=0, "", val))</f>
        <v/>
      </c>
      <c r="I22" s="60" t="str">
        <f t="array" ref="I22">LET(val, IFERROR(INDEX('Weekly 사주 raw'!$A:$ZZ, MATCH(I$3, 'Weekly 사주 raw'!$A:$A, 0), MATCH($B22, 'Weekly 사주 raw'!$1:$1, 0)), ""), IF(val=0, "", val))</f>
        <v/>
      </c>
      <c r="J22" s="60" t="str">
        <f t="array" ref="J22">LET(val, IFERROR(INDEX('Weekly 사주 raw'!$A:$ZZ, MATCH(J$3, 'Weekly 사주 raw'!$A:$A, 0), MATCH($B22, 'Weekly 사주 raw'!$1:$1, 0)), ""), IF(val=0, "", val))</f>
        <v/>
      </c>
      <c r="K22" s="60" t="str">
        <f t="array" ref="K22">LET(val, IFERROR(INDEX('Weekly 사주 raw'!$A:$ZZ, MATCH(K$3, 'Weekly 사주 raw'!$A:$A, 0), MATCH($B22, 'Weekly 사주 raw'!$1:$1, 0)), ""), IF(val=0, "", val))</f>
        <v/>
      </c>
      <c r="L22" s="60" t="str">
        <f t="array" ref="L22">LET(val, IFERROR(INDEX('Weekly 사주 raw'!$A:$ZZ, MATCH(L$3, 'Weekly 사주 raw'!$A:$A, 0), MATCH($B22, 'Weekly 사주 raw'!$1:$1, 0)), ""), IF(val=0, "", val))</f>
        <v/>
      </c>
      <c r="M22" s="60" t="str">
        <f t="array" ref="M22">LET(val, IFERROR(INDEX('Weekly 사주 raw'!$A:$ZZ, MATCH(M$3, 'Weekly 사주 raw'!$A:$A, 0), MATCH($B22, 'Weekly 사주 raw'!$1:$1, 0)), ""), IF(val=0, "", val))</f>
        <v/>
      </c>
      <c r="N22" s="60" t="str">
        <f t="array" ref="N22">LET(val, IFERROR(INDEX('Weekly 사주 raw'!$A:$ZZ, MATCH(N$3, 'Weekly 사주 raw'!$A:$A, 0), MATCH($B22, 'Weekly 사주 raw'!$1:$1, 0)), ""), IF(val=0, "", val))</f>
        <v/>
      </c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</row>
    <row r="23" ht="18.75" customHeight="1">
      <c r="A23" s="17"/>
      <c r="B23" s="16" t="s">
        <v>37</v>
      </c>
      <c r="C23" s="17" t="s">
        <v>38</v>
      </c>
      <c r="D23" s="60" t="str">
        <f t="array" ref="D23">LET(val, IFERROR(INDEX('Weekly 사주 raw'!$A:$ZZ, MATCH(D$3, 'Weekly 사주 raw'!$A:$A, 0), MATCH($B23, 'Weekly 사주 raw'!$1:$1, 0)), ""), IF(val=0, "", val))</f>
        <v/>
      </c>
      <c r="E23" s="60" t="str">
        <f t="array" ref="E23">LET(val, IFERROR(INDEX('Weekly 사주 raw'!$A:$ZZ, MATCH(E$3, 'Weekly 사주 raw'!$A:$A, 0), MATCH($B23, 'Weekly 사주 raw'!$1:$1, 0)), ""), IF(val=0, "", val))</f>
        <v/>
      </c>
      <c r="F23" s="60" t="str">
        <f t="array" ref="F23">LET(val, IFERROR(INDEX('Weekly 사주 raw'!$A:$ZZ, MATCH(F$3, 'Weekly 사주 raw'!$A:$A, 0), MATCH($B23, 'Weekly 사주 raw'!$1:$1, 0)), ""), IF(val=0, "", val))</f>
        <v/>
      </c>
      <c r="G23" s="60" t="str">
        <f t="array" ref="G23">LET(val, IFERROR(INDEX('Weekly 사주 raw'!$A:$ZZ, MATCH(G$3, 'Weekly 사주 raw'!$A:$A, 0), MATCH($B23, 'Weekly 사주 raw'!$1:$1, 0)), ""), IF(val=0, "", val))</f>
        <v/>
      </c>
      <c r="H23" s="60" t="str">
        <f t="array" ref="H23">LET(val, IFERROR(INDEX('Weekly 사주 raw'!$A:$ZZ, MATCH(H$3, 'Weekly 사주 raw'!$A:$A, 0), MATCH($B23, 'Weekly 사주 raw'!$1:$1, 0)), ""), IF(val=0, "", val))</f>
        <v/>
      </c>
      <c r="I23" s="60" t="str">
        <f t="array" ref="I23">LET(val, IFERROR(INDEX('Weekly 사주 raw'!$A:$ZZ, MATCH(I$3, 'Weekly 사주 raw'!$A:$A, 0), MATCH($B23, 'Weekly 사주 raw'!$1:$1, 0)), ""), IF(val=0, "", val))</f>
        <v/>
      </c>
      <c r="J23" s="60" t="str">
        <f t="array" ref="J23">LET(val, IFERROR(INDEX('Weekly 사주 raw'!$A:$ZZ, MATCH(J$3, 'Weekly 사주 raw'!$A:$A, 0), MATCH($B23, 'Weekly 사주 raw'!$1:$1, 0)), ""), IF(val=0, "", val))</f>
        <v/>
      </c>
      <c r="K23" s="60" t="str">
        <f t="array" ref="K23">LET(val, IFERROR(INDEX('Weekly 사주 raw'!$A:$ZZ, MATCH(K$3, 'Weekly 사주 raw'!$A:$A, 0), MATCH($B23, 'Weekly 사주 raw'!$1:$1, 0)), ""), IF(val=0, "", val))</f>
        <v/>
      </c>
      <c r="L23" s="60" t="str">
        <f t="array" ref="L23">LET(val, IFERROR(INDEX('Weekly 사주 raw'!$A:$ZZ, MATCH(L$3, 'Weekly 사주 raw'!$A:$A, 0), MATCH($B23, 'Weekly 사주 raw'!$1:$1, 0)), ""), IF(val=0, "", val))</f>
        <v/>
      </c>
      <c r="M23" s="60" t="str">
        <f t="array" ref="M23">LET(val, IFERROR(INDEX('Weekly 사주 raw'!$A:$ZZ, MATCH(M$3, 'Weekly 사주 raw'!$A:$A, 0), MATCH($B23, 'Weekly 사주 raw'!$1:$1, 0)), ""), IF(val=0, "", val))</f>
        <v/>
      </c>
      <c r="N23" s="60" t="str">
        <f t="array" ref="N23">LET(val, IFERROR(INDEX('Weekly 사주 raw'!$A:$ZZ, MATCH(N$3, 'Weekly 사주 raw'!$A:$A, 0), MATCH($B23, 'Weekly 사주 raw'!$1:$1, 0)), ""), IF(val=0, "", val))</f>
        <v/>
      </c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</row>
    <row r="24" ht="18.75" customHeight="1">
      <c r="A24" s="17"/>
      <c r="B24" s="16" t="s">
        <v>39</v>
      </c>
      <c r="C24" s="17" t="s">
        <v>40</v>
      </c>
      <c r="D24" s="60" t="str">
        <f t="array" ref="D24">LET(val, IFERROR(INDEX('Weekly 사주 raw'!$A:$ZZ, MATCH(D$3, 'Weekly 사주 raw'!$A:$A, 0), MATCH($B24, 'Weekly 사주 raw'!$1:$1, 0)), ""), IF(val=0, "", val))</f>
        <v/>
      </c>
      <c r="E24" s="60" t="str">
        <f t="array" ref="E24">LET(val, IFERROR(INDEX('Weekly 사주 raw'!$A:$ZZ, MATCH(E$3, 'Weekly 사주 raw'!$A:$A, 0), MATCH($B24, 'Weekly 사주 raw'!$1:$1, 0)), ""), IF(val=0, "", val))</f>
        <v/>
      </c>
      <c r="F24" s="60" t="str">
        <f t="array" ref="F24">LET(val, IFERROR(INDEX('Weekly 사주 raw'!$A:$ZZ, MATCH(F$3, 'Weekly 사주 raw'!$A:$A, 0), MATCH($B24, 'Weekly 사주 raw'!$1:$1, 0)), ""), IF(val=0, "", val))</f>
        <v/>
      </c>
      <c r="G24" s="60" t="str">
        <f t="array" ref="G24">LET(val, IFERROR(INDEX('Weekly 사주 raw'!$A:$ZZ, MATCH(G$3, 'Weekly 사주 raw'!$A:$A, 0), MATCH($B24, 'Weekly 사주 raw'!$1:$1, 0)), ""), IF(val=0, "", val))</f>
        <v/>
      </c>
      <c r="H24" s="60" t="str">
        <f t="array" ref="H24">LET(val, IFERROR(INDEX('Weekly 사주 raw'!$A:$ZZ, MATCH(H$3, 'Weekly 사주 raw'!$A:$A, 0), MATCH($B24, 'Weekly 사주 raw'!$1:$1, 0)), ""), IF(val=0, "", val))</f>
        <v/>
      </c>
      <c r="I24" s="60" t="str">
        <f t="array" ref="I24">LET(val, IFERROR(INDEX('Weekly 사주 raw'!$A:$ZZ, MATCH(I$3, 'Weekly 사주 raw'!$A:$A, 0), MATCH($B24, 'Weekly 사주 raw'!$1:$1, 0)), ""), IF(val=0, "", val))</f>
        <v/>
      </c>
      <c r="J24" s="60" t="str">
        <f t="array" ref="J24">LET(val, IFERROR(INDEX('Weekly 사주 raw'!$A:$ZZ, MATCH(J$3, 'Weekly 사주 raw'!$A:$A, 0), MATCH($B24, 'Weekly 사주 raw'!$1:$1, 0)), ""), IF(val=0, "", val))</f>
        <v/>
      </c>
      <c r="K24" s="60" t="str">
        <f t="array" ref="K24">LET(val, IFERROR(INDEX('Weekly 사주 raw'!$A:$ZZ, MATCH(K$3, 'Weekly 사주 raw'!$A:$A, 0), MATCH($B24, 'Weekly 사주 raw'!$1:$1, 0)), ""), IF(val=0, "", val))</f>
        <v/>
      </c>
      <c r="L24" s="60" t="str">
        <f t="array" ref="L24">LET(val, IFERROR(INDEX('Weekly 사주 raw'!$A:$ZZ, MATCH(L$3, 'Weekly 사주 raw'!$A:$A, 0), MATCH($B24, 'Weekly 사주 raw'!$1:$1, 0)), ""), IF(val=0, "", val))</f>
        <v/>
      </c>
      <c r="M24" s="60" t="str">
        <f t="array" ref="M24">LET(val, IFERROR(INDEX('Weekly 사주 raw'!$A:$ZZ, MATCH(M$3, 'Weekly 사주 raw'!$A:$A, 0), MATCH($B24, 'Weekly 사주 raw'!$1:$1, 0)), ""), IF(val=0, "", val))</f>
        <v/>
      </c>
      <c r="N24" s="60" t="str">
        <f t="array" ref="N24">LET(val, IFERROR(INDEX('Weekly 사주 raw'!$A:$ZZ, MATCH(N$3, 'Weekly 사주 raw'!$A:$A, 0), MATCH($B24, 'Weekly 사주 raw'!$1:$1, 0)), ""), IF(val=0, "", val))</f>
        <v/>
      </c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</row>
    <row r="25" ht="18.75" customHeight="1">
      <c r="A25" s="17"/>
      <c r="B25" s="16" t="s">
        <v>41</v>
      </c>
      <c r="C25" s="17" t="s">
        <v>42</v>
      </c>
      <c r="D25" s="60">
        <f t="array" ref="D25">LET(val, IFERROR(INDEX('Weekly 사주 raw'!$A:$ZZ, MATCH(D$3, 'Weekly 사주 raw'!$A:$A, 0), MATCH($B25, 'Weekly 사주 raw'!$1:$1, 0)), ""), IF(val=0, "", val))</f>
        <v>3231</v>
      </c>
      <c r="E25" s="60">
        <f t="array" ref="E25">LET(val, IFERROR(INDEX('Weekly 사주 raw'!$A:$ZZ, MATCH(E$3, 'Weekly 사주 raw'!$A:$A, 0), MATCH($B25, 'Weekly 사주 raw'!$1:$1, 0)), ""), IF(val=0, "", val))</f>
        <v>3225</v>
      </c>
      <c r="F25" s="60">
        <f t="array" ref="F25">LET(val, IFERROR(INDEX('Weekly 사주 raw'!$A:$ZZ, MATCH(F$3, 'Weekly 사주 raw'!$A:$A, 0), MATCH($B25, 'Weekly 사주 raw'!$1:$1, 0)), ""), IF(val=0, "", val))</f>
        <v>4771</v>
      </c>
      <c r="G25" s="60">
        <f t="array" ref="G25">LET(val, IFERROR(INDEX('Weekly 사주 raw'!$A:$ZZ, MATCH(G$3, 'Weekly 사주 raw'!$A:$A, 0), MATCH($B25, 'Weekly 사주 raw'!$1:$1, 0)), ""), IF(val=0, "", val))</f>
        <v>4178</v>
      </c>
      <c r="H25" s="60">
        <f t="array" ref="H25">LET(val, IFERROR(INDEX('Weekly 사주 raw'!$A:$ZZ, MATCH(H$3, 'Weekly 사주 raw'!$A:$A, 0), MATCH($B25, 'Weekly 사주 raw'!$1:$1, 0)), ""), IF(val=0, "", val))</f>
        <v>5925</v>
      </c>
      <c r="I25" s="60">
        <f t="array" ref="I25">LET(val, IFERROR(INDEX('Weekly 사주 raw'!$A:$ZZ, MATCH(I$3, 'Weekly 사주 raw'!$A:$A, 0), MATCH($B25, 'Weekly 사주 raw'!$1:$1, 0)), ""), IF(val=0, "", val))</f>
        <v>5642</v>
      </c>
      <c r="J25" s="60">
        <f t="array" ref="J25">LET(val, IFERROR(INDEX('Weekly 사주 raw'!$A:$ZZ, MATCH(J$3, 'Weekly 사주 raw'!$A:$A, 0), MATCH($B25, 'Weekly 사주 raw'!$1:$1, 0)), ""), IF(val=0, "", val))</f>
        <v>3912</v>
      </c>
      <c r="K25" s="60">
        <f t="array" ref="K25">LET(val, IFERROR(INDEX('Weekly 사주 raw'!$A:$ZZ, MATCH(K$3, 'Weekly 사주 raw'!$A:$A, 0), MATCH($B25, 'Weekly 사주 raw'!$1:$1, 0)), ""), IF(val=0, "", val))</f>
        <v>1845</v>
      </c>
      <c r="L25" s="60" t="str">
        <f t="array" ref="L25">LET(val, IFERROR(INDEX('Weekly 사주 raw'!$A:$ZZ, MATCH(L$3, 'Weekly 사주 raw'!$A:$A, 0), MATCH($B25, 'Weekly 사주 raw'!$1:$1, 0)), ""), IF(val=0, "", val))</f>
        <v/>
      </c>
      <c r="M25" s="60" t="str">
        <f t="array" ref="M25">LET(val, IFERROR(INDEX('Weekly 사주 raw'!$A:$ZZ, MATCH(M$3, 'Weekly 사주 raw'!$A:$A, 0), MATCH($B25, 'Weekly 사주 raw'!$1:$1, 0)), ""), IF(val=0, "", val))</f>
        <v/>
      </c>
      <c r="N25" s="60" t="str">
        <f t="array" ref="N25">LET(val, IFERROR(INDEX('Weekly 사주 raw'!$A:$ZZ, MATCH(N$3, 'Weekly 사주 raw'!$A:$A, 0), MATCH($B25, 'Weekly 사주 raw'!$1:$1, 0)), ""), IF(val=0, "", val))</f>
        <v/>
      </c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</row>
    <row r="26" ht="18.75" customHeight="1">
      <c r="A26" s="17"/>
      <c r="B26" s="16" t="s">
        <v>43</v>
      </c>
      <c r="C26" s="17" t="s">
        <v>44</v>
      </c>
      <c r="D26" s="60">
        <f t="array" ref="D26">LET(val, IFERROR(INDEX('Weekly 사주 raw'!$A:$ZZ, MATCH(D$3, 'Weekly 사주 raw'!$A:$A, 0), MATCH($B26, 'Weekly 사주 raw'!$1:$1, 0)), ""), IF(val=0, "", val))</f>
        <v>2017</v>
      </c>
      <c r="E26" s="60">
        <f t="array" ref="E26">LET(val, IFERROR(INDEX('Weekly 사주 raw'!$A:$ZZ, MATCH(E$3, 'Weekly 사주 raw'!$A:$A, 0), MATCH($B26, 'Weekly 사주 raw'!$1:$1, 0)), ""), IF(val=0, "", val))</f>
        <v>1674</v>
      </c>
      <c r="F26" s="60">
        <f t="array" ref="F26">LET(val, IFERROR(INDEX('Weekly 사주 raw'!$A:$ZZ, MATCH(F$3, 'Weekly 사주 raw'!$A:$A, 0), MATCH($B26, 'Weekly 사주 raw'!$1:$1, 0)), ""), IF(val=0, "", val))</f>
        <v>2360</v>
      </c>
      <c r="G26" s="60">
        <f t="array" ref="G26">LET(val, IFERROR(INDEX('Weekly 사주 raw'!$A:$ZZ, MATCH(G$3, 'Weekly 사주 raw'!$A:$A, 0), MATCH($B26, 'Weekly 사주 raw'!$1:$1, 0)), ""), IF(val=0, "", val))</f>
        <v>1921</v>
      </c>
      <c r="H26" s="60">
        <f t="array" ref="H26">LET(val, IFERROR(INDEX('Weekly 사주 raw'!$A:$ZZ, MATCH(H$3, 'Weekly 사주 raw'!$A:$A, 0), MATCH($B26, 'Weekly 사주 raw'!$1:$1, 0)), ""), IF(val=0, "", val))</f>
        <v>2018</v>
      </c>
      <c r="I26" s="60">
        <f t="array" ref="I26">LET(val, IFERROR(INDEX('Weekly 사주 raw'!$A:$ZZ, MATCH(I$3, 'Weekly 사주 raw'!$A:$A, 0), MATCH($B26, 'Weekly 사주 raw'!$1:$1, 0)), ""), IF(val=0, "", val))</f>
        <v>1581</v>
      </c>
      <c r="J26" s="60">
        <f t="array" ref="J26">LET(val, IFERROR(INDEX('Weekly 사주 raw'!$A:$ZZ, MATCH(J$3, 'Weekly 사주 raw'!$A:$A, 0), MATCH($B26, 'Weekly 사주 raw'!$1:$1, 0)), ""), IF(val=0, "", val))</f>
        <v>1249</v>
      </c>
      <c r="K26" s="60">
        <f t="array" ref="K26">LET(val, IFERROR(INDEX('Weekly 사주 raw'!$A:$ZZ, MATCH(K$3, 'Weekly 사주 raw'!$A:$A, 0), MATCH($B26, 'Weekly 사주 raw'!$1:$1, 0)), ""), IF(val=0, "", val))</f>
        <v>870</v>
      </c>
      <c r="L26" s="60" t="str">
        <f t="array" ref="L26">LET(val, IFERROR(INDEX('Weekly 사주 raw'!$A:$ZZ, MATCH(L$3, 'Weekly 사주 raw'!$A:$A, 0), MATCH($B26, 'Weekly 사주 raw'!$1:$1, 0)), ""), IF(val=0, "", val))</f>
        <v/>
      </c>
      <c r="M26" s="60" t="str">
        <f t="array" ref="M26">LET(val, IFERROR(INDEX('Weekly 사주 raw'!$A:$ZZ, MATCH(M$3, 'Weekly 사주 raw'!$A:$A, 0), MATCH($B26, 'Weekly 사주 raw'!$1:$1, 0)), ""), IF(val=0, "", val))</f>
        <v/>
      </c>
      <c r="N26" s="60" t="str">
        <f t="array" ref="N26">LET(val, IFERROR(INDEX('Weekly 사주 raw'!$A:$ZZ, MATCH(N$3, 'Weekly 사주 raw'!$A:$A, 0), MATCH($B26, 'Weekly 사주 raw'!$1:$1, 0)), ""), IF(val=0, "", val))</f>
        <v/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</row>
    <row r="27" ht="18.75" customHeight="1">
      <c r="A27" s="17"/>
      <c r="B27" s="16" t="s">
        <v>45</v>
      </c>
      <c r="C27" s="17" t="s">
        <v>22</v>
      </c>
      <c r="D27" s="60">
        <f t="array" ref="D27">LET(val, IFERROR(INDEX('Weekly 사주 raw'!$A:$ZZ, MATCH(D$3, 'Weekly 사주 raw'!$A:$A, 0), MATCH($B27, 'Weekly 사주 raw'!$1:$1, 0)), ""), IF(val=0, "", val))</f>
        <v>414</v>
      </c>
      <c r="E27" s="60">
        <f t="array" ref="E27">LET(val, IFERROR(INDEX('Weekly 사주 raw'!$A:$ZZ, MATCH(E$3, 'Weekly 사주 raw'!$A:$A, 0), MATCH($B27, 'Weekly 사주 raw'!$1:$1, 0)), ""), IF(val=0, "", val))</f>
        <v>357</v>
      </c>
      <c r="F27" s="60">
        <f t="array" ref="F27">LET(val, IFERROR(INDEX('Weekly 사주 raw'!$A:$ZZ, MATCH(F$3, 'Weekly 사주 raw'!$A:$A, 0), MATCH($B27, 'Weekly 사주 raw'!$1:$1, 0)), ""), IF(val=0, "", val))</f>
        <v>304</v>
      </c>
      <c r="G27" s="60">
        <f t="array" ref="G27">LET(val, IFERROR(INDEX('Weekly 사주 raw'!$A:$ZZ, MATCH(G$3, 'Weekly 사주 raw'!$A:$A, 0), MATCH($B27, 'Weekly 사주 raw'!$1:$1, 0)), ""), IF(val=0, "", val))</f>
        <v>289</v>
      </c>
      <c r="H27" s="60">
        <f t="array" ref="H27">LET(val, IFERROR(INDEX('Weekly 사주 raw'!$A:$ZZ, MATCH(H$3, 'Weekly 사주 raw'!$A:$A, 0), MATCH($B27, 'Weekly 사주 raw'!$1:$1, 0)), ""), IF(val=0, "", val))</f>
        <v>499</v>
      </c>
      <c r="I27" s="60">
        <f t="array" ref="I27">LET(val, IFERROR(INDEX('Weekly 사주 raw'!$A:$ZZ, MATCH(I$3, 'Weekly 사주 raw'!$A:$A, 0), MATCH($B27, 'Weekly 사주 raw'!$1:$1, 0)), ""), IF(val=0, "", val))</f>
        <v>332</v>
      </c>
      <c r="J27" s="60">
        <f t="array" ref="J27">LET(val, IFERROR(INDEX('Weekly 사주 raw'!$A:$ZZ, MATCH(J$3, 'Weekly 사주 raw'!$A:$A, 0), MATCH($B27, 'Weekly 사주 raw'!$1:$1, 0)), ""), IF(val=0, "", val))</f>
        <v>207</v>
      </c>
      <c r="K27" s="60">
        <f t="array" ref="K27">LET(val, IFERROR(INDEX('Weekly 사주 raw'!$A:$ZZ, MATCH(K$3, 'Weekly 사주 raw'!$A:$A, 0), MATCH($B27, 'Weekly 사주 raw'!$1:$1, 0)), ""), IF(val=0, "", val))</f>
        <v>150</v>
      </c>
      <c r="L27" s="60" t="str">
        <f t="array" ref="L27">LET(val, IFERROR(INDEX('Weekly 사주 raw'!$A:$ZZ, MATCH(L$3, 'Weekly 사주 raw'!$A:$A, 0), MATCH($B27, 'Weekly 사주 raw'!$1:$1, 0)), ""), IF(val=0, "", val))</f>
        <v/>
      </c>
      <c r="M27" s="60" t="str">
        <f t="array" ref="M27">LET(val, IFERROR(INDEX('Weekly 사주 raw'!$A:$ZZ, MATCH(M$3, 'Weekly 사주 raw'!$A:$A, 0), MATCH($B27, 'Weekly 사주 raw'!$1:$1, 0)), ""), IF(val=0, "", val))</f>
        <v/>
      </c>
      <c r="N27" s="60" t="str">
        <f t="array" ref="N27">LET(val, IFERROR(INDEX('Weekly 사주 raw'!$A:$ZZ, MATCH(N$3, 'Weekly 사주 raw'!$A:$A, 0), MATCH($B27, 'Weekly 사주 raw'!$1:$1, 0)), ""), IF(val=0, "", val))</f>
        <v/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</row>
    <row r="28" ht="18.75" customHeight="1">
      <c r="A28" s="17"/>
      <c r="B28" s="16" t="s">
        <v>46</v>
      </c>
      <c r="C28" s="17" t="s">
        <v>47</v>
      </c>
      <c r="D28" s="60">
        <f t="array" ref="D28">LET(val, IFERROR(INDEX('Weekly 사주 raw'!$A:$ZZ, MATCH(D$3, 'Weekly 사주 raw'!$A:$A, 0), MATCH($B28, 'Weekly 사주 raw'!$1:$1, 0)), ""), IF(val=0, "", val))</f>
        <v>405</v>
      </c>
      <c r="E28" s="60">
        <f t="array" ref="E28">LET(val, IFERROR(INDEX('Weekly 사주 raw'!$A:$ZZ, MATCH(E$3, 'Weekly 사주 raw'!$A:$A, 0), MATCH($B28, 'Weekly 사주 raw'!$1:$1, 0)), ""), IF(val=0, "", val))</f>
        <v>416</v>
      </c>
      <c r="F28" s="60">
        <f t="array" ref="F28">LET(val, IFERROR(INDEX('Weekly 사주 raw'!$A:$ZZ, MATCH(F$3, 'Weekly 사주 raw'!$A:$A, 0), MATCH($B28, 'Weekly 사주 raw'!$1:$1, 0)), ""), IF(val=0, "", val))</f>
        <v>912</v>
      </c>
      <c r="G28" s="60">
        <f t="array" ref="G28">LET(val, IFERROR(INDEX('Weekly 사주 raw'!$A:$ZZ, MATCH(G$3, 'Weekly 사주 raw'!$A:$A, 0), MATCH($B28, 'Weekly 사주 raw'!$1:$1, 0)), ""), IF(val=0, "", val))</f>
        <v>978</v>
      </c>
      <c r="H28" s="60">
        <f t="array" ref="H28">LET(val, IFERROR(INDEX('Weekly 사주 raw'!$A:$ZZ, MATCH(H$3, 'Weekly 사주 raw'!$A:$A, 0), MATCH($B28, 'Weekly 사주 raw'!$1:$1, 0)), ""), IF(val=0, "", val))</f>
        <v>1307</v>
      </c>
      <c r="I28" s="60">
        <f t="array" ref="I28">LET(val, IFERROR(INDEX('Weekly 사주 raw'!$A:$ZZ, MATCH(I$3, 'Weekly 사주 raw'!$A:$A, 0), MATCH($B28, 'Weekly 사주 raw'!$1:$1, 0)), ""), IF(val=0, "", val))</f>
        <v>1174</v>
      </c>
      <c r="J28" s="60">
        <f t="array" ref="J28">LET(val, IFERROR(INDEX('Weekly 사주 raw'!$A:$ZZ, MATCH(J$3, 'Weekly 사주 raw'!$A:$A, 0), MATCH($B28, 'Weekly 사주 raw'!$1:$1, 0)), ""), IF(val=0, "", val))</f>
        <v>756</v>
      </c>
      <c r="K28" s="60">
        <f t="array" ref="K28">LET(val, IFERROR(INDEX('Weekly 사주 raw'!$A:$ZZ, MATCH(K$3, 'Weekly 사주 raw'!$A:$A, 0), MATCH($B28, 'Weekly 사주 raw'!$1:$1, 0)), ""), IF(val=0, "", val))</f>
        <v>385</v>
      </c>
      <c r="L28" s="60" t="str">
        <f t="array" ref="L28">LET(val, IFERROR(INDEX('Weekly 사주 raw'!$A:$ZZ, MATCH(L$3, 'Weekly 사주 raw'!$A:$A, 0), MATCH($B28, 'Weekly 사주 raw'!$1:$1, 0)), ""), IF(val=0, "", val))</f>
        <v/>
      </c>
      <c r="M28" s="60" t="str">
        <f t="array" ref="M28">LET(val, IFERROR(INDEX('Weekly 사주 raw'!$A:$ZZ, MATCH(M$3, 'Weekly 사주 raw'!$A:$A, 0), MATCH($B28, 'Weekly 사주 raw'!$1:$1, 0)), ""), IF(val=0, "", val))</f>
        <v/>
      </c>
      <c r="N28" s="60" t="str">
        <f t="array" ref="N28">LET(val, IFERROR(INDEX('Weekly 사주 raw'!$A:$ZZ, MATCH(N$3, 'Weekly 사주 raw'!$A:$A, 0), MATCH($B28, 'Weekly 사주 raw'!$1:$1, 0)), ""), IF(val=0, "", val))</f>
        <v/>
      </c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</row>
    <row r="29" ht="18.75" customHeight="1">
      <c r="A29" s="17"/>
      <c r="B29" s="16" t="s">
        <v>48</v>
      </c>
      <c r="C29" s="17" t="s">
        <v>20</v>
      </c>
      <c r="D29" s="60">
        <f t="array" ref="D29">LET(val, IFERROR(INDEX('Weekly 사주 raw'!$A:$ZZ, MATCH(D$3, 'Weekly 사주 raw'!$A:$A, 0), MATCH($B29, 'Weekly 사주 raw'!$1:$1, 0)), ""), IF(val=0, "", val))</f>
        <v>13</v>
      </c>
      <c r="E29" s="60">
        <f t="array" ref="E29">LET(val, IFERROR(INDEX('Weekly 사주 raw'!$A:$ZZ, MATCH(E$3, 'Weekly 사주 raw'!$A:$A, 0), MATCH($B29, 'Weekly 사주 raw'!$1:$1, 0)), ""), IF(val=0, "", val))</f>
        <v>30</v>
      </c>
      <c r="F29" s="60">
        <f t="array" ref="F29">LET(val, IFERROR(INDEX('Weekly 사주 raw'!$A:$ZZ, MATCH(F$3, 'Weekly 사주 raw'!$A:$A, 0), MATCH($B29, 'Weekly 사주 raw'!$1:$1, 0)), ""), IF(val=0, "", val))</f>
        <v>59</v>
      </c>
      <c r="G29" s="60">
        <f t="array" ref="G29">LET(val, IFERROR(INDEX('Weekly 사주 raw'!$A:$ZZ, MATCH(G$3, 'Weekly 사주 raw'!$A:$A, 0), MATCH($B29, 'Weekly 사주 raw'!$1:$1, 0)), ""), IF(val=0, "", val))</f>
        <v>59</v>
      </c>
      <c r="H29" s="60">
        <f t="array" ref="H29">LET(val, IFERROR(INDEX('Weekly 사주 raw'!$A:$ZZ, MATCH(H$3, 'Weekly 사주 raw'!$A:$A, 0), MATCH($B29, 'Weekly 사주 raw'!$1:$1, 0)), ""), IF(val=0, "", val))</f>
        <v>109</v>
      </c>
      <c r="I29" s="60">
        <f t="array" ref="I29">LET(val, IFERROR(INDEX('Weekly 사주 raw'!$A:$ZZ, MATCH(I$3, 'Weekly 사주 raw'!$A:$A, 0), MATCH($B29, 'Weekly 사주 raw'!$1:$1, 0)), ""), IF(val=0, "", val))</f>
        <v>79</v>
      </c>
      <c r="J29" s="60">
        <f t="array" ref="J29">LET(val, IFERROR(INDEX('Weekly 사주 raw'!$A:$ZZ, MATCH(J$3, 'Weekly 사주 raw'!$A:$A, 0), MATCH($B29, 'Weekly 사주 raw'!$1:$1, 0)), ""), IF(val=0, "", val))</f>
        <v>33</v>
      </c>
      <c r="K29" s="60">
        <f t="array" ref="K29">LET(val, IFERROR(INDEX('Weekly 사주 raw'!$A:$ZZ, MATCH(K$3, 'Weekly 사주 raw'!$A:$A, 0), MATCH($B29, 'Weekly 사주 raw'!$1:$1, 0)), ""), IF(val=0, "", val))</f>
        <v>16</v>
      </c>
      <c r="L29" s="60" t="str">
        <f t="array" ref="L29">LET(val, IFERROR(INDEX('Weekly 사주 raw'!$A:$ZZ, MATCH(L$3, 'Weekly 사주 raw'!$A:$A, 0), MATCH($B29, 'Weekly 사주 raw'!$1:$1, 0)), ""), IF(val=0, "", val))</f>
        <v/>
      </c>
      <c r="M29" s="60" t="str">
        <f t="array" ref="M29">LET(val, IFERROR(INDEX('Weekly 사주 raw'!$A:$ZZ, MATCH(M$3, 'Weekly 사주 raw'!$A:$A, 0), MATCH($B29, 'Weekly 사주 raw'!$1:$1, 0)), ""), IF(val=0, "", val))</f>
        <v/>
      </c>
      <c r="N29" s="60" t="str">
        <f t="array" ref="N29">LET(val, IFERROR(INDEX('Weekly 사주 raw'!$A:$ZZ, MATCH(N$3, 'Weekly 사주 raw'!$A:$A, 0), MATCH($B29, 'Weekly 사주 raw'!$1:$1, 0)), ""), IF(val=0, "", val))</f>
        <v/>
      </c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</row>
    <row r="30">
      <c r="A30" s="30"/>
      <c r="B30" s="16"/>
      <c r="C30" s="30" t="s">
        <v>49</v>
      </c>
      <c r="D30" s="60" t="str">
        <f t="array" ref="D30">LET(val, IFERROR(INDEX('Weekly 사주 raw'!$A:$ZZ, MATCH(D$3, 'Weekly 사주 raw'!$A:$A, 0), MATCH($B30, 'Weekly 사주 raw'!$1:$1, 0)), ""), IF(val=0, "", val))</f>
        <v/>
      </c>
      <c r="E30" s="60" t="str">
        <f t="array" ref="E30">LET(val, IFERROR(INDEX('Weekly 사주 raw'!$A:$ZZ, MATCH(E$3, 'Weekly 사주 raw'!$A:$A, 0), MATCH($B30, 'Weekly 사주 raw'!$1:$1, 0)), ""), IF(val=0, "", val))</f>
        <v/>
      </c>
      <c r="F30" s="60" t="str">
        <f t="array" ref="F30">LET(val, IFERROR(INDEX('Weekly 사주 raw'!$A:$ZZ, MATCH(F$3, 'Weekly 사주 raw'!$A:$A, 0), MATCH($B30, 'Weekly 사주 raw'!$1:$1, 0)), ""), IF(val=0, "", val))</f>
        <v/>
      </c>
      <c r="G30" s="60" t="str">
        <f t="array" ref="G30">LET(val, IFERROR(INDEX('Weekly 사주 raw'!$A:$ZZ, MATCH(G$3, 'Weekly 사주 raw'!$A:$A, 0), MATCH($B30, 'Weekly 사주 raw'!$1:$1, 0)), ""), IF(val=0, "", val))</f>
        <v/>
      </c>
      <c r="H30" s="60" t="str">
        <f t="array" ref="H30">LET(val, IFERROR(INDEX('Weekly 사주 raw'!$A:$ZZ, MATCH(H$3, 'Weekly 사주 raw'!$A:$A, 0), MATCH($B30, 'Weekly 사주 raw'!$1:$1, 0)), ""), IF(val=0, "", val))</f>
        <v/>
      </c>
      <c r="I30" s="60" t="str">
        <f t="array" ref="I30">LET(val, IFERROR(INDEX('Weekly 사주 raw'!$A:$ZZ, MATCH(I$3, 'Weekly 사주 raw'!$A:$A, 0), MATCH($B30, 'Weekly 사주 raw'!$1:$1, 0)), ""), IF(val=0, "", val))</f>
        <v/>
      </c>
      <c r="J30" s="60" t="str">
        <f t="array" ref="J30">LET(val, IFERROR(INDEX('Weekly 사주 raw'!$A:$ZZ, MATCH(J$3, 'Weekly 사주 raw'!$A:$A, 0), MATCH($B30, 'Weekly 사주 raw'!$1:$1, 0)), ""), IF(val=0, "", val))</f>
        <v/>
      </c>
      <c r="K30" s="60" t="str">
        <f t="array" ref="K30">LET(val, IFERROR(INDEX('Weekly 사주 raw'!$A:$ZZ, MATCH(K$3, 'Weekly 사주 raw'!$A:$A, 0), MATCH($B30, 'Weekly 사주 raw'!$1:$1, 0)), ""), IF(val=0, "", val))</f>
        <v/>
      </c>
      <c r="L30" s="60" t="str">
        <f t="array" ref="L30">LET(val, IFERROR(INDEX('Weekly 사주 raw'!$A:$ZZ, MATCH(L$3, 'Weekly 사주 raw'!$A:$A, 0), MATCH($B30, 'Weekly 사주 raw'!$1:$1, 0)), ""), IF(val=0, "", val))</f>
        <v/>
      </c>
      <c r="M30" s="60" t="str">
        <f t="array" ref="M30">LET(val, IFERROR(INDEX('Weekly 사주 raw'!$A:$ZZ, MATCH(M$3, 'Weekly 사주 raw'!$A:$A, 0), MATCH($B30, 'Weekly 사주 raw'!$1:$1, 0)), ""), IF(val=0, "", val))</f>
        <v/>
      </c>
      <c r="N30" s="60" t="str">
        <f t="array" ref="N30">LET(val, IFERROR(INDEX('Weekly 사주 raw'!$A:$ZZ, MATCH(N$3, 'Weekly 사주 raw'!$A:$A, 0), MATCH($B30, 'Weekly 사주 raw'!$1:$1, 0)), ""), IF(val=0, "", val))</f>
        <v/>
      </c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</row>
    <row r="31">
      <c r="A31" s="30"/>
      <c r="B31" s="16" t="s">
        <v>50</v>
      </c>
      <c r="C31" s="17" t="s">
        <v>42</v>
      </c>
      <c r="D31" s="60">
        <f t="array" ref="D31">LET(val, IFERROR(INDEX('Weekly 사주 raw'!$A:$ZZ, MATCH(D$3, 'Weekly 사주 raw'!$A:$A, 0), MATCH($B31, 'Weekly 사주 raw'!$1:$1, 0)), ""), IF(val=0, "", val))</f>
        <v>28794</v>
      </c>
      <c r="E31" s="60">
        <f t="array" ref="E31">LET(val, IFERROR(INDEX('Weekly 사주 raw'!$A:$ZZ, MATCH(E$3, 'Weekly 사주 raw'!$A:$A, 0), MATCH($B31, 'Weekly 사주 raw'!$1:$1, 0)), ""), IF(val=0, "", val))</f>
        <v>21464</v>
      </c>
      <c r="F31" s="60">
        <f t="array" ref="F31">LET(val, IFERROR(INDEX('Weekly 사주 raw'!$A:$ZZ, MATCH(F$3, 'Weekly 사주 raw'!$A:$A, 0), MATCH($B31, 'Weekly 사주 raw'!$1:$1, 0)), ""), IF(val=0, "", val))</f>
        <v>23318</v>
      </c>
      <c r="G31" s="60">
        <f t="array" ref="G31">LET(val, IFERROR(INDEX('Weekly 사주 raw'!$A:$ZZ, MATCH(G$3, 'Weekly 사주 raw'!$A:$A, 0), MATCH($B31, 'Weekly 사주 raw'!$1:$1, 0)), ""), IF(val=0, "", val))</f>
        <v>34260</v>
      </c>
      <c r="H31" s="60">
        <f t="array" ref="H31">LET(val, IFERROR(INDEX('Weekly 사주 raw'!$A:$ZZ, MATCH(H$3, 'Weekly 사주 raw'!$A:$A, 0), MATCH($B31, 'Weekly 사주 raw'!$1:$1, 0)), ""), IF(val=0, "", val))</f>
        <v>18112</v>
      </c>
      <c r="I31" s="60">
        <f t="array" ref="I31">LET(val, IFERROR(INDEX('Weekly 사주 raw'!$A:$ZZ, MATCH(I$3, 'Weekly 사주 raw'!$A:$A, 0), MATCH($B31, 'Weekly 사주 raw'!$1:$1, 0)), ""), IF(val=0, "", val))</f>
        <v>18083</v>
      </c>
      <c r="J31" s="60">
        <f t="array" ref="J31">LET(val, IFERROR(INDEX('Weekly 사주 raw'!$A:$ZZ, MATCH(J$3, 'Weekly 사주 raw'!$A:$A, 0), MATCH($B31, 'Weekly 사주 raw'!$1:$1, 0)), ""), IF(val=0, "", val))</f>
        <v>27238</v>
      </c>
      <c r="K31" s="60">
        <f t="array" ref="K31">LET(val, IFERROR(INDEX('Weekly 사주 raw'!$A:$ZZ, MATCH(K$3, 'Weekly 사주 raw'!$A:$A, 0), MATCH($B31, 'Weekly 사주 raw'!$1:$1, 0)), ""), IF(val=0, "", val))</f>
        <v>29733</v>
      </c>
      <c r="L31" s="60" t="str">
        <f t="array" ref="L31">LET(val, IFERROR(INDEX('Weekly 사주 raw'!$A:$ZZ, MATCH(L$3, 'Weekly 사주 raw'!$A:$A, 0), MATCH($B31, 'Weekly 사주 raw'!$1:$1, 0)), ""), IF(val=0, "", val))</f>
        <v/>
      </c>
      <c r="M31" s="60" t="str">
        <f t="array" ref="M31">LET(val, IFERROR(INDEX('Weekly 사주 raw'!$A:$ZZ, MATCH(M$3, 'Weekly 사주 raw'!$A:$A, 0), MATCH($B31, 'Weekly 사주 raw'!$1:$1, 0)), ""), IF(val=0, "", val))</f>
        <v/>
      </c>
      <c r="N31" s="60" t="str">
        <f t="array" ref="N31">LET(val, IFERROR(INDEX('Weekly 사주 raw'!$A:$ZZ, MATCH(N$3, 'Weekly 사주 raw'!$A:$A, 0), MATCH($B31, 'Weekly 사주 raw'!$1:$1, 0)), ""), IF(val=0, "", val))</f>
        <v/>
      </c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</row>
    <row r="32">
      <c r="A32" s="30"/>
      <c r="B32" s="16" t="s">
        <v>51</v>
      </c>
      <c r="C32" s="17" t="s">
        <v>44</v>
      </c>
      <c r="D32" s="60">
        <f t="array" ref="D32">LET(val, IFERROR(INDEX('Weekly 사주 raw'!$A:$ZZ, MATCH(D$3, 'Weekly 사주 raw'!$A:$A, 0), MATCH($B32, 'Weekly 사주 raw'!$1:$1, 0)), ""), IF(val=0, "", val))</f>
        <v>23161</v>
      </c>
      <c r="E32" s="60">
        <f t="array" ref="E32">LET(val, IFERROR(INDEX('Weekly 사주 raw'!$A:$ZZ, MATCH(E$3, 'Weekly 사주 raw'!$A:$A, 0), MATCH($B32, 'Weekly 사주 raw'!$1:$1, 0)), ""), IF(val=0, "", val))</f>
        <v>15620</v>
      </c>
      <c r="F32" s="60">
        <f t="array" ref="F32">LET(val, IFERROR(INDEX('Weekly 사주 raw'!$A:$ZZ, MATCH(F$3, 'Weekly 사주 raw'!$A:$A, 0), MATCH($B32, 'Weekly 사주 raw'!$1:$1, 0)), ""), IF(val=0, "", val))</f>
        <v>16463</v>
      </c>
      <c r="G32" s="60">
        <f t="array" ref="G32">LET(val, IFERROR(INDEX('Weekly 사주 raw'!$A:$ZZ, MATCH(G$3, 'Weekly 사주 raw'!$A:$A, 0), MATCH($B32, 'Weekly 사주 raw'!$1:$1, 0)), ""), IF(val=0, "", val))</f>
        <v>17194</v>
      </c>
      <c r="H32" s="60">
        <f t="array" ref="H32">LET(val, IFERROR(INDEX('Weekly 사주 raw'!$A:$ZZ, MATCH(H$3, 'Weekly 사주 raw'!$A:$A, 0), MATCH($B32, 'Weekly 사주 raw'!$1:$1, 0)), ""), IF(val=0, "", val))</f>
        <v>10089</v>
      </c>
      <c r="I32" s="60">
        <f t="array" ref="I32">LET(val, IFERROR(INDEX('Weekly 사주 raw'!$A:$ZZ, MATCH(I$3, 'Weekly 사주 raw'!$A:$A, 0), MATCH($B32, 'Weekly 사주 raw'!$1:$1, 0)), ""), IF(val=0, "", val))</f>
        <v>8138</v>
      </c>
      <c r="J32" s="60">
        <f t="array" ref="J32">LET(val, IFERROR(INDEX('Weekly 사주 raw'!$A:$ZZ, MATCH(J$3, 'Weekly 사주 raw'!$A:$A, 0), MATCH($B32, 'Weekly 사주 raw'!$1:$1, 0)), ""), IF(val=0, "", val))</f>
        <v>12905</v>
      </c>
      <c r="K32" s="60">
        <f t="array" ref="K32">LET(val, IFERROR(INDEX('Weekly 사주 raw'!$A:$ZZ, MATCH(K$3, 'Weekly 사주 raw'!$A:$A, 0), MATCH($B32, 'Weekly 사주 raw'!$1:$1, 0)), ""), IF(val=0, "", val))</f>
        <v>15165</v>
      </c>
      <c r="L32" s="60" t="str">
        <f t="array" ref="L32">LET(val, IFERROR(INDEX('Weekly 사주 raw'!$A:$ZZ, MATCH(L$3, 'Weekly 사주 raw'!$A:$A, 0), MATCH($B32, 'Weekly 사주 raw'!$1:$1, 0)), ""), IF(val=0, "", val))</f>
        <v/>
      </c>
      <c r="M32" s="60" t="str">
        <f t="array" ref="M32">LET(val, IFERROR(INDEX('Weekly 사주 raw'!$A:$ZZ, MATCH(M$3, 'Weekly 사주 raw'!$A:$A, 0), MATCH($B32, 'Weekly 사주 raw'!$1:$1, 0)), ""), IF(val=0, "", val))</f>
        <v/>
      </c>
      <c r="N32" s="60" t="str">
        <f t="array" ref="N32">LET(val, IFERROR(INDEX('Weekly 사주 raw'!$A:$ZZ, MATCH(N$3, 'Weekly 사주 raw'!$A:$A, 0), MATCH($B32, 'Weekly 사주 raw'!$1:$1, 0)), ""), IF(val=0, "", val))</f>
        <v/>
      </c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</row>
    <row r="33">
      <c r="A33" s="30"/>
      <c r="B33" s="16" t="s">
        <v>52</v>
      </c>
      <c r="C33" s="17" t="s">
        <v>22</v>
      </c>
      <c r="D33" s="60">
        <f t="array" ref="D33">LET(val, IFERROR(INDEX('Weekly 사주 raw'!$A:$ZZ, MATCH(D$3, 'Weekly 사주 raw'!$A:$A, 0), MATCH($B33, 'Weekly 사주 raw'!$1:$1, 0)), ""), IF(val=0, "", val))</f>
        <v>3766</v>
      </c>
      <c r="E33" s="60">
        <f t="array" ref="E33">LET(val, IFERROR(INDEX('Weekly 사주 raw'!$A:$ZZ, MATCH(E$3, 'Weekly 사주 raw'!$A:$A, 0), MATCH($B33, 'Weekly 사주 raw'!$1:$1, 0)), ""), IF(val=0, "", val))</f>
        <v>2682</v>
      </c>
      <c r="F33" s="60">
        <f t="array" ref="F33">LET(val, IFERROR(INDEX('Weekly 사주 raw'!$A:$ZZ, MATCH(F$3, 'Weekly 사주 raw'!$A:$A, 0), MATCH($B33, 'Weekly 사주 raw'!$1:$1, 0)), ""), IF(val=0, "", val))</f>
        <v>1707</v>
      </c>
      <c r="G33" s="60">
        <f t="array" ref="G33">LET(val, IFERROR(INDEX('Weekly 사주 raw'!$A:$ZZ, MATCH(G$3, 'Weekly 사주 raw'!$A:$A, 0), MATCH($B33, 'Weekly 사주 raw'!$1:$1, 0)), ""), IF(val=0, "", val))</f>
        <v>2096</v>
      </c>
      <c r="H33" s="60">
        <f t="array" ref="H33">LET(val, IFERROR(INDEX('Weekly 사주 raw'!$A:$ZZ, MATCH(H$3, 'Weekly 사주 raw'!$A:$A, 0), MATCH($B33, 'Weekly 사주 raw'!$1:$1, 0)), ""), IF(val=0, "", val))</f>
        <v>1861</v>
      </c>
      <c r="I33" s="60">
        <f t="array" ref="I33">LET(val, IFERROR(INDEX('Weekly 사주 raw'!$A:$ZZ, MATCH(I$3, 'Weekly 사주 raw'!$A:$A, 0), MATCH($B33, 'Weekly 사주 raw'!$1:$1, 0)), ""), IF(val=0, "", val))</f>
        <v>1379</v>
      </c>
      <c r="J33" s="60">
        <f t="array" ref="J33">LET(val, IFERROR(INDEX('Weekly 사주 raw'!$A:$ZZ, MATCH(J$3, 'Weekly 사주 raw'!$A:$A, 0), MATCH($B33, 'Weekly 사주 raw'!$1:$1, 0)), ""), IF(val=0, "", val))</f>
        <v>1131</v>
      </c>
      <c r="K33" s="60">
        <f t="array" ref="K33">LET(val, IFERROR(INDEX('Weekly 사주 raw'!$A:$ZZ, MATCH(K$3, 'Weekly 사주 raw'!$A:$A, 0), MATCH($B33, 'Weekly 사주 raw'!$1:$1, 0)), ""), IF(val=0, "", val))</f>
        <v>1133</v>
      </c>
      <c r="L33" s="60">
        <f t="array" ref="L33">LET(val, IFERROR(INDEX('Weekly 사주 raw'!$A:$ZZ, MATCH(L$3, 'Weekly 사주 raw'!$A:$A, 0), MATCH($B33, 'Weekly 사주 raw'!$1:$1, 0)), ""), IF(val=0, "", val))</f>
        <v>120</v>
      </c>
      <c r="M33" s="60" t="str">
        <f t="array" ref="M33">LET(val, IFERROR(INDEX('Weekly 사주 raw'!$A:$ZZ, MATCH(M$3, 'Weekly 사주 raw'!$A:$A, 0), MATCH($B33, 'Weekly 사주 raw'!$1:$1, 0)), ""), IF(val=0, "", val))</f>
        <v/>
      </c>
      <c r="N33" s="60" t="str">
        <f t="array" ref="N33">LET(val, IFERROR(INDEX('Weekly 사주 raw'!$A:$ZZ, MATCH(N$3, 'Weekly 사주 raw'!$A:$A, 0), MATCH($B33, 'Weekly 사주 raw'!$1:$1, 0)), ""), IF(val=0, "", val))</f>
        <v/>
      </c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</row>
    <row r="34">
      <c r="A34" s="30"/>
      <c r="B34" s="16" t="s">
        <v>53</v>
      </c>
      <c r="C34" s="17" t="s">
        <v>47</v>
      </c>
      <c r="D34" s="60">
        <f t="array" ref="D34">LET(val, IFERROR(INDEX('Weekly 사주 raw'!$A:$ZZ, MATCH(D$3, 'Weekly 사주 raw'!$A:$A, 0), MATCH($B34, 'Weekly 사주 raw'!$1:$1, 0)), ""), IF(val=0, "", val))</f>
        <v>3470</v>
      </c>
      <c r="E34" s="60">
        <f t="array" ref="E34">LET(val, IFERROR(INDEX('Weekly 사주 raw'!$A:$ZZ, MATCH(E$3, 'Weekly 사주 raw'!$A:$A, 0), MATCH($B34, 'Weekly 사주 raw'!$1:$1, 0)), ""), IF(val=0, "", val))</f>
        <v>2842</v>
      </c>
      <c r="F34" s="60">
        <f t="array" ref="F34">LET(val, IFERROR(INDEX('Weekly 사주 raw'!$A:$ZZ, MATCH(F$3, 'Weekly 사주 raw'!$A:$A, 0), MATCH($B34, 'Weekly 사주 raw'!$1:$1, 0)), ""), IF(val=0, "", val))</f>
        <v>4145</v>
      </c>
      <c r="G34" s="60">
        <f t="array" ref="G34">LET(val, IFERROR(INDEX('Weekly 사주 raw'!$A:$ZZ, MATCH(G$3, 'Weekly 사주 raw'!$A:$A, 0), MATCH($B34, 'Weekly 사주 raw'!$1:$1, 0)), ""), IF(val=0, "", val))</f>
        <v>5669</v>
      </c>
      <c r="H34" s="60">
        <f t="array" ref="H34">LET(val, IFERROR(INDEX('Weekly 사주 raw'!$A:$ZZ, MATCH(H$3, 'Weekly 사주 raw'!$A:$A, 0), MATCH($B34, 'Weekly 사주 raw'!$1:$1, 0)), ""), IF(val=0, "", val))</f>
        <v>3886</v>
      </c>
      <c r="I34" s="60">
        <f t="array" ref="I34">LET(val, IFERROR(INDEX('Weekly 사주 raw'!$A:$ZZ, MATCH(I$3, 'Weekly 사주 raw'!$A:$A, 0), MATCH($B34, 'Weekly 사주 raw'!$1:$1, 0)), ""), IF(val=0, "", val))</f>
        <v>3463</v>
      </c>
      <c r="J34" s="60">
        <f t="array" ref="J34">LET(val, IFERROR(INDEX('Weekly 사주 raw'!$A:$ZZ, MATCH(J$3, 'Weekly 사주 raw'!$A:$A, 0), MATCH($B34, 'Weekly 사주 raw'!$1:$1, 0)), ""), IF(val=0, "", val))</f>
        <v>3036</v>
      </c>
      <c r="K34" s="60">
        <f t="array" ref="K34">LET(val, IFERROR(INDEX('Weekly 사주 raw'!$A:$ZZ, MATCH(K$3, 'Weekly 사주 raw'!$A:$A, 0), MATCH($B34, 'Weekly 사주 raw'!$1:$1, 0)), ""), IF(val=0, "", val))</f>
        <v>3433</v>
      </c>
      <c r="L34" s="60" t="str">
        <f t="array" ref="L34">LET(val, IFERROR(INDEX('Weekly 사주 raw'!$A:$ZZ, MATCH(L$3, 'Weekly 사주 raw'!$A:$A, 0), MATCH($B34, 'Weekly 사주 raw'!$1:$1, 0)), ""), IF(val=0, "", val))</f>
        <v/>
      </c>
      <c r="M34" s="60" t="str">
        <f t="array" ref="M34">LET(val, IFERROR(INDEX('Weekly 사주 raw'!$A:$ZZ, MATCH(M$3, 'Weekly 사주 raw'!$A:$A, 0), MATCH($B34, 'Weekly 사주 raw'!$1:$1, 0)), ""), IF(val=0, "", val))</f>
        <v/>
      </c>
      <c r="N34" s="60" t="str">
        <f t="array" ref="N34">LET(val, IFERROR(INDEX('Weekly 사주 raw'!$A:$ZZ, MATCH(N$3, 'Weekly 사주 raw'!$A:$A, 0), MATCH($B34, 'Weekly 사주 raw'!$1:$1, 0)), ""), IF(val=0, "", val))</f>
        <v/>
      </c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</row>
    <row r="35">
      <c r="A35" s="30"/>
      <c r="B35" s="16" t="s">
        <v>54</v>
      </c>
      <c r="C35" s="17" t="s">
        <v>20</v>
      </c>
      <c r="D35" s="60">
        <f t="array" ref="D35">LET(val, IFERROR(INDEX('Weekly 사주 raw'!$A:$ZZ, MATCH(D$3, 'Weekly 사주 raw'!$A:$A, 0), MATCH($B35, 'Weekly 사주 raw'!$1:$1, 0)), ""), IF(val=0, "", val))</f>
        <v>153</v>
      </c>
      <c r="E35" s="60">
        <f t="array" ref="E35">LET(val, IFERROR(INDEX('Weekly 사주 raw'!$A:$ZZ, MATCH(E$3, 'Weekly 사주 raw'!$A:$A, 0), MATCH($B35, 'Weekly 사주 raw'!$1:$1, 0)), ""), IF(val=0, "", val))</f>
        <v>180</v>
      </c>
      <c r="F35" s="60">
        <f t="array" ref="F35">LET(val, IFERROR(INDEX('Weekly 사주 raw'!$A:$ZZ, MATCH(F$3, 'Weekly 사주 raw'!$A:$A, 0), MATCH($B35, 'Weekly 사주 raw'!$1:$1, 0)), ""), IF(val=0, "", val))</f>
        <v>294</v>
      </c>
      <c r="G35" s="60">
        <f t="array" ref="G35">LET(val, IFERROR(INDEX('Weekly 사주 raw'!$A:$ZZ, MATCH(G$3, 'Weekly 사주 raw'!$A:$A, 0), MATCH($B35, 'Weekly 사주 raw'!$1:$1, 0)), ""), IF(val=0, "", val))</f>
        <v>352</v>
      </c>
      <c r="H35" s="60">
        <f t="array" ref="H35">LET(val, IFERROR(INDEX('Weekly 사주 raw'!$A:$ZZ, MATCH(H$3, 'Weekly 사주 raw'!$A:$A, 0), MATCH($B35, 'Weekly 사주 raw'!$1:$1, 0)), ""), IF(val=0, "", val))</f>
        <v>233</v>
      </c>
      <c r="I35" s="60">
        <f t="array" ref="I35">LET(val, IFERROR(INDEX('Weekly 사주 raw'!$A:$ZZ, MATCH(I$3, 'Weekly 사주 raw'!$A:$A, 0), MATCH($B35, 'Weekly 사주 raw'!$1:$1, 0)), ""), IF(val=0, "", val))</f>
        <v>214</v>
      </c>
      <c r="J35" s="60">
        <f t="array" ref="J35">LET(val, IFERROR(INDEX('Weekly 사주 raw'!$A:$ZZ, MATCH(J$3, 'Weekly 사주 raw'!$A:$A, 0), MATCH($B35, 'Weekly 사주 raw'!$1:$1, 0)), ""), IF(val=0, "", val))</f>
        <v>152</v>
      </c>
      <c r="K35" s="60">
        <f t="array" ref="K35">LET(val, IFERROR(INDEX('Weekly 사주 raw'!$A:$ZZ, MATCH(K$3, 'Weekly 사주 raw'!$A:$A, 0), MATCH($B35, 'Weekly 사주 raw'!$1:$1, 0)), ""), IF(val=0, "", val))</f>
        <v>198</v>
      </c>
      <c r="L35" s="60">
        <f t="array" ref="L35">LET(val, IFERROR(INDEX('Weekly 사주 raw'!$A:$ZZ, MATCH(L$3, 'Weekly 사주 raw'!$A:$A, 0), MATCH($B35, 'Weekly 사주 raw'!$1:$1, 0)), ""), IF(val=0, "", val))</f>
        <v>7</v>
      </c>
      <c r="M35" s="60" t="str">
        <f t="array" ref="M35">LET(val, IFERROR(INDEX('Weekly 사주 raw'!$A:$ZZ, MATCH(M$3, 'Weekly 사주 raw'!$A:$A, 0), MATCH($B35, 'Weekly 사주 raw'!$1:$1, 0)), ""), IF(val=0, "", val))</f>
        <v/>
      </c>
      <c r="N35" s="60" t="str">
        <f t="array" ref="N35">LET(val, IFERROR(INDEX('Weekly 사주 raw'!$A:$ZZ, MATCH(N$3, 'Weekly 사주 raw'!$A:$A, 0), MATCH($B35, 'Weekly 사주 raw'!$1:$1, 0)), ""), IF(val=0, "", val))</f>
        <v/>
      </c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</row>
  </sheetData>
  <conditionalFormatting sqref="D1:CO2">
    <cfRule type="containsText" dxfId="2" priority="1" operator="containsText" text="토">
      <formula>NOT(ISERROR(SEARCH(("토"),(D1))))</formula>
    </cfRule>
  </conditionalFormatting>
  <conditionalFormatting sqref="D1:CO2">
    <cfRule type="containsText" dxfId="2" priority="2" operator="containsText" text="일">
      <formula>NOT(ISERROR(SEARCH(("일"),(D1))))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25"/>
    <col customWidth="1" hidden="1" min="2" max="2" width="46.13"/>
    <col customWidth="1" min="3" max="3" width="46.13"/>
    <col customWidth="1" min="4" max="9" width="18.88"/>
    <col customWidth="1" min="10" max="10" width="3.25"/>
  </cols>
  <sheetData>
    <row r="1">
      <c r="A1" s="1"/>
      <c r="B1" s="1"/>
      <c r="C1" s="1"/>
      <c r="D1" s="153"/>
      <c r="E1" s="153"/>
      <c r="F1" s="153"/>
      <c r="G1" s="153"/>
      <c r="H1" s="153"/>
      <c r="I1" s="153"/>
      <c r="J1" s="153"/>
    </row>
    <row r="2" ht="22.5" customHeight="1">
      <c r="A2" s="123"/>
      <c r="B2" s="7" t="s">
        <v>3</v>
      </c>
      <c r="C2" s="35" t="s">
        <v>61</v>
      </c>
      <c r="D2" s="7" t="s">
        <v>119</v>
      </c>
      <c r="E2" s="7" t="s">
        <v>132</v>
      </c>
      <c r="F2" s="89">
        <v>45992.0</v>
      </c>
      <c r="G2" s="89">
        <v>46023.0</v>
      </c>
      <c r="H2" s="89">
        <v>46054.0</v>
      </c>
      <c r="I2" s="89">
        <v>46082.0</v>
      </c>
      <c r="J2" s="118"/>
    </row>
    <row r="3" ht="18.75" customHeight="1">
      <c r="A3" s="124"/>
      <c r="B3" s="11" t="s">
        <v>10</v>
      </c>
      <c r="C3" s="12" t="s">
        <v>133</v>
      </c>
      <c r="D3" s="90">
        <v>0.75</v>
      </c>
      <c r="E3" s="91">
        <v>0.7541124713083397</v>
      </c>
      <c r="F3" s="90">
        <f t="array" ref="F3">IFERROR(INDEX('Monthly 사주 raw'!$A:$ZZ, MATCH(F$2, 'Monthly 사주 raw'!$A:$A, 0), MATCH($B3, 'Monthly 사주 raw'!$1:$1, 0)), 0)</f>
        <v>0.4652567976</v>
      </c>
      <c r="G3" s="90">
        <f t="array" ref="G3">IFERROR(INDEX('Monthly 사주 raw'!$A:$ZZ, MATCH(G$2, 'Monthly 사주 raw'!$A:$A, 0), MATCH($B3, 'Monthly 사주 raw'!$1:$1, 0)), 0)</f>
        <v>0.4433333333</v>
      </c>
      <c r="H3" s="90">
        <f t="array" ref="H3">IFERROR(INDEX('Monthly 사주 raw'!$A:$Z, MATCH(H$2, 'Monthly 사주 raw'!$A:$A, 0), MATCH($B3, 'Monthly 사주 raw'!$1:$1, 0)), 0)</f>
        <v>0</v>
      </c>
      <c r="I3" s="154"/>
      <c r="J3" s="154"/>
    </row>
    <row r="4" ht="18.75" customHeight="1">
      <c r="A4" s="28"/>
      <c r="B4" s="16" t="s">
        <v>13</v>
      </c>
      <c r="C4" s="17" t="s">
        <v>134</v>
      </c>
      <c r="D4" s="94"/>
      <c r="E4" s="95">
        <v>7885.0</v>
      </c>
      <c r="F4" s="137">
        <f t="array" ref="F4">IFERROR(INDEX('Monthly 사주 raw'!$A:$ZZ, MATCH(F$2, 'Monthly 사주 raw'!$A:$A, 0), MATCH($B4, 'Monthly 사주 raw'!$1:$1, 0)), 0)</f>
        <v>154</v>
      </c>
      <c r="G4" s="137">
        <f t="array" ref="G4">IFERROR(INDEX('Monthly 사주 raw'!$A:$ZZ, MATCH(G$2, 'Monthly 사주 raw'!$A:$A, 0), MATCH($B4, 'Monthly 사주 raw'!$1:$1, 0)), 0)</f>
        <v>532</v>
      </c>
      <c r="H4" s="137">
        <f t="array" ref="H4">IFERROR(INDEX('Monthly 사주 raw'!$A:$Z, MATCH(H$2, 'Monthly 사주 raw'!$A:$A, 0), MATCH($B4, 'Monthly 사주 raw'!$1:$1, 0)), 0)</f>
        <v>0</v>
      </c>
      <c r="I4" s="137"/>
      <c r="J4" s="137"/>
    </row>
    <row r="5" ht="18.75" customHeight="1">
      <c r="A5" s="28"/>
      <c r="B5" s="16" t="s">
        <v>16</v>
      </c>
      <c r="C5" s="17" t="s">
        <v>135</v>
      </c>
      <c r="D5" s="94"/>
      <c r="E5" s="95">
        <v>10456.0</v>
      </c>
      <c r="F5" s="137">
        <f t="array" ref="F5">IFERROR(INDEX('Monthly 사주 raw'!$A:$ZZ, MATCH(F$2, 'Monthly 사주 raw'!$A:$A, 0), MATCH($B5, 'Monthly 사주 raw'!$1:$1, 0)), 0)</f>
        <v>331</v>
      </c>
      <c r="G5" s="137">
        <f t="array" ref="G5">IFERROR(INDEX('Monthly 사주 raw'!$A:$ZZ, MATCH(G$2, 'Monthly 사주 raw'!$A:$A, 0), MATCH($B5, 'Monthly 사주 raw'!$1:$1, 0)), 0)</f>
        <v>1200</v>
      </c>
      <c r="H5" s="137">
        <f t="array" ref="H5">IFERROR(INDEX('Monthly 사주 raw'!$A:$Z, MATCH(H$2, 'Monthly 사주 raw'!$A:$A, 0), MATCH($B5, 'Monthly 사주 raw'!$1:$1, 0)), 0)</f>
        <v>598</v>
      </c>
      <c r="I5" s="137"/>
      <c r="J5" s="137"/>
    </row>
    <row r="6" ht="18.75" customHeight="1">
      <c r="A6" s="1"/>
      <c r="B6" s="11" t="s">
        <v>18</v>
      </c>
      <c r="C6" s="1" t="s">
        <v>18</v>
      </c>
      <c r="D6" s="90">
        <v>0.15</v>
      </c>
      <c r="E6" s="96">
        <v>0.2933182572307172</v>
      </c>
      <c r="F6" s="139">
        <f t="array" ref="F6">IFERROR(INDEX('Monthly 사주 raw'!$A:$ZZ, MATCH(F$2, 'Monthly 사주 raw'!$A:$A, 0), MATCH($B6, 'Monthly 사주 raw'!$1:$1, 0)), 0)</f>
        <v>0.00884341019</v>
      </c>
      <c r="G6" s="139">
        <f t="array" ref="G6">IFERROR(INDEX('Monthly 사주 raw'!$A:$ZZ, MATCH(G$2, 'Monthly 사주 raw'!$A:$A, 0), MATCH($B6, 'Monthly 사주 raw'!$1:$1, 0)), 0)</f>
        <v>0.1210797936</v>
      </c>
      <c r="H6" s="139">
        <f t="array" ref="H6">IFERROR(INDEX('Monthly 사주 raw'!$A:$Z, MATCH(H$2, 'Monthly 사주 raw'!$A:$A, 0), MATCH($B6, 'Monthly 사주 raw'!$1:$1, 0)), 0)</f>
        <v>0.1589615122</v>
      </c>
      <c r="I6" s="139"/>
      <c r="J6" s="139"/>
    </row>
    <row r="7" ht="18.75" customHeight="1">
      <c r="A7" s="28"/>
      <c r="B7" s="23" t="s">
        <v>19</v>
      </c>
      <c r="C7" s="17" t="s">
        <v>20</v>
      </c>
      <c r="D7" s="98"/>
      <c r="E7" s="95">
        <v>55514.0</v>
      </c>
      <c r="F7" s="137">
        <f t="array" ref="F7">IFERROR(INDEX('Monthly 사주 raw'!$A:$ZZ, MATCH(F$2, 'Monthly 사주 raw'!$A:$A, 0), MATCH($B7, 'Monthly 사주 raw'!$1:$1, 0)), 0)</f>
        <v>331</v>
      </c>
      <c r="G7" s="137">
        <f t="array" ref="G7">IFERROR(INDEX('Monthly 사주 raw'!$A:$ZZ, MATCH(G$2, 'Monthly 사주 raw'!$A:$A, 0), MATCH($B7, 'Monthly 사주 raw'!$1:$1, 0)), 0)</f>
        <v>1220</v>
      </c>
      <c r="H7" s="137">
        <f t="array" ref="H7">IFERROR(INDEX('Monthly 사주 raw'!$A:$Z, MATCH(H$2, 'Monthly 사주 raw'!$A:$A, 0), MATCH($B7, 'Monthly 사주 raw'!$1:$1, 0)), 0)</f>
        <v>698</v>
      </c>
      <c r="I7" s="137"/>
      <c r="J7" s="137"/>
    </row>
    <row r="8" ht="18.75" customHeight="1">
      <c r="A8" s="17"/>
      <c r="B8" s="23" t="s">
        <v>21</v>
      </c>
      <c r="C8" s="17" t="s">
        <v>22</v>
      </c>
      <c r="D8" s="98"/>
      <c r="E8" s="95">
        <v>189262.0</v>
      </c>
      <c r="F8" s="137">
        <f t="array" ref="F8">IFERROR(INDEX('Monthly 사주 raw'!$A:$ZZ, MATCH(F$2, 'Monthly 사주 raw'!$A:$A, 0), MATCH($B8, 'Monthly 사주 raw'!$1:$1, 0)), 0)</f>
        <v>37429</v>
      </c>
      <c r="G8" s="137">
        <f t="array" ref="G8">IFERROR(INDEX('Monthly 사주 raw'!$A:$ZZ, MATCH(G$2, 'Monthly 사주 raw'!$A:$A, 0), MATCH($B8, 'Monthly 사주 raw'!$1:$1, 0)), 0)</f>
        <v>10076</v>
      </c>
      <c r="H8" s="137">
        <f t="array" ref="H8">IFERROR(INDEX('Monthly 사주 raw'!$A:$Z, MATCH(H$2, 'Monthly 사주 raw'!$A:$A, 0), MATCH($B8, 'Monthly 사주 raw'!$1:$1, 0)), 0)</f>
        <v>4391</v>
      </c>
      <c r="I8" s="137"/>
      <c r="J8" s="137"/>
    </row>
    <row r="9" ht="18.75" customHeight="1">
      <c r="A9" s="17"/>
      <c r="B9" s="23" t="s">
        <v>23</v>
      </c>
      <c r="C9" s="17" t="s">
        <v>24</v>
      </c>
      <c r="D9" s="98"/>
      <c r="E9" s="95">
        <v>2.43060604E8</v>
      </c>
      <c r="F9" s="137">
        <f t="array" ref="F9">IFERROR(INDEX('Monthly 사주 raw'!$A:$ZZ, MATCH(F$2, 'Monthly 사주 raw'!$A:$A, 0), MATCH($B9, 'Monthly 사주 raw'!$1:$1, 0)), 0)</f>
        <v>130759</v>
      </c>
      <c r="G9" s="137">
        <f t="array" ref="G9">IFERROR(INDEX('Monthly 사주 raw'!$A:$ZZ, MATCH(G$2, 'Monthly 사주 raw'!$A:$A, 0), MATCH($B9, 'Monthly 사주 raw'!$1:$1, 0)), 0)</f>
        <v>32185</v>
      </c>
      <c r="H9" s="137">
        <f t="array" ref="H9">IFERROR(INDEX('Monthly 사주 raw'!$A:$Z, MATCH(H$2, 'Monthly 사주 raw'!$A:$A, 0), MATCH($B9, 'Monthly 사주 raw'!$1:$1, 0)), 0)</f>
        <v>11965</v>
      </c>
      <c r="I9" s="137"/>
      <c r="J9" s="137"/>
    </row>
    <row r="10" ht="18.75" customHeight="1">
      <c r="A10" s="1"/>
      <c r="B10" s="23" t="s">
        <v>25</v>
      </c>
      <c r="C10" s="1" t="s">
        <v>25</v>
      </c>
      <c r="D10" s="102">
        <v>28000.0</v>
      </c>
      <c r="E10" s="103">
        <v>142423.4625499874</v>
      </c>
      <c r="F10" s="102">
        <f t="array" ref="F10">IFERROR(INDEX('Monthly 사주 raw'!$A:$ZZ, MATCH(F$2, 'Monthly 사주 raw'!$A:$A, 0), MATCH($B10, 'Monthly 사주 raw'!$1:$1, 0)), 0)</f>
        <v>46621.75227</v>
      </c>
      <c r="G10" s="102">
        <f t="array" ref="G10">IFERROR(INDEX('Monthly 사주 raw'!$A:$ZZ, MATCH(G$2, 'Monthly 사주 raw'!$A:$A, 0), MATCH($B10, 'Monthly 사주 raw'!$1:$1, 0)), 0)</f>
        <v>23181.39344</v>
      </c>
      <c r="H10" s="102">
        <f t="array" ref="H10">IFERROR(INDEX('Monthly 사주 raw'!$A:$Z, MATCH(H$2, 'Monthly 사주 raw'!$A:$A, 0), MATCH($B10, 'Monthly 사주 raw'!$1:$1, 0)), 0)</f>
        <v>24889.39828</v>
      </c>
      <c r="I10" s="102"/>
      <c r="J10" s="102"/>
    </row>
    <row r="11" ht="18.75" customHeight="1">
      <c r="A11" s="28"/>
      <c r="B11" s="23" t="s">
        <v>26</v>
      </c>
      <c r="C11" s="28" t="s">
        <v>27</v>
      </c>
      <c r="D11" s="106"/>
      <c r="E11" s="103">
        <v>7.9064961E9</v>
      </c>
      <c r="F11" s="102">
        <f t="array" ref="F11">IFERROR(INDEX('Monthly 사주 raw'!$A:$ZZ, MATCH(F$2, 'Monthly 사주 raw'!$A:$A, 0), MATCH($B11, 'Monthly 사주 raw'!$1:$1, 0)), 0)</f>
        <v>15431800</v>
      </c>
      <c r="G11" s="102">
        <f t="array" ref="G11">IFERROR(INDEX('Monthly 사주 raw'!$A:$ZZ, MATCH(G$2, 'Monthly 사주 raw'!$A:$A, 0), MATCH($B11, 'Monthly 사주 raw'!$1:$1, 0)), 0)</f>
        <v>28281300</v>
      </c>
      <c r="H11" s="102">
        <f t="array" ref="H11">IFERROR(INDEX('Monthly 사주 raw'!$A:$Z, MATCH(H$2, 'Monthly 사주 raw'!$A:$A, 0), MATCH($B11, 'Monthly 사주 raw'!$1:$1, 0)), 0)</f>
        <v>17372800</v>
      </c>
      <c r="I11" s="102"/>
      <c r="J11" s="102"/>
    </row>
    <row r="12" ht="18.75" customHeight="1">
      <c r="A12" s="28"/>
      <c r="B12" s="23" t="s">
        <v>28</v>
      </c>
      <c r="C12" s="17" t="s">
        <v>20</v>
      </c>
      <c r="D12" s="106"/>
      <c r="E12" s="95">
        <v>55514.0</v>
      </c>
      <c r="F12" s="137">
        <f t="array" ref="F12">IFERROR(INDEX('Monthly 사주 raw'!$A:$ZZ, MATCH(F$2, 'Monthly 사주 raw'!$A:$A, 0), MATCH($B12, 'Monthly 사주 raw'!$1:$1, 0)), 0)</f>
        <v>331</v>
      </c>
      <c r="G12" s="137">
        <f t="array" ref="G12">IFERROR(INDEX('Monthly 사주 raw'!$A:$ZZ, MATCH(G$2, 'Monthly 사주 raw'!$A:$A, 0), MATCH($B12, 'Monthly 사주 raw'!$1:$1, 0)), 0)</f>
        <v>1220</v>
      </c>
      <c r="H12" s="137">
        <f t="array" ref="H12">IFERROR(INDEX('Monthly 사주 raw'!$A:$Z, MATCH(H$2, 'Monthly 사주 raw'!$A:$A, 0), MATCH($B12, 'Monthly 사주 raw'!$1:$1, 0)), 0)</f>
        <v>698</v>
      </c>
      <c r="I12" s="137"/>
      <c r="J12" s="137"/>
    </row>
    <row r="13" ht="18.75" customHeight="1">
      <c r="A13" s="17"/>
      <c r="B13" s="23" t="s">
        <v>29</v>
      </c>
      <c r="C13" s="17" t="s">
        <v>30</v>
      </c>
      <c r="D13" s="106"/>
      <c r="E13" s="95">
        <v>473916.0</v>
      </c>
      <c r="F13" s="137">
        <f t="array" ref="F13">IFERROR(INDEX('Monthly 사주 raw'!$A:$ZZ, MATCH(F$2, 'Monthly 사주 raw'!$A:$A, 0), MATCH($B13, 'Monthly 사주 raw'!$1:$1, 0)), 0)</f>
        <v>416</v>
      </c>
      <c r="G13" s="137">
        <f t="array" ref="G13">IFERROR(INDEX('Monthly 사주 raw'!$A:$ZZ, MATCH(G$2, 'Monthly 사주 raw'!$A:$A, 0), MATCH($B13, 'Monthly 사주 raw'!$1:$1, 0)), 0)</f>
        <v>1751</v>
      </c>
      <c r="H13" s="137">
        <f t="array" ref="H13">IFERROR(INDEX('Monthly 사주 raw'!$A:$Z, MATCH(H$2, 'Monthly 사주 raw'!$A:$A, 0), MATCH($B13, 'Monthly 사주 raw'!$1:$1, 0)), 0)</f>
        <v>1028</v>
      </c>
      <c r="I13" s="137"/>
      <c r="J13" s="137"/>
    </row>
    <row r="14" ht="18.75" customHeight="1">
      <c r="A14" s="1"/>
      <c r="B14" s="11" t="s">
        <v>31</v>
      </c>
      <c r="C14" s="1" t="s">
        <v>32</v>
      </c>
      <c r="D14" s="90">
        <v>0.3</v>
      </c>
      <c r="E14" s="96">
        <v>0.39254190561279756</v>
      </c>
      <c r="F14" s="139">
        <f t="array" ref="F14">IFERROR(INDEX('Monthly 사주 raw'!$A:$ZZ, MATCH(F$2, 'Monthly 사주 raw'!$A:$A, 0), MATCH($B14, 'Monthly 사주 raw'!$1:$1, 0)), 0)</f>
        <v>0.8754949645</v>
      </c>
      <c r="G14" s="139">
        <f t="array" ref="G14">IFERROR(INDEX('Monthly 사주 raw'!$A:$ZZ, MATCH(G$2, 'Monthly 사주 raw'!$A:$A, 0), MATCH($B14, 'Monthly 사주 raw'!$1:$1, 0)), 0)</f>
        <v>0.7434944156</v>
      </c>
      <c r="H14" s="139">
        <f t="array" ref="H14">IFERROR(INDEX('Monthly 사주 raw'!$A:$Z, MATCH(H$2, 'Monthly 사주 raw'!$A:$A, 0), MATCH($B14, 'Monthly 사주 raw'!$1:$1, 0)), 0)</f>
        <v>0.7234989597</v>
      </c>
      <c r="I14" s="139"/>
      <c r="J14" s="139"/>
    </row>
    <row r="15" ht="18.75" customHeight="1">
      <c r="A15" s="28"/>
      <c r="B15" s="23" t="s">
        <v>33</v>
      </c>
      <c r="C15" s="136" t="s">
        <v>34</v>
      </c>
      <c r="D15" s="94"/>
      <c r="E15" s="107">
        <v>4.802865054185848E9</v>
      </c>
      <c r="F15" s="142">
        <f t="array" ref="F15">IFERROR(INDEX('Monthly 사주 raw'!$A:$ZZ, MATCH(F$2, 'Monthly 사주 raw'!$A:$A, 0), MATCH($B15, 'Monthly 사주 raw'!$1:$1, 0)), 0)</f>
        <v>1921336.807</v>
      </c>
      <c r="G15" s="142">
        <f t="array" ref="G15">IFERROR(INDEX('Monthly 사주 raw'!$A:$ZZ, MATCH(G$2, 'Monthly 사주 raw'!$A:$A, 0), MATCH($B15, 'Monthly 사주 raw'!$1:$1, 0)), 0)</f>
        <v>7254311.384</v>
      </c>
      <c r="H15" s="142">
        <f t="array" ref="H15">IFERROR(INDEX('Monthly 사주 raw'!$A:$Z, MATCH(H$2, 'Monthly 사주 raw'!$A:$A, 0), MATCH($B15, 'Monthly 사주 raw'!$1:$1, 0)), 0)</f>
        <v>4803597.273</v>
      </c>
      <c r="I15" s="142"/>
      <c r="J15" s="142"/>
    </row>
    <row r="16" ht="18.75" customHeight="1">
      <c r="A16" s="28"/>
      <c r="B16" s="23" t="s">
        <v>35</v>
      </c>
      <c r="C16" s="136" t="s">
        <v>27</v>
      </c>
      <c r="D16" s="94"/>
      <c r="E16" s="107">
        <v>7.9064961E9</v>
      </c>
      <c r="F16" s="142">
        <f t="array" ref="F16">IFERROR(INDEX('Monthly 사주 raw'!$A:$ZZ, MATCH(F$2, 'Monthly 사주 raw'!$A:$A, 0), MATCH($B16, 'Monthly 사주 raw'!$1:$1, 0)), 0)</f>
        <v>15431800</v>
      </c>
      <c r="G16" s="142">
        <f t="array" ref="G16">IFERROR(INDEX('Monthly 사주 raw'!$A:$ZZ, MATCH(G$2, 'Monthly 사주 raw'!$A:$A, 0), MATCH($B16, 'Monthly 사주 raw'!$1:$1, 0)), 0)</f>
        <v>28281300</v>
      </c>
      <c r="H16" s="142">
        <f t="array" ref="H16">IFERROR(INDEX('Monthly 사주 raw'!$A:$Z, MATCH(H$2, 'Monthly 사주 raw'!$A:$A, 0), MATCH($B16, 'Monthly 사주 raw'!$1:$1, 0)), 0)</f>
        <v>17372800</v>
      </c>
      <c r="I16" s="142"/>
      <c r="J16" s="142"/>
    </row>
    <row r="17" ht="18.75" customHeight="1">
      <c r="A17" s="1"/>
      <c r="B17" s="1"/>
      <c r="C17" s="1" t="s">
        <v>115</v>
      </c>
      <c r="D17" s="90">
        <v>0.4</v>
      </c>
      <c r="E17" s="155"/>
      <c r="F17" s="60">
        <f t="array" ref="F17">IFERROR(INDEX('Monthly 사주 raw'!$A:$ZZ, MATCH(F$2, 'Monthly 사주 raw'!$A:$A, 0), MATCH($B17, 'Monthly 사주 raw'!$1:$1, 0)), 0)</f>
        <v>0</v>
      </c>
      <c r="G17" s="60">
        <f t="array" ref="G17">IFERROR(INDEX('Monthly 사주 raw'!$A:$ZZ, MATCH(G$2, 'Monthly 사주 raw'!$A:$A, 0), MATCH($B17, 'Monthly 사주 raw'!$1:$1, 0)), 0)</f>
        <v>0</v>
      </c>
      <c r="H17" s="60">
        <f t="array" ref="H17">IFERROR(INDEX('Monthly 사주 raw'!$A:$ZZ, MATCH(H$2, 'Monthly 사주 raw'!$A:$A, 0), MATCH($B17, 'Monthly 사주 raw'!$1:$1, 0)), 0)</f>
        <v>0</v>
      </c>
      <c r="I17" s="155"/>
      <c r="J17" s="155"/>
    </row>
    <row r="18" ht="18.75" customHeight="1">
      <c r="A18" s="1"/>
      <c r="B18" s="1"/>
      <c r="C18" s="17" t="s">
        <v>116</v>
      </c>
      <c r="D18" s="90"/>
      <c r="E18" s="155"/>
      <c r="F18" s="60">
        <f t="array" ref="F18">IFERROR(INDEX('Monthly 사주 raw'!$A:$ZZ, MATCH(F$2, 'Monthly 사주 raw'!$A:$A, 0), MATCH($B18, 'Monthly 사주 raw'!$1:$1, 0)), 0)</f>
        <v>0</v>
      </c>
      <c r="G18" s="60">
        <f t="array" ref="G18">IFERROR(INDEX('Monthly 사주 raw'!$A:$ZZ, MATCH(G$2, 'Monthly 사주 raw'!$A:$A, 0), MATCH($B18, 'Monthly 사주 raw'!$1:$1, 0)), 0)</f>
        <v>0</v>
      </c>
      <c r="H18" s="60">
        <f t="array" ref="H18">IFERROR(INDEX('Monthly 사주 raw'!$A:$ZZ, MATCH(H$2, 'Monthly 사주 raw'!$A:$A, 0), MATCH($B18, 'Monthly 사주 raw'!$1:$1, 0)), 0)</f>
        <v>0</v>
      </c>
      <c r="I18" s="155"/>
      <c r="J18" s="155"/>
    </row>
    <row r="19" ht="18.75" customHeight="1">
      <c r="A19" s="1"/>
      <c r="B19" s="1"/>
      <c r="C19" s="17" t="s">
        <v>117</v>
      </c>
      <c r="D19" s="90"/>
      <c r="E19" s="155"/>
      <c r="F19" s="60">
        <f t="array" ref="F19">IFERROR(INDEX('Monthly 사주 raw'!$A:$ZZ, MATCH(F$2, 'Monthly 사주 raw'!$A:$A, 0), MATCH($B19, 'Monthly 사주 raw'!$1:$1, 0)), 0)</f>
        <v>0</v>
      </c>
      <c r="G19" s="60">
        <f t="array" ref="G19">IFERROR(INDEX('Monthly 사주 raw'!$A:$ZZ, MATCH(G$2, 'Monthly 사주 raw'!$A:$A, 0), MATCH($B19, 'Monthly 사주 raw'!$1:$1, 0)), 0)</f>
        <v>0</v>
      </c>
      <c r="H19" s="60">
        <f t="array" ref="H19">IFERROR(INDEX('Monthly 사주 raw'!$A:$ZZ, MATCH(H$2, 'Monthly 사주 raw'!$A:$A, 0), MATCH($B19, 'Monthly 사주 raw'!$1:$1, 0)), 0)</f>
        <v>0</v>
      </c>
      <c r="I19" s="155"/>
      <c r="J19" s="155"/>
    </row>
    <row r="20" ht="18.75" customHeight="1">
      <c r="A20" s="1"/>
      <c r="B20" s="1"/>
      <c r="C20" s="17" t="s">
        <v>118</v>
      </c>
      <c r="D20" s="90"/>
      <c r="E20" s="155"/>
      <c r="F20" s="60">
        <f t="array" ref="F20">IFERROR(INDEX('Monthly 사주 raw'!$A:$ZZ, MATCH(F$2, 'Monthly 사주 raw'!$A:$A, 0), MATCH($B20, 'Monthly 사주 raw'!$1:$1, 0)), 0)</f>
        <v>0</v>
      </c>
      <c r="G20" s="60">
        <f t="array" ref="G20">IFERROR(INDEX('Monthly 사주 raw'!$A:$ZZ, MATCH(G$2, 'Monthly 사주 raw'!$A:$A, 0), MATCH($B20, 'Monthly 사주 raw'!$1:$1, 0)), 0)</f>
        <v>0</v>
      </c>
      <c r="H20" s="60">
        <f t="array" ref="H20">IFERROR(INDEX('Monthly 사주 raw'!$A:$ZZ, MATCH(H$2, 'Monthly 사주 raw'!$A:$A, 0), MATCH($B20, 'Monthly 사주 raw'!$1:$1, 0)), 0)</f>
        <v>0</v>
      </c>
      <c r="I20" s="155"/>
      <c r="J20" s="155"/>
    </row>
    <row r="21" ht="18.75" customHeight="1">
      <c r="A21" s="30"/>
      <c r="B21" s="16"/>
      <c r="C21" s="30" t="s">
        <v>36</v>
      </c>
      <c r="F21" s="60">
        <f t="array" ref="F21">IFERROR(INDEX('Monthly 사주 raw'!$A:$ZZ, MATCH(F$2, 'Monthly 사주 raw'!$A:$A, 0), MATCH($B21, 'Monthly 사주 raw'!$1:$1, 0)), 0)</f>
        <v>0</v>
      </c>
      <c r="G21" s="60">
        <f t="array" ref="G21">IFERROR(INDEX('Monthly 사주 raw'!$A:$ZZ, MATCH(G$2, 'Monthly 사주 raw'!$A:$A, 0), MATCH($B21, 'Monthly 사주 raw'!$1:$1, 0)), 0)</f>
        <v>0</v>
      </c>
      <c r="H21" s="60">
        <f t="array" ref="H21">IFERROR(INDEX('Monthly 사주 raw'!$A:$ZZ, MATCH(H$2, 'Monthly 사주 raw'!$A:$A, 0), MATCH($B21, 'Monthly 사주 raw'!$1:$1, 0)), 0)</f>
        <v>0</v>
      </c>
    </row>
    <row r="22" ht="18.75" customHeight="1">
      <c r="A22" s="17"/>
      <c r="B22" s="16" t="s">
        <v>37</v>
      </c>
      <c r="C22" s="17" t="s">
        <v>38</v>
      </c>
      <c r="F22" s="60">
        <f t="array" ref="F22">IFERROR(INDEX('Monthly 사주 raw'!$A:$ZZ, MATCH(F$2, 'Monthly 사주 raw'!$A:$A, 0), MATCH($B22, 'Monthly 사주 raw'!$1:$1, 0)), 0)</f>
        <v>0</v>
      </c>
      <c r="G22" s="60">
        <f t="array" ref="G22">IFERROR(INDEX('Monthly 사주 raw'!$A:$ZZ, MATCH(G$2, 'Monthly 사주 raw'!$A:$A, 0), MATCH($B22, 'Monthly 사주 raw'!$1:$1, 0)), 0)</f>
        <v>0</v>
      </c>
      <c r="H22" s="60">
        <f t="array" ref="H22">IFERROR(INDEX('Monthly 사주 raw'!$A:$ZZ, MATCH(H$2, 'Monthly 사주 raw'!$A:$A, 0), MATCH($B22, 'Monthly 사주 raw'!$1:$1, 0)), 0)</f>
        <v>0</v>
      </c>
    </row>
    <row r="23" ht="18.75" customHeight="1">
      <c r="A23" s="17"/>
      <c r="B23" s="16" t="s">
        <v>39</v>
      </c>
      <c r="C23" s="17" t="s">
        <v>40</v>
      </c>
      <c r="F23" s="60">
        <f t="array" ref="F23">IFERROR(INDEX('Monthly 사주 raw'!$A:$ZZ, MATCH(F$2, 'Monthly 사주 raw'!$A:$A, 0), MATCH($B23, 'Monthly 사주 raw'!$1:$1, 0)), 0)</f>
        <v>0</v>
      </c>
      <c r="G23" s="60">
        <f t="array" ref="G23">IFERROR(INDEX('Monthly 사주 raw'!$A:$ZZ, MATCH(G$2, 'Monthly 사주 raw'!$A:$A, 0), MATCH($B23, 'Monthly 사주 raw'!$1:$1, 0)), 0)</f>
        <v>0</v>
      </c>
      <c r="H23" s="60">
        <f t="array" ref="H23">IFERROR(INDEX('Monthly 사주 raw'!$A:$ZZ, MATCH(H$2, 'Monthly 사주 raw'!$A:$A, 0), MATCH($B23, 'Monthly 사주 raw'!$1:$1, 0)), 0)</f>
        <v>0</v>
      </c>
    </row>
    <row r="24" ht="18.75" customHeight="1">
      <c r="A24" s="17"/>
      <c r="B24" s="16" t="s">
        <v>41</v>
      </c>
      <c r="C24" s="17" t="s">
        <v>42</v>
      </c>
      <c r="F24" s="60">
        <f t="array" ref="F24">IFERROR(INDEX('Monthly 사주 raw'!$A:$ZZ, MATCH(F$2, 'Monthly 사주 raw'!$A:$A, 0), MATCH($B24, 'Monthly 사주 raw'!$1:$1, 0)), 0)</f>
        <v>15147</v>
      </c>
      <c r="G24" s="60">
        <f t="array" ref="G24">IFERROR(INDEX('Monthly 사주 raw'!$A:$ZZ, MATCH(G$2, 'Monthly 사주 raw'!$A:$A, 0), MATCH($B24, 'Monthly 사주 raw'!$1:$1, 0)), 0)</f>
        <v>20716</v>
      </c>
      <c r="H24" s="60">
        <f t="array" ref="H24">IFERROR(INDEX('Monthly 사주 raw'!$A:$ZZ, MATCH(H$2, 'Monthly 사주 raw'!$A:$A, 0), MATCH($B24, 'Monthly 사주 raw'!$1:$1, 0)), 0)</f>
        <v>13219</v>
      </c>
    </row>
    <row r="25" ht="18.75" customHeight="1">
      <c r="A25" s="17"/>
      <c r="B25" s="16" t="s">
        <v>43</v>
      </c>
      <c r="C25" s="17" t="s">
        <v>44</v>
      </c>
      <c r="F25" s="60">
        <f t="array" ref="F25">IFERROR(INDEX('Monthly 사주 raw'!$A:$ZZ, MATCH(F$2, 'Monthly 사주 raw'!$A:$A, 0), MATCH($B25, 'Monthly 사주 raw'!$1:$1, 0)), 0)</f>
        <v>10816</v>
      </c>
      <c r="G25" s="60">
        <f t="array" ref="G25">IFERROR(INDEX('Monthly 사주 raw'!$A:$ZZ, MATCH(G$2, 'Monthly 사주 raw'!$A:$A, 0), MATCH($B25, 'Monthly 사주 raw'!$1:$1, 0)), 0)</f>
        <v>9802</v>
      </c>
      <c r="H25" s="60">
        <f t="array" ref="H25">IFERROR(INDEX('Monthly 사주 raw'!$A:$ZZ, MATCH(H$2, 'Monthly 사주 raw'!$A:$A, 0), MATCH($B25, 'Monthly 사주 raw'!$1:$1, 0)), 0)</f>
        <v>4487</v>
      </c>
    </row>
    <row r="26" ht="18.75" customHeight="1">
      <c r="A26" s="17"/>
      <c r="B26" s="16" t="s">
        <v>45</v>
      </c>
      <c r="C26" s="17" t="s">
        <v>22</v>
      </c>
      <c r="F26" s="60">
        <f t="array" ref="F26">IFERROR(INDEX('Monthly 사주 raw'!$A:$ZZ, MATCH(F$2, 'Monthly 사주 raw'!$A:$A, 0), MATCH($B26, 'Monthly 사주 raw'!$1:$1, 0)), 0)</f>
        <v>6386</v>
      </c>
      <c r="G26" s="60">
        <f t="array" ref="G26">IFERROR(INDEX('Monthly 사주 raw'!$A:$ZZ, MATCH(G$2, 'Monthly 사주 raw'!$A:$A, 0), MATCH($B26, 'Monthly 사주 raw'!$1:$1, 0)), 0)</f>
        <v>1755</v>
      </c>
      <c r="H26" s="60">
        <f t="array" ref="H26">IFERROR(INDEX('Monthly 사주 raw'!$A:$ZZ, MATCH(H$2, 'Monthly 사주 raw'!$A:$A, 0), MATCH($B26, 'Monthly 사주 raw'!$1:$1, 0)), 0)</f>
        <v>825</v>
      </c>
    </row>
    <row r="27" ht="18.75" customHeight="1">
      <c r="A27" s="17"/>
      <c r="B27" s="16" t="s">
        <v>46</v>
      </c>
      <c r="C27" s="17" t="s">
        <v>47</v>
      </c>
      <c r="F27" s="60">
        <f t="array" ref="F27">IFERROR(INDEX('Monthly 사주 raw'!$A:$ZZ, MATCH(F$2, 'Monthly 사주 raw'!$A:$A, 0), MATCH($B27, 'Monthly 사주 raw'!$1:$1, 0)), 0)</f>
        <v>620</v>
      </c>
      <c r="G27" s="60">
        <f t="array" ref="G27">IFERROR(INDEX('Monthly 사주 raw'!$A:$ZZ, MATCH(G$2, 'Monthly 사주 raw'!$A:$A, 0), MATCH($B27, 'Monthly 사주 raw'!$1:$1, 0)), 0)</f>
        <v>4056</v>
      </c>
      <c r="H27" s="60">
        <f t="array" ref="H27">IFERROR(INDEX('Monthly 사주 raw'!$A:$ZZ, MATCH(H$2, 'Monthly 사주 raw'!$A:$A, 0), MATCH($B27, 'Monthly 사주 raw'!$1:$1, 0)), 0)</f>
        <v>2699</v>
      </c>
    </row>
    <row r="28" ht="18.75" customHeight="1">
      <c r="A28" s="17"/>
      <c r="B28" s="16" t="s">
        <v>48</v>
      </c>
      <c r="C28" s="17" t="s">
        <v>20</v>
      </c>
      <c r="F28" s="60">
        <f t="array" ref="F28">IFERROR(INDEX('Monthly 사주 raw'!$A:$ZZ, MATCH(F$2, 'Monthly 사주 raw'!$A:$A, 0), MATCH($B28, 'Monthly 사주 raw'!$1:$1, 0)), 0)</f>
        <v>27</v>
      </c>
      <c r="G28" s="60">
        <f t="array" ref="G28">IFERROR(INDEX('Monthly 사주 raw'!$A:$ZZ, MATCH(G$2, 'Monthly 사주 raw'!$A:$A, 0), MATCH($B28, 'Monthly 사주 raw'!$1:$1, 0)), 0)</f>
        <v>275</v>
      </c>
      <c r="H28" s="60">
        <f t="array" ref="H28">IFERROR(INDEX('Monthly 사주 raw'!$A:$ZZ, MATCH(H$2, 'Monthly 사주 raw'!$A:$A, 0), MATCH($B28, 'Monthly 사주 raw'!$1:$1, 0)), 0)</f>
        <v>159</v>
      </c>
    </row>
    <row r="29">
      <c r="A29" s="30"/>
      <c r="B29" s="16"/>
      <c r="C29" s="30" t="s">
        <v>49</v>
      </c>
      <c r="F29" s="60">
        <f t="array" ref="F29">IFERROR(INDEX('Monthly 사주 raw'!$A:$ZZ, MATCH(F$2, 'Monthly 사주 raw'!$A:$A, 0), MATCH($B29, 'Monthly 사주 raw'!$1:$1, 0)), 0)</f>
        <v>0</v>
      </c>
      <c r="G29" s="60">
        <f t="array" ref="G29">IFERROR(INDEX('Monthly 사주 raw'!$A:$ZZ, MATCH(G$2, 'Monthly 사주 raw'!$A:$A, 0), MATCH($B29, 'Monthly 사주 raw'!$1:$1, 0)), 0)</f>
        <v>0</v>
      </c>
      <c r="H29" s="60">
        <f t="array" ref="H29">IFERROR(INDEX('Monthly 사주 raw'!$A:$ZZ, MATCH(H$2, 'Monthly 사주 raw'!$A:$A, 0), MATCH($B29, 'Monthly 사주 raw'!$1:$1, 0)), 0)</f>
        <v>0</v>
      </c>
    </row>
    <row r="30">
      <c r="A30" s="30"/>
      <c r="B30" s="16" t="s">
        <v>50</v>
      </c>
      <c r="C30" s="17" t="s">
        <v>42</v>
      </c>
      <c r="F30" s="60">
        <f t="array" ref="F30">IFERROR(INDEX('Monthly 사주 raw'!$A:$ZZ, MATCH(F$2, 'Monthly 사주 raw'!$A:$A, 0), MATCH($B30, 'Monthly 사주 raw'!$1:$1, 0)), 0)</f>
        <v>85079</v>
      </c>
      <c r="G30" s="60">
        <f t="array" ref="G30">IFERROR(INDEX('Monthly 사주 raw'!$A:$ZZ, MATCH(G$2, 'Monthly 사주 raw'!$A:$A, 0), MATCH($B30, 'Monthly 사주 raw'!$1:$1, 0)), 0)</f>
        <v>88004</v>
      </c>
      <c r="H30" s="60">
        <f t="array" ref="H30">IFERROR(INDEX('Monthly 사주 raw'!$A:$ZZ, MATCH(H$2, 'Monthly 사주 raw'!$A:$A, 0), MATCH($B30, 'Monthly 사주 raw'!$1:$1, 0)), 0)</f>
        <v>65321</v>
      </c>
    </row>
    <row r="31">
      <c r="A31" s="30"/>
      <c r="B31" s="16" t="s">
        <v>51</v>
      </c>
      <c r="C31" s="17" t="s">
        <v>44</v>
      </c>
      <c r="F31" s="60">
        <f t="array" ref="F31">IFERROR(INDEX('Monthly 사주 raw'!$A:$ZZ, MATCH(F$2, 'Monthly 사주 raw'!$A:$A, 0), MATCH($B31, 'Monthly 사주 raw'!$1:$1, 0)), 0)</f>
        <v>64956</v>
      </c>
      <c r="G31" s="60">
        <f t="array" ref="G31">IFERROR(INDEX('Monthly 사주 raw'!$A:$ZZ, MATCH(G$2, 'Monthly 사주 raw'!$A:$A, 0), MATCH($B31, 'Monthly 사주 raw'!$1:$1, 0)), 0)</f>
        <v>58080</v>
      </c>
      <c r="H31" s="60">
        <f t="array" ref="H31">IFERROR(INDEX('Monthly 사주 raw'!$A:$ZZ, MATCH(H$2, 'Monthly 사주 raw'!$A:$A, 0), MATCH($B31, 'Monthly 사주 raw'!$1:$1, 0)), 0)</f>
        <v>32715</v>
      </c>
    </row>
    <row r="32">
      <c r="A32" s="30"/>
      <c r="B32" s="16" t="s">
        <v>52</v>
      </c>
      <c r="C32" s="17" t="s">
        <v>22</v>
      </c>
      <c r="F32" s="60">
        <f t="array" ref="F32">IFERROR(INDEX('Monthly 사주 raw'!$A:$ZZ, MATCH(F$2, 'Monthly 사주 raw'!$A:$A, 0), MATCH($B32, 'Monthly 사주 raw'!$1:$1, 0)), 0)</f>
        <v>31043</v>
      </c>
      <c r="G32" s="60">
        <f t="array" ref="G32">IFERROR(INDEX('Monthly 사주 raw'!$A:$ZZ, MATCH(G$2, 'Monthly 사주 raw'!$A:$A, 0), MATCH($B32, 'Monthly 사주 raw'!$1:$1, 0)), 0)</f>
        <v>8321</v>
      </c>
      <c r="H32" s="60">
        <f t="array" ref="H32">IFERROR(INDEX('Monthly 사주 raw'!$A:$ZZ, MATCH(H$2, 'Monthly 사주 raw'!$A:$A, 0), MATCH($B32, 'Monthly 사주 raw'!$1:$1, 0)), 0)</f>
        <v>3566</v>
      </c>
    </row>
    <row r="33">
      <c r="A33" s="30"/>
      <c r="B33" s="16" t="s">
        <v>53</v>
      </c>
      <c r="C33" s="17" t="s">
        <v>47</v>
      </c>
      <c r="F33" s="60">
        <f t="array" ref="F33">IFERROR(INDEX('Monthly 사주 raw'!$A:$ZZ, MATCH(F$2, 'Monthly 사주 raw'!$A:$A, 0), MATCH($B33, 'Monthly 사주 raw'!$1:$1, 0)), 0)</f>
        <v>5355</v>
      </c>
      <c r="G33" s="60">
        <f t="array" ref="G33">IFERROR(INDEX('Monthly 사주 raw'!$A:$ZZ, MATCH(G$2, 'Monthly 사주 raw'!$A:$A, 0), MATCH($B33, 'Monthly 사주 raw'!$1:$1, 0)), 0)</f>
        <v>16121</v>
      </c>
      <c r="H33" s="60">
        <f t="array" ref="H33">IFERROR(INDEX('Monthly 사주 raw'!$A:$ZZ, MATCH(H$2, 'Monthly 사주 raw'!$A:$A, 0), MATCH($B33, 'Monthly 사주 raw'!$1:$1, 0)), 0)</f>
        <v>9761</v>
      </c>
    </row>
    <row r="34">
      <c r="A34" s="30"/>
      <c r="B34" s="16" t="s">
        <v>54</v>
      </c>
      <c r="C34" s="17" t="s">
        <v>20</v>
      </c>
      <c r="F34" s="60">
        <f t="array" ref="F34">IFERROR(INDEX('Monthly 사주 raw'!$A:$ZZ, MATCH(F$2, 'Monthly 사주 raw'!$A:$A, 0), MATCH($B34, 'Monthly 사주 raw'!$1:$1, 0)), 0)</f>
        <v>304</v>
      </c>
      <c r="G34" s="60">
        <f t="array" ref="G34">IFERROR(INDEX('Monthly 사주 raw'!$A:$ZZ, MATCH(G$2, 'Monthly 사주 raw'!$A:$A, 0), MATCH($B34, 'Monthly 사주 raw'!$1:$1, 0)), 0)</f>
        <v>945</v>
      </c>
      <c r="H34" s="60">
        <f t="array" ref="H34">IFERROR(INDEX('Monthly 사주 raw'!$A:$ZZ, MATCH(H$2, 'Monthly 사주 raw'!$A:$A, 0), MATCH($B34, 'Monthly 사주 raw'!$1:$1, 0)), 0)</f>
        <v>539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25"/>
    <col customWidth="1" hidden="1" min="2" max="2" width="46.13"/>
    <col customWidth="1" min="3" max="3" width="46.13"/>
    <col customWidth="1" min="4" max="93" width="11.38"/>
  </cols>
  <sheetData>
    <row r="1">
      <c r="A1" s="1"/>
      <c r="B1" s="1"/>
      <c r="C1" s="1"/>
      <c r="D1" s="36" t="str">
        <f t="shared" ref="D1:CO1" si="1">text(D2, "ddd")</f>
        <v>목</v>
      </c>
      <c r="E1" s="36" t="str">
        <f t="shared" si="1"/>
        <v>금</v>
      </c>
      <c r="F1" s="36" t="str">
        <f t="shared" si="1"/>
        <v>토</v>
      </c>
      <c r="G1" s="36" t="str">
        <f t="shared" si="1"/>
        <v>일</v>
      </c>
      <c r="H1" s="36" t="str">
        <f t="shared" si="1"/>
        <v>월</v>
      </c>
      <c r="I1" s="36" t="str">
        <f t="shared" si="1"/>
        <v>화</v>
      </c>
      <c r="J1" s="36" t="str">
        <f t="shared" si="1"/>
        <v>수</v>
      </c>
      <c r="K1" s="36" t="str">
        <f t="shared" si="1"/>
        <v>목</v>
      </c>
      <c r="L1" s="36" t="str">
        <f t="shared" si="1"/>
        <v>금</v>
      </c>
      <c r="M1" s="36" t="str">
        <f t="shared" si="1"/>
        <v>토</v>
      </c>
      <c r="N1" s="36" t="str">
        <f t="shared" si="1"/>
        <v>일</v>
      </c>
      <c r="O1" s="36" t="str">
        <f t="shared" si="1"/>
        <v>월</v>
      </c>
      <c r="P1" s="36" t="str">
        <f t="shared" si="1"/>
        <v>화</v>
      </c>
      <c r="Q1" s="36" t="str">
        <f t="shared" si="1"/>
        <v>수</v>
      </c>
      <c r="R1" s="36" t="str">
        <f t="shared" si="1"/>
        <v>목</v>
      </c>
      <c r="S1" s="36" t="str">
        <f t="shared" si="1"/>
        <v>금</v>
      </c>
      <c r="T1" s="36" t="str">
        <f t="shared" si="1"/>
        <v>토</v>
      </c>
      <c r="U1" s="36" t="str">
        <f t="shared" si="1"/>
        <v>일</v>
      </c>
      <c r="V1" s="36" t="str">
        <f t="shared" si="1"/>
        <v>월</v>
      </c>
      <c r="W1" s="36" t="str">
        <f t="shared" si="1"/>
        <v>화</v>
      </c>
      <c r="X1" s="36" t="str">
        <f t="shared" si="1"/>
        <v>수</v>
      </c>
      <c r="Y1" s="36" t="str">
        <f t="shared" si="1"/>
        <v>목</v>
      </c>
      <c r="Z1" s="36" t="str">
        <f t="shared" si="1"/>
        <v>금</v>
      </c>
      <c r="AA1" s="36" t="str">
        <f t="shared" si="1"/>
        <v>토</v>
      </c>
      <c r="AB1" s="36" t="str">
        <f t="shared" si="1"/>
        <v>일</v>
      </c>
      <c r="AC1" s="36" t="str">
        <f t="shared" si="1"/>
        <v>월</v>
      </c>
      <c r="AD1" s="36" t="str">
        <f t="shared" si="1"/>
        <v>화</v>
      </c>
      <c r="AE1" s="36" t="str">
        <f t="shared" si="1"/>
        <v>수</v>
      </c>
      <c r="AF1" s="36" t="str">
        <f t="shared" si="1"/>
        <v>목</v>
      </c>
      <c r="AG1" s="36" t="str">
        <f t="shared" si="1"/>
        <v>금</v>
      </c>
      <c r="AH1" s="36" t="str">
        <f t="shared" si="1"/>
        <v>토</v>
      </c>
      <c r="AI1" s="36" t="str">
        <f t="shared" si="1"/>
        <v>일</v>
      </c>
      <c r="AJ1" s="36" t="str">
        <f t="shared" si="1"/>
        <v>월</v>
      </c>
      <c r="AK1" s="36" t="str">
        <f t="shared" si="1"/>
        <v>화</v>
      </c>
      <c r="AL1" s="36" t="str">
        <f t="shared" si="1"/>
        <v>수</v>
      </c>
      <c r="AM1" s="36" t="str">
        <f t="shared" si="1"/>
        <v>목</v>
      </c>
      <c r="AN1" s="36" t="str">
        <f t="shared" si="1"/>
        <v>금</v>
      </c>
      <c r="AO1" s="36" t="str">
        <f t="shared" si="1"/>
        <v>토</v>
      </c>
      <c r="AP1" s="36" t="str">
        <f t="shared" si="1"/>
        <v>일</v>
      </c>
      <c r="AQ1" s="36" t="str">
        <f t="shared" si="1"/>
        <v>월</v>
      </c>
      <c r="AR1" s="36" t="str">
        <f t="shared" si="1"/>
        <v>화</v>
      </c>
      <c r="AS1" s="36" t="str">
        <f t="shared" si="1"/>
        <v>수</v>
      </c>
      <c r="AT1" s="36" t="str">
        <f t="shared" si="1"/>
        <v>목</v>
      </c>
      <c r="AU1" s="36" t="str">
        <f t="shared" si="1"/>
        <v>금</v>
      </c>
      <c r="AV1" s="36" t="str">
        <f t="shared" si="1"/>
        <v>토</v>
      </c>
      <c r="AW1" s="36" t="str">
        <f t="shared" si="1"/>
        <v>일</v>
      </c>
      <c r="AX1" s="36" t="str">
        <f t="shared" si="1"/>
        <v>월</v>
      </c>
      <c r="AY1" s="36" t="str">
        <f t="shared" si="1"/>
        <v>화</v>
      </c>
      <c r="AZ1" s="36" t="str">
        <f t="shared" si="1"/>
        <v>수</v>
      </c>
      <c r="BA1" s="36" t="str">
        <f t="shared" si="1"/>
        <v>목</v>
      </c>
      <c r="BB1" s="36" t="str">
        <f t="shared" si="1"/>
        <v>금</v>
      </c>
      <c r="BC1" s="36" t="str">
        <f t="shared" si="1"/>
        <v>토</v>
      </c>
      <c r="BD1" s="36" t="str">
        <f t="shared" si="1"/>
        <v>일</v>
      </c>
      <c r="BE1" s="36" t="str">
        <f t="shared" si="1"/>
        <v>월</v>
      </c>
      <c r="BF1" s="36" t="str">
        <f t="shared" si="1"/>
        <v>화</v>
      </c>
      <c r="BG1" s="36" t="str">
        <f t="shared" si="1"/>
        <v>수</v>
      </c>
      <c r="BH1" s="36" t="str">
        <f t="shared" si="1"/>
        <v>목</v>
      </c>
      <c r="BI1" s="36" t="str">
        <f t="shared" si="1"/>
        <v>금</v>
      </c>
      <c r="BJ1" s="36" t="str">
        <f t="shared" si="1"/>
        <v>토</v>
      </c>
      <c r="BK1" s="36" t="str">
        <f t="shared" si="1"/>
        <v>일</v>
      </c>
      <c r="BL1" s="36" t="str">
        <f t="shared" si="1"/>
        <v>월</v>
      </c>
      <c r="BM1" s="36" t="str">
        <f t="shared" si="1"/>
        <v>화</v>
      </c>
      <c r="BN1" s="36" t="str">
        <f t="shared" si="1"/>
        <v>수</v>
      </c>
      <c r="BO1" s="36" t="str">
        <f t="shared" si="1"/>
        <v>목</v>
      </c>
      <c r="BP1" s="36" t="str">
        <f t="shared" si="1"/>
        <v>금</v>
      </c>
      <c r="BQ1" s="36" t="str">
        <f t="shared" si="1"/>
        <v>토</v>
      </c>
      <c r="BR1" s="36" t="str">
        <f t="shared" si="1"/>
        <v>일</v>
      </c>
      <c r="BS1" s="36" t="str">
        <f t="shared" si="1"/>
        <v>월</v>
      </c>
      <c r="BT1" s="36" t="str">
        <f t="shared" si="1"/>
        <v>화</v>
      </c>
      <c r="BU1" s="36" t="str">
        <f t="shared" si="1"/>
        <v>수</v>
      </c>
      <c r="BV1" s="36" t="str">
        <f t="shared" si="1"/>
        <v>목</v>
      </c>
      <c r="BW1" s="36" t="str">
        <f t="shared" si="1"/>
        <v>금</v>
      </c>
      <c r="BX1" s="36" t="str">
        <f t="shared" si="1"/>
        <v>토</v>
      </c>
      <c r="BY1" s="36" t="str">
        <f t="shared" si="1"/>
        <v>일</v>
      </c>
      <c r="BZ1" s="36" t="str">
        <f t="shared" si="1"/>
        <v>월</v>
      </c>
      <c r="CA1" s="36" t="str">
        <f t="shared" si="1"/>
        <v>화</v>
      </c>
      <c r="CB1" s="36" t="str">
        <f t="shared" si="1"/>
        <v>수</v>
      </c>
      <c r="CC1" s="36" t="str">
        <f t="shared" si="1"/>
        <v>목</v>
      </c>
      <c r="CD1" s="36" t="str">
        <f t="shared" si="1"/>
        <v>금</v>
      </c>
      <c r="CE1" s="36" t="str">
        <f t="shared" si="1"/>
        <v>토</v>
      </c>
      <c r="CF1" s="36" t="str">
        <f t="shared" si="1"/>
        <v>일</v>
      </c>
      <c r="CG1" s="36" t="str">
        <f t="shared" si="1"/>
        <v>월</v>
      </c>
      <c r="CH1" s="36" t="str">
        <f t="shared" si="1"/>
        <v>화</v>
      </c>
      <c r="CI1" s="36" t="str">
        <f t="shared" si="1"/>
        <v>수</v>
      </c>
      <c r="CJ1" s="36" t="str">
        <f t="shared" si="1"/>
        <v>목</v>
      </c>
      <c r="CK1" s="36" t="str">
        <f t="shared" si="1"/>
        <v>금</v>
      </c>
      <c r="CL1" s="36" t="str">
        <f t="shared" si="1"/>
        <v>토</v>
      </c>
      <c r="CM1" s="36" t="str">
        <f t="shared" si="1"/>
        <v>일</v>
      </c>
      <c r="CN1" s="36" t="str">
        <f t="shared" si="1"/>
        <v>월</v>
      </c>
      <c r="CO1" s="36" t="str">
        <f t="shared" si="1"/>
        <v>화</v>
      </c>
    </row>
    <row r="2" ht="22.5" customHeight="1">
      <c r="A2" s="123"/>
      <c r="B2" s="7" t="s">
        <v>3</v>
      </c>
      <c r="C2" s="35" t="s">
        <v>61</v>
      </c>
      <c r="D2" s="40">
        <v>46023.0</v>
      </c>
      <c r="E2" s="40">
        <f t="shared" ref="E2:CO2" si="2">D2+1</f>
        <v>46024</v>
      </c>
      <c r="F2" s="40">
        <f t="shared" si="2"/>
        <v>46025</v>
      </c>
      <c r="G2" s="40">
        <f t="shared" si="2"/>
        <v>46026</v>
      </c>
      <c r="H2" s="40">
        <f t="shared" si="2"/>
        <v>46027</v>
      </c>
      <c r="I2" s="40">
        <f t="shared" si="2"/>
        <v>46028</v>
      </c>
      <c r="J2" s="40">
        <f t="shared" si="2"/>
        <v>46029</v>
      </c>
      <c r="K2" s="40">
        <f t="shared" si="2"/>
        <v>46030</v>
      </c>
      <c r="L2" s="40">
        <f t="shared" si="2"/>
        <v>46031</v>
      </c>
      <c r="M2" s="40">
        <f t="shared" si="2"/>
        <v>46032</v>
      </c>
      <c r="N2" s="40">
        <f t="shared" si="2"/>
        <v>46033</v>
      </c>
      <c r="O2" s="40">
        <f t="shared" si="2"/>
        <v>46034</v>
      </c>
      <c r="P2" s="40">
        <f t="shared" si="2"/>
        <v>46035</v>
      </c>
      <c r="Q2" s="40">
        <f t="shared" si="2"/>
        <v>46036</v>
      </c>
      <c r="R2" s="40">
        <f t="shared" si="2"/>
        <v>46037</v>
      </c>
      <c r="S2" s="40">
        <f t="shared" si="2"/>
        <v>46038</v>
      </c>
      <c r="T2" s="40">
        <f t="shared" si="2"/>
        <v>46039</v>
      </c>
      <c r="U2" s="40">
        <f t="shared" si="2"/>
        <v>46040</v>
      </c>
      <c r="V2" s="40">
        <f t="shared" si="2"/>
        <v>46041</v>
      </c>
      <c r="W2" s="40">
        <f t="shared" si="2"/>
        <v>46042</v>
      </c>
      <c r="X2" s="40">
        <f t="shared" si="2"/>
        <v>46043</v>
      </c>
      <c r="Y2" s="40">
        <f t="shared" si="2"/>
        <v>46044</v>
      </c>
      <c r="Z2" s="40">
        <f t="shared" si="2"/>
        <v>46045</v>
      </c>
      <c r="AA2" s="40">
        <f t="shared" si="2"/>
        <v>46046</v>
      </c>
      <c r="AB2" s="40">
        <f t="shared" si="2"/>
        <v>46047</v>
      </c>
      <c r="AC2" s="40">
        <f t="shared" si="2"/>
        <v>46048</v>
      </c>
      <c r="AD2" s="40">
        <f t="shared" si="2"/>
        <v>46049</v>
      </c>
      <c r="AE2" s="40">
        <f t="shared" si="2"/>
        <v>46050</v>
      </c>
      <c r="AF2" s="40">
        <f t="shared" si="2"/>
        <v>46051</v>
      </c>
      <c r="AG2" s="40">
        <f t="shared" si="2"/>
        <v>46052</v>
      </c>
      <c r="AH2" s="40">
        <f t="shared" si="2"/>
        <v>46053</v>
      </c>
      <c r="AI2" s="40">
        <f t="shared" si="2"/>
        <v>46054</v>
      </c>
      <c r="AJ2" s="40">
        <f t="shared" si="2"/>
        <v>46055</v>
      </c>
      <c r="AK2" s="40">
        <f t="shared" si="2"/>
        <v>46056</v>
      </c>
      <c r="AL2" s="40">
        <f t="shared" si="2"/>
        <v>46057</v>
      </c>
      <c r="AM2" s="40">
        <f t="shared" si="2"/>
        <v>46058</v>
      </c>
      <c r="AN2" s="40">
        <f t="shared" si="2"/>
        <v>46059</v>
      </c>
      <c r="AO2" s="40">
        <f t="shared" si="2"/>
        <v>46060</v>
      </c>
      <c r="AP2" s="40">
        <f t="shared" si="2"/>
        <v>46061</v>
      </c>
      <c r="AQ2" s="40">
        <f t="shared" si="2"/>
        <v>46062</v>
      </c>
      <c r="AR2" s="40">
        <f t="shared" si="2"/>
        <v>46063</v>
      </c>
      <c r="AS2" s="40">
        <f t="shared" si="2"/>
        <v>46064</v>
      </c>
      <c r="AT2" s="40">
        <f t="shared" si="2"/>
        <v>46065</v>
      </c>
      <c r="AU2" s="40">
        <f t="shared" si="2"/>
        <v>46066</v>
      </c>
      <c r="AV2" s="40">
        <f t="shared" si="2"/>
        <v>46067</v>
      </c>
      <c r="AW2" s="40">
        <f t="shared" si="2"/>
        <v>46068</v>
      </c>
      <c r="AX2" s="40">
        <f t="shared" si="2"/>
        <v>46069</v>
      </c>
      <c r="AY2" s="40">
        <f t="shared" si="2"/>
        <v>46070</v>
      </c>
      <c r="AZ2" s="40">
        <f t="shared" si="2"/>
        <v>46071</v>
      </c>
      <c r="BA2" s="40">
        <f t="shared" si="2"/>
        <v>46072</v>
      </c>
      <c r="BB2" s="40">
        <f t="shared" si="2"/>
        <v>46073</v>
      </c>
      <c r="BC2" s="40">
        <f t="shared" si="2"/>
        <v>46074</v>
      </c>
      <c r="BD2" s="40">
        <f t="shared" si="2"/>
        <v>46075</v>
      </c>
      <c r="BE2" s="40">
        <f t="shared" si="2"/>
        <v>46076</v>
      </c>
      <c r="BF2" s="40">
        <f t="shared" si="2"/>
        <v>46077</v>
      </c>
      <c r="BG2" s="40">
        <f t="shared" si="2"/>
        <v>46078</v>
      </c>
      <c r="BH2" s="40">
        <f t="shared" si="2"/>
        <v>46079</v>
      </c>
      <c r="BI2" s="40">
        <f t="shared" si="2"/>
        <v>46080</v>
      </c>
      <c r="BJ2" s="40">
        <f t="shared" si="2"/>
        <v>46081</v>
      </c>
      <c r="BK2" s="40">
        <f t="shared" si="2"/>
        <v>46082</v>
      </c>
      <c r="BL2" s="40">
        <f t="shared" si="2"/>
        <v>46083</v>
      </c>
      <c r="BM2" s="40">
        <f t="shared" si="2"/>
        <v>46084</v>
      </c>
      <c r="BN2" s="40">
        <f t="shared" si="2"/>
        <v>46085</v>
      </c>
      <c r="BO2" s="40">
        <f t="shared" si="2"/>
        <v>46086</v>
      </c>
      <c r="BP2" s="40">
        <f t="shared" si="2"/>
        <v>46087</v>
      </c>
      <c r="BQ2" s="40">
        <f t="shared" si="2"/>
        <v>46088</v>
      </c>
      <c r="BR2" s="40">
        <f t="shared" si="2"/>
        <v>46089</v>
      </c>
      <c r="BS2" s="40">
        <f t="shared" si="2"/>
        <v>46090</v>
      </c>
      <c r="BT2" s="40">
        <f t="shared" si="2"/>
        <v>46091</v>
      </c>
      <c r="BU2" s="40">
        <f t="shared" si="2"/>
        <v>46092</v>
      </c>
      <c r="BV2" s="40">
        <f t="shared" si="2"/>
        <v>46093</v>
      </c>
      <c r="BW2" s="40">
        <f t="shared" si="2"/>
        <v>46094</v>
      </c>
      <c r="BX2" s="40">
        <f t="shared" si="2"/>
        <v>46095</v>
      </c>
      <c r="BY2" s="40">
        <f t="shared" si="2"/>
        <v>46096</v>
      </c>
      <c r="BZ2" s="40">
        <f t="shared" si="2"/>
        <v>46097</v>
      </c>
      <c r="CA2" s="40">
        <f t="shared" si="2"/>
        <v>46098</v>
      </c>
      <c r="CB2" s="40">
        <f t="shared" si="2"/>
        <v>46099</v>
      </c>
      <c r="CC2" s="40">
        <f t="shared" si="2"/>
        <v>46100</v>
      </c>
      <c r="CD2" s="40">
        <f t="shared" si="2"/>
        <v>46101</v>
      </c>
      <c r="CE2" s="40">
        <f t="shared" si="2"/>
        <v>46102</v>
      </c>
      <c r="CF2" s="40">
        <f t="shared" si="2"/>
        <v>46103</v>
      </c>
      <c r="CG2" s="40">
        <f t="shared" si="2"/>
        <v>46104</v>
      </c>
      <c r="CH2" s="40">
        <f t="shared" si="2"/>
        <v>46105</v>
      </c>
      <c r="CI2" s="40">
        <f t="shared" si="2"/>
        <v>46106</v>
      </c>
      <c r="CJ2" s="40">
        <f t="shared" si="2"/>
        <v>46107</v>
      </c>
      <c r="CK2" s="40">
        <f t="shared" si="2"/>
        <v>46108</v>
      </c>
      <c r="CL2" s="40">
        <f t="shared" si="2"/>
        <v>46109</v>
      </c>
      <c r="CM2" s="40">
        <f t="shared" si="2"/>
        <v>46110</v>
      </c>
      <c r="CN2" s="40">
        <f t="shared" si="2"/>
        <v>46111</v>
      </c>
      <c r="CO2" s="40">
        <f t="shared" si="2"/>
        <v>46112</v>
      </c>
    </row>
    <row r="3" ht="18.75" customHeight="1">
      <c r="A3" s="124"/>
      <c r="B3" s="11" t="s">
        <v>10</v>
      </c>
      <c r="C3" s="12" t="s">
        <v>139</v>
      </c>
      <c r="D3" s="156">
        <f t="array" ref="D3">LET(val, IFERROR(INDEX('Daily 크랙 raw'!$A:$ZZ, MATCH(D$2, 'Daily 크랙 raw'!$A:$A, 0), MATCH($B3, 'Daily 크랙 raw'!$1:$1, 0)), 0), IF(val=0, "", val))</f>
        <v>0.8492753623</v>
      </c>
      <c r="E3" s="156">
        <f t="array" ref="E3">LET(val, IFERROR(INDEX('Daily 크랙 raw'!$A:$ZZ, MATCH(E$2, 'Daily 크랙 raw'!$A:$A, 0), MATCH($B3, 'Daily 크랙 raw'!$1:$1, 0)), 0), IF(val=0, "", val))</f>
        <v>0.7958579882</v>
      </c>
      <c r="F3" s="156">
        <f t="array" ref="F3">LET(val, IFERROR(INDEX('Daily 크랙 raw'!$A:$ZZ, MATCH(F$2, 'Daily 크랙 raw'!$A:$A, 0), MATCH($B3, 'Daily 크랙 raw'!$1:$1, 0)), 0), IF(val=0, "", val))</f>
        <v>0.8473520249</v>
      </c>
      <c r="G3" s="156">
        <f t="array" ref="G3">LET(val, IFERROR(INDEX('Daily 크랙 raw'!$A:$ZZ, MATCH(G$2, 'Daily 크랙 raw'!$A:$A, 0), MATCH($B3, 'Daily 크랙 raw'!$1:$1, 0)), 0), IF(val=0, "", val))</f>
        <v>0.8186968839</v>
      </c>
      <c r="H3" s="156">
        <f t="array" ref="H3">LET(val, IFERROR(INDEX('Daily 크랙 raw'!$A:$ZZ, MATCH(H$2, 'Daily 크랙 raw'!$A:$A, 0), MATCH($B3, 'Daily 크랙 raw'!$1:$1, 0)), 0), IF(val=0, "", val))</f>
        <v>0.8746081505</v>
      </c>
      <c r="I3" s="156">
        <f t="array" ref="I3">LET(val, IFERROR(INDEX('Daily 크랙 raw'!$A:$ZZ, MATCH(I$2, 'Daily 크랙 raw'!$A:$A, 0), MATCH($B3, 'Daily 크랙 raw'!$1:$1, 0)), 0), IF(val=0, "", val))</f>
        <v>0.8215767635</v>
      </c>
      <c r="J3" s="156">
        <f t="array" ref="J3">LET(val, IFERROR(INDEX('Daily 크랙 raw'!$A:$ZZ, MATCH(J$2, 'Daily 크랙 raw'!$A:$A, 0), MATCH($B3, 'Daily 크랙 raw'!$1:$1, 0)), 0), IF(val=0, "", val))</f>
        <v>0.8878923767</v>
      </c>
      <c r="K3" s="156">
        <f t="array" ref="K3">LET(val, IFERROR(INDEX('Daily 크랙 raw'!$A:$ZZ, MATCH(K$2, 'Daily 크랙 raw'!$A:$A, 0), MATCH($B3, 'Daily 크랙 raw'!$1:$1, 0)), 0), IF(val=0, "", val))</f>
        <v>0.8616600791</v>
      </c>
      <c r="L3" s="156">
        <f t="array" ref="L3">LET(val, IFERROR(INDEX('Daily 크랙 raw'!$A:$ZZ, MATCH(L$2, 'Daily 크랙 raw'!$A:$A, 0), MATCH($B3, 'Daily 크랙 raw'!$1:$1, 0)), 0), IF(val=0, "", val))</f>
        <v>0.8529411765</v>
      </c>
      <c r="M3" s="156">
        <f t="array" ref="M3">LET(val, IFERROR(INDEX('Daily 크랙 raw'!$A:$ZZ, MATCH(M$2, 'Daily 크랙 raw'!$A:$A, 0), MATCH($B3, 'Daily 크랙 raw'!$1:$1, 0)), 0), IF(val=0, "", val))</f>
        <v>0.8320209974</v>
      </c>
      <c r="N3" s="156">
        <f t="array" ref="N3">LET(val, IFERROR(INDEX('Daily 크랙 raw'!$A:$ZZ, MATCH(N$2, 'Daily 크랙 raw'!$A:$A, 0), MATCH($B3, 'Daily 크랙 raw'!$1:$1, 0)), 0), IF(val=0, "", val))</f>
        <v>0.8367346939</v>
      </c>
      <c r="O3" s="156">
        <f t="array" ref="O3">LET(val, IFERROR(INDEX('Daily 크랙 raw'!$A:$ZZ, MATCH(O$2, 'Daily 크랙 raw'!$A:$A, 0), MATCH($B3, 'Daily 크랙 raw'!$1:$1, 0)), 0), IF(val=0, "", val))</f>
        <v>0.8093645485</v>
      </c>
      <c r="P3" s="156">
        <f t="array" ref="P3">LET(val, IFERROR(INDEX('Daily 크랙 raw'!$A:$ZZ, MATCH(P$2, 'Daily 크랙 raw'!$A:$A, 0), MATCH($B3, 'Daily 크랙 raw'!$1:$1, 0)), 0), IF(val=0, "", val))</f>
        <v>0.8528428094</v>
      </c>
      <c r="Q3" s="156">
        <f t="array" ref="Q3">LET(val, IFERROR(INDEX('Daily 크랙 raw'!$A:$ZZ, MATCH(Q$2, 'Daily 크랙 raw'!$A:$A, 0), MATCH($B3, 'Daily 크랙 raw'!$1:$1, 0)), 0), IF(val=0, "", val))</f>
        <v>0.8230769231</v>
      </c>
      <c r="R3" s="156">
        <f t="array" ref="R3">LET(val, IFERROR(INDEX('Daily 크랙 raw'!$A:$ZZ, MATCH(R$2, 'Daily 크랙 raw'!$A:$A, 0), MATCH($B3, 'Daily 크랙 raw'!$1:$1, 0)), 0), IF(val=0, "", val))</f>
        <v>0.8197879859</v>
      </c>
      <c r="S3" s="156">
        <f t="array" ref="S3">LET(val, IFERROR(INDEX('Daily 크랙 raw'!$A:$ZZ, MATCH(S$2, 'Daily 크랙 raw'!$A:$A, 0), MATCH($B3, 'Daily 크랙 raw'!$1:$1, 0)), 0), IF(val=0, "", val))</f>
        <v>0.8233215548</v>
      </c>
      <c r="T3" s="156">
        <f t="array" ref="T3">LET(val, IFERROR(INDEX('Daily 크랙 raw'!$A:$ZZ, MATCH(T$2, 'Daily 크랙 raw'!$A:$A, 0), MATCH($B3, 'Daily 크랙 raw'!$1:$1, 0)), 0), IF(val=0, "", val))</f>
        <v>0.8319148936</v>
      </c>
      <c r="U3" s="156">
        <f t="array" ref="U3">LET(val, IFERROR(INDEX('Daily 크랙 raw'!$A:$ZZ, MATCH(U$2, 'Daily 크랙 raw'!$A:$A, 0), MATCH($B3, 'Daily 크랙 raw'!$1:$1, 0)), 0), IF(val=0, "", val))</f>
        <v>0.8494208494</v>
      </c>
      <c r="V3" s="156">
        <f t="array" ref="V3">LET(val, IFERROR(INDEX('Daily 크랙 raw'!$A:$ZZ, MATCH(V$2, 'Daily 크랙 raw'!$A:$A, 0), MATCH($B3, 'Daily 크랙 raw'!$1:$1, 0)), 0), IF(val=0, "", val))</f>
        <v>0.8215223097</v>
      </c>
      <c r="W3" s="156">
        <f t="array" ref="W3">LET(val, IFERROR(INDEX('Daily 크랙 raw'!$A:$ZZ, MATCH(W$2, 'Daily 크랙 raw'!$A:$A, 0), MATCH($B3, 'Daily 크랙 raw'!$1:$1, 0)), 0), IF(val=0, "", val))</f>
        <v>0.8247978437</v>
      </c>
      <c r="X3" s="156">
        <f t="array" ref="X3">LET(val, IFERROR(INDEX('Daily 크랙 raw'!$A:$ZZ, MATCH(X$2, 'Daily 크랙 raw'!$A:$A, 0), MATCH($B3, 'Daily 크랙 raw'!$1:$1, 0)), 0), IF(val=0, "", val))</f>
        <v>0.8398876404</v>
      </c>
      <c r="Y3" s="156">
        <f t="array" ref="Y3">LET(val, IFERROR(INDEX('Daily 크랙 raw'!$A:$ZZ, MATCH(Y$2, 'Daily 크랙 raw'!$A:$A, 0), MATCH($B3, 'Daily 크랙 raw'!$1:$1, 0)), 0), IF(val=0, "", val))</f>
        <v>0.7943925234</v>
      </c>
      <c r="Z3" s="156">
        <f t="array" ref="Z3">LET(val, IFERROR(INDEX('Daily 크랙 raw'!$A:$ZZ, MATCH(Z$2, 'Daily 크랙 raw'!$A:$A, 0), MATCH($B3, 'Daily 크랙 raw'!$1:$1, 0)), 0), IF(val=0, "", val))</f>
        <v>0.8553459119</v>
      </c>
      <c r="AA3" s="156">
        <f t="array" ref="AA3">LET(val, IFERROR(INDEX('Daily 크랙 raw'!$A:$ZZ, MATCH(AA$2, 'Daily 크랙 raw'!$A:$A, 0), MATCH($B3, 'Daily 크랙 raw'!$1:$1, 0)), 0), IF(val=0, "", val))</f>
        <v>0.8323353293</v>
      </c>
      <c r="AB3" s="156">
        <f t="array" ref="AB3">LET(val, IFERROR(INDEX('Daily 크랙 raw'!$A:$ZZ, MATCH(AB$2, 'Daily 크랙 raw'!$A:$A, 0), MATCH($B3, 'Daily 크랙 raw'!$1:$1, 0)), 0), IF(val=0, "", val))</f>
        <v>0.8090452261</v>
      </c>
      <c r="AC3" s="156">
        <f t="array" ref="AC3">LET(val, IFERROR(INDEX('Daily 크랙 raw'!$A:$ZZ, MATCH(AC$2, 'Daily 크랙 raw'!$A:$A, 0), MATCH($B3, 'Daily 크랙 raw'!$1:$1, 0)), 0), IF(val=0, "", val))</f>
        <v>0.8199152542</v>
      </c>
      <c r="AD3" s="156">
        <f t="array" ref="AD3">LET(val, IFERROR(INDEX('Daily 크랙 raw'!$A:$ZZ, MATCH(AD$2, 'Daily 크랙 raw'!$A:$A, 0), MATCH($B3, 'Daily 크랙 raw'!$1:$1, 0)), 0), IF(val=0, "", val))</f>
        <v>0.8519417476</v>
      </c>
      <c r="AE3" s="156">
        <f t="array" ref="AE3">LET(val, IFERROR(INDEX('Daily 크랙 raw'!$A:$ZZ, MATCH(AE$2, 'Daily 크랙 raw'!$A:$A, 0), MATCH($B3, 'Daily 크랙 raw'!$1:$1, 0)), 0), IF(val=0, "", val))</f>
        <v>0.8406169666</v>
      </c>
      <c r="AF3" s="156">
        <f t="array" ref="AF3">LET(val, IFERROR(INDEX('Daily 크랙 raw'!$A:$ZZ, MATCH(AF$2, 'Daily 크랙 raw'!$A:$A, 0), MATCH($B3, 'Daily 크랙 raw'!$1:$1, 0)), 0), IF(val=0, "", val))</f>
        <v>0.8588235294</v>
      </c>
      <c r="AG3" s="156">
        <f t="array" ref="AG3">LET(val, IFERROR(INDEX('Daily 크랙 raw'!$A:$ZZ, MATCH(AG$2, 'Daily 크랙 raw'!$A:$A, 0), MATCH($B3, 'Daily 크랙 raw'!$1:$1, 0)), 0), IF(val=0, "", val))</f>
        <v>0.7928802589</v>
      </c>
      <c r="AH3" s="156">
        <f t="array" ref="AH3">LET(val, IFERROR(INDEX('Daily 크랙 raw'!$A:$ZZ, MATCH(AH$2, 'Daily 크랙 raw'!$A:$A, 0), MATCH($B3, 'Daily 크랙 raw'!$1:$1, 0)), 0), IF(val=0, "", val))</f>
        <v>0.8548387097</v>
      </c>
      <c r="AI3" s="156">
        <f t="array" ref="AI3">LET(val, IFERROR(INDEX('Daily 크랙 raw'!$A:$ZZ, MATCH(AI$2, 'Daily 크랙 raw'!$A:$A, 0), MATCH($B3, 'Daily 크랙 raw'!$1:$1, 0)), 0), IF(val=0, "", val))</f>
        <v>0.8233944954</v>
      </c>
      <c r="AJ3" s="156">
        <f t="array" ref="AJ3">LET(val, IFERROR(INDEX('Daily 크랙 raw'!$A:$ZZ, MATCH(AJ$2, 'Daily 크랙 raw'!$A:$A, 0), MATCH($B3, 'Daily 크랙 raw'!$1:$1, 0)), 0), IF(val=0, "", val))</f>
        <v>0.8517520216</v>
      </c>
      <c r="AK3" s="156">
        <f t="array" ref="AK3">LET(val, IFERROR(INDEX('Daily 크랙 raw'!$A:$ZZ, MATCH(AK$2, 'Daily 크랙 raw'!$A:$A, 0), MATCH($B3, 'Daily 크랙 raw'!$1:$1, 0)), 0), IF(val=0, "", val))</f>
        <v>0.8526315789</v>
      </c>
      <c r="AL3" s="156">
        <f t="array" ref="AL3">LET(val, IFERROR(INDEX('Daily 크랙 raw'!$A:$ZZ, MATCH(AL$2, 'Daily 크랙 raw'!$A:$A, 0), MATCH($B3, 'Daily 크랙 raw'!$1:$1, 0)), 0), IF(val=0, "", val))</f>
        <v>0.8192771084</v>
      </c>
      <c r="AM3" s="156">
        <f t="array" ref="AM3">LET(val, IFERROR(INDEX('Daily 크랙 raw'!$A:$ZZ, MATCH(AM$2, 'Daily 크랙 raw'!$A:$A, 0), MATCH($B3, 'Daily 크랙 raw'!$1:$1, 0)), 0), IF(val=0, "", val))</f>
        <v>0.8238482385</v>
      </c>
      <c r="AN3" s="156">
        <f t="array" ref="AN3">LET(val, IFERROR(INDEX('Daily 크랙 raw'!$A:$ZZ, MATCH(AN$2, 'Daily 크랙 raw'!$A:$A, 0), MATCH($B3, 'Daily 크랙 raw'!$1:$1, 0)), 0), IF(val=0, "", val))</f>
        <v>0.8010899183</v>
      </c>
      <c r="AO3" s="156">
        <f t="array" ref="AO3">LET(val, IFERROR(INDEX('Daily 크랙 raw'!$A:$ZZ, MATCH(AO$2, 'Daily 크랙 raw'!$A:$A, 0), MATCH($B3, 'Daily 크랙 raw'!$1:$1, 0)), 0), IF(val=0, "", val))</f>
        <v>0.8408071749</v>
      </c>
      <c r="AP3" s="156">
        <f t="array" ref="AP3">LET(val, IFERROR(INDEX('Daily 크랙 raw'!$A:$ZZ, MATCH(AP$2, 'Daily 크랙 raw'!$A:$A, 0), MATCH($B3, 'Daily 크랙 raw'!$1:$1, 0)), 0), IF(val=0, "", val))</f>
        <v>0.8214285714</v>
      </c>
      <c r="AQ3" s="156">
        <f t="array" ref="AQ3">LET(val, IFERROR(INDEX('Daily 크랙 raw'!$A:$ZZ, MATCH(AQ$2, 'Daily 크랙 raw'!$A:$A, 0), MATCH($B3, 'Daily 크랙 raw'!$1:$1, 0)), 0), IF(val=0, "", val))</f>
        <v>0.860911271</v>
      </c>
      <c r="AR3" s="156">
        <f t="array" ref="AR3">LET(val, IFERROR(INDEX('Daily 크랙 raw'!$A:$ZZ, MATCH(AR$2, 'Daily 크랙 raw'!$A:$A, 0), MATCH($B3, 'Daily 크랙 raw'!$1:$1, 0)), 0), IF(val=0, "", val))</f>
        <v>0.8436018957</v>
      </c>
      <c r="AS3" s="156">
        <f t="array" ref="AS3">LET(val, IFERROR(INDEX('Daily 크랙 raw'!$A:$ZZ, MATCH(AS$2, 'Daily 크랙 raw'!$A:$A, 0), MATCH($B3, 'Daily 크랙 raw'!$1:$1, 0)), 0), IF(val=0, "", val))</f>
        <v>0.8428184282</v>
      </c>
      <c r="AT3" s="156">
        <f t="array" ref="AT3">LET(val, IFERROR(INDEX('Daily 크랙 raw'!$A:$ZZ, MATCH(AT$2, 'Daily 크랙 raw'!$A:$A, 0), MATCH($B3, 'Daily 크랙 raw'!$1:$1, 0)), 0), IF(val=0, "", val))</f>
        <v>0.8609467456</v>
      </c>
      <c r="AU3" s="156">
        <f t="array" ref="AU3">LET(val, IFERROR(INDEX('Daily 크랙 raw'!$A:$ZZ, MATCH(AU$2, 'Daily 크랙 raw'!$A:$A, 0), MATCH($B3, 'Daily 크랙 raw'!$1:$1, 0)), 0), IF(val=0, "", val))</f>
        <v>0.8484848485</v>
      </c>
      <c r="AV3" s="156">
        <f t="array" ref="AV3">LET(val, IFERROR(INDEX('Daily 크랙 raw'!$A:$ZZ, MATCH(AV$2, 'Daily 크랙 raw'!$A:$A, 0), MATCH($B3, 'Daily 크랙 raw'!$1:$1, 0)), 0), IF(val=0, "", val))</f>
        <v>0.8145454545</v>
      </c>
      <c r="AW3" s="156">
        <f t="array" ref="AW3">LET(val, IFERROR(INDEX('Daily 크랙 raw'!$A:$ZZ, MATCH(AW$2, 'Daily 크랙 raw'!$A:$A, 0), MATCH($B3, 'Daily 크랙 raw'!$1:$1, 0)), 0), IF(val=0, "", val))</f>
        <v>0.8255813953</v>
      </c>
      <c r="AX3" s="156">
        <f t="array" ref="AX3">LET(val, IFERROR(INDEX('Daily 크랙 raw'!$A:$ZZ, MATCH(AX$2, 'Daily 크랙 raw'!$A:$A, 0), MATCH($B3, 'Daily 크랙 raw'!$1:$1, 0)), 0), IF(val=0, "", val))</f>
        <v>0.8068739771</v>
      </c>
      <c r="AY3" s="156">
        <f t="array" ref="AY3">LET(val, IFERROR(INDEX('Daily 크랙 raw'!$A:$ZZ, MATCH(AY$2, 'Daily 크랙 raw'!$A:$A, 0), MATCH($B3, 'Daily 크랙 raw'!$1:$1, 0)), 0), IF(val=0, "", val))</f>
        <v>0.8487394958</v>
      </c>
      <c r="AZ3" s="156">
        <f t="array" ref="AZ3">LET(val, IFERROR(INDEX('Daily 크랙 raw'!$A:$ZZ, MATCH(AZ$2, 'Daily 크랙 raw'!$A:$A, 0), MATCH($B3, 'Daily 크랙 raw'!$1:$1, 0)), 0), IF(val=0, "", val))</f>
        <v>0.8154761905</v>
      </c>
      <c r="BA3" s="156">
        <f t="array" ref="BA3">LET(val, IFERROR(INDEX('Daily 크랙 raw'!$A:$ZZ, MATCH(BA$2, 'Daily 크랙 raw'!$A:$A, 0), MATCH($B3, 'Daily 크랙 raw'!$1:$1, 0)), 0), IF(val=0, "", val))</f>
        <v>0.8555377207</v>
      </c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134"/>
    </row>
    <row r="4" ht="18.75" customHeight="1">
      <c r="A4" s="135"/>
      <c r="B4" s="23" t="s">
        <v>62</v>
      </c>
      <c r="C4" s="136" t="s">
        <v>140</v>
      </c>
      <c r="D4" s="157">
        <f t="array" ref="D4">LET(val, IFERROR(INDEX('Daily 크랙 raw'!$A:$ZZ, MATCH(D$2, 'Daily 크랙 raw'!$A:$A, 0), MATCH($B4, 'Daily 크랙 raw'!$1:$1, 0)), ""), IF(val=0, "", val))</f>
        <v>293</v>
      </c>
      <c r="E4" s="157">
        <f t="array" ref="E4">LET(val, IFERROR(INDEX('Daily 크랙 raw'!$A:$ZZ, MATCH(E$2, 'Daily 크랙 raw'!$A:$A, 0), MATCH($B4, 'Daily 크랙 raw'!$1:$1, 0)), ""), IF(val=0, "", val))</f>
        <v>269</v>
      </c>
      <c r="F4" s="157">
        <f t="array" ref="F4">LET(val, IFERROR(INDEX('Daily 크랙 raw'!$A:$ZZ, MATCH(F$2, 'Daily 크랙 raw'!$A:$A, 0), MATCH($B4, 'Daily 크랙 raw'!$1:$1, 0)), ""), IF(val=0, "", val))</f>
        <v>272</v>
      </c>
      <c r="G4" s="157">
        <f t="array" ref="G4">LET(val, IFERROR(INDEX('Daily 크랙 raw'!$A:$ZZ, MATCH(G$2, 'Daily 크랙 raw'!$A:$A, 0), MATCH($B4, 'Daily 크랙 raw'!$1:$1, 0)), ""), IF(val=0, "", val))</f>
        <v>289</v>
      </c>
      <c r="H4" s="157">
        <f t="array" ref="H4">LET(val, IFERROR(INDEX('Daily 크랙 raw'!$A:$ZZ, MATCH(H$2, 'Daily 크랙 raw'!$A:$A, 0), MATCH($B4, 'Daily 크랙 raw'!$1:$1, 0)), ""), IF(val=0, "", val))</f>
        <v>279</v>
      </c>
      <c r="I4" s="157">
        <f t="array" ref="I4">LET(val, IFERROR(INDEX('Daily 크랙 raw'!$A:$ZZ, MATCH(I$2, 'Daily 크랙 raw'!$A:$A, 0), MATCH($B4, 'Daily 크랙 raw'!$1:$1, 0)), ""), IF(val=0, "", val))</f>
        <v>198</v>
      </c>
      <c r="J4" s="157">
        <f t="array" ref="J4">LET(val, IFERROR(INDEX('Daily 크랙 raw'!$A:$ZZ, MATCH(J$2, 'Daily 크랙 raw'!$A:$A, 0), MATCH($B4, 'Daily 크랙 raw'!$1:$1, 0)), ""), IF(val=0, "", val))</f>
        <v>198</v>
      </c>
      <c r="K4" s="157">
        <f t="array" ref="K4">LET(val, IFERROR(INDEX('Daily 크랙 raw'!$A:$ZZ, MATCH(K$2, 'Daily 크랙 raw'!$A:$A, 0), MATCH($B4, 'Daily 크랙 raw'!$1:$1, 0)), ""), IF(val=0, "", val))</f>
        <v>218</v>
      </c>
      <c r="L4" s="157">
        <f t="array" ref="L4">LET(val, IFERROR(INDEX('Daily 크랙 raw'!$A:$ZZ, MATCH(L$2, 'Daily 크랙 raw'!$A:$A, 0), MATCH($B4, 'Daily 크랙 raw'!$1:$1, 0)), ""), IF(val=0, "", val))</f>
        <v>290</v>
      </c>
      <c r="M4" s="157">
        <f t="array" ref="M4">LET(val, IFERROR(INDEX('Daily 크랙 raw'!$A:$ZZ, MATCH(M$2, 'Daily 크랙 raw'!$A:$A, 0), MATCH($B4, 'Daily 크랙 raw'!$1:$1, 0)), ""), IF(val=0, "", val))</f>
        <v>317</v>
      </c>
      <c r="N4" s="157">
        <f t="array" ref="N4">LET(val, IFERROR(INDEX('Daily 크랙 raw'!$A:$ZZ, MATCH(N$2, 'Daily 크랙 raw'!$A:$A, 0), MATCH($B4, 'Daily 크랙 raw'!$1:$1, 0)), ""), IF(val=0, "", val))</f>
        <v>287</v>
      </c>
      <c r="O4" s="157">
        <f t="array" ref="O4">LET(val, IFERROR(INDEX('Daily 크랙 raw'!$A:$ZZ, MATCH(O$2, 'Daily 크랙 raw'!$A:$A, 0), MATCH($B4, 'Daily 크랙 raw'!$1:$1, 0)), ""), IF(val=0, "", val))</f>
        <v>242</v>
      </c>
      <c r="P4" s="157">
        <f t="array" ref="P4">LET(val, IFERROR(INDEX('Daily 크랙 raw'!$A:$ZZ, MATCH(P$2, 'Daily 크랙 raw'!$A:$A, 0), MATCH($B4, 'Daily 크랙 raw'!$1:$1, 0)), ""), IF(val=0, "", val))</f>
        <v>255</v>
      </c>
      <c r="Q4" s="157">
        <f t="array" ref="Q4">LET(val, IFERROR(INDEX('Daily 크랙 raw'!$A:$ZZ, MATCH(Q$2, 'Daily 크랙 raw'!$A:$A, 0), MATCH($B4, 'Daily 크랙 raw'!$1:$1, 0)), ""), IF(val=0, "", val))</f>
        <v>214</v>
      </c>
      <c r="R4" s="157">
        <f t="array" ref="R4">LET(val, IFERROR(INDEX('Daily 크랙 raw'!$A:$ZZ, MATCH(R$2, 'Daily 크랙 raw'!$A:$A, 0), MATCH($B4, 'Daily 크랙 raw'!$1:$1, 0)), ""), IF(val=0, "", val))</f>
        <v>232</v>
      </c>
      <c r="S4" s="157">
        <f t="array" ref="S4">LET(val, IFERROR(INDEX('Daily 크랙 raw'!$A:$ZZ, MATCH(S$2, 'Daily 크랙 raw'!$A:$A, 0), MATCH($B4, 'Daily 크랙 raw'!$1:$1, 0)), ""), IF(val=0, "", val))</f>
        <v>233</v>
      </c>
      <c r="T4" s="157">
        <f t="array" ref="T4">LET(val, IFERROR(INDEX('Daily 크랙 raw'!$A:$ZZ, MATCH(T$2, 'Daily 크랙 raw'!$A:$A, 0), MATCH($B4, 'Daily 크랙 raw'!$1:$1, 0)), ""), IF(val=0, "", val))</f>
        <v>391</v>
      </c>
      <c r="U4" s="157">
        <f t="array" ref="U4">LET(val, IFERROR(INDEX('Daily 크랙 raw'!$A:$ZZ, MATCH(U$2, 'Daily 크랙 raw'!$A:$A, 0), MATCH($B4, 'Daily 크랙 raw'!$1:$1, 0)), ""), IF(val=0, "", val))</f>
        <v>440</v>
      </c>
      <c r="V4" s="157">
        <f t="array" ref="V4">LET(val, IFERROR(INDEX('Daily 크랙 raw'!$A:$ZZ, MATCH(V$2, 'Daily 크랙 raw'!$A:$A, 0), MATCH($B4, 'Daily 크랙 raw'!$1:$1, 0)), ""), IF(val=0, "", val))</f>
        <v>313</v>
      </c>
      <c r="W4" s="157">
        <f t="array" ref="W4">LET(val, IFERROR(INDEX('Daily 크랙 raw'!$A:$ZZ, MATCH(W$2, 'Daily 크랙 raw'!$A:$A, 0), MATCH($B4, 'Daily 크랙 raw'!$1:$1, 0)), ""), IF(val=0, "", val))</f>
        <v>306</v>
      </c>
      <c r="X4" s="157">
        <f t="array" ref="X4">LET(val, IFERROR(INDEX('Daily 크랙 raw'!$A:$ZZ, MATCH(X$2, 'Daily 크랙 raw'!$A:$A, 0), MATCH($B4, 'Daily 크랙 raw'!$1:$1, 0)), ""), IF(val=0, "", val))</f>
        <v>299</v>
      </c>
      <c r="Y4" s="157">
        <f t="array" ref="Y4">LET(val, IFERROR(INDEX('Daily 크랙 raw'!$A:$ZZ, MATCH(Y$2, 'Daily 크랙 raw'!$A:$A, 0), MATCH($B4, 'Daily 크랙 raw'!$1:$1, 0)), ""), IF(val=0, "", val))</f>
        <v>255</v>
      </c>
      <c r="Z4" s="157">
        <f t="array" ref="Z4">LET(val, IFERROR(INDEX('Daily 크랙 raw'!$A:$ZZ, MATCH(Z$2, 'Daily 크랙 raw'!$A:$A, 0), MATCH($B4, 'Daily 크랙 raw'!$1:$1, 0)), ""), IF(val=0, "", val))</f>
        <v>272</v>
      </c>
      <c r="AA4" s="157">
        <f t="array" ref="AA4">LET(val, IFERROR(INDEX('Daily 크랙 raw'!$A:$ZZ, MATCH(AA$2, 'Daily 크랙 raw'!$A:$A, 0), MATCH($B4, 'Daily 크랙 raw'!$1:$1, 0)), ""), IF(val=0, "", val))</f>
        <v>417</v>
      </c>
      <c r="AB4" s="157">
        <f t="array" ref="AB4">LET(val, IFERROR(INDEX('Daily 크랙 raw'!$A:$ZZ, MATCH(AB$2, 'Daily 크랙 raw'!$A:$A, 0), MATCH($B4, 'Daily 크랙 raw'!$1:$1, 0)), ""), IF(val=0, "", val))</f>
        <v>483</v>
      </c>
      <c r="AC4" s="157">
        <f t="array" ref="AC4">LET(val, IFERROR(INDEX('Daily 크랙 raw'!$A:$ZZ, MATCH(AC$2, 'Daily 크랙 raw'!$A:$A, 0), MATCH($B4, 'Daily 크랙 raw'!$1:$1, 0)), ""), IF(val=0, "", val))</f>
        <v>387</v>
      </c>
      <c r="AD4" s="157">
        <f t="array" ref="AD4">LET(val, IFERROR(INDEX('Daily 크랙 raw'!$A:$ZZ, MATCH(AD$2, 'Daily 크랙 raw'!$A:$A, 0), MATCH($B4, 'Daily 크랙 raw'!$1:$1, 0)), ""), IF(val=0, "", val))</f>
        <v>351</v>
      </c>
      <c r="AE4" s="157">
        <f t="array" ref="AE4">LET(val, IFERROR(INDEX('Daily 크랙 raw'!$A:$ZZ, MATCH(AE$2, 'Daily 크랙 raw'!$A:$A, 0), MATCH($B4, 'Daily 크랙 raw'!$1:$1, 0)), ""), IF(val=0, "", val))</f>
        <v>327</v>
      </c>
      <c r="AF4" s="157">
        <f t="array" ref="AF4">LET(val, IFERROR(INDEX('Daily 크랙 raw'!$A:$ZZ, MATCH(AF$2, 'Daily 크랙 raw'!$A:$A, 0), MATCH($B4, 'Daily 크랙 raw'!$1:$1, 0)), ""), IF(val=0, "", val))</f>
        <v>292</v>
      </c>
      <c r="AG4" s="157">
        <f t="array" ref="AG4">LET(val, IFERROR(INDEX('Daily 크랙 raw'!$A:$ZZ, MATCH(AG$2, 'Daily 크랙 raw'!$A:$A, 0), MATCH($B4, 'Daily 크랙 raw'!$1:$1, 0)), ""), IF(val=0, "", val))</f>
        <v>245</v>
      </c>
      <c r="AH4" s="157">
        <f t="array" ref="AH4">LET(val, IFERROR(INDEX('Daily 크랙 raw'!$A:$ZZ, MATCH(AH$2, 'Daily 크랙 raw'!$A:$A, 0), MATCH($B4, 'Daily 크랙 raw'!$1:$1, 0)), ""), IF(val=0, "", val))</f>
        <v>318</v>
      </c>
      <c r="AI4" s="157">
        <f t="array" ref="AI4">LET(val, IFERROR(INDEX('Daily 크랙 raw'!$A:$ZZ, MATCH(AI$2, 'Daily 크랙 raw'!$A:$A, 0), MATCH($B4, 'Daily 크랙 raw'!$1:$1, 0)), ""), IF(val=0, "", val))</f>
        <v>359</v>
      </c>
      <c r="AJ4" s="157">
        <f t="array" ref="AJ4">LET(val, IFERROR(INDEX('Daily 크랙 raw'!$A:$ZZ, MATCH(AJ$2, 'Daily 크랙 raw'!$A:$A, 0), MATCH($B4, 'Daily 크랙 raw'!$1:$1, 0)), ""), IF(val=0, "", val))</f>
        <v>316</v>
      </c>
      <c r="AK4" s="157">
        <f t="array" ref="AK4">LET(val, IFERROR(INDEX('Daily 크랙 raw'!$A:$ZZ, MATCH(AK$2, 'Daily 크랙 raw'!$A:$A, 0), MATCH($B4, 'Daily 크랙 raw'!$1:$1, 0)), ""), IF(val=0, "", val))</f>
        <v>324</v>
      </c>
      <c r="AL4" s="157">
        <f t="array" ref="AL4">LET(val, IFERROR(INDEX('Daily 크랙 raw'!$A:$ZZ, MATCH(AL$2, 'Daily 크랙 raw'!$A:$A, 0), MATCH($B4, 'Daily 크랙 raw'!$1:$1, 0)), ""), IF(val=0, "", val))</f>
        <v>272</v>
      </c>
      <c r="AM4" s="157">
        <f t="array" ref="AM4">LET(val, IFERROR(INDEX('Daily 크랙 raw'!$A:$ZZ, MATCH(AM$2, 'Daily 크랙 raw'!$A:$A, 0), MATCH($B4, 'Daily 크랙 raw'!$1:$1, 0)), ""), IF(val=0, "", val))</f>
        <v>304</v>
      </c>
      <c r="AN4" s="157">
        <f t="array" ref="AN4">LET(val, IFERROR(INDEX('Daily 크랙 raw'!$A:$ZZ, MATCH(AN$2, 'Daily 크랙 raw'!$A:$A, 0), MATCH($B4, 'Daily 크랙 raw'!$1:$1, 0)), ""), IF(val=0, "", val))</f>
        <v>294</v>
      </c>
      <c r="AO4" s="157">
        <f t="array" ref="AO4">LET(val, IFERROR(INDEX('Daily 크랙 raw'!$A:$ZZ, MATCH(AO$2, 'Daily 크랙 raw'!$A:$A, 0), MATCH($B4, 'Daily 크랙 raw'!$1:$1, 0)), ""), IF(val=0, "", val))</f>
        <v>375</v>
      </c>
      <c r="AP4" s="157">
        <f t="array" ref="AP4">LET(val, IFERROR(INDEX('Daily 크랙 raw'!$A:$ZZ, MATCH(AP$2, 'Daily 크랙 raw'!$A:$A, 0), MATCH($B4, 'Daily 크랙 raw'!$1:$1, 0)), ""), IF(val=0, "", val))</f>
        <v>322</v>
      </c>
      <c r="AQ4" s="157">
        <f t="array" ref="AQ4">LET(val, IFERROR(INDEX('Daily 크랙 raw'!$A:$ZZ, MATCH(AQ$2, 'Daily 크랙 raw'!$A:$A, 0), MATCH($B4, 'Daily 크랙 raw'!$1:$1, 0)), ""), IF(val=0, "", val))</f>
        <v>359</v>
      </c>
      <c r="AR4" s="157">
        <f t="array" ref="AR4">LET(val, IFERROR(INDEX('Daily 크랙 raw'!$A:$ZZ, MATCH(AR$2, 'Daily 크랙 raw'!$A:$A, 0), MATCH($B4, 'Daily 크랙 raw'!$1:$1, 0)), ""), IF(val=0, "", val))</f>
        <v>356</v>
      </c>
      <c r="AS4" s="157">
        <f t="array" ref="AS4">LET(val, IFERROR(INDEX('Daily 크랙 raw'!$A:$ZZ, MATCH(AS$2, 'Daily 크랙 raw'!$A:$A, 0), MATCH($B4, 'Daily 크랙 raw'!$1:$1, 0)), ""), IF(val=0, "", val))</f>
        <v>311</v>
      </c>
      <c r="AT4" s="157">
        <f t="array" ref="AT4">LET(val, IFERROR(INDEX('Daily 크랙 raw'!$A:$ZZ, MATCH(AT$2, 'Daily 크랙 raw'!$A:$A, 0), MATCH($B4, 'Daily 크랙 raw'!$1:$1, 0)), ""), IF(val=0, "", val))</f>
        <v>291</v>
      </c>
      <c r="AU4" s="157">
        <f t="array" ref="AU4">LET(val, IFERROR(INDEX('Daily 크랙 raw'!$A:$ZZ, MATCH(AU$2, 'Daily 크랙 raw'!$A:$A, 0), MATCH($B4, 'Daily 크랙 raw'!$1:$1, 0)), ""), IF(val=0, "", val))</f>
        <v>392</v>
      </c>
      <c r="AV4" s="157">
        <f t="array" ref="AV4">LET(val, IFERROR(INDEX('Daily 크랙 raw'!$A:$ZZ, MATCH(AV$2, 'Daily 크랙 raw'!$A:$A, 0), MATCH($B4, 'Daily 크랙 raw'!$1:$1, 0)), ""), IF(val=0, "", val))</f>
        <v>448</v>
      </c>
      <c r="AW4" s="157">
        <f t="array" ref="AW4">LET(val, IFERROR(INDEX('Daily 크랙 raw'!$A:$ZZ, MATCH(AW$2, 'Daily 크랙 raw'!$A:$A, 0), MATCH($B4, 'Daily 크랙 raw'!$1:$1, 0)), ""), IF(val=0, "", val))</f>
        <v>497</v>
      </c>
      <c r="AX4" s="157">
        <f t="array" ref="AX4">LET(val, IFERROR(INDEX('Daily 크랙 raw'!$A:$ZZ, MATCH(AX$2, 'Daily 크랙 raw'!$A:$A, 0), MATCH($B4, 'Daily 크랙 raw'!$1:$1, 0)), ""), IF(val=0, "", val))</f>
        <v>493</v>
      </c>
      <c r="AY4" s="157">
        <f t="array" ref="AY4">LET(val, IFERROR(INDEX('Daily 크랙 raw'!$A:$ZZ, MATCH(AY$2, 'Daily 크랙 raw'!$A:$A, 0), MATCH($B4, 'Daily 크랙 raw'!$1:$1, 0)), ""), IF(val=0, "", val))</f>
        <v>505</v>
      </c>
      <c r="AZ4" s="157">
        <f t="array" ref="AZ4">LET(val, IFERROR(INDEX('Daily 크랙 raw'!$A:$ZZ, MATCH(AZ$2, 'Daily 크랙 raw'!$A:$A, 0), MATCH($B4, 'Daily 크랙 raw'!$1:$1, 0)), ""), IF(val=0, "", val))</f>
        <v>548</v>
      </c>
      <c r="BA4" s="157">
        <f t="array" ref="BA4">LET(val, IFERROR(INDEX('Daily 크랙 raw'!$A:$ZZ, MATCH(BA$2, 'Daily 크랙 raw'!$A:$A, 0), MATCH($B4, 'Daily 크랙 raw'!$1:$1, 0)), ""), IF(val=0, "", val))</f>
        <v>533</v>
      </c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8"/>
    </row>
    <row r="5" ht="18.75" customHeight="1">
      <c r="A5" s="135"/>
      <c r="B5" s="23" t="s">
        <v>64</v>
      </c>
      <c r="C5" s="136" t="s">
        <v>141</v>
      </c>
      <c r="D5" s="157">
        <f t="array" ref="D5">LET(val, IFERROR(INDEX('Daily 크랙 raw'!$A:$ZZ, MATCH(D$2, 'Daily 크랙 raw'!$A:$A, 0), MATCH($B5, 'Daily 크랙 raw'!$1:$1, 0)), ""), IF(val=0, "", val))</f>
        <v>345</v>
      </c>
      <c r="E5" s="157">
        <f t="array" ref="E5">LET(val, IFERROR(INDEX('Daily 크랙 raw'!$A:$ZZ, MATCH(E$2, 'Daily 크랙 raw'!$A:$A, 0), MATCH($B5, 'Daily 크랙 raw'!$1:$1, 0)), ""), IF(val=0, "", val))</f>
        <v>338</v>
      </c>
      <c r="F5" s="157">
        <f t="array" ref="F5">LET(val, IFERROR(INDEX('Daily 크랙 raw'!$A:$ZZ, MATCH(F$2, 'Daily 크랙 raw'!$A:$A, 0), MATCH($B5, 'Daily 크랙 raw'!$1:$1, 0)), ""), IF(val=0, "", val))</f>
        <v>321</v>
      </c>
      <c r="G5" s="157">
        <f t="array" ref="G5">LET(val, IFERROR(INDEX('Daily 크랙 raw'!$A:$ZZ, MATCH(G$2, 'Daily 크랙 raw'!$A:$A, 0), MATCH($B5, 'Daily 크랙 raw'!$1:$1, 0)), ""), IF(val=0, "", val))</f>
        <v>353</v>
      </c>
      <c r="H5" s="157">
        <f t="array" ref="H5">LET(val, IFERROR(INDEX('Daily 크랙 raw'!$A:$ZZ, MATCH(H$2, 'Daily 크랙 raw'!$A:$A, 0), MATCH($B5, 'Daily 크랙 raw'!$1:$1, 0)), ""), IF(val=0, "", val))</f>
        <v>319</v>
      </c>
      <c r="I5" s="157">
        <f t="array" ref="I5">LET(val, IFERROR(INDEX('Daily 크랙 raw'!$A:$ZZ, MATCH(I$2, 'Daily 크랙 raw'!$A:$A, 0), MATCH($B5, 'Daily 크랙 raw'!$1:$1, 0)), ""), IF(val=0, "", val))</f>
        <v>241</v>
      </c>
      <c r="J5" s="157">
        <f t="array" ref="J5">LET(val, IFERROR(INDEX('Daily 크랙 raw'!$A:$ZZ, MATCH(J$2, 'Daily 크랙 raw'!$A:$A, 0), MATCH($B5, 'Daily 크랙 raw'!$1:$1, 0)), ""), IF(val=0, "", val))</f>
        <v>223</v>
      </c>
      <c r="K5" s="157">
        <f t="array" ref="K5">LET(val, IFERROR(INDEX('Daily 크랙 raw'!$A:$ZZ, MATCH(K$2, 'Daily 크랙 raw'!$A:$A, 0), MATCH($B5, 'Daily 크랙 raw'!$1:$1, 0)), ""), IF(val=0, "", val))</f>
        <v>253</v>
      </c>
      <c r="L5" s="157">
        <f t="array" ref="L5">LET(val, IFERROR(INDEX('Daily 크랙 raw'!$A:$ZZ, MATCH(L$2, 'Daily 크랙 raw'!$A:$A, 0), MATCH($B5, 'Daily 크랙 raw'!$1:$1, 0)), ""), IF(val=0, "", val))</f>
        <v>340</v>
      </c>
      <c r="M5" s="157">
        <f t="array" ref="M5">LET(val, IFERROR(INDEX('Daily 크랙 raw'!$A:$ZZ, MATCH(M$2, 'Daily 크랙 raw'!$A:$A, 0), MATCH($B5, 'Daily 크랙 raw'!$1:$1, 0)), ""), IF(val=0, "", val))</f>
        <v>381</v>
      </c>
      <c r="N5" s="157">
        <f t="array" ref="N5">LET(val, IFERROR(INDEX('Daily 크랙 raw'!$A:$ZZ, MATCH(N$2, 'Daily 크랙 raw'!$A:$A, 0), MATCH($B5, 'Daily 크랙 raw'!$1:$1, 0)), ""), IF(val=0, "", val))</f>
        <v>343</v>
      </c>
      <c r="O5" s="157">
        <f t="array" ref="O5">LET(val, IFERROR(INDEX('Daily 크랙 raw'!$A:$ZZ, MATCH(O$2, 'Daily 크랙 raw'!$A:$A, 0), MATCH($B5, 'Daily 크랙 raw'!$1:$1, 0)), ""), IF(val=0, "", val))</f>
        <v>299</v>
      </c>
      <c r="P5" s="157">
        <f t="array" ref="P5">LET(val, IFERROR(INDEX('Daily 크랙 raw'!$A:$ZZ, MATCH(P$2, 'Daily 크랙 raw'!$A:$A, 0), MATCH($B5, 'Daily 크랙 raw'!$1:$1, 0)), ""), IF(val=0, "", val))</f>
        <v>299</v>
      </c>
      <c r="Q5" s="157">
        <f t="array" ref="Q5">LET(val, IFERROR(INDEX('Daily 크랙 raw'!$A:$ZZ, MATCH(Q$2, 'Daily 크랙 raw'!$A:$A, 0), MATCH($B5, 'Daily 크랙 raw'!$1:$1, 0)), ""), IF(val=0, "", val))</f>
        <v>260</v>
      </c>
      <c r="R5" s="157">
        <f t="array" ref="R5">LET(val, IFERROR(INDEX('Daily 크랙 raw'!$A:$ZZ, MATCH(R$2, 'Daily 크랙 raw'!$A:$A, 0), MATCH($B5, 'Daily 크랙 raw'!$1:$1, 0)), ""), IF(val=0, "", val))</f>
        <v>283</v>
      </c>
      <c r="S5" s="157">
        <f t="array" ref="S5">LET(val, IFERROR(INDEX('Daily 크랙 raw'!$A:$ZZ, MATCH(S$2, 'Daily 크랙 raw'!$A:$A, 0), MATCH($B5, 'Daily 크랙 raw'!$1:$1, 0)), ""), IF(val=0, "", val))</f>
        <v>283</v>
      </c>
      <c r="T5" s="157">
        <f t="array" ref="T5">LET(val, IFERROR(INDEX('Daily 크랙 raw'!$A:$ZZ, MATCH(T$2, 'Daily 크랙 raw'!$A:$A, 0), MATCH($B5, 'Daily 크랙 raw'!$1:$1, 0)), ""), IF(val=0, "", val))</f>
        <v>470</v>
      </c>
      <c r="U5" s="157">
        <f t="array" ref="U5">LET(val, IFERROR(INDEX('Daily 크랙 raw'!$A:$ZZ, MATCH(U$2, 'Daily 크랙 raw'!$A:$A, 0), MATCH($B5, 'Daily 크랙 raw'!$1:$1, 0)), ""), IF(val=0, "", val))</f>
        <v>518</v>
      </c>
      <c r="V5" s="157">
        <f t="array" ref="V5">LET(val, IFERROR(INDEX('Daily 크랙 raw'!$A:$ZZ, MATCH(V$2, 'Daily 크랙 raw'!$A:$A, 0), MATCH($B5, 'Daily 크랙 raw'!$1:$1, 0)), ""), IF(val=0, "", val))</f>
        <v>381</v>
      </c>
      <c r="W5" s="157">
        <f t="array" ref="W5">LET(val, IFERROR(INDEX('Daily 크랙 raw'!$A:$ZZ, MATCH(W$2, 'Daily 크랙 raw'!$A:$A, 0), MATCH($B5, 'Daily 크랙 raw'!$1:$1, 0)), ""), IF(val=0, "", val))</f>
        <v>371</v>
      </c>
      <c r="X5" s="157">
        <f t="array" ref="X5">LET(val, IFERROR(INDEX('Daily 크랙 raw'!$A:$ZZ, MATCH(X$2, 'Daily 크랙 raw'!$A:$A, 0), MATCH($B5, 'Daily 크랙 raw'!$1:$1, 0)), ""), IF(val=0, "", val))</f>
        <v>356</v>
      </c>
      <c r="Y5" s="157">
        <f t="array" ref="Y5">LET(val, IFERROR(INDEX('Daily 크랙 raw'!$A:$ZZ, MATCH(Y$2, 'Daily 크랙 raw'!$A:$A, 0), MATCH($B5, 'Daily 크랙 raw'!$1:$1, 0)), ""), IF(val=0, "", val))</f>
        <v>321</v>
      </c>
      <c r="Z5" s="157">
        <f t="array" ref="Z5">LET(val, IFERROR(INDEX('Daily 크랙 raw'!$A:$ZZ, MATCH(Z$2, 'Daily 크랙 raw'!$A:$A, 0), MATCH($B5, 'Daily 크랙 raw'!$1:$1, 0)), ""), IF(val=0, "", val))</f>
        <v>318</v>
      </c>
      <c r="AA5" s="157">
        <f t="array" ref="AA5">LET(val, IFERROR(INDEX('Daily 크랙 raw'!$A:$ZZ, MATCH(AA$2, 'Daily 크랙 raw'!$A:$A, 0), MATCH($B5, 'Daily 크랙 raw'!$1:$1, 0)), ""), IF(val=0, "", val))</f>
        <v>501</v>
      </c>
      <c r="AB5" s="157">
        <f t="array" ref="AB5">LET(val, IFERROR(INDEX('Daily 크랙 raw'!$A:$ZZ, MATCH(AB$2, 'Daily 크랙 raw'!$A:$A, 0), MATCH($B5, 'Daily 크랙 raw'!$1:$1, 0)), ""), IF(val=0, "", val))</f>
        <v>597</v>
      </c>
      <c r="AC5" s="157">
        <f t="array" ref="AC5">LET(val, IFERROR(INDEX('Daily 크랙 raw'!$A:$ZZ, MATCH(AC$2, 'Daily 크랙 raw'!$A:$A, 0), MATCH($B5, 'Daily 크랙 raw'!$1:$1, 0)), ""), IF(val=0, "", val))</f>
        <v>472</v>
      </c>
      <c r="AD5" s="157">
        <f t="array" ref="AD5">LET(val, IFERROR(INDEX('Daily 크랙 raw'!$A:$ZZ, MATCH(AD$2, 'Daily 크랙 raw'!$A:$A, 0), MATCH($B5, 'Daily 크랙 raw'!$1:$1, 0)), ""), IF(val=0, "", val))</f>
        <v>412</v>
      </c>
      <c r="AE5" s="157">
        <f t="array" ref="AE5">LET(val, IFERROR(INDEX('Daily 크랙 raw'!$A:$ZZ, MATCH(AE$2, 'Daily 크랙 raw'!$A:$A, 0), MATCH($B5, 'Daily 크랙 raw'!$1:$1, 0)), ""), IF(val=0, "", val))</f>
        <v>389</v>
      </c>
      <c r="AF5" s="157">
        <f t="array" ref="AF5">LET(val, IFERROR(INDEX('Daily 크랙 raw'!$A:$ZZ, MATCH(AF$2, 'Daily 크랙 raw'!$A:$A, 0), MATCH($B5, 'Daily 크랙 raw'!$1:$1, 0)), ""), IF(val=0, "", val))</f>
        <v>340</v>
      </c>
      <c r="AG5" s="157">
        <f t="array" ref="AG5">LET(val, IFERROR(INDEX('Daily 크랙 raw'!$A:$ZZ, MATCH(AG$2, 'Daily 크랙 raw'!$A:$A, 0), MATCH($B5, 'Daily 크랙 raw'!$1:$1, 0)), ""), IF(val=0, "", val))</f>
        <v>309</v>
      </c>
      <c r="AH5" s="157">
        <f t="array" ref="AH5">LET(val, IFERROR(INDEX('Daily 크랙 raw'!$A:$ZZ, MATCH(AH$2, 'Daily 크랙 raw'!$A:$A, 0), MATCH($B5, 'Daily 크랙 raw'!$1:$1, 0)), ""), IF(val=0, "", val))</f>
        <v>372</v>
      </c>
      <c r="AI5" s="157">
        <f t="array" ref="AI5">LET(val, IFERROR(INDEX('Daily 크랙 raw'!$A:$ZZ, MATCH(AI$2, 'Daily 크랙 raw'!$A:$A, 0), MATCH($B5, 'Daily 크랙 raw'!$1:$1, 0)), ""), IF(val=0, "", val))</f>
        <v>436</v>
      </c>
      <c r="AJ5" s="157">
        <f t="array" ref="AJ5">LET(val, IFERROR(INDEX('Daily 크랙 raw'!$A:$ZZ, MATCH(AJ$2, 'Daily 크랙 raw'!$A:$A, 0), MATCH($B5, 'Daily 크랙 raw'!$1:$1, 0)), ""), IF(val=0, "", val))</f>
        <v>371</v>
      </c>
      <c r="AK5" s="157">
        <f t="array" ref="AK5">LET(val, IFERROR(INDEX('Daily 크랙 raw'!$A:$ZZ, MATCH(AK$2, 'Daily 크랙 raw'!$A:$A, 0), MATCH($B5, 'Daily 크랙 raw'!$1:$1, 0)), ""), IF(val=0, "", val))</f>
        <v>380</v>
      </c>
      <c r="AL5" s="157">
        <f t="array" ref="AL5">LET(val, IFERROR(INDEX('Daily 크랙 raw'!$A:$ZZ, MATCH(AL$2, 'Daily 크랙 raw'!$A:$A, 0), MATCH($B5, 'Daily 크랙 raw'!$1:$1, 0)), ""), IF(val=0, "", val))</f>
        <v>332</v>
      </c>
      <c r="AM5" s="157">
        <f t="array" ref="AM5">LET(val, IFERROR(INDEX('Daily 크랙 raw'!$A:$ZZ, MATCH(AM$2, 'Daily 크랙 raw'!$A:$A, 0), MATCH($B5, 'Daily 크랙 raw'!$1:$1, 0)), ""), IF(val=0, "", val))</f>
        <v>369</v>
      </c>
      <c r="AN5" s="157">
        <f t="array" ref="AN5">LET(val, IFERROR(INDEX('Daily 크랙 raw'!$A:$ZZ, MATCH(AN$2, 'Daily 크랙 raw'!$A:$A, 0), MATCH($B5, 'Daily 크랙 raw'!$1:$1, 0)), ""), IF(val=0, "", val))</f>
        <v>367</v>
      </c>
      <c r="AO5" s="157">
        <f t="array" ref="AO5">LET(val, IFERROR(INDEX('Daily 크랙 raw'!$A:$ZZ, MATCH(AO$2, 'Daily 크랙 raw'!$A:$A, 0), MATCH($B5, 'Daily 크랙 raw'!$1:$1, 0)), ""), IF(val=0, "", val))</f>
        <v>446</v>
      </c>
      <c r="AP5" s="157">
        <f t="array" ref="AP5">LET(val, IFERROR(INDEX('Daily 크랙 raw'!$A:$ZZ, MATCH(AP$2, 'Daily 크랙 raw'!$A:$A, 0), MATCH($B5, 'Daily 크랙 raw'!$1:$1, 0)), ""), IF(val=0, "", val))</f>
        <v>392</v>
      </c>
      <c r="AQ5" s="157">
        <f t="array" ref="AQ5">LET(val, IFERROR(INDEX('Daily 크랙 raw'!$A:$ZZ, MATCH(AQ$2, 'Daily 크랙 raw'!$A:$A, 0), MATCH($B5, 'Daily 크랙 raw'!$1:$1, 0)), ""), IF(val=0, "", val))</f>
        <v>417</v>
      </c>
      <c r="AR5" s="157">
        <f t="array" ref="AR5">LET(val, IFERROR(INDEX('Daily 크랙 raw'!$A:$ZZ, MATCH(AR$2, 'Daily 크랙 raw'!$A:$A, 0), MATCH($B5, 'Daily 크랙 raw'!$1:$1, 0)), ""), IF(val=0, "", val))</f>
        <v>422</v>
      </c>
      <c r="AS5" s="157">
        <f t="array" ref="AS5">LET(val, IFERROR(INDEX('Daily 크랙 raw'!$A:$ZZ, MATCH(AS$2, 'Daily 크랙 raw'!$A:$A, 0), MATCH($B5, 'Daily 크랙 raw'!$1:$1, 0)), ""), IF(val=0, "", val))</f>
        <v>369</v>
      </c>
      <c r="AT5" s="157">
        <f t="array" ref="AT5">LET(val, IFERROR(INDEX('Daily 크랙 raw'!$A:$ZZ, MATCH(AT$2, 'Daily 크랙 raw'!$A:$A, 0), MATCH($B5, 'Daily 크랙 raw'!$1:$1, 0)), ""), IF(val=0, "", val))</f>
        <v>338</v>
      </c>
      <c r="AU5" s="157">
        <f t="array" ref="AU5">LET(val, IFERROR(INDEX('Daily 크랙 raw'!$A:$ZZ, MATCH(AU$2, 'Daily 크랙 raw'!$A:$A, 0), MATCH($B5, 'Daily 크랙 raw'!$1:$1, 0)), ""), IF(val=0, "", val))</f>
        <v>462</v>
      </c>
      <c r="AV5" s="157">
        <f t="array" ref="AV5">LET(val, IFERROR(INDEX('Daily 크랙 raw'!$A:$ZZ, MATCH(AV$2, 'Daily 크랙 raw'!$A:$A, 0), MATCH($B5, 'Daily 크랙 raw'!$1:$1, 0)), ""), IF(val=0, "", val))</f>
        <v>550</v>
      </c>
      <c r="AW5" s="157">
        <f t="array" ref="AW5">LET(val, IFERROR(INDEX('Daily 크랙 raw'!$A:$ZZ, MATCH(AW$2, 'Daily 크랙 raw'!$A:$A, 0), MATCH($B5, 'Daily 크랙 raw'!$1:$1, 0)), ""), IF(val=0, "", val))</f>
        <v>602</v>
      </c>
      <c r="AX5" s="157">
        <f t="array" ref="AX5">LET(val, IFERROR(INDEX('Daily 크랙 raw'!$A:$ZZ, MATCH(AX$2, 'Daily 크랙 raw'!$A:$A, 0), MATCH($B5, 'Daily 크랙 raw'!$1:$1, 0)), ""), IF(val=0, "", val))</f>
        <v>611</v>
      </c>
      <c r="AY5" s="157">
        <f t="array" ref="AY5">LET(val, IFERROR(INDEX('Daily 크랙 raw'!$A:$ZZ, MATCH(AY$2, 'Daily 크랙 raw'!$A:$A, 0), MATCH($B5, 'Daily 크랙 raw'!$1:$1, 0)), ""), IF(val=0, "", val))</f>
        <v>595</v>
      </c>
      <c r="AZ5" s="157">
        <f t="array" ref="AZ5">LET(val, IFERROR(INDEX('Daily 크랙 raw'!$A:$ZZ, MATCH(AZ$2, 'Daily 크랙 raw'!$A:$A, 0), MATCH($B5, 'Daily 크랙 raw'!$1:$1, 0)), ""), IF(val=0, "", val))</f>
        <v>672</v>
      </c>
      <c r="BA5" s="157">
        <f t="array" ref="BA5">LET(val, IFERROR(INDEX('Daily 크랙 raw'!$A:$ZZ, MATCH(BA$2, 'Daily 크랙 raw'!$A:$A, 0), MATCH($B5, 'Daily 크랙 raw'!$1:$1, 0)), ""), IF(val=0, "", val))</f>
        <v>623</v>
      </c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8"/>
    </row>
    <row r="6" ht="18.75" customHeight="1">
      <c r="A6" s="1"/>
      <c r="B6" s="11" t="s">
        <v>18</v>
      </c>
      <c r="C6" s="1" t="s">
        <v>18</v>
      </c>
      <c r="D6" s="158">
        <f t="array" ref="D6">LET(val, IFERROR(INDEX('Daily 크랙 raw'!$A:$ZZ, MATCH(D$2, 'Daily 크랙 raw'!$A:$A, 0), MATCH($B6, 'Daily 크랙 raw'!$1:$1, 0)), ""), IF(val=0, "", val))</f>
        <v>0.166324992</v>
      </c>
      <c r="E6" s="158">
        <f t="array" ref="E6">LET(val, IFERROR(INDEX('Daily 크랙 raw'!$A:$ZZ, MATCH(E$2, 'Daily 크랙 raw'!$A:$A, 0), MATCH($B6, 'Daily 크랙 raw'!$1:$1, 0)), ""), IF(val=0, "", val))</f>
        <v>0.1573006806</v>
      </c>
      <c r="F6" s="158">
        <f t="array" ref="F6">LET(val, IFERROR(INDEX('Daily 크랙 raw'!$A:$ZZ, MATCH(F$2, 'Daily 크랙 raw'!$A:$A, 0), MATCH($B6, 'Daily 크랙 raw'!$1:$1, 0)), ""), IF(val=0, "", val))</f>
        <v>0.1592565354</v>
      </c>
      <c r="G6" s="158">
        <f t="array" ref="G6">LET(val, IFERROR(INDEX('Daily 크랙 raw'!$A:$ZZ, MATCH(G$2, 'Daily 크랙 raw'!$A:$A, 0), MATCH($B6, 'Daily 크랙 raw'!$1:$1, 0)), ""), IF(val=0, "", val))</f>
        <v>0.1684557947</v>
      </c>
      <c r="H6" s="158">
        <f t="array" ref="H6">LET(val, IFERROR(INDEX('Daily 크랙 raw'!$A:$ZZ, MATCH(H$2, 'Daily 크랙 raw'!$A:$A, 0), MATCH($B6, 'Daily 크랙 raw'!$1:$1, 0)), ""), IF(val=0, "", val))</f>
        <v>0.1766275986</v>
      </c>
      <c r="I6" s="158">
        <f t="array" ref="I6">LET(val, IFERROR(INDEX('Daily 크랙 raw'!$A:$ZZ, MATCH(I$2, 'Daily 크랙 raw'!$A:$A, 0), MATCH($B6, 'Daily 크랙 raw'!$1:$1, 0)), ""), IF(val=0, "", val))</f>
        <v>0.1558887188</v>
      </c>
      <c r="J6" s="158">
        <f t="array" ref="J6">LET(val, IFERROR(INDEX('Daily 크랙 raw'!$A:$ZZ, MATCH(J$2, 'Daily 크랙 raw'!$A:$A, 0), MATCH($B6, 'Daily 크랙 raw'!$1:$1, 0)), ""), IF(val=0, "", val))</f>
        <v>0.1602032535</v>
      </c>
      <c r="K6" s="158">
        <f t="array" ref="K6">LET(val, IFERROR(INDEX('Daily 크랙 raw'!$A:$ZZ, MATCH(K$2, 'Daily 크랙 raw'!$A:$A, 0), MATCH($B6, 'Daily 크랙 raw'!$1:$1, 0)), ""), IF(val=0, "", val))</f>
        <v>0.1612464209</v>
      </c>
      <c r="L6" s="158">
        <f t="array" ref="L6">LET(val, IFERROR(INDEX('Daily 크랙 raw'!$A:$ZZ, MATCH(L$2, 'Daily 크랙 raw'!$A:$A, 0), MATCH($B6, 'Daily 크랙 raw'!$1:$1, 0)), ""), IF(val=0, "", val))</f>
        <v>0.1719245124</v>
      </c>
      <c r="M6" s="158">
        <f t="array" ref="M6">LET(val, IFERROR(INDEX('Daily 크랙 raw'!$A:$ZZ, MATCH(M$2, 'Daily 크랙 raw'!$A:$A, 0), MATCH($B6, 'Daily 크랙 raw'!$1:$1, 0)), ""), IF(val=0, "", val))</f>
        <v>0.1770926474</v>
      </c>
      <c r="N6" s="158">
        <f t="array" ref="N6">LET(val, IFERROR(INDEX('Daily 크랙 raw'!$A:$ZZ, MATCH(N$2, 'Daily 크랙 raw'!$A:$A, 0), MATCH($B6, 'Daily 크랙 raw'!$1:$1, 0)), ""), IF(val=0, "", val))</f>
        <v>0.1861915142</v>
      </c>
      <c r="O6" s="158">
        <f t="array" ref="O6">LET(val, IFERROR(INDEX('Daily 크랙 raw'!$A:$ZZ, MATCH(O$2, 'Daily 크랙 raw'!$A:$A, 0), MATCH($B6, 'Daily 크랙 raw'!$1:$1, 0)), ""), IF(val=0, "", val))</f>
        <v>0.1801035313</v>
      </c>
      <c r="P6" s="158">
        <f t="array" ref="P6">LET(val, IFERROR(INDEX('Daily 크랙 raw'!$A:$ZZ, MATCH(P$2, 'Daily 크랙 raw'!$A:$A, 0), MATCH($B6, 'Daily 크랙 raw'!$1:$1, 0)), ""), IF(val=0, "", val))</f>
        <v>0.1761511094</v>
      </c>
      <c r="Q6" s="158">
        <f t="array" ref="Q6">LET(val, IFERROR(INDEX('Daily 크랙 raw'!$A:$ZZ, MATCH(Q$2, 'Daily 크랙 raw'!$A:$A, 0), MATCH($B6, 'Daily 크랙 raw'!$1:$1, 0)), ""), IF(val=0, "", val))</f>
        <v>0.1306944804</v>
      </c>
      <c r="R6" s="158">
        <f t="array" ref="R6">LET(val, IFERROR(INDEX('Daily 크랙 raw'!$A:$ZZ, MATCH(R$2, 'Daily 크랙 raw'!$A:$A, 0), MATCH($B6, 'Daily 크랙 raw'!$1:$1, 0)), ""), IF(val=0, "", val))</f>
        <v>0.1638564563</v>
      </c>
      <c r="S6" s="158">
        <f t="array" ref="S6">LET(val, IFERROR(INDEX('Daily 크랙 raw'!$A:$ZZ, MATCH(S$2, 'Daily 크랙 raw'!$A:$A, 0), MATCH($B6, 'Daily 크랙 raw'!$1:$1, 0)), ""), IF(val=0, "", val))</f>
        <v>0.1690530018</v>
      </c>
      <c r="T6" s="158">
        <f t="array" ref="T6">LET(val, IFERROR(INDEX('Daily 크랙 raw'!$A:$ZZ, MATCH(T$2, 'Daily 크랙 raw'!$A:$A, 0), MATCH($B6, 'Daily 크랙 raw'!$1:$1, 0)), ""), IF(val=0, "", val))</f>
        <v>0.1525062056</v>
      </c>
      <c r="U6" s="158">
        <f t="array" ref="U6">LET(val, IFERROR(INDEX('Daily 크랙 raw'!$A:$ZZ, MATCH(U$2, 'Daily 크랙 raw'!$A:$A, 0), MATCH($B6, 'Daily 크랙 raw'!$1:$1, 0)), ""), IF(val=0, "", val))</f>
        <v>0.1759971187</v>
      </c>
      <c r="V6" s="158">
        <f t="array" ref="V6">LET(val, IFERROR(INDEX('Daily 크랙 raw'!$A:$ZZ, MATCH(V$2, 'Daily 크랙 raw'!$A:$A, 0), MATCH($B6, 'Daily 크랙 raw'!$1:$1, 0)), ""), IF(val=0, "", val))</f>
        <v>0.1781223532</v>
      </c>
      <c r="W6" s="158">
        <f t="array" ref="W6">LET(val, IFERROR(INDEX('Daily 크랙 raw'!$A:$ZZ, MATCH(W$2, 'Daily 크랙 raw'!$A:$A, 0), MATCH($B6, 'Daily 크랙 raw'!$1:$1, 0)), ""), IF(val=0, "", val))</f>
        <v>0.1576188916</v>
      </c>
      <c r="X6" s="158">
        <f t="array" ref="X6">LET(val, IFERROR(INDEX('Daily 크랙 raw'!$A:$ZZ, MATCH(X$2, 'Daily 크랙 raw'!$A:$A, 0), MATCH($B6, 'Daily 크랙 raw'!$1:$1, 0)), ""), IF(val=0, "", val))</f>
        <v>0.167295841</v>
      </c>
      <c r="Y6" s="158">
        <f t="array" ref="Y6">LET(val, IFERROR(INDEX('Daily 크랙 raw'!$A:$ZZ, MATCH(Y$2, 'Daily 크랙 raw'!$A:$A, 0), MATCH($B6, 'Daily 크랙 raw'!$1:$1, 0)), ""), IF(val=0, "", val))</f>
        <v>0.1657994913</v>
      </c>
      <c r="Z6" s="158">
        <f t="array" ref="Z6">LET(val, IFERROR(INDEX('Daily 크랙 raw'!$A:$ZZ, MATCH(Z$2, 'Daily 크랙 raw'!$A:$A, 0), MATCH($B6, 'Daily 크랙 raw'!$1:$1, 0)), ""), IF(val=0, "", val))</f>
        <v>0.1579496144</v>
      </c>
      <c r="AA6" s="158">
        <f t="array" ref="AA6">LET(val, IFERROR(INDEX('Daily 크랙 raw'!$A:$ZZ, MATCH(AA$2, 'Daily 크랙 raw'!$A:$A, 0), MATCH($B6, 'Daily 크랙 raw'!$1:$1, 0)), ""), IF(val=0, "", val))</f>
        <v>0.1664030272</v>
      </c>
      <c r="AB6" s="158">
        <f t="array" ref="AB6">LET(val, IFERROR(INDEX('Daily 크랙 raw'!$A:$ZZ, MATCH(AB$2, 'Daily 크랙 raw'!$A:$A, 0), MATCH($B6, 'Daily 크랙 raw'!$1:$1, 0)), ""), IF(val=0, "", val))</f>
        <v>0.1778747825</v>
      </c>
      <c r="AC6" s="158">
        <f t="array" ref="AC6">LET(val, IFERROR(INDEX('Daily 크랙 raw'!$A:$ZZ, MATCH(AC$2, 'Daily 크랙 raw'!$A:$A, 0), MATCH($B6, 'Daily 크랙 raw'!$1:$1, 0)), ""), IF(val=0, "", val))</f>
        <v>0.1666518676</v>
      </c>
      <c r="AD6" s="158">
        <f t="array" ref="AD6">LET(val, IFERROR(INDEX('Daily 크랙 raw'!$A:$ZZ, MATCH(AD$2, 'Daily 크랙 raw'!$A:$A, 0), MATCH($B6, 'Daily 크랙 raw'!$1:$1, 0)), ""), IF(val=0, "", val))</f>
        <v>0.1773129207</v>
      </c>
      <c r="AE6" s="158">
        <f t="array" ref="AE6">LET(val, IFERROR(INDEX('Daily 크랙 raw'!$A:$ZZ, MATCH(AE$2, 'Daily 크랙 raw'!$A:$A, 0), MATCH($B6, 'Daily 크랙 raw'!$1:$1, 0)), ""), IF(val=0, "", val))</f>
        <v>0.1742706317</v>
      </c>
      <c r="AF6" s="158">
        <f t="array" ref="AF6">LET(val, IFERROR(INDEX('Daily 크랙 raw'!$A:$ZZ, MATCH(AF$2, 'Daily 크랙 raw'!$A:$A, 0), MATCH($B6, 'Daily 크랙 raw'!$1:$1, 0)), ""), IF(val=0, "", val))</f>
        <v>0.1742387907</v>
      </c>
      <c r="AG6" s="158">
        <f t="array" ref="AG6">LET(val, IFERROR(INDEX('Daily 크랙 raw'!$A:$ZZ, MATCH(AG$2, 'Daily 크랙 raw'!$A:$A, 0), MATCH($B6, 'Daily 크랙 raw'!$1:$1, 0)), ""), IF(val=0, "", val))</f>
        <v>0.1759730689</v>
      </c>
      <c r="AH6" s="158">
        <f t="array" ref="AH6">LET(val, IFERROR(INDEX('Daily 크랙 raw'!$A:$ZZ, MATCH(AH$2, 'Daily 크랙 raw'!$A:$A, 0), MATCH($B6, 'Daily 크랙 raw'!$1:$1, 0)), ""), IF(val=0, "", val))</f>
        <v>0.1816386308</v>
      </c>
      <c r="AI6" s="158">
        <f t="array" ref="AI6">LET(val, IFERROR(INDEX('Daily 크랙 raw'!$A:$ZZ, MATCH(AI$2, 'Daily 크랙 raw'!$A:$A, 0), MATCH($B6, 'Daily 크랙 raw'!$1:$1, 0)), ""), IF(val=0, "", val))</f>
        <v>0.2006143939</v>
      </c>
      <c r="AJ6" s="158">
        <f t="array" ref="AJ6">LET(val, IFERROR(INDEX('Daily 크랙 raw'!$A:$ZZ, MATCH(AJ$2, 'Daily 크랙 raw'!$A:$A, 0), MATCH($B6, 'Daily 크랙 raw'!$1:$1, 0)), ""), IF(val=0, "", val))</f>
        <v>0.1865592467</v>
      </c>
      <c r="AK6" s="158">
        <f t="array" ref="AK6">LET(val, IFERROR(INDEX('Daily 크랙 raw'!$A:$ZZ, MATCH(AK$2, 'Daily 크랙 raw'!$A:$A, 0), MATCH($B6, 'Daily 크랙 raw'!$1:$1, 0)), ""), IF(val=0, "", val))</f>
        <v>0.1757967881</v>
      </c>
      <c r="AL6" s="158">
        <f t="array" ref="AL6">LET(val, IFERROR(INDEX('Daily 크랙 raw'!$A:$ZZ, MATCH(AL$2, 'Daily 크랙 raw'!$A:$A, 0), MATCH($B6, 'Daily 크랙 raw'!$1:$1, 0)), ""), IF(val=0, "", val))</f>
        <v>0.1761924582</v>
      </c>
      <c r="AM6" s="158">
        <f t="array" ref="AM6">LET(val, IFERROR(INDEX('Daily 크랙 raw'!$A:$ZZ, MATCH(AM$2, 'Daily 크랙 raw'!$A:$A, 0), MATCH($B6, 'Daily 크랙 raw'!$1:$1, 0)), ""), IF(val=0, "", val))</f>
        <v>0.1752437614</v>
      </c>
      <c r="AN6" s="158">
        <f t="array" ref="AN6">LET(val, IFERROR(INDEX('Daily 크랙 raw'!$A:$ZZ, MATCH(AN$2, 'Daily 크랙 raw'!$A:$A, 0), MATCH($B6, 'Daily 크랙 raw'!$1:$1, 0)), ""), IF(val=0, "", val))</f>
        <v>0.1692635025</v>
      </c>
      <c r="AO6" s="158">
        <f t="array" ref="AO6">LET(val, IFERROR(INDEX('Daily 크랙 raw'!$A:$ZZ, MATCH(AO$2, 'Daily 크랙 raw'!$A:$A, 0), MATCH($B6, 'Daily 크랙 raw'!$1:$1, 0)), ""), IF(val=0, "", val))</f>
        <v>0.1694169417</v>
      </c>
      <c r="AP6" s="158">
        <f t="array" ref="AP6">LET(val, IFERROR(INDEX('Daily 크랙 raw'!$A:$ZZ, MATCH(AP$2, 'Daily 크랙 raw'!$A:$A, 0), MATCH($B6, 'Daily 크랙 raw'!$1:$1, 0)), ""), IF(val=0, "", val))</f>
        <v>0.1764883459</v>
      </c>
      <c r="AQ6" s="158">
        <f t="array" ref="AQ6">LET(val, IFERROR(INDEX('Daily 크랙 raw'!$A:$ZZ, MATCH(AQ$2, 'Daily 크랙 raw'!$A:$A, 0), MATCH($B6, 'Daily 크랙 raw'!$1:$1, 0)), ""), IF(val=0, "", val))</f>
        <v>0.1830577503</v>
      </c>
      <c r="AR6" s="158">
        <f t="array" ref="AR6">LET(val, IFERROR(INDEX('Daily 크랙 raw'!$A:$ZZ, MATCH(AR$2, 'Daily 크랙 raw'!$A:$A, 0), MATCH($B6, 'Daily 크랙 raw'!$1:$1, 0)), ""), IF(val=0, "", val))</f>
        <v>0.1835134391</v>
      </c>
      <c r="AS6" s="158">
        <f t="array" ref="AS6">LET(val, IFERROR(INDEX('Daily 크랙 raw'!$A:$ZZ, MATCH(AS$2, 'Daily 크랙 raw'!$A:$A, 0), MATCH($B6, 'Daily 크랙 raw'!$1:$1, 0)), ""), IF(val=0, "", val))</f>
        <v>0.1767569063</v>
      </c>
      <c r="AT6" s="158">
        <f t="array" ref="AT6">LET(val, IFERROR(INDEX('Daily 크랙 raw'!$A:$ZZ, MATCH(AT$2, 'Daily 크랙 raw'!$A:$A, 0), MATCH($B6, 'Daily 크랙 raw'!$1:$1, 0)), ""), IF(val=0, "", val))</f>
        <v>0.1697917846</v>
      </c>
      <c r="AU6" s="158">
        <f t="array" ref="AU6">LET(val, IFERROR(INDEX('Daily 크랙 raw'!$A:$ZZ, MATCH(AU$2, 'Daily 크랙 raw'!$A:$A, 0), MATCH($B6, 'Daily 크랙 raw'!$1:$1, 0)), ""), IF(val=0, "", val))</f>
        <v>0.1728682171</v>
      </c>
      <c r="AV6" s="158">
        <f t="array" ref="AV6">LET(val, IFERROR(INDEX('Daily 크랙 raw'!$A:$ZZ, MATCH(AV$2, 'Daily 크랙 raw'!$A:$A, 0), MATCH($B6, 'Daily 크랙 raw'!$1:$1, 0)), ""), IF(val=0, "", val))</f>
        <v>0.167592398</v>
      </c>
      <c r="AW6" s="158">
        <f t="array" ref="AW6">LET(val, IFERROR(INDEX('Daily 크랙 raw'!$A:$ZZ, MATCH(AW$2, 'Daily 크랙 raw'!$A:$A, 0), MATCH($B6, 'Daily 크랙 raw'!$1:$1, 0)), ""), IF(val=0, "", val))</f>
        <v>0.1705288176</v>
      </c>
      <c r="AX6" s="158">
        <f t="array" ref="AX6">LET(val, IFERROR(INDEX('Daily 크랙 raw'!$A:$ZZ, MATCH(AX$2, 'Daily 크랙 raw'!$A:$A, 0), MATCH($B6, 'Daily 크랙 raw'!$1:$1, 0)), ""), IF(val=0, "", val))</f>
        <v>0.17503942</v>
      </c>
      <c r="AY6" s="158">
        <f t="array" ref="AY6">LET(val, IFERROR(INDEX('Daily 크랙 raw'!$A:$ZZ, MATCH(AY$2, 'Daily 크랙 raw'!$A:$A, 0), MATCH($B6, 'Daily 크랙 raw'!$1:$1, 0)), ""), IF(val=0, "", val))</f>
        <v>0.1888606459</v>
      </c>
      <c r="AZ6" s="158">
        <f t="array" ref="AZ6">LET(val, IFERROR(INDEX('Daily 크랙 raw'!$A:$ZZ, MATCH(AZ$2, 'Daily 크랙 raw'!$A:$A, 0), MATCH($B6, 'Daily 크랙 raw'!$1:$1, 0)), ""), IF(val=0, "", val))</f>
        <v>0.1911335658</v>
      </c>
      <c r="BA6" s="158">
        <f t="array" ref="BA6">LET(val, IFERROR(INDEX('Daily 크랙 raw'!$A:$ZZ, MATCH(BA$2, 'Daily 크랙 raw'!$A:$A, 0), MATCH($B6, 'Daily 크랙 raw'!$1:$1, 0)), ""), IF(val=0, "", val))</f>
        <v>0.1802288343</v>
      </c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40"/>
    </row>
    <row r="7" ht="18.75" customHeight="1">
      <c r="A7" s="135"/>
      <c r="B7" s="23" t="s">
        <v>19</v>
      </c>
      <c r="C7" s="136" t="s">
        <v>20</v>
      </c>
      <c r="D7" s="157">
        <f t="array" ref="D7">LET(val, IFERROR(INDEX('Daily 크랙 raw'!$A:$ZZ, MATCH(D$2, 'Daily 크랙 raw'!$A:$A, 0), MATCH($B7, 'Daily 크랙 raw'!$1:$1, 0)), ""), IF(val=0, "", val))</f>
        <v>9817</v>
      </c>
      <c r="E7" s="157">
        <f t="array" ref="E7">LET(val, IFERROR(INDEX('Daily 크랙 raw'!$A:$ZZ, MATCH(E$2, 'Daily 크랙 raw'!$A:$A, 0), MATCH($B7, 'Daily 크랙 raw'!$1:$1, 0)), ""), IF(val=0, "", val))</f>
        <v>9198</v>
      </c>
      <c r="F7" s="157">
        <f t="array" ref="F7">LET(val, IFERROR(INDEX('Daily 크랙 raw'!$A:$ZZ, MATCH(F$2, 'Daily 크랙 raw'!$A:$A, 0), MATCH($B7, 'Daily 크랙 raw'!$1:$1, 0)), ""), IF(val=0, "", val))</f>
        <v>9528</v>
      </c>
      <c r="G7" s="157">
        <f t="array" ref="G7">LET(val, IFERROR(INDEX('Daily 크랙 raw'!$A:$ZZ, MATCH(G$2, 'Daily 크랙 raw'!$A:$A, 0), MATCH($B7, 'Daily 크랙 raw'!$1:$1, 0)), ""), IF(val=0, "", val))</f>
        <v>10310</v>
      </c>
      <c r="H7" s="157">
        <f t="array" ref="H7">LET(val, IFERROR(INDEX('Daily 크랙 raw'!$A:$ZZ, MATCH(H$2, 'Daily 크랙 raw'!$A:$A, 0), MATCH($B7, 'Daily 크랙 raw'!$1:$1, 0)), ""), IF(val=0, "", val))</f>
        <v>10323</v>
      </c>
      <c r="I7" s="157">
        <f t="array" ref="I7">LET(val, IFERROR(INDEX('Daily 크랙 raw'!$A:$ZZ, MATCH(I$2, 'Daily 크랙 raw'!$A:$A, 0), MATCH($B7, 'Daily 크랙 raw'!$1:$1, 0)), ""), IF(val=0, "", val))</f>
        <v>8859</v>
      </c>
      <c r="J7" s="157">
        <f t="array" ref="J7">LET(val, IFERROR(INDEX('Daily 크랙 raw'!$A:$ZZ, MATCH(J$2, 'Daily 크랙 raw'!$A:$A, 0), MATCH($B7, 'Daily 크랙 raw'!$1:$1, 0)), ""), IF(val=0, "", val))</f>
        <v>9080</v>
      </c>
      <c r="K7" s="157">
        <f t="array" ref="K7">LET(val, IFERROR(INDEX('Daily 크랙 raw'!$A:$ZZ, MATCH(K$2, 'Daily 크랙 raw'!$A:$A, 0), MATCH($B7, 'Daily 크랙 raw'!$1:$1, 0)), ""), IF(val=0, "", val))</f>
        <v>9123</v>
      </c>
      <c r="L7" s="157">
        <f t="array" ref="L7">LET(val, IFERROR(INDEX('Daily 크랙 raw'!$A:$ZZ, MATCH(L$2, 'Daily 크랙 raw'!$A:$A, 0), MATCH($B7, 'Daily 크랙 raw'!$1:$1, 0)), ""), IF(val=0, "", val))</f>
        <v>9766</v>
      </c>
      <c r="M7" s="157">
        <f t="array" ref="M7">LET(val, IFERROR(INDEX('Daily 크랙 raw'!$A:$ZZ, MATCH(M$2, 'Daily 크랙 raw'!$A:$A, 0), MATCH($B7, 'Daily 크랙 raw'!$1:$1, 0)), ""), IF(val=0, "", val))</f>
        <v>10299</v>
      </c>
      <c r="N7" s="157">
        <f t="array" ref="N7">LET(val, IFERROR(INDEX('Daily 크랙 raw'!$A:$ZZ, MATCH(N$2, 'Daily 크랙 raw'!$A:$A, 0), MATCH($B7, 'Daily 크랙 raw'!$1:$1, 0)), ""), IF(val=0, "", val))</f>
        <v>11019</v>
      </c>
      <c r="O7" s="157">
        <f t="array" ref="O7">LET(val, IFERROR(INDEX('Daily 크랙 raw'!$A:$ZZ, MATCH(O$2, 'Daily 크랙 raw'!$A:$A, 0), MATCH($B7, 'Daily 크랙 raw'!$1:$1, 0)), ""), IF(val=0, "", val))</f>
        <v>10542</v>
      </c>
      <c r="P7" s="157">
        <f t="array" ref="P7">LET(val, IFERROR(INDEX('Daily 크랙 raw'!$A:$ZZ, MATCH(P$2, 'Daily 크랙 raw'!$A:$A, 0), MATCH($B7, 'Daily 크랙 raw'!$1:$1, 0)), ""), IF(val=0, "", val))</f>
        <v>10249</v>
      </c>
      <c r="Q7" s="157">
        <f t="array" ref="Q7">LET(val, IFERROR(INDEX('Daily 크랙 raw'!$A:$ZZ, MATCH(Q$2, 'Daily 크랙 raw'!$A:$A, 0), MATCH($B7, 'Daily 크랙 raw'!$1:$1, 0)), ""), IF(val=0, "", val))</f>
        <v>10087</v>
      </c>
      <c r="R7" s="157">
        <f t="array" ref="R7">LET(val, IFERROR(INDEX('Daily 크랙 raw'!$A:$ZZ, MATCH(R$2, 'Daily 크랙 raw'!$A:$A, 0), MATCH($B7, 'Daily 크랙 raw'!$1:$1, 0)), ""), IF(val=0, "", val))</f>
        <v>9922</v>
      </c>
      <c r="S7" s="157">
        <f t="array" ref="S7">LET(val, IFERROR(INDEX('Daily 크랙 raw'!$A:$ZZ, MATCH(S$2, 'Daily 크랙 raw'!$A:$A, 0), MATCH($B7, 'Daily 크랙 raw'!$1:$1, 0)), ""), IF(val=0, "", val))</f>
        <v>10095</v>
      </c>
      <c r="T7" s="157">
        <f t="array" ref="T7">LET(val, IFERROR(INDEX('Daily 크랙 raw'!$A:$ZZ, MATCH(T$2, 'Daily 크랙 raw'!$A:$A, 0), MATCH($B7, 'Daily 크랙 raw'!$1:$1, 0)), ""), IF(val=0, "", val))</f>
        <v>10506</v>
      </c>
      <c r="U7" s="157">
        <f t="array" ref="U7">LET(val, IFERROR(INDEX('Daily 크랙 raw'!$A:$ZZ, MATCH(U$2, 'Daily 크랙 raw'!$A:$A, 0), MATCH($B7, 'Daily 크랙 raw'!$1:$1, 0)), ""), IF(val=0, "", val))</f>
        <v>11239</v>
      </c>
      <c r="V7" s="157">
        <f t="array" ref="V7">LET(val, IFERROR(INDEX('Daily 크랙 raw'!$A:$ZZ, MATCH(V$2, 'Daily 크랙 raw'!$A:$A, 0), MATCH($B7, 'Daily 크랙 raw'!$1:$1, 0)), ""), IF(val=0, "", val))</f>
        <v>10936</v>
      </c>
      <c r="W7" s="157">
        <f t="array" ref="W7">LET(val, IFERROR(INDEX('Daily 크랙 raw'!$A:$ZZ, MATCH(W$2, 'Daily 크랙 raw'!$A:$A, 0), MATCH($B7, 'Daily 크랙 raw'!$1:$1, 0)), ""), IF(val=0, "", val))</f>
        <v>10586</v>
      </c>
      <c r="X7" s="157">
        <f t="array" ref="X7">LET(val, IFERROR(INDEX('Daily 크랙 raw'!$A:$ZZ, MATCH(X$2, 'Daily 크랙 raw'!$A:$A, 0), MATCH($B7, 'Daily 크랙 raw'!$1:$1, 0)), ""), IF(val=0, "", val))</f>
        <v>10370</v>
      </c>
      <c r="Y7" s="157">
        <f t="array" ref="Y7">LET(val, IFERROR(INDEX('Daily 크랙 raw'!$A:$ZZ, MATCH(Y$2, 'Daily 크랙 raw'!$A:$A, 0), MATCH($B7, 'Daily 크랙 raw'!$1:$1, 0)), ""), IF(val=0, "", val))</f>
        <v>9974</v>
      </c>
      <c r="Z7" s="157">
        <f t="array" ref="Z7">LET(val, IFERROR(INDEX('Daily 크랙 raw'!$A:$ZZ, MATCH(Z$2, 'Daily 크랙 raw'!$A:$A, 0), MATCH($B7, 'Daily 크랙 raw'!$1:$1, 0)), ""), IF(val=0, "", val))</f>
        <v>10301</v>
      </c>
      <c r="AA7" s="157">
        <f t="array" ref="AA7">LET(val, IFERROR(INDEX('Daily 크랙 raw'!$A:$ZZ, MATCH(AA$2, 'Daily 크랙 raw'!$A:$A, 0), MATCH($B7, 'Daily 크랙 raw'!$1:$1, 0)), ""), IF(val=0, "", val))</f>
        <v>10730</v>
      </c>
      <c r="AB7" s="157">
        <f t="array" ref="AB7">LET(val, IFERROR(INDEX('Daily 크랙 raw'!$A:$ZZ, MATCH(AB$2, 'Daily 크랙 raw'!$A:$A, 0), MATCH($B7, 'Daily 크랙 raw'!$1:$1, 0)), ""), IF(val=0, "", val))</f>
        <v>11654</v>
      </c>
      <c r="AC7" s="157">
        <f t="array" ref="AC7">LET(val, IFERROR(INDEX('Daily 크랙 raw'!$A:$ZZ, MATCH(AC$2, 'Daily 크랙 raw'!$A:$A, 0), MATCH($B7, 'Daily 크랙 raw'!$1:$1, 0)), ""), IF(val=0, "", val))</f>
        <v>11261</v>
      </c>
      <c r="AD7" s="157">
        <f t="array" ref="AD7">LET(val, IFERROR(INDEX('Daily 크랙 raw'!$A:$ZZ, MATCH(AD$2, 'Daily 크랙 raw'!$A:$A, 0), MATCH($B7, 'Daily 크랙 raw'!$1:$1, 0)), ""), IF(val=0, "", val))</f>
        <v>10748</v>
      </c>
      <c r="AE7" s="157">
        <f t="array" ref="AE7">LET(val, IFERROR(INDEX('Daily 크랙 raw'!$A:$ZZ, MATCH(AE$2, 'Daily 크랙 raw'!$A:$A, 0), MATCH($B7, 'Daily 크랙 raw'!$1:$1, 0)), ""), IF(val=0, "", val))</f>
        <v>10531</v>
      </c>
      <c r="AF7" s="157">
        <f t="array" ref="AF7">LET(val, IFERROR(INDEX('Daily 크랙 raw'!$A:$ZZ, MATCH(AF$2, 'Daily 크랙 raw'!$A:$A, 0), MATCH($B7, 'Daily 크랙 raw'!$1:$1, 0)), ""), IF(val=0, "", val))</f>
        <v>10535</v>
      </c>
      <c r="AG7" s="157">
        <f t="array" ref="AG7">LET(val, IFERROR(INDEX('Daily 크랙 raw'!$A:$ZZ, MATCH(AG$2, 'Daily 크랙 raw'!$A:$A, 0), MATCH($B7, 'Daily 크랙 raw'!$1:$1, 0)), ""), IF(val=0, "", val))</f>
        <v>10507</v>
      </c>
      <c r="AH7" s="157">
        <f t="array" ref="AH7">LET(val, IFERROR(INDEX('Daily 크랙 raw'!$A:$ZZ, MATCH(AH$2, 'Daily 크랙 raw'!$A:$A, 0), MATCH($B7, 'Daily 크랙 raw'!$1:$1, 0)), ""), IF(val=0, "", val))</f>
        <v>10852</v>
      </c>
      <c r="AI7" s="157">
        <f t="array" ref="AI7">LET(val, IFERROR(INDEX('Daily 크랙 raw'!$A:$ZZ, MATCH(AI$2, 'Daily 크랙 raw'!$A:$A, 0), MATCH($B7, 'Daily 크랙 raw'!$1:$1, 0)), ""), IF(val=0, "", val))</f>
        <v>12212</v>
      </c>
      <c r="AJ7" s="157">
        <f t="array" ref="AJ7">LET(val, IFERROR(INDEX('Daily 크랙 raw'!$A:$ZZ, MATCH(AJ$2, 'Daily 크랙 raw'!$A:$A, 0), MATCH($B7, 'Daily 크랙 raw'!$1:$1, 0)), ""), IF(val=0, "", val))</f>
        <v>11254</v>
      </c>
      <c r="AK7" s="157">
        <f t="array" ref="AK7">LET(val, IFERROR(INDEX('Daily 크랙 raw'!$A:$ZZ, MATCH(AK$2, 'Daily 크랙 raw'!$A:$A, 0), MATCH($B7, 'Daily 크랙 raw'!$1:$1, 0)), ""), IF(val=0, "", val))</f>
        <v>10651</v>
      </c>
      <c r="AL7" s="157">
        <f t="array" ref="AL7">LET(val, IFERROR(INDEX('Daily 크랙 raw'!$A:$ZZ, MATCH(AL$2, 'Daily 크랙 raw'!$A:$A, 0), MATCH($B7, 'Daily 크랙 raw'!$1:$1, 0)), ""), IF(val=0, "", val))</f>
        <v>10583</v>
      </c>
      <c r="AM7" s="157">
        <f t="array" ref="AM7">LET(val, IFERROR(INDEX('Daily 크랙 raw'!$A:$ZZ, MATCH(AM$2, 'Daily 크랙 raw'!$A:$A, 0), MATCH($B7, 'Daily 크랙 raw'!$1:$1, 0)), ""), IF(val=0, "", val))</f>
        <v>10604</v>
      </c>
      <c r="AN7" s="157">
        <f t="array" ref="AN7">LET(val, IFERROR(INDEX('Daily 크랙 raw'!$A:$ZZ, MATCH(AN$2, 'Daily 크랙 raw'!$A:$A, 0), MATCH($B7, 'Daily 크랙 raw'!$1:$1, 0)), ""), IF(val=0, "", val))</f>
        <v>10342</v>
      </c>
      <c r="AO7" s="157">
        <f t="array" ref="AO7">LET(val, IFERROR(INDEX('Daily 크랙 raw'!$A:$ZZ, MATCH(AO$2, 'Daily 크랙 raw'!$A:$A, 0), MATCH($B7, 'Daily 크랙 raw'!$1:$1, 0)), ""), IF(val=0, "", val))</f>
        <v>10626</v>
      </c>
      <c r="AP7" s="157">
        <f t="array" ref="AP7">LET(val, IFERROR(INDEX('Daily 크랙 raw'!$A:$ZZ, MATCH(AP$2, 'Daily 크랙 raw'!$A:$A, 0), MATCH($B7, 'Daily 크랙 raw'!$1:$1, 0)), ""), IF(val=0, "", val))</f>
        <v>11108</v>
      </c>
      <c r="AQ7" s="157">
        <f t="array" ref="AQ7">LET(val, IFERROR(INDEX('Daily 크랙 raw'!$A:$ZZ, MATCH(AQ$2, 'Daily 크랙 raw'!$A:$A, 0), MATCH($B7, 'Daily 크랙 raw'!$1:$1, 0)), ""), IF(val=0, "", val))</f>
        <v>11237</v>
      </c>
      <c r="AR7" s="157">
        <f t="array" ref="AR7">LET(val, IFERROR(INDEX('Daily 크랙 raw'!$A:$ZZ, MATCH(AR$2, 'Daily 크랙 raw'!$A:$A, 0), MATCH($B7, 'Daily 크랙 raw'!$1:$1, 0)), ""), IF(val=0, "", val))</f>
        <v>11327</v>
      </c>
      <c r="AS7" s="157">
        <f t="array" ref="AS7">LET(val, IFERROR(INDEX('Daily 크랙 raw'!$A:$ZZ, MATCH(AS$2, 'Daily 크랙 raw'!$A:$A, 0), MATCH($B7, 'Daily 크랙 raw'!$1:$1, 0)), ""), IF(val=0, "", val))</f>
        <v>10858</v>
      </c>
      <c r="AT7" s="157">
        <f t="array" ref="AT7">LET(val, IFERROR(INDEX('Daily 크랙 raw'!$A:$ZZ, MATCH(AT$2, 'Daily 크랙 raw'!$A:$A, 0), MATCH($B7, 'Daily 크랙 raw'!$1:$1, 0)), ""), IF(val=0, "", val))</f>
        <v>10495</v>
      </c>
      <c r="AU7" s="157">
        <f t="array" ref="AU7">LET(val, IFERROR(INDEX('Daily 크랙 raw'!$A:$ZZ, MATCH(AU$2, 'Daily 크랙 raw'!$A:$A, 0), MATCH($B7, 'Daily 크랙 raw'!$1:$1, 0)), ""), IF(val=0, "", val))</f>
        <v>10927</v>
      </c>
      <c r="AV7" s="157">
        <f t="array" ref="AV7">LET(val, IFERROR(INDEX('Daily 크랙 raw'!$A:$ZZ, MATCH(AV$2, 'Daily 크랙 raw'!$A:$A, 0), MATCH($B7, 'Daily 크랙 raw'!$1:$1, 0)), ""), IF(val=0, "", val))</f>
        <v>11164</v>
      </c>
      <c r="AW7" s="157">
        <f t="array" ref="AW7">LET(val, IFERROR(INDEX('Daily 크랙 raw'!$A:$ZZ, MATCH(AW$2, 'Daily 크랙 raw'!$A:$A, 0), MATCH($B7, 'Daily 크랙 raw'!$1:$1, 0)), ""), IF(val=0, "", val))</f>
        <v>11480</v>
      </c>
      <c r="AX7" s="157">
        <f t="array" ref="AX7">LET(val, IFERROR(INDEX('Daily 크랙 raw'!$A:$ZZ, MATCH(AX$2, 'Daily 크랙 raw'!$A:$A, 0), MATCH($B7, 'Daily 크랙 raw'!$1:$1, 0)), ""), IF(val=0, "", val))</f>
        <v>11878</v>
      </c>
      <c r="AY7" s="157">
        <f t="array" ref="AY7">LET(val, IFERROR(INDEX('Daily 크랙 raw'!$A:$ZZ, MATCH(AY$2, 'Daily 크랙 raw'!$A:$A, 0), MATCH($B7, 'Daily 크랙 raw'!$1:$1, 0)), ""), IF(val=0, "", val))</f>
        <v>12631</v>
      </c>
      <c r="AZ7" s="157">
        <f t="array" ref="AZ7">LET(val, IFERROR(INDEX('Daily 크랙 raw'!$A:$ZZ, MATCH(AZ$2, 'Daily 크랙 raw'!$A:$A, 0), MATCH($B7, 'Daily 크랙 raw'!$1:$1, 0)), ""), IF(val=0, "", val))</f>
        <v>13430</v>
      </c>
      <c r="BA7" s="157">
        <f t="array" ref="BA7">LET(val, IFERROR(INDEX('Daily 크랙 raw'!$A:$ZZ, MATCH(BA$2, 'Daily 크랙 raw'!$A:$A, 0), MATCH($B7, 'Daily 크랙 raw'!$1:$1, 0)), ""), IF(val=0, "", val))</f>
        <v>12381</v>
      </c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7"/>
      <c r="CH7" s="137"/>
      <c r="CI7" s="137"/>
      <c r="CJ7" s="137"/>
      <c r="CK7" s="137"/>
      <c r="CL7" s="137"/>
      <c r="CM7" s="137"/>
      <c r="CN7" s="137"/>
      <c r="CO7" s="138"/>
    </row>
    <row r="8" ht="18.75" customHeight="1">
      <c r="A8" s="136"/>
      <c r="B8" s="23" t="s">
        <v>21</v>
      </c>
      <c r="C8" s="136" t="s">
        <v>22</v>
      </c>
      <c r="D8" s="157">
        <f t="array" ref="D8">LET(val, IFERROR(INDEX('Daily 크랙 raw'!$A:$ZZ, MATCH(D$2, 'Daily 크랙 raw'!$A:$A, 0), MATCH($B8, 'Daily 크랙 raw'!$1:$1, 0)), ""), IF(val=0, "", val))</f>
        <v>59023</v>
      </c>
      <c r="E8" s="157">
        <f t="array" ref="E8">LET(val, IFERROR(INDEX('Daily 크랙 raw'!$A:$ZZ, MATCH(E$2, 'Daily 크랙 raw'!$A:$A, 0), MATCH($B8, 'Daily 크랙 raw'!$1:$1, 0)), ""), IF(val=0, "", val))</f>
        <v>58474</v>
      </c>
      <c r="F8" s="157">
        <f t="array" ref="F8">LET(val, IFERROR(INDEX('Daily 크랙 raw'!$A:$ZZ, MATCH(F$2, 'Daily 크랙 raw'!$A:$A, 0), MATCH($B8, 'Daily 크랙 raw'!$1:$1, 0)), ""), IF(val=0, "", val))</f>
        <v>59828</v>
      </c>
      <c r="G8" s="157">
        <f t="array" ref="G8">LET(val, IFERROR(INDEX('Daily 크랙 raw'!$A:$ZZ, MATCH(G$2, 'Daily 크랙 raw'!$A:$A, 0), MATCH($B8, 'Daily 크랙 raw'!$1:$1, 0)), ""), IF(val=0, "", val))</f>
        <v>61203</v>
      </c>
      <c r="H8" s="157">
        <f t="array" ref="H8">LET(val, IFERROR(INDEX('Daily 크랙 raw'!$A:$ZZ, MATCH(H$2, 'Daily 크랙 raw'!$A:$A, 0), MATCH($B8, 'Daily 크랙 raw'!$1:$1, 0)), ""), IF(val=0, "", val))</f>
        <v>58445</v>
      </c>
      <c r="I8" s="157">
        <f t="array" ref="I8">LET(val, IFERROR(INDEX('Daily 크랙 raw'!$A:$ZZ, MATCH(I$2, 'Daily 크랙 raw'!$A:$A, 0), MATCH($B8, 'Daily 크랙 raw'!$1:$1, 0)), ""), IF(val=0, "", val))</f>
        <v>56829</v>
      </c>
      <c r="J8" s="157">
        <f t="array" ref="J8">LET(val, IFERROR(INDEX('Daily 크랙 raw'!$A:$ZZ, MATCH(J$2, 'Daily 크랙 raw'!$A:$A, 0), MATCH($B8, 'Daily 크랙 raw'!$1:$1, 0)), ""), IF(val=0, "", val))</f>
        <v>56678</v>
      </c>
      <c r="K8" s="157">
        <f t="array" ref="K8">LET(val, IFERROR(INDEX('Daily 크랙 raw'!$A:$ZZ, MATCH(K$2, 'Daily 크랙 raw'!$A:$A, 0), MATCH($B8, 'Daily 크랙 raw'!$1:$1, 0)), ""), IF(val=0, "", val))</f>
        <v>56578</v>
      </c>
      <c r="L8" s="157">
        <f t="array" ref="L8">LET(val, IFERROR(INDEX('Daily 크랙 raw'!$A:$ZZ, MATCH(L$2, 'Daily 크랙 raw'!$A:$A, 0), MATCH($B8, 'Daily 크랙 raw'!$1:$1, 0)), ""), IF(val=0, "", val))</f>
        <v>56804</v>
      </c>
      <c r="M8" s="157">
        <f t="array" ref="M8">LET(val, IFERROR(INDEX('Daily 크랙 raw'!$A:$ZZ, MATCH(M$2, 'Daily 크랙 raw'!$A:$A, 0), MATCH($B8, 'Daily 크랙 raw'!$1:$1, 0)), ""), IF(val=0, "", val))</f>
        <v>58156</v>
      </c>
      <c r="N8" s="157">
        <f t="array" ref="N8">LET(val, IFERROR(INDEX('Daily 크랙 raw'!$A:$ZZ, MATCH(N$2, 'Daily 크랙 raw'!$A:$A, 0), MATCH($B8, 'Daily 크랙 raw'!$1:$1, 0)), ""), IF(val=0, "", val))</f>
        <v>59181</v>
      </c>
      <c r="O8" s="157">
        <f t="array" ref="O8">LET(val, IFERROR(INDEX('Daily 크랙 raw'!$A:$ZZ, MATCH(O$2, 'Daily 크랙 raw'!$A:$A, 0), MATCH($B8, 'Daily 크랙 raw'!$1:$1, 0)), ""), IF(val=0, "", val))</f>
        <v>58533</v>
      </c>
      <c r="P8" s="157">
        <f t="array" ref="P8">LET(val, IFERROR(INDEX('Daily 크랙 raw'!$A:$ZZ, MATCH(P$2, 'Daily 크랙 raw'!$A:$A, 0), MATCH($B8, 'Daily 크랙 raw'!$1:$1, 0)), ""), IF(val=0, "", val))</f>
        <v>58183</v>
      </c>
      <c r="Q8" s="157">
        <f t="array" ref="Q8">LET(val, IFERROR(INDEX('Daily 크랙 raw'!$A:$ZZ, MATCH(Q$2, 'Daily 크랙 raw'!$A:$A, 0), MATCH($B8, 'Daily 크랙 raw'!$1:$1, 0)), ""), IF(val=0, "", val))</f>
        <v>77180</v>
      </c>
      <c r="R8" s="157">
        <f t="array" ref="R8">LET(val, IFERROR(INDEX('Daily 크랙 raw'!$A:$ZZ, MATCH(R$2, 'Daily 크랙 raw'!$A:$A, 0), MATCH($B8, 'Daily 크랙 raw'!$1:$1, 0)), ""), IF(val=0, "", val))</f>
        <v>60553</v>
      </c>
      <c r="S8" s="157">
        <f t="array" ref="S8">LET(val, IFERROR(INDEX('Daily 크랙 raw'!$A:$ZZ, MATCH(S$2, 'Daily 크랙 raw'!$A:$A, 0), MATCH($B8, 'Daily 크랙 raw'!$1:$1, 0)), ""), IF(val=0, "", val))</f>
        <v>59715</v>
      </c>
      <c r="T8" s="157">
        <f t="array" ref="T8">LET(val, IFERROR(INDEX('Daily 크랙 raw'!$A:$ZZ, MATCH(T$2, 'Daily 크랙 raw'!$A:$A, 0), MATCH($B8, 'Daily 크랙 raw'!$1:$1, 0)), ""), IF(val=0, "", val))</f>
        <v>68889</v>
      </c>
      <c r="U8" s="157">
        <f t="array" ref="U8">LET(val, IFERROR(INDEX('Daily 크랙 raw'!$A:$ZZ, MATCH(U$2, 'Daily 크랙 raw'!$A:$A, 0), MATCH($B8, 'Daily 크랙 raw'!$1:$1, 0)), ""), IF(val=0, "", val))</f>
        <v>63859</v>
      </c>
      <c r="V8" s="157">
        <f t="array" ref="V8">LET(val, IFERROR(INDEX('Daily 크랙 raw'!$A:$ZZ, MATCH(V$2, 'Daily 크랙 raw'!$A:$A, 0), MATCH($B8, 'Daily 크랙 raw'!$1:$1, 0)), ""), IF(val=0, "", val))</f>
        <v>61396</v>
      </c>
      <c r="W8" s="157">
        <f t="array" ref="W8">LET(val, IFERROR(INDEX('Daily 크랙 raw'!$A:$ZZ, MATCH(W$2, 'Daily 크랙 raw'!$A:$A, 0), MATCH($B8, 'Daily 크랙 raw'!$1:$1, 0)), ""), IF(val=0, "", val))</f>
        <v>67162</v>
      </c>
      <c r="X8" s="157">
        <f t="array" ref="X8">LET(val, IFERROR(INDEX('Daily 크랙 raw'!$A:$ZZ, MATCH(X$2, 'Daily 크랙 raw'!$A:$A, 0), MATCH($B8, 'Daily 크랙 raw'!$1:$1, 0)), ""), IF(val=0, "", val))</f>
        <v>61986</v>
      </c>
      <c r="Y8" s="157">
        <f t="array" ref="Y8">LET(val, IFERROR(INDEX('Daily 크랙 raw'!$A:$ZZ, MATCH(Y$2, 'Daily 크랙 raw'!$A:$A, 0), MATCH($B8, 'Daily 크랙 raw'!$1:$1, 0)), ""), IF(val=0, "", val))</f>
        <v>60157</v>
      </c>
      <c r="Z8" s="157">
        <f t="array" ref="Z8">LET(val, IFERROR(INDEX('Daily 크랙 raw'!$A:$ZZ, MATCH(Z$2, 'Daily 크랙 raw'!$A:$A, 0), MATCH($B8, 'Daily 크랙 raw'!$1:$1, 0)), ""), IF(val=0, "", val))</f>
        <v>65217</v>
      </c>
      <c r="AA8" s="157">
        <f t="array" ref="AA8">LET(val, IFERROR(INDEX('Daily 크랙 raw'!$A:$ZZ, MATCH(AA$2, 'Daily 크랙 raw'!$A:$A, 0), MATCH($B8, 'Daily 크랙 raw'!$1:$1, 0)), ""), IF(val=0, "", val))</f>
        <v>64482</v>
      </c>
      <c r="AB8" s="157">
        <f t="array" ref="AB8">LET(val, IFERROR(INDEX('Daily 크랙 raw'!$A:$ZZ, MATCH(AB$2, 'Daily 크랙 raw'!$A:$A, 0), MATCH($B8, 'Daily 크랙 raw'!$1:$1, 0)), ""), IF(val=0, "", val))</f>
        <v>65518</v>
      </c>
      <c r="AC8" s="157">
        <f t="array" ref="AC8">LET(val, IFERROR(INDEX('Daily 크랙 raw'!$A:$ZZ, MATCH(AC$2, 'Daily 크랙 raw'!$A:$A, 0), MATCH($B8, 'Daily 크랙 raw'!$1:$1, 0)), ""), IF(val=0, "", val))</f>
        <v>67572</v>
      </c>
      <c r="AD8" s="157">
        <f t="array" ref="AD8">LET(val, IFERROR(INDEX('Daily 크랙 raw'!$A:$ZZ, MATCH(AD$2, 'Daily 크랙 raw'!$A:$A, 0), MATCH($B8, 'Daily 크랙 raw'!$1:$1, 0)), ""), IF(val=0, "", val))</f>
        <v>60616</v>
      </c>
      <c r="AE8" s="157">
        <f t="array" ref="AE8">LET(val, IFERROR(INDEX('Daily 크랙 raw'!$A:$ZZ, MATCH(AE$2, 'Daily 크랙 raw'!$A:$A, 0), MATCH($B8, 'Daily 크랙 raw'!$1:$1, 0)), ""), IF(val=0, "", val))</f>
        <v>60429</v>
      </c>
      <c r="AF8" s="157">
        <f t="array" ref="AF8">LET(val, IFERROR(INDEX('Daily 크랙 raw'!$A:$ZZ, MATCH(AF$2, 'Daily 크랙 raw'!$A:$A, 0), MATCH($B8, 'Daily 크랙 raw'!$1:$1, 0)), ""), IF(val=0, "", val))</f>
        <v>60463</v>
      </c>
      <c r="AG8" s="157">
        <f t="array" ref="AG8">LET(val, IFERROR(INDEX('Daily 크랙 raw'!$A:$ZZ, MATCH(AG$2, 'Daily 크랙 raw'!$A:$A, 0), MATCH($B8, 'Daily 크랙 raw'!$1:$1, 0)), ""), IF(val=0, "", val))</f>
        <v>59708</v>
      </c>
      <c r="AH8" s="157">
        <f t="array" ref="AH8">LET(val, IFERROR(INDEX('Daily 크랙 raw'!$A:$ZZ, MATCH(AH$2, 'Daily 크랙 raw'!$A:$A, 0), MATCH($B8, 'Daily 크랙 raw'!$1:$1, 0)), ""), IF(val=0, "", val))</f>
        <v>59745</v>
      </c>
      <c r="AI8" s="157">
        <f t="array" ref="AI8">LET(val, IFERROR(INDEX('Daily 크랙 raw'!$A:$ZZ, MATCH(AI$2, 'Daily 크랙 raw'!$A:$A, 0), MATCH($B8, 'Daily 크랙 raw'!$1:$1, 0)), ""), IF(val=0, "", val))</f>
        <v>60873</v>
      </c>
      <c r="AJ8" s="157">
        <f t="array" ref="AJ8">LET(val, IFERROR(INDEX('Daily 크랙 raw'!$A:$ZZ, MATCH(AJ$2, 'Daily 크랙 raw'!$A:$A, 0), MATCH($B8, 'Daily 크랙 raw'!$1:$1, 0)), ""), IF(val=0, "", val))</f>
        <v>60324</v>
      </c>
      <c r="AK8" s="157">
        <f t="array" ref="AK8">LET(val, IFERROR(INDEX('Daily 크랙 raw'!$A:$ZZ, MATCH(AK$2, 'Daily 크랙 raw'!$A:$A, 0), MATCH($B8, 'Daily 크랙 raw'!$1:$1, 0)), ""), IF(val=0, "", val))</f>
        <v>60587</v>
      </c>
      <c r="AL8" s="157">
        <f t="array" ref="AL8">LET(val, IFERROR(INDEX('Daily 크랙 raw'!$A:$ZZ, MATCH(AL$2, 'Daily 크랙 raw'!$A:$A, 0), MATCH($B8, 'Daily 크랙 raw'!$1:$1, 0)), ""), IF(val=0, "", val))</f>
        <v>60065</v>
      </c>
      <c r="AM8" s="157">
        <f t="array" ref="AM8">LET(val, IFERROR(INDEX('Daily 크랙 raw'!$A:$ZZ, MATCH(AM$2, 'Daily 크랙 raw'!$A:$A, 0), MATCH($B8, 'Daily 크랙 raw'!$1:$1, 0)), ""), IF(val=0, "", val))</f>
        <v>60510</v>
      </c>
      <c r="AN8" s="157">
        <f t="array" ref="AN8">LET(val, IFERROR(INDEX('Daily 크랙 raw'!$A:$ZZ, MATCH(AN$2, 'Daily 크랙 raw'!$A:$A, 0), MATCH($B8, 'Daily 크랙 raw'!$1:$1, 0)), ""), IF(val=0, "", val))</f>
        <v>61100</v>
      </c>
      <c r="AO8" s="157">
        <f t="array" ref="AO8">LET(val, IFERROR(INDEX('Daily 크랙 raw'!$A:$ZZ, MATCH(AO$2, 'Daily 크랙 raw'!$A:$A, 0), MATCH($B8, 'Daily 크랙 raw'!$1:$1, 0)), ""), IF(val=0, "", val))</f>
        <v>62721</v>
      </c>
      <c r="AP8" s="157">
        <f t="array" ref="AP8">LET(val, IFERROR(INDEX('Daily 크랙 raw'!$A:$ZZ, MATCH(AP$2, 'Daily 크랙 raw'!$A:$A, 0), MATCH($B8, 'Daily 크랙 raw'!$1:$1, 0)), ""), IF(val=0, "", val))</f>
        <v>62939</v>
      </c>
      <c r="AQ8" s="157">
        <f t="array" ref="AQ8">LET(val, IFERROR(INDEX('Daily 크랙 raw'!$A:$ZZ, MATCH(AQ$2, 'Daily 크랙 raw'!$A:$A, 0), MATCH($B8, 'Daily 크랙 raw'!$1:$1, 0)), ""), IF(val=0, "", val))</f>
        <v>61385</v>
      </c>
      <c r="AR8" s="157">
        <f t="array" ref="AR8">LET(val, IFERROR(INDEX('Daily 크랙 raw'!$A:$ZZ, MATCH(AR$2, 'Daily 크랙 raw'!$A:$A, 0), MATCH($B8, 'Daily 크랙 raw'!$1:$1, 0)), ""), IF(val=0, "", val))</f>
        <v>61723</v>
      </c>
      <c r="AS8" s="157">
        <f t="array" ref="AS8">LET(val, IFERROR(INDEX('Daily 크랙 raw'!$A:$ZZ, MATCH(AS$2, 'Daily 크랙 raw'!$A:$A, 0), MATCH($B8, 'Daily 크랙 raw'!$1:$1, 0)), ""), IF(val=0, "", val))</f>
        <v>61429</v>
      </c>
      <c r="AT8" s="157">
        <f t="array" ref="AT8">LET(val, IFERROR(INDEX('Daily 크랙 raw'!$A:$ZZ, MATCH(AT$2, 'Daily 크랙 raw'!$A:$A, 0), MATCH($B8, 'Daily 크랙 raw'!$1:$1, 0)), ""), IF(val=0, "", val))</f>
        <v>61811</v>
      </c>
      <c r="AU8" s="157">
        <f t="array" ref="AU8">LET(val, IFERROR(INDEX('Daily 크랙 raw'!$A:$ZZ, MATCH(AU$2, 'Daily 크랙 raw'!$A:$A, 0), MATCH($B8, 'Daily 크랙 raw'!$1:$1, 0)), ""), IF(val=0, "", val))</f>
        <v>63210</v>
      </c>
      <c r="AV8" s="157">
        <f t="array" ref="AV8">LET(val, IFERROR(INDEX('Daily 크랙 raw'!$A:$ZZ, MATCH(AV$2, 'Daily 크랙 raw'!$A:$A, 0), MATCH($B8, 'Daily 크랙 raw'!$1:$1, 0)), ""), IF(val=0, "", val))</f>
        <v>66614</v>
      </c>
      <c r="AW8" s="157">
        <f t="array" ref="AW8">LET(val, IFERROR(INDEX('Daily 크랙 raw'!$A:$ZZ, MATCH(AW$2, 'Daily 크랙 raw'!$A:$A, 0), MATCH($B8, 'Daily 크랙 raw'!$1:$1, 0)), ""), IF(val=0, "", val))</f>
        <v>67320</v>
      </c>
      <c r="AX8" s="157">
        <f t="array" ref="AX8">LET(val, IFERROR(INDEX('Daily 크랙 raw'!$A:$ZZ, MATCH(AX$2, 'Daily 크랙 raw'!$A:$A, 0), MATCH($B8, 'Daily 크랙 raw'!$1:$1, 0)), ""), IF(val=0, "", val))</f>
        <v>67859</v>
      </c>
      <c r="AY8" s="157">
        <f t="array" ref="AY8">LET(val, IFERROR(INDEX('Daily 크랙 raw'!$A:$ZZ, MATCH(AY$2, 'Daily 크랙 raw'!$A:$A, 0), MATCH($B8, 'Daily 크랙 raw'!$1:$1, 0)), ""), IF(val=0, "", val))</f>
        <v>66880</v>
      </c>
      <c r="AZ8" s="157">
        <f t="array" ref="AZ8">LET(val, IFERROR(INDEX('Daily 크랙 raw'!$A:$ZZ, MATCH(AZ$2, 'Daily 크랙 raw'!$A:$A, 0), MATCH($B8, 'Daily 크랙 raw'!$1:$1, 0)), ""), IF(val=0, "", val))</f>
        <v>70265</v>
      </c>
      <c r="BA8" s="157">
        <f t="array" ref="BA8">LET(val, IFERROR(INDEX('Daily 크랙 raw'!$A:$ZZ, MATCH(BA$2, 'Daily 크랙 raw'!$A:$A, 0), MATCH($B8, 'Daily 크랙 raw'!$1:$1, 0)), ""), IF(val=0, "", val))</f>
        <v>68696</v>
      </c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8"/>
    </row>
    <row r="9" ht="18.75" customHeight="1">
      <c r="A9" s="136"/>
      <c r="B9" s="23" t="s">
        <v>23</v>
      </c>
      <c r="C9" s="136" t="s">
        <v>24</v>
      </c>
      <c r="D9" s="157">
        <f t="array" ref="D9">LET(val, IFERROR(INDEX('Daily 크랙 raw'!$A:$ZZ, MATCH(D$2, 'Daily 크랙 raw'!$A:$A, 0), MATCH($B9, 'Daily 크랙 raw'!$1:$1, 0)), ""), IF(val=0, "", val))</f>
        <v>7254631</v>
      </c>
      <c r="E9" s="157">
        <f t="array" ref="E9">LET(val, IFERROR(INDEX('Daily 크랙 raw'!$A:$ZZ, MATCH(E$2, 'Daily 크랙 raw'!$A:$A, 0), MATCH($B9, 'Daily 크랙 raw'!$1:$1, 0)), ""), IF(val=0, "", val))</f>
        <v>7096323</v>
      </c>
      <c r="F9" s="157">
        <f t="array" ref="F9">LET(val, IFERROR(INDEX('Daily 크랙 raw'!$A:$ZZ, MATCH(F$2, 'Daily 크랙 raw'!$A:$A, 0), MATCH($B9, 'Daily 크랙 raw'!$1:$1, 0)), ""), IF(val=0, "", val))</f>
        <v>7522482</v>
      </c>
      <c r="G9" s="157">
        <f t="array" ref="G9">LET(val, IFERROR(INDEX('Daily 크랙 raw'!$A:$ZZ, MATCH(G$2, 'Daily 크랙 raw'!$A:$A, 0), MATCH($B9, 'Daily 크랙 raw'!$1:$1, 0)), ""), IF(val=0, "", val))</f>
        <v>7938251</v>
      </c>
      <c r="H9" s="157">
        <f t="array" ref="H9">LET(val, IFERROR(INDEX('Daily 크랙 raw'!$A:$ZZ, MATCH(H$2, 'Daily 크랙 raw'!$A:$A, 0), MATCH($B9, 'Daily 크랙 raw'!$1:$1, 0)), ""), IF(val=0, "", val))</f>
        <v>7052831</v>
      </c>
      <c r="I9" s="157">
        <f t="array" ref="I9">LET(val, IFERROR(INDEX('Daily 크랙 raw'!$A:$ZZ, MATCH(I$2, 'Daily 크랙 raw'!$A:$A, 0), MATCH($B9, 'Daily 크랙 raw'!$1:$1, 0)), ""), IF(val=0, "", val))</f>
        <v>6749609</v>
      </c>
      <c r="J9" s="157">
        <f t="array" ref="J9">LET(val, IFERROR(INDEX('Daily 크랙 raw'!$A:$ZZ, MATCH(J$2, 'Daily 크랙 raw'!$A:$A, 0), MATCH($B9, 'Daily 크랙 raw'!$1:$1, 0)), ""), IF(val=0, "", val))</f>
        <v>6510781</v>
      </c>
      <c r="K9" s="157">
        <f t="array" ref="K9">LET(val, IFERROR(INDEX('Daily 크랙 raw'!$A:$ZZ, MATCH(K$2, 'Daily 크랙 raw'!$A:$A, 0), MATCH($B9, 'Daily 크랙 raw'!$1:$1, 0)), ""), IF(val=0, "", val))</f>
        <v>6321031</v>
      </c>
      <c r="L9" s="157">
        <f t="array" ref="L9">LET(val, IFERROR(INDEX('Daily 크랙 raw'!$A:$ZZ, MATCH(L$2, 'Daily 크랙 raw'!$A:$A, 0), MATCH($B9, 'Daily 크랙 raw'!$1:$1, 0)), ""), IF(val=0, "", val))</f>
        <v>6294395</v>
      </c>
      <c r="M9" s="157">
        <f t="array" ref="M9">LET(val, IFERROR(INDEX('Daily 크랙 raw'!$A:$ZZ, MATCH(M$2, 'Daily 크랙 raw'!$A:$A, 0), MATCH($B9, 'Daily 크랙 raw'!$1:$1, 0)), ""), IF(val=0, "", val))</f>
        <v>7115010</v>
      </c>
      <c r="N9" s="157">
        <f t="array" ref="N9">LET(val, IFERROR(INDEX('Daily 크랙 raw'!$A:$ZZ, MATCH(N$2, 'Daily 크랙 raw'!$A:$A, 0), MATCH($B9, 'Daily 크랙 raw'!$1:$1, 0)), ""), IF(val=0, "", val))</f>
        <v>7800660</v>
      </c>
      <c r="O9" s="157">
        <f t="array" ref="O9">LET(val, IFERROR(INDEX('Daily 크랙 raw'!$A:$ZZ, MATCH(O$2, 'Daily 크랙 raw'!$A:$A, 0), MATCH($B9, 'Daily 크랙 raw'!$1:$1, 0)), ""), IF(val=0, "", val))</f>
        <v>7238894</v>
      </c>
      <c r="P9" s="157">
        <f t="array" ref="P9">LET(val, IFERROR(INDEX('Daily 크랙 raw'!$A:$ZZ, MATCH(P$2, 'Daily 크랙 raw'!$A:$A, 0), MATCH($B9, 'Daily 크랙 raw'!$1:$1, 0)), ""), IF(val=0, "", val))</f>
        <v>6995747</v>
      </c>
      <c r="Q9" s="157">
        <f t="array" ref="Q9">LET(val, IFERROR(INDEX('Daily 크랙 raw'!$A:$ZZ, MATCH(Q$2, 'Daily 크랙 raw'!$A:$A, 0), MATCH($B9, 'Daily 크랙 raw'!$1:$1, 0)), ""), IF(val=0, "", val))</f>
        <v>6986299</v>
      </c>
      <c r="R9" s="157">
        <f t="array" ref="R9">LET(val, IFERROR(INDEX('Daily 크랙 raw'!$A:$ZZ, MATCH(R$2, 'Daily 크랙 raw'!$A:$A, 0), MATCH($B9, 'Daily 크랙 raw'!$1:$1, 0)), ""), IF(val=0, "", val))</f>
        <v>6793359</v>
      </c>
      <c r="S9" s="157">
        <f t="array" ref="S9">LET(val, IFERROR(INDEX('Daily 크랙 raw'!$A:$ZZ, MATCH(S$2, 'Daily 크랙 raw'!$A:$A, 0), MATCH($B9, 'Daily 크랙 raw'!$1:$1, 0)), ""), IF(val=0, "", val))</f>
        <v>6751905</v>
      </c>
      <c r="T9" s="157">
        <f t="array" ref="T9">LET(val, IFERROR(INDEX('Daily 크랙 raw'!$A:$ZZ, MATCH(T$2, 'Daily 크랙 raw'!$A:$A, 0), MATCH($B9, 'Daily 크랙 raw'!$1:$1, 0)), ""), IF(val=0, "", val))</f>
        <v>7167054</v>
      </c>
      <c r="U9" s="157">
        <f t="array" ref="U9">LET(val, IFERROR(INDEX('Daily 크랙 raw'!$A:$ZZ, MATCH(U$2, 'Daily 크랙 raw'!$A:$A, 0), MATCH($B9, 'Daily 크랙 raw'!$1:$1, 0)), ""), IF(val=0, "", val))</f>
        <v>7844328</v>
      </c>
      <c r="V9" s="157">
        <f t="array" ref="V9">LET(val, IFERROR(INDEX('Daily 크랙 raw'!$A:$ZZ, MATCH(V$2, 'Daily 크랙 raw'!$A:$A, 0), MATCH($B9, 'Daily 크랙 raw'!$1:$1, 0)), ""), IF(val=0, "", val))</f>
        <v>7419353</v>
      </c>
      <c r="W9" s="157">
        <f t="array" ref="W9">LET(val, IFERROR(INDEX('Daily 크랙 raw'!$A:$ZZ, MATCH(W$2, 'Daily 크랙 raw'!$A:$A, 0), MATCH($B9, 'Daily 크랙 raw'!$1:$1, 0)), ""), IF(val=0, "", val))</f>
        <v>7145419</v>
      </c>
      <c r="X9" s="157">
        <f t="array" ref="X9">LET(val, IFERROR(INDEX('Daily 크랙 raw'!$A:$ZZ, MATCH(X$2, 'Daily 크랙 raw'!$A:$A, 0), MATCH($B9, 'Daily 크랙 raw'!$1:$1, 0)), ""), IF(val=0, "", val))</f>
        <v>6942344</v>
      </c>
      <c r="Y9" s="157">
        <f t="array" ref="Y9">LET(val, IFERROR(INDEX('Daily 크랙 raw'!$A:$ZZ, MATCH(Y$2, 'Daily 크랙 raw'!$A:$A, 0), MATCH($B9, 'Daily 크랙 raw'!$1:$1, 0)), ""), IF(val=0, "", val))</f>
        <v>6895484</v>
      </c>
      <c r="Z9" s="157">
        <f t="array" ref="Z9">LET(val, IFERROR(INDEX('Daily 크랙 raw'!$A:$ZZ, MATCH(Z$2, 'Daily 크랙 raw'!$A:$A, 0), MATCH($B9, 'Daily 크랙 raw'!$1:$1, 0)), ""), IF(val=0, "", val))</f>
        <v>6781562</v>
      </c>
      <c r="AA9" s="157">
        <f t="array" ref="AA9">LET(val, IFERROR(INDEX('Daily 크랙 raw'!$A:$ZZ, MATCH(AA$2, 'Daily 크랙 raw'!$A:$A, 0), MATCH($B9, 'Daily 크랙 raw'!$1:$1, 0)), ""), IF(val=0, "", val))</f>
        <v>7257870</v>
      </c>
      <c r="AB9" s="157">
        <f t="array" ref="AB9">LET(val, IFERROR(INDEX('Daily 크랙 raw'!$A:$ZZ, MATCH(AB$2, 'Daily 크랙 raw'!$A:$A, 0), MATCH($B9, 'Daily 크랙 raw'!$1:$1, 0)), ""), IF(val=0, "", val))</f>
        <v>7922189</v>
      </c>
      <c r="AC9" s="157">
        <f t="array" ref="AC9">LET(val, IFERROR(INDEX('Daily 크랙 raw'!$A:$ZZ, MATCH(AC$2, 'Daily 크랙 raw'!$A:$A, 0), MATCH($B9, 'Daily 크랙 raw'!$1:$1, 0)), ""), IF(val=0, "", val))</f>
        <v>7541827</v>
      </c>
      <c r="AD9" s="157">
        <f t="array" ref="AD9">LET(val, IFERROR(INDEX('Daily 크랙 raw'!$A:$ZZ, MATCH(AD$2, 'Daily 크랙 raw'!$A:$A, 0), MATCH($B9, 'Daily 크랙 raw'!$1:$1, 0)), ""), IF(val=0, "", val))</f>
        <v>7284975</v>
      </c>
      <c r="AE9" s="157">
        <f t="array" ref="AE9">LET(val, IFERROR(INDEX('Daily 크랙 raw'!$A:$ZZ, MATCH(AE$2, 'Daily 크랙 raw'!$A:$A, 0), MATCH($B9, 'Daily 크랙 raw'!$1:$1, 0)), ""), IF(val=0, "", val))</f>
        <v>7150259</v>
      </c>
      <c r="AF9" s="157">
        <f t="array" ref="AF9">LET(val, IFERROR(INDEX('Daily 크랙 raw'!$A:$ZZ, MATCH(AF$2, 'Daily 크랙 raw'!$A:$A, 0), MATCH($B9, 'Daily 크랙 raw'!$1:$1, 0)), ""), IF(val=0, "", val))</f>
        <v>7090489</v>
      </c>
      <c r="AG9" s="157">
        <f t="array" ref="AG9">LET(val, IFERROR(INDEX('Daily 크랙 raw'!$A:$ZZ, MATCH(AG$2, 'Daily 크랙 raw'!$A:$A, 0), MATCH($B9, 'Daily 크랙 raw'!$1:$1, 0)), ""), IF(val=0, "", val))</f>
        <v>6971214</v>
      </c>
      <c r="AH9" s="157">
        <f t="array" ref="AH9">LET(val, IFERROR(INDEX('Daily 크랙 raw'!$A:$ZZ, MATCH(AH$2, 'Daily 크랙 raw'!$A:$A, 0), MATCH($B9, 'Daily 크랙 raw'!$1:$1, 0)), ""), IF(val=0, "", val))</f>
        <v>7303716</v>
      </c>
      <c r="AI9" s="157">
        <f t="array" ref="AI9">LET(val, IFERROR(INDEX('Daily 크랙 raw'!$A:$ZZ, MATCH(AI$2, 'Daily 크랙 raw'!$A:$A, 0), MATCH($B9, 'Daily 크랙 raw'!$1:$1, 0)), ""), IF(val=0, "", val))</f>
        <v>7913189</v>
      </c>
      <c r="AJ9" s="157">
        <f t="array" ref="AJ9">LET(val, IFERROR(INDEX('Daily 크랙 raw'!$A:$ZZ, MATCH(AJ$2, 'Daily 크랙 raw'!$A:$A, 0), MATCH($B9, 'Daily 크랙 raw'!$1:$1, 0)), ""), IF(val=0, "", val))</f>
        <v>7452047</v>
      </c>
      <c r="AK9" s="157">
        <f t="array" ref="AK9">LET(val, IFERROR(INDEX('Daily 크랙 raw'!$A:$ZZ, MATCH(AK$2, 'Daily 크랙 raw'!$A:$A, 0), MATCH($B9, 'Daily 크랙 raw'!$1:$1, 0)), ""), IF(val=0, "", val))</f>
        <v>7193642</v>
      </c>
      <c r="AL9" s="157">
        <f t="array" ref="AL9">LET(val, IFERROR(INDEX('Daily 크랙 raw'!$A:$ZZ, MATCH(AL$2, 'Daily 크랙 raw'!$A:$A, 0), MATCH($B9, 'Daily 크랙 raw'!$1:$1, 0)), ""), IF(val=0, "", val))</f>
        <v>6999318</v>
      </c>
      <c r="AM9" s="157">
        <f t="array" ref="AM9">LET(val, IFERROR(INDEX('Daily 크랙 raw'!$A:$ZZ, MATCH(AM$2, 'Daily 크랙 raw'!$A:$A, 0), MATCH($B9, 'Daily 크랙 raw'!$1:$1, 0)), ""), IF(val=0, "", val))</f>
        <v>6817467</v>
      </c>
      <c r="AN9" s="157">
        <f t="array" ref="AN9">LET(val, IFERROR(INDEX('Daily 크랙 raw'!$A:$ZZ, MATCH(AN$2, 'Daily 크랙 raw'!$A:$A, 0), MATCH($B9, 'Daily 크랙 raw'!$1:$1, 0)), ""), IF(val=0, "", val))</f>
        <v>6801474</v>
      </c>
      <c r="AO9" s="157">
        <f t="array" ref="AO9">LET(val, IFERROR(INDEX('Daily 크랙 raw'!$A:$ZZ, MATCH(AO$2, 'Daily 크랙 raw'!$A:$A, 0), MATCH($B9, 'Daily 크랙 raw'!$1:$1, 0)), ""), IF(val=0, "", val))</f>
        <v>7058467</v>
      </c>
      <c r="AP9" s="157">
        <f t="array" ref="AP9">LET(val, IFERROR(INDEX('Daily 크랙 raw'!$A:$ZZ, MATCH(AP$2, 'Daily 크랙 raw'!$A:$A, 0), MATCH($B9, 'Daily 크랙 raw'!$1:$1, 0)), ""), IF(val=0, "", val))</f>
        <v>7572325</v>
      </c>
      <c r="AQ9" s="157">
        <f t="array" ref="AQ9">LET(val, IFERROR(INDEX('Daily 크랙 raw'!$A:$ZZ, MATCH(AQ$2, 'Daily 크랙 raw'!$A:$A, 0), MATCH($B9, 'Daily 크랙 raw'!$1:$1, 0)), ""), IF(val=0, "", val))</f>
        <v>7200661</v>
      </c>
      <c r="AR9" s="157">
        <f t="array" ref="AR9">LET(val, IFERROR(INDEX('Daily 크랙 raw'!$A:$ZZ, MATCH(AR$2, 'Daily 크랙 raw'!$A:$A, 0), MATCH($B9, 'Daily 크랙 raw'!$1:$1, 0)), ""), IF(val=0, "", val))</f>
        <v>6962122</v>
      </c>
      <c r="AS9" s="157">
        <f t="array" ref="AS9">LET(val, IFERROR(INDEX('Daily 크랙 raw'!$A:$ZZ, MATCH(AS$2, 'Daily 크랙 raw'!$A:$A, 0), MATCH($B9, 'Daily 크랙 raw'!$1:$1, 0)), ""), IF(val=0, "", val))</f>
        <v>6922090</v>
      </c>
      <c r="AT9" s="157">
        <f t="array" ref="AT9">LET(val, IFERROR(INDEX('Daily 크랙 raw'!$A:$ZZ, MATCH(AT$2, 'Daily 크랙 raw'!$A:$A, 0), MATCH($B9, 'Daily 크랙 raw'!$1:$1, 0)), ""), IF(val=0, "", val))</f>
        <v>6689626</v>
      </c>
      <c r="AU9" s="157">
        <f t="array" ref="AU9">LET(val, IFERROR(INDEX('Daily 크랙 raw'!$A:$ZZ, MATCH(AU$2, 'Daily 크랙 raw'!$A:$A, 0), MATCH($B9, 'Daily 크랙 raw'!$1:$1, 0)), ""), IF(val=0, "", val))</f>
        <v>6486025</v>
      </c>
      <c r="AV9" s="157">
        <f t="array" ref="AV9">LET(val, IFERROR(INDEX('Daily 크랙 raw'!$A:$ZZ, MATCH(AV$2, 'Daily 크랙 raw'!$A:$A, 0), MATCH($B9, 'Daily 크랙 raw'!$1:$1, 0)), ""), IF(val=0, "", val))</f>
        <v>6867075</v>
      </c>
      <c r="AW9" s="157">
        <f t="array" ref="AW9">LET(val, IFERROR(INDEX('Daily 크랙 raw'!$A:$ZZ, MATCH(AW$2, 'Daily 크랙 raw'!$A:$A, 0), MATCH($B9, 'Daily 크랙 raw'!$1:$1, 0)), ""), IF(val=0, "", val))</f>
        <v>7165232</v>
      </c>
      <c r="AX9" s="157">
        <f t="array" ref="AX9">LET(val, IFERROR(INDEX('Daily 크랙 raw'!$A:$ZZ, MATCH(AX$2, 'Daily 크랙 raw'!$A:$A, 0), MATCH($B9, 'Daily 크랙 raw'!$1:$1, 0)), ""), IF(val=0, "", val))</f>
        <v>7335980</v>
      </c>
      <c r="AY9" s="157">
        <f t="array" ref="AY9">LET(val, IFERROR(INDEX('Daily 크랙 raw'!$A:$ZZ, MATCH(AY$2, 'Daily 크랙 raw'!$A:$A, 0), MATCH($B9, 'Daily 크랙 raw'!$1:$1, 0)), ""), IF(val=0, "", val))</f>
        <v>7489174</v>
      </c>
      <c r="AZ9" s="157">
        <f t="array" ref="AZ9">LET(val, IFERROR(INDEX('Daily 크랙 raw'!$A:$ZZ, MATCH(AZ$2, 'Daily 크랙 raw'!$A:$A, 0), MATCH($B9, 'Daily 크랙 raw'!$1:$1, 0)), ""), IF(val=0, "", val))</f>
        <v>8503292</v>
      </c>
      <c r="BA9" s="157">
        <f t="array" ref="BA9">LET(val, IFERROR(INDEX('Daily 크랙 raw'!$A:$ZZ, MATCH(BA$2, 'Daily 크랙 raw'!$A:$A, 0), MATCH($B9, 'Daily 크랙 raw'!$1:$1, 0)), ""), IF(val=0, "", val))</f>
        <v>8064055</v>
      </c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  <c r="CL9" s="137"/>
      <c r="CM9" s="137"/>
      <c r="CN9" s="137"/>
      <c r="CO9" s="138"/>
    </row>
    <row r="10" ht="18.75" customHeight="1">
      <c r="A10" s="141"/>
      <c r="B10" s="23" t="s">
        <v>25</v>
      </c>
      <c r="C10" s="141" t="s">
        <v>25</v>
      </c>
      <c r="D10" s="159">
        <f t="array" ref="D10">LET(val, IFERROR(INDEX('Daily 크랙 raw'!$A:$ZZ, MATCH(D$2, 'Daily 크랙 raw'!$A:$A, 0), MATCH($B10, 'Daily 크랙 raw'!$1:$1, 0)), ""), IF(val=0, "", val))</f>
        <v>27753.83518</v>
      </c>
      <c r="E10" s="159">
        <f t="array" ref="E10">LET(val, IFERROR(INDEX('Daily 크랙 raw'!$A:$ZZ, MATCH(E$2, 'Daily 크랙 raw'!$A:$A, 0), MATCH($B10, 'Daily 크랙 raw'!$1:$1, 0)), ""), IF(val=0, "", val))</f>
        <v>24098.0648</v>
      </c>
      <c r="F10" s="159">
        <f t="array" ref="F10">LET(val, IFERROR(INDEX('Daily 크랙 raw'!$A:$ZZ, MATCH(F$2, 'Daily 크랙 raw'!$A:$A, 0), MATCH($B10, 'Daily 크랙 raw'!$1:$1, 0)), ""), IF(val=0, "", val))</f>
        <v>23308.13392</v>
      </c>
      <c r="G10" s="159">
        <f t="array" ref="G10">LET(val, IFERROR(INDEX('Daily 크랙 raw'!$A:$ZZ, MATCH(G$2, 'Daily 크랙 raw'!$A:$A, 0), MATCH($B10, 'Daily 크랙 raw'!$1:$1, 0)), ""), IF(val=0, "", val))</f>
        <v>24769.90301</v>
      </c>
      <c r="H10" s="159">
        <f t="array" ref="H10">LET(val, IFERROR(INDEX('Daily 크랙 raw'!$A:$ZZ, MATCH(H$2, 'Daily 크랙 raw'!$A:$A, 0), MATCH($B10, 'Daily 크랙 raw'!$1:$1, 0)), ""), IF(val=0, "", val))</f>
        <v>28721.46663</v>
      </c>
      <c r="I10" s="159">
        <f t="array" ref="I10">LET(val, IFERROR(INDEX('Daily 크랙 raw'!$A:$ZZ, MATCH(I$2, 'Daily 크랙 raw'!$A:$A, 0), MATCH($B10, 'Daily 크랙 raw'!$1:$1, 0)), ""), IF(val=0, "", val))</f>
        <v>20982.27791</v>
      </c>
      <c r="J10" s="159">
        <f t="array" ref="J10">LET(val, IFERROR(INDEX('Daily 크랙 raw'!$A:$ZZ, MATCH(J$2, 'Daily 크랙 raw'!$A:$A, 0), MATCH($B10, 'Daily 크랙 raw'!$1:$1, 0)), ""), IF(val=0, "", val))</f>
        <v>21162.53304</v>
      </c>
      <c r="K10" s="159">
        <f t="array" ref="K10">LET(val, IFERROR(INDEX('Daily 크랙 raw'!$A:$ZZ, MATCH(K$2, 'Daily 크랙 raw'!$A:$A, 0), MATCH($B10, 'Daily 크랙 raw'!$1:$1, 0)), ""), IF(val=0, "", val))</f>
        <v>20977.52932</v>
      </c>
      <c r="L10" s="159">
        <f t="array" ref="L10">LET(val, IFERROR(INDEX('Daily 크랙 raw'!$A:$ZZ, MATCH(L$2, 'Daily 크랙 raw'!$A:$A, 0), MATCH($B10, 'Daily 크랙 raw'!$1:$1, 0)), ""), IF(val=0, "", val))</f>
        <v>22464.53</v>
      </c>
      <c r="M10" s="159">
        <f t="array" ref="M10">LET(val, IFERROR(INDEX('Daily 크랙 raw'!$A:$ZZ, MATCH(M$2, 'Daily 크랙 raw'!$A:$A, 0), MATCH($B10, 'Daily 크랙 raw'!$1:$1, 0)), ""), IF(val=0, "", val))</f>
        <v>22696.55306</v>
      </c>
      <c r="N10" s="159">
        <f t="array" ref="N10">LET(val, IFERROR(INDEX('Daily 크랙 raw'!$A:$ZZ, MATCH(N$2, 'Daily 크랙 raw'!$A:$A, 0), MATCH($B10, 'Daily 크랙 raw'!$1:$1, 0)), ""), IF(val=0, "", val))</f>
        <v>23097.99437</v>
      </c>
      <c r="O10" s="159">
        <f t="array" ref="O10">LET(val, IFERROR(INDEX('Daily 크랙 raw'!$A:$ZZ, MATCH(O$2, 'Daily 크랙 raw'!$A:$A, 0), MATCH($B10, 'Daily 크랙 raw'!$1:$1, 0)), ""), IF(val=0, "", val))</f>
        <v>22802.91216</v>
      </c>
      <c r="P10" s="159">
        <f t="array" ref="P10">LET(val, IFERROR(INDEX('Daily 크랙 raw'!$A:$ZZ, MATCH(P$2, 'Daily 크랙 raw'!$A:$A, 0), MATCH($B10, 'Daily 크랙 raw'!$1:$1, 0)), ""), IF(val=0, "", val))</f>
        <v>22522.8315</v>
      </c>
      <c r="Q10" s="159">
        <f t="array" ref="Q10">LET(val, IFERROR(INDEX('Daily 크랙 raw'!$A:$ZZ, MATCH(Q$2, 'Daily 크랙 raw'!$A:$A, 0), MATCH($B10, 'Daily 크랙 raw'!$1:$1, 0)), ""), IF(val=0, "", val))</f>
        <v>21924.33826</v>
      </c>
      <c r="R10" s="159">
        <f t="array" ref="R10">LET(val, IFERROR(INDEX('Daily 크랙 raw'!$A:$ZZ, MATCH(R$2, 'Daily 크랙 raw'!$A:$A, 0), MATCH($B10, 'Daily 크랙 raw'!$1:$1, 0)), ""), IF(val=0, "", val))</f>
        <v>22596.34146</v>
      </c>
      <c r="S10" s="159">
        <f t="array" ref="S10">LET(val, IFERROR(INDEX('Daily 크랙 raw'!$A:$ZZ, MATCH(S$2, 'Daily 크랙 raw'!$A:$A, 0), MATCH($B10, 'Daily 크랙 raw'!$1:$1, 0)), ""), IF(val=0, "", val))</f>
        <v>22283.68499</v>
      </c>
      <c r="T10" s="159">
        <f t="array" ref="T10">LET(val, IFERROR(INDEX('Daily 크랙 raw'!$A:$ZZ, MATCH(T$2, 'Daily 크랙 raw'!$A:$A, 0), MATCH($B10, 'Daily 크랙 raw'!$1:$1, 0)), ""), IF(val=0, "", val))</f>
        <v>21881.70569</v>
      </c>
      <c r="U10" s="159">
        <f t="array" ref="U10">LET(val, IFERROR(INDEX('Daily 크랙 raw'!$A:$ZZ, MATCH(U$2, 'Daily 크랙 raw'!$A:$A, 0), MATCH($B10, 'Daily 크랙 raw'!$1:$1, 0)), ""), IF(val=0, "", val))</f>
        <v>23135.89287</v>
      </c>
      <c r="V10" s="159">
        <f t="array" ref="V10">LET(val, IFERROR(INDEX('Daily 크랙 raw'!$A:$ZZ, MATCH(V$2, 'Daily 크랙 raw'!$A:$A, 0), MATCH($B10, 'Daily 크랙 raw'!$1:$1, 0)), ""), IF(val=0, "", val))</f>
        <v>22520.32736</v>
      </c>
      <c r="W10" s="159">
        <f t="array" ref="W10">LET(val, IFERROR(INDEX('Daily 크랙 raw'!$A:$ZZ, MATCH(W$2, 'Daily 크랙 raw'!$A:$A, 0), MATCH($B10, 'Daily 크랙 raw'!$1:$1, 0)), ""), IF(val=0, "", val))</f>
        <v>22776.39335</v>
      </c>
      <c r="X10" s="159">
        <f t="array" ref="X10">LET(val, IFERROR(INDEX('Daily 크랙 raw'!$A:$ZZ, MATCH(X$2, 'Daily 크랙 raw'!$A:$A, 0), MATCH($B10, 'Daily 크랙 raw'!$1:$1, 0)), ""), IF(val=0, "", val))</f>
        <v>22330.26037</v>
      </c>
      <c r="Y10" s="159">
        <f t="array" ref="Y10">LET(val, IFERROR(INDEX('Daily 크랙 raw'!$A:$ZZ, MATCH(Y$2, 'Daily 크랙 raw'!$A:$A, 0), MATCH($B10, 'Daily 크랙 raw'!$1:$1, 0)), ""), IF(val=0, "", val))</f>
        <v>22435.06116</v>
      </c>
      <c r="Z10" s="159">
        <f t="array" ref="Z10">LET(val, IFERROR(INDEX('Daily 크랙 raw'!$A:$ZZ, MATCH(Z$2, 'Daily 크랙 raw'!$A:$A, 0), MATCH($B10, 'Daily 크랙 raw'!$1:$1, 0)), ""), IF(val=0, "", val))</f>
        <v>22789.09815</v>
      </c>
      <c r="AA10" s="159">
        <f t="array" ref="AA10">LET(val, IFERROR(INDEX('Daily 크랙 raw'!$A:$ZZ, MATCH(AA$2, 'Daily 크랙 raw'!$A:$A, 0), MATCH($B10, 'Daily 크랙 raw'!$1:$1, 0)), ""), IF(val=0, "", val))</f>
        <v>22752.54427</v>
      </c>
      <c r="AB10" s="159">
        <f t="array" ref="AB10">LET(val, IFERROR(INDEX('Daily 크랙 raw'!$A:$ZZ, MATCH(AB$2, 'Daily 크랙 raw'!$A:$A, 0), MATCH($B10, 'Daily 크랙 raw'!$1:$1, 0)), ""), IF(val=0, "", val))</f>
        <v>23563.48893</v>
      </c>
      <c r="AC10" s="159">
        <f t="array" ref="AC10">LET(val, IFERROR(INDEX('Daily 크랙 raw'!$A:$ZZ, MATCH(AC$2, 'Daily 크랙 raw'!$A:$A, 0), MATCH($B10, 'Daily 크랙 raw'!$1:$1, 0)), ""), IF(val=0, "", val))</f>
        <v>22903.20575</v>
      </c>
      <c r="AD10" s="159">
        <f t="array" ref="AD10">LET(val, IFERROR(INDEX('Daily 크랙 raw'!$A:$ZZ, MATCH(AD$2, 'Daily 크랙 raw'!$A:$A, 0), MATCH($B10, 'Daily 크랙 raw'!$1:$1, 0)), ""), IF(val=0, "", val))</f>
        <v>22555.48009</v>
      </c>
      <c r="AE10" s="159">
        <f t="array" ref="AE10">LET(val, IFERROR(INDEX('Daily 크랙 raw'!$A:$ZZ, MATCH(AE$2, 'Daily 크랙 raw'!$A:$A, 0), MATCH($B10, 'Daily 크랙 raw'!$1:$1, 0)), ""), IF(val=0, "", val))</f>
        <v>21803.16209</v>
      </c>
      <c r="AF10" s="159">
        <f t="array" ref="AF10">LET(val, IFERROR(INDEX('Daily 크랙 raw'!$A:$ZZ, MATCH(AF$2, 'Daily 크랙 raw'!$A:$A, 0), MATCH($B10, 'Daily 크랙 raw'!$1:$1, 0)), ""), IF(val=0, "", val))</f>
        <v>21599.66777</v>
      </c>
      <c r="AG10" s="159">
        <f t="array" ref="AG10">LET(val, IFERROR(INDEX('Daily 크랙 raw'!$A:$ZZ, MATCH(AG$2, 'Daily 크랙 raw'!$A:$A, 0), MATCH($B10, 'Daily 크랙 raw'!$1:$1, 0)), ""), IF(val=0, "", val))</f>
        <v>22320.46255</v>
      </c>
      <c r="AH10" s="159">
        <f t="array" ref="AH10">LET(val, IFERROR(INDEX('Daily 크랙 raw'!$A:$ZZ, MATCH(AH$2, 'Daily 크랙 raw'!$A:$A, 0), MATCH($B10, 'Daily 크랙 raw'!$1:$1, 0)), ""), IF(val=0, "", val))</f>
        <v>22686.0118</v>
      </c>
      <c r="AI10" s="159">
        <f t="array" ref="AI10">LET(val, IFERROR(INDEX('Daily 크랙 raw'!$A:$ZZ, MATCH(AI$2, 'Daily 크랙 raw'!$A:$A, 0), MATCH($B10, 'Daily 크랙 raw'!$1:$1, 0)), ""), IF(val=0, "", val))</f>
        <v>27422.42057</v>
      </c>
      <c r="AJ10" s="159">
        <f t="array" ref="AJ10">LET(val, IFERROR(INDEX('Daily 크랙 raw'!$A:$ZZ, MATCH(AJ$2, 'Daily 크랙 raw'!$A:$A, 0), MATCH($B10, 'Daily 크랙 raw'!$1:$1, 0)), ""), IF(val=0, "", val))</f>
        <v>24011.00053</v>
      </c>
      <c r="AK10" s="159">
        <f t="array" ref="AK10">LET(val, IFERROR(INDEX('Daily 크랙 raw'!$A:$ZZ, MATCH(AK$2, 'Daily 크랙 raw'!$A:$A, 0), MATCH($B10, 'Daily 크랙 raw'!$1:$1, 0)), ""), IF(val=0, "", val))</f>
        <v>22844.6437</v>
      </c>
      <c r="AL10" s="159">
        <f t="array" ref="AL10">LET(val, IFERROR(INDEX('Daily 크랙 raw'!$A:$ZZ, MATCH(AL$2, 'Daily 크랙 raw'!$A:$A, 0), MATCH($B10, 'Daily 크랙 raw'!$1:$1, 0)), ""), IF(val=0, "", val))</f>
        <v>22689.92724</v>
      </c>
      <c r="AM10" s="159">
        <f t="array" ref="AM10">LET(val, IFERROR(INDEX('Daily 크랙 raw'!$A:$ZZ, MATCH(AM$2, 'Daily 크랙 raw'!$A:$A, 0), MATCH($B10, 'Daily 크랙 raw'!$1:$1, 0)), ""), IF(val=0, "", val))</f>
        <v>22964.73972</v>
      </c>
      <c r="AN10" s="159">
        <f t="array" ref="AN10">LET(val, IFERROR(INDEX('Daily 크랙 raw'!$A:$ZZ, MATCH(AN$2, 'Daily 크랙 raw'!$A:$A, 0), MATCH($B10, 'Daily 크랙 raw'!$1:$1, 0)), ""), IF(val=0, "", val))</f>
        <v>21610.57822</v>
      </c>
      <c r="AO10" s="159">
        <f t="array" ref="AO10">LET(val, IFERROR(INDEX('Daily 크랙 raw'!$A:$ZZ, MATCH(AO$2, 'Daily 크랙 raw'!$A:$A, 0), MATCH($B10, 'Daily 크랙 raw'!$1:$1, 0)), ""), IF(val=0, "", val))</f>
        <v>22257.39695</v>
      </c>
      <c r="AP10" s="159">
        <f t="array" ref="AP10">LET(val, IFERROR(INDEX('Daily 크랙 raw'!$A:$ZZ, MATCH(AP$2, 'Daily 크랙 raw'!$A:$A, 0), MATCH($B10, 'Daily 크랙 raw'!$1:$1, 0)), ""), IF(val=0, "", val))</f>
        <v>22960.46093</v>
      </c>
      <c r="AQ10" s="159">
        <f t="array" ref="AQ10">LET(val, IFERROR(INDEX('Daily 크랙 raw'!$A:$ZZ, MATCH(AQ$2, 'Daily 크랙 raw'!$A:$A, 0), MATCH($B10, 'Daily 크랙 raw'!$1:$1, 0)), ""), IF(val=0, "", val))</f>
        <v>22806.60319</v>
      </c>
      <c r="AR10" s="159">
        <f t="array" ref="AR10">LET(val, IFERROR(INDEX('Daily 크랙 raw'!$A:$ZZ, MATCH(AR$2, 'Daily 크랙 raw'!$A:$A, 0), MATCH($B10, 'Daily 크랙 raw'!$1:$1, 0)), ""), IF(val=0, "", val))</f>
        <v>24289.21162</v>
      </c>
      <c r="AS10" s="159">
        <f t="array" ref="AS10">LET(val, IFERROR(INDEX('Daily 크랙 raw'!$A:$ZZ, MATCH(AS$2, 'Daily 크랙 raw'!$A:$A, 0), MATCH($B10, 'Daily 크랙 raw'!$1:$1, 0)), ""), IF(val=0, "", val))</f>
        <v>22624.5257</v>
      </c>
      <c r="AT10" s="159">
        <f t="array" ref="AT10">LET(val, IFERROR(INDEX('Daily 크랙 raw'!$A:$ZZ, MATCH(AT$2, 'Daily 크랙 raw'!$A:$A, 0), MATCH($B10, 'Daily 크랙 raw'!$1:$1, 0)), ""), IF(val=0, "", val))</f>
        <v>22003.18247</v>
      </c>
      <c r="AU10" s="159">
        <f t="array" ref="AU10">LET(val, IFERROR(INDEX('Daily 크랙 raw'!$A:$ZZ, MATCH(AU$2, 'Daily 크랙 raw'!$A:$A, 0), MATCH($B10, 'Daily 크랙 raw'!$1:$1, 0)), ""), IF(val=0, "", val))</f>
        <v>22193.37421</v>
      </c>
      <c r="AV10" s="159">
        <f t="array" ref="AV10">LET(val, IFERROR(INDEX('Daily 크랙 raw'!$A:$ZZ, MATCH(AV$2, 'Daily 크랙 raw'!$A:$A, 0), MATCH($B10, 'Daily 크랙 raw'!$1:$1, 0)), ""), IF(val=0, "", val))</f>
        <v>23869.35686</v>
      </c>
      <c r="AW10" s="159">
        <f t="array" ref="AW10">LET(val, IFERROR(INDEX('Daily 크랙 raw'!$A:$ZZ, MATCH(AW$2, 'Daily 크랙 raw'!$A:$A, 0), MATCH($B10, 'Daily 크랙 raw'!$1:$1, 0)), ""), IF(val=0, "", val))</f>
        <v>24432.00348</v>
      </c>
      <c r="AX10" s="159">
        <f t="array" ref="AX10">LET(val, IFERROR(INDEX('Daily 크랙 raw'!$A:$ZZ, MATCH(AX$2, 'Daily 크랙 raw'!$A:$A, 0), MATCH($B10, 'Daily 크랙 raw'!$1:$1, 0)), ""), IF(val=0, "", val))</f>
        <v>24644.99916</v>
      </c>
      <c r="AY10" s="159">
        <f t="array" ref="AY10">LET(val, IFERROR(INDEX('Daily 크랙 raw'!$A:$ZZ, MATCH(AY$2, 'Daily 크랙 raw'!$A:$A, 0), MATCH($B10, 'Daily 크랙 raw'!$1:$1, 0)), ""), IF(val=0, "", val))</f>
        <v>25535.72164</v>
      </c>
      <c r="AZ10" s="159">
        <f t="array" ref="AZ10">LET(val, IFERROR(INDEX('Daily 크랙 raw'!$A:$ZZ, MATCH(AZ$2, 'Daily 크랙 raw'!$A:$A, 0), MATCH($B10, 'Daily 크랙 raw'!$1:$1, 0)), ""), IF(val=0, "", val))</f>
        <v>25256.36634</v>
      </c>
      <c r="BA10" s="159">
        <f t="array" ref="BA10">LET(val, IFERROR(INDEX('Daily 크랙 raw'!$A:$ZZ, MATCH(BA$2, 'Daily 크랙 raw'!$A:$A, 0), MATCH($B10, 'Daily 크랙 raw'!$1:$1, 0)), ""), IF(val=0, "", val))</f>
        <v>24829.7795</v>
      </c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38"/>
    </row>
    <row r="11" ht="18.75" customHeight="1">
      <c r="A11" s="135"/>
      <c r="B11" s="23" t="s">
        <v>26</v>
      </c>
      <c r="C11" s="135" t="s">
        <v>27</v>
      </c>
      <c r="D11" s="159">
        <f t="array" ref="D11">LET(val, IFERROR(INDEX('Daily 크랙 raw'!$A:$ZZ, MATCH(D$2, 'Daily 크랙 raw'!$A:$A, 0), MATCH($B11, 'Daily 크랙 raw'!$1:$1, 0)), ""), IF(val=0, "", val))</f>
        <v>272459400</v>
      </c>
      <c r="E11" s="159">
        <f t="array" ref="E11">LET(val, IFERROR(INDEX('Daily 크랙 raw'!$A:$ZZ, MATCH(E$2, 'Daily 크랙 raw'!$A:$A, 0), MATCH($B11, 'Daily 크랙 raw'!$1:$1, 0)), ""), IF(val=0, "", val))</f>
        <v>221654000</v>
      </c>
      <c r="F11" s="159">
        <f t="array" ref="F11">LET(val, IFERROR(INDEX('Daily 크랙 raw'!$A:$ZZ, MATCH(F$2, 'Daily 크랙 raw'!$A:$A, 0), MATCH($B11, 'Daily 크랙 raw'!$1:$1, 0)), ""), IF(val=0, "", val))</f>
        <v>222079900</v>
      </c>
      <c r="G11" s="159">
        <f t="array" ref="G11">LET(val, IFERROR(INDEX('Daily 크랙 raw'!$A:$ZZ, MATCH(G$2, 'Daily 크랙 raw'!$A:$A, 0), MATCH($B11, 'Daily 크랙 raw'!$1:$1, 0)), ""), IF(val=0, "", val))</f>
        <v>255377700</v>
      </c>
      <c r="H11" s="159">
        <f t="array" ref="H11">LET(val, IFERROR(INDEX('Daily 크랙 raw'!$A:$ZZ, MATCH(H$2, 'Daily 크랙 raw'!$A:$A, 0), MATCH($B11, 'Daily 크랙 raw'!$1:$1, 0)), ""), IF(val=0, "", val))</f>
        <v>296491700</v>
      </c>
      <c r="I11" s="159">
        <f t="array" ref="I11">LET(val, IFERROR(INDEX('Daily 크랙 raw'!$A:$ZZ, MATCH(I$2, 'Daily 크랙 raw'!$A:$A, 0), MATCH($B11, 'Daily 크랙 raw'!$1:$1, 0)), ""), IF(val=0, "", val))</f>
        <v>185882000</v>
      </c>
      <c r="J11" s="159">
        <f t="array" ref="J11">LET(val, IFERROR(INDEX('Daily 크랙 raw'!$A:$ZZ, MATCH(J$2, 'Daily 크랙 raw'!$A:$A, 0), MATCH($B11, 'Daily 크랙 raw'!$1:$1, 0)), ""), IF(val=0, "", val))</f>
        <v>192155800</v>
      </c>
      <c r="K11" s="159">
        <f t="array" ref="K11">LET(val, IFERROR(INDEX('Daily 크랙 raw'!$A:$ZZ, MATCH(K$2, 'Daily 크랙 raw'!$A:$A, 0), MATCH($B11, 'Daily 크랙 raw'!$1:$1, 0)), ""), IF(val=0, "", val))</f>
        <v>191378000</v>
      </c>
      <c r="L11" s="159">
        <f t="array" ref="L11">LET(val, IFERROR(INDEX('Daily 크랙 raw'!$A:$ZZ, MATCH(L$2, 'Daily 크랙 raw'!$A:$A, 0), MATCH($B11, 'Daily 크랙 raw'!$1:$1, 0)), ""), IF(val=0, "", val))</f>
        <v>219388600</v>
      </c>
      <c r="M11" s="159">
        <f t="array" ref="M11">LET(val, IFERROR(INDEX('Daily 크랙 raw'!$A:$ZZ, MATCH(M$2, 'Daily 크랙 raw'!$A:$A, 0), MATCH($B11, 'Daily 크랙 raw'!$1:$1, 0)), ""), IF(val=0, "", val))</f>
        <v>233751800</v>
      </c>
      <c r="N11" s="159">
        <f t="array" ref="N11">LET(val, IFERROR(INDEX('Daily 크랙 raw'!$A:$ZZ, MATCH(N$2, 'Daily 크랙 raw'!$A:$A, 0), MATCH($B11, 'Daily 크랙 raw'!$1:$1, 0)), ""), IF(val=0, "", val))</f>
        <v>254516800</v>
      </c>
      <c r="O11" s="159">
        <f t="array" ref="O11">LET(val, IFERROR(INDEX('Daily 크랙 raw'!$A:$ZZ, MATCH(O$2, 'Daily 크랙 raw'!$A:$A, 0), MATCH($B11, 'Daily 크랙 raw'!$1:$1, 0)), ""), IF(val=0, "", val))</f>
        <v>240388300</v>
      </c>
      <c r="P11" s="159">
        <f t="array" ref="P11">LET(val, IFERROR(INDEX('Daily 크랙 raw'!$A:$ZZ, MATCH(P$2, 'Daily 크랙 raw'!$A:$A, 0), MATCH($B11, 'Daily 크랙 raw'!$1:$1, 0)), ""), IF(val=0, "", val))</f>
        <v>230836500</v>
      </c>
      <c r="Q11" s="159">
        <f t="array" ref="Q11">LET(val, IFERROR(INDEX('Daily 크랙 raw'!$A:$ZZ, MATCH(Q$2, 'Daily 크랙 raw'!$A:$A, 0), MATCH($B11, 'Daily 크랙 raw'!$1:$1, 0)), ""), IF(val=0, "", val))</f>
        <v>221150800</v>
      </c>
      <c r="R11" s="159">
        <f t="array" ref="R11">LET(val, IFERROR(INDEX('Daily 크랙 raw'!$A:$ZZ, MATCH(R$2, 'Daily 크랙 raw'!$A:$A, 0), MATCH($B11, 'Daily 크랙 raw'!$1:$1, 0)), ""), IF(val=0, "", val))</f>
        <v>224200900</v>
      </c>
      <c r="S11" s="159">
        <f t="array" ref="S11">LET(val, IFERROR(INDEX('Daily 크랙 raw'!$A:$ZZ, MATCH(S$2, 'Daily 크랙 raw'!$A:$A, 0), MATCH($B11, 'Daily 크랙 raw'!$1:$1, 0)), ""), IF(val=0, "", val))</f>
        <v>224953800</v>
      </c>
      <c r="T11" s="159">
        <f t="array" ref="T11">LET(val, IFERROR(INDEX('Daily 크랙 raw'!$A:$ZZ, MATCH(T$2, 'Daily 크랙 raw'!$A:$A, 0), MATCH($B11, 'Daily 크랙 raw'!$1:$1, 0)), ""), IF(val=0, "", val))</f>
        <v>229889200</v>
      </c>
      <c r="U11" s="159">
        <f t="array" ref="U11">LET(val, IFERROR(INDEX('Daily 크랙 raw'!$A:$ZZ, MATCH(U$2, 'Daily 크랙 raw'!$A:$A, 0), MATCH($B11, 'Daily 크랙 raw'!$1:$1, 0)), ""), IF(val=0, "", val))</f>
        <v>260024300</v>
      </c>
      <c r="V11" s="159">
        <f t="array" ref="V11">LET(val, IFERROR(INDEX('Daily 크랙 raw'!$A:$ZZ, MATCH(V$2, 'Daily 크랙 raw'!$A:$A, 0), MATCH($B11, 'Daily 크랙 raw'!$1:$1, 0)), ""), IF(val=0, "", val))</f>
        <v>246282300</v>
      </c>
      <c r="W11" s="159">
        <f t="array" ref="W11">LET(val, IFERROR(INDEX('Daily 크랙 raw'!$A:$ZZ, MATCH(W$2, 'Daily 크랙 raw'!$A:$A, 0), MATCH($B11, 'Daily 크랙 raw'!$1:$1, 0)), ""), IF(val=0, "", val))</f>
        <v>241110900</v>
      </c>
      <c r="X11" s="159">
        <f t="array" ref="X11">LET(val, IFERROR(INDEX('Daily 크랙 raw'!$A:$ZZ, MATCH(X$2, 'Daily 크랙 raw'!$A:$A, 0), MATCH($B11, 'Daily 크랙 raw'!$1:$1, 0)), ""), IF(val=0, "", val))</f>
        <v>231564800</v>
      </c>
      <c r="Y11" s="159">
        <f t="array" ref="Y11">LET(val, IFERROR(INDEX('Daily 크랙 raw'!$A:$ZZ, MATCH(Y$2, 'Daily 크랙 raw'!$A:$A, 0), MATCH($B11, 'Daily 크랙 raw'!$1:$1, 0)), ""), IF(val=0, "", val))</f>
        <v>223767300</v>
      </c>
      <c r="Z11" s="159">
        <f t="array" ref="Z11">LET(val, IFERROR(INDEX('Daily 크랙 raw'!$A:$ZZ, MATCH(Z$2, 'Daily 크랙 raw'!$A:$A, 0), MATCH($B11, 'Daily 크랙 raw'!$1:$1, 0)), ""), IF(val=0, "", val))</f>
        <v>234750500</v>
      </c>
      <c r="AA11" s="159">
        <f t="array" ref="AA11">LET(val, IFERROR(INDEX('Daily 크랙 raw'!$A:$ZZ, MATCH(AA$2, 'Daily 크랙 raw'!$A:$A, 0), MATCH($B11, 'Daily 크랙 raw'!$1:$1, 0)), ""), IF(val=0, "", val))</f>
        <v>244134800</v>
      </c>
      <c r="AB11" s="159">
        <f t="array" ref="AB11">LET(val, IFERROR(INDEX('Daily 크랙 raw'!$A:$ZZ, MATCH(AB$2, 'Daily 크랙 raw'!$A:$A, 0), MATCH($B11, 'Daily 크랙 raw'!$1:$1, 0)), ""), IF(val=0, "", val))</f>
        <v>274608900</v>
      </c>
      <c r="AC11" s="159">
        <f t="array" ref="AC11">LET(val, IFERROR(INDEX('Daily 크랙 raw'!$A:$ZZ, MATCH(AC$2, 'Daily 크랙 raw'!$A:$A, 0), MATCH($B11, 'Daily 크랙 raw'!$1:$1, 0)), ""), IF(val=0, "", val))</f>
        <v>257913000</v>
      </c>
      <c r="AD11" s="159">
        <f t="array" ref="AD11">LET(val, IFERROR(INDEX('Daily 크랙 raw'!$A:$ZZ, MATCH(AD$2, 'Daily 크랙 raw'!$A:$A, 0), MATCH($B11, 'Daily 크랙 raw'!$1:$1, 0)), ""), IF(val=0, "", val))</f>
        <v>242426300</v>
      </c>
      <c r="AE11" s="159">
        <f t="array" ref="AE11">LET(val, IFERROR(INDEX('Daily 크랙 raw'!$A:$ZZ, MATCH(AE$2, 'Daily 크랙 raw'!$A:$A, 0), MATCH($B11, 'Daily 크랙 raw'!$1:$1, 0)), ""), IF(val=0, "", val))</f>
        <v>229609100</v>
      </c>
      <c r="AF11" s="159">
        <f t="array" ref="AF11">LET(val, IFERROR(INDEX('Daily 크랙 raw'!$A:$ZZ, MATCH(AF$2, 'Daily 크랙 raw'!$A:$A, 0), MATCH($B11, 'Daily 크랙 raw'!$1:$1, 0)), ""), IF(val=0, "", val))</f>
        <v>227552500</v>
      </c>
      <c r="AG11" s="159">
        <f t="array" ref="AG11">LET(val, IFERROR(INDEX('Daily 크랙 raw'!$A:$ZZ, MATCH(AG$2, 'Daily 크랙 raw'!$A:$A, 0), MATCH($B11, 'Daily 크랙 raw'!$1:$1, 0)), ""), IF(val=0, "", val))</f>
        <v>234521100</v>
      </c>
      <c r="AH11" s="159">
        <f t="array" ref="AH11">LET(val, IFERROR(INDEX('Daily 크랙 raw'!$A:$ZZ, MATCH(AH$2, 'Daily 크랙 raw'!$A:$A, 0), MATCH($B11, 'Daily 크랙 raw'!$1:$1, 0)), ""), IF(val=0, "", val))</f>
        <v>246188600</v>
      </c>
      <c r="AI11" s="159">
        <f t="array" ref="AI11">LET(val, IFERROR(INDEX('Daily 크랙 raw'!$A:$ZZ, MATCH(AI$2, 'Daily 크랙 raw'!$A:$A, 0), MATCH($B11, 'Daily 크랙 raw'!$1:$1, 0)), ""), IF(val=0, "", val))</f>
        <v>334882600</v>
      </c>
      <c r="AJ11" s="159">
        <f t="array" ref="AJ11">LET(val, IFERROR(INDEX('Daily 크랙 raw'!$A:$ZZ, MATCH(AJ$2, 'Daily 크랙 raw'!$A:$A, 0), MATCH($B11, 'Daily 크랙 raw'!$1:$1, 0)), ""), IF(val=0, "", val))</f>
        <v>270219800</v>
      </c>
      <c r="AK11" s="159">
        <f t="array" ref="AK11">LET(val, IFERROR(INDEX('Daily 크랙 raw'!$A:$ZZ, MATCH(AK$2, 'Daily 크랙 raw'!$A:$A, 0), MATCH($B11, 'Daily 크랙 raw'!$1:$1, 0)), ""), IF(val=0, "", val))</f>
        <v>243318300</v>
      </c>
      <c r="AL11" s="159">
        <f t="array" ref="AL11">LET(val, IFERROR(INDEX('Daily 크랙 raw'!$A:$ZZ, MATCH(AL$2, 'Daily 크랙 raw'!$A:$A, 0), MATCH($B11, 'Daily 크랙 raw'!$1:$1, 0)), ""), IF(val=0, "", val))</f>
        <v>240127500</v>
      </c>
      <c r="AM11" s="159">
        <f t="array" ref="AM11">LET(val, IFERROR(INDEX('Daily 크랙 raw'!$A:$ZZ, MATCH(AM$2, 'Daily 크랙 raw'!$A:$A, 0), MATCH($B11, 'Daily 크랙 raw'!$1:$1, 0)), ""), IF(val=0, "", val))</f>
        <v>243518100</v>
      </c>
      <c r="AN11" s="159">
        <f t="array" ref="AN11">LET(val, IFERROR(INDEX('Daily 크랙 raw'!$A:$ZZ, MATCH(AN$2, 'Daily 크랙 raw'!$A:$A, 0), MATCH($B11, 'Daily 크랙 raw'!$1:$1, 0)), ""), IF(val=0, "", val))</f>
        <v>223496600</v>
      </c>
      <c r="AO11" s="159">
        <f t="array" ref="AO11">LET(val, IFERROR(INDEX('Daily 크랙 raw'!$A:$ZZ, MATCH(AO$2, 'Daily 크랙 raw'!$A:$A, 0), MATCH($B11, 'Daily 크랙 raw'!$1:$1, 0)), ""), IF(val=0, "", val))</f>
        <v>236507100</v>
      </c>
      <c r="AP11" s="159">
        <f t="array" ref="AP11">LET(val, IFERROR(INDEX('Daily 크랙 raw'!$A:$ZZ, MATCH(AP$2, 'Daily 크랙 raw'!$A:$A, 0), MATCH($B11, 'Daily 크랙 raw'!$1:$1, 0)), ""), IF(val=0, "", val))</f>
        <v>255044800</v>
      </c>
      <c r="AQ11" s="159">
        <f t="array" ref="AQ11">LET(val, IFERROR(INDEX('Daily 크랙 raw'!$A:$ZZ, MATCH(AQ$2, 'Daily 크랙 raw'!$A:$A, 0), MATCH($B11, 'Daily 크랙 raw'!$1:$1, 0)), ""), IF(val=0, "", val))</f>
        <v>256277800</v>
      </c>
      <c r="AR11" s="159">
        <f t="array" ref="AR11">LET(val, IFERROR(INDEX('Daily 크랙 raw'!$A:$ZZ, MATCH(AR$2, 'Daily 크랙 raw'!$A:$A, 0), MATCH($B11, 'Daily 크랙 raw'!$1:$1, 0)), ""), IF(val=0, "", val))</f>
        <v>275123900</v>
      </c>
      <c r="AS11" s="159">
        <f t="array" ref="AS11">LET(val, IFERROR(INDEX('Daily 크랙 raw'!$A:$ZZ, MATCH(AS$2, 'Daily 크랙 raw'!$A:$A, 0), MATCH($B11, 'Daily 크랙 raw'!$1:$1, 0)), ""), IF(val=0, "", val))</f>
        <v>245657100</v>
      </c>
      <c r="AT11" s="159">
        <f t="array" ref="AT11">LET(val, IFERROR(INDEX('Daily 크랙 raw'!$A:$ZZ, MATCH(AT$2, 'Daily 크랙 raw'!$A:$A, 0), MATCH($B11, 'Daily 크랙 raw'!$1:$1, 0)), ""), IF(val=0, "", val))</f>
        <v>230923400</v>
      </c>
      <c r="AU11" s="159">
        <f t="array" ref="AU11">LET(val, IFERROR(INDEX('Daily 크랙 raw'!$A:$ZZ, MATCH(AU$2, 'Daily 크랙 raw'!$A:$A, 0), MATCH($B11, 'Daily 크랙 raw'!$1:$1, 0)), ""), IF(val=0, "", val))</f>
        <v>242507000</v>
      </c>
      <c r="AV11" s="159">
        <f t="array" ref="AV11">LET(val, IFERROR(INDEX('Daily 크랙 raw'!$A:$ZZ, MATCH(AV$2, 'Daily 크랙 raw'!$A:$A, 0), MATCH($B11, 'Daily 크랙 raw'!$1:$1, 0)), ""), IF(val=0, "", val))</f>
        <v>266477500</v>
      </c>
      <c r="AW11" s="159">
        <f t="array" ref="AW11">LET(val, IFERROR(INDEX('Daily 크랙 raw'!$A:$ZZ, MATCH(AW$2, 'Daily 크랙 raw'!$A:$A, 0), MATCH($B11, 'Daily 크랙 raw'!$1:$1, 0)), ""), IF(val=0, "", val))</f>
        <v>280479400</v>
      </c>
      <c r="AX11" s="159">
        <f t="array" ref="AX11">LET(val, IFERROR(INDEX('Daily 크랙 raw'!$A:$ZZ, MATCH(AX$2, 'Daily 크랙 raw'!$A:$A, 0), MATCH($B11, 'Daily 크랙 raw'!$1:$1, 0)), ""), IF(val=0, "", val))</f>
        <v>292733300</v>
      </c>
      <c r="AY11" s="159">
        <f t="array" ref="AY11">LET(val, IFERROR(INDEX('Daily 크랙 raw'!$A:$ZZ, MATCH(AY$2, 'Daily 크랙 raw'!$A:$A, 0), MATCH($B11, 'Daily 크랙 raw'!$1:$1, 0)), ""), IF(val=0, "", val))</f>
        <v>322541700</v>
      </c>
      <c r="AZ11" s="159">
        <f t="array" ref="AZ11">LET(val, IFERROR(INDEX('Daily 크랙 raw'!$A:$ZZ, MATCH(AZ$2, 'Daily 크랙 raw'!$A:$A, 0), MATCH($B11, 'Daily 크랙 raw'!$1:$1, 0)), ""), IF(val=0, "", val))</f>
        <v>339193000</v>
      </c>
      <c r="BA11" s="159">
        <f t="array" ref="BA11">LET(val, IFERROR(INDEX('Daily 크랙 raw'!$A:$ZZ, MATCH(BA$2, 'Daily 크랙 raw'!$A:$A, 0), MATCH($B11, 'Daily 크랙 raw'!$1:$1, 0)), ""), IF(val=0, "", val))</f>
        <v>307417500</v>
      </c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38"/>
    </row>
    <row r="12" ht="18.75" customHeight="1">
      <c r="A12" s="135"/>
      <c r="B12" s="23" t="s">
        <v>28</v>
      </c>
      <c r="C12" s="136" t="s">
        <v>20</v>
      </c>
      <c r="D12" s="157">
        <f t="array" ref="D12">LET(val, IFERROR(INDEX('Daily 크랙 raw'!$A:$ZZ, MATCH(D$2, 'Daily 크랙 raw'!$A:$A, 0), MATCH($B12, 'Daily 크랙 raw'!$1:$1, 0)), ""), IF(val=0, "", val))</f>
        <v>9817</v>
      </c>
      <c r="E12" s="157">
        <f t="array" ref="E12">LET(val, IFERROR(INDEX('Daily 크랙 raw'!$A:$ZZ, MATCH(E$2, 'Daily 크랙 raw'!$A:$A, 0), MATCH($B12, 'Daily 크랙 raw'!$1:$1, 0)), ""), IF(val=0, "", val))</f>
        <v>9198</v>
      </c>
      <c r="F12" s="157">
        <f t="array" ref="F12">LET(val, IFERROR(INDEX('Daily 크랙 raw'!$A:$ZZ, MATCH(F$2, 'Daily 크랙 raw'!$A:$A, 0), MATCH($B12, 'Daily 크랙 raw'!$1:$1, 0)), ""), IF(val=0, "", val))</f>
        <v>9528</v>
      </c>
      <c r="G12" s="157">
        <f t="array" ref="G12">LET(val, IFERROR(INDEX('Daily 크랙 raw'!$A:$ZZ, MATCH(G$2, 'Daily 크랙 raw'!$A:$A, 0), MATCH($B12, 'Daily 크랙 raw'!$1:$1, 0)), ""), IF(val=0, "", val))</f>
        <v>10310</v>
      </c>
      <c r="H12" s="157">
        <f t="array" ref="H12">LET(val, IFERROR(INDEX('Daily 크랙 raw'!$A:$ZZ, MATCH(H$2, 'Daily 크랙 raw'!$A:$A, 0), MATCH($B12, 'Daily 크랙 raw'!$1:$1, 0)), ""), IF(val=0, "", val))</f>
        <v>10323</v>
      </c>
      <c r="I12" s="157">
        <f t="array" ref="I12">LET(val, IFERROR(INDEX('Daily 크랙 raw'!$A:$ZZ, MATCH(I$2, 'Daily 크랙 raw'!$A:$A, 0), MATCH($B12, 'Daily 크랙 raw'!$1:$1, 0)), ""), IF(val=0, "", val))</f>
        <v>8859</v>
      </c>
      <c r="J12" s="157">
        <f t="array" ref="J12">LET(val, IFERROR(INDEX('Daily 크랙 raw'!$A:$ZZ, MATCH(J$2, 'Daily 크랙 raw'!$A:$A, 0), MATCH($B12, 'Daily 크랙 raw'!$1:$1, 0)), ""), IF(val=0, "", val))</f>
        <v>9080</v>
      </c>
      <c r="K12" s="157">
        <f t="array" ref="K12">LET(val, IFERROR(INDEX('Daily 크랙 raw'!$A:$ZZ, MATCH(K$2, 'Daily 크랙 raw'!$A:$A, 0), MATCH($B12, 'Daily 크랙 raw'!$1:$1, 0)), ""), IF(val=0, "", val))</f>
        <v>9123</v>
      </c>
      <c r="L12" s="157">
        <f t="array" ref="L12">LET(val, IFERROR(INDEX('Daily 크랙 raw'!$A:$ZZ, MATCH(L$2, 'Daily 크랙 raw'!$A:$A, 0), MATCH($B12, 'Daily 크랙 raw'!$1:$1, 0)), ""), IF(val=0, "", val))</f>
        <v>9766</v>
      </c>
      <c r="M12" s="157">
        <f t="array" ref="M12">LET(val, IFERROR(INDEX('Daily 크랙 raw'!$A:$ZZ, MATCH(M$2, 'Daily 크랙 raw'!$A:$A, 0), MATCH($B12, 'Daily 크랙 raw'!$1:$1, 0)), ""), IF(val=0, "", val))</f>
        <v>10299</v>
      </c>
      <c r="N12" s="157">
        <f t="array" ref="N12">LET(val, IFERROR(INDEX('Daily 크랙 raw'!$A:$ZZ, MATCH(N$2, 'Daily 크랙 raw'!$A:$A, 0), MATCH($B12, 'Daily 크랙 raw'!$1:$1, 0)), ""), IF(val=0, "", val))</f>
        <v>11019</v>
      </c>
      <c r="O12" s="157">
        <f t="array" ref="O12">LET(val, IFERROR(INDEX('Daily 크랙 raw'!$A:$ZZ, MATCH(O$2, 'Daily 크랙 raw'!$A:$A, 0), MATCH($B12, 'Daily 크랙 raw'!$1:$1, 0)), ""), IF(val=0, "", val))</f>
        <v>10542</v>
      </c>
      <c r="P12" s="157">
        <f t="array" ref="P12">LET(val, IFERROR(INDEX('Daily 크랙 raw'!$A:$ZZ, MATCH(P$2, 'Daily 크랙 raw'!$A:$A, 0), MATCH($B12, 'Daily 크랙 raw'!$1:$1, 0)), ""), IF(val=0, "", val))</f>
        <v>10249</v>
      </c>
      <c r="Q12" s="157">
        <f t="array" ref="Q12">LET(val, IFERROR(INDEX('Daily 크랙 raw'!$A:$ZZ, MATCH(Q$2, 'Daily 크랙 raw'!$A:$A, 0), MATCH($B12, 'Daily 크랙 raw'!$1:$1, 0)), ""), IF(val=0, "", val))</f>
        <v>10087</v>
      </c>
      <c r="R12" s="157">
        <f t="array" ref="R12">LET(val, IFERROR(INDEX('Daily 크랙 raw'!$A:$ZZ, MATCH(R$2, 'Daily 크랙 raw'!$A:$A, 0), MATCH($B12, 'Daily 크랙 raw'!$1:$1, 0)), ""), IF(val=0, "", val))</f>
        <v>9922</v>
      </c>
      <c r="S12" s="157">
        <f t="array" ref="S12">LET(val, IFERROR(INDEX('Daily 크랙 raw'!$A:$ZZ, MATCH(S$2, 'Daily 크랙 raw'!$A:$A, 0), MATCH($B12, 'Daily 크랙 raw'!$1:$1, 0)), ""), IF(val=0, "", val))</f>
        <v>10095</v>
      </c>
      <c r="T12" s="157">
        <f t="array" ref="T12">LET(val, IFERROR(INDEX('Daily 크랙 raw'!$A:$ZZ, MATCH(T$2, 'Daily 크랙 raw'!$A:$A, 0), MATCH($B12, 'Daily 크랙 raw'!$1:$1, 0)), ""), IF(val=0, "", val))</f>
        <v>10506</v>
      </c>
      <c r="U12" s="157">
        <f t="array" ref="U12">LET(val, IFERROR(INDEX('Daily 크랙 raw'!$A:$ZZ, MATCH(U$2, 'Daily 크랙 raw'!$A:$A, 0), MATCH($B12, 'Daily 크랙 raw'!$1:$1, 0)), ""), IF(val=0, "", val))</f>
        <v>11239</v>
      </c>
      <c r="V12" s="157">
        <f t="array" ref="V12">LET(val, IFERROR(INDEX('Daily 크랙 raw'!$A:$ZZ, MATCH(V$2, 'Daily 크랙 raw'!$A:$A, 0), MATCH($B12, 'Daily 크랙 raw'!$1:$1, 0)), ""), IF(val=0, "", val))</f>
        <v>10936</v>
      </c>
      <c r="W12" s="157">
        <f t="array" ref="W12">LET(val, IFERROR(INDEX('Daily 크랙 raw'!$A:$ZZ, MATCH(W$2, 'Daily 크랙 raw'!$A:$A, 0), MATCH($B12, 'Daily 크랙 raw'!$1:$1, 0)), ""), IF(val=0, "", val))</f>
        <v>10586</v>
      </c>
      <c r="X12" s="157">
        <f t="array" ref="X12">LET(val, IFERROR(INDEX('Daily 크랙 raw'!$A:$ZZ, MATCH(X$2, 'Daily 크랙 raw'!$A:$A, 0), MATCH($B12, 'Daily 크랙 raw'!$1:$1, 0)), ""), IF(val=0, "", val))</f>
        <v>10370</v>
      </c>
      <c r="Y12" s="157">
        <f t="array" ref="Y12">LET(val, IFERROR(INDEX('Daily 크랙 raw'!$A:$ZZ, MATCH(Y$2, 'Daily 크랙 raw'!$A:$A, 0), MATCH($B12, 'Daily 크랙 raw'!$1:$1, 0)), ""), IF(val=0, "", val))</f>
        <v>9974</v>
      </c>
      <c r="Z12" s="157">
        <f t="array" ref="Z12">LET(val, IFERROR(INDEX('Daily 크랙 raw'!$A:$ZZ, MATCH(Z$2, 'Daily 크랙 raw'!$A:$A, 0), MATCH($B12, 'Daily 크랙 raw'!$1:$1, 0)), ""), IF(val=0, "", val))</f>
        <v>10301</v>
      </c>
      <c r="AA12" s="157">
        <f t="array" ref="AA12">LET(val, IFERROR(INDEX('Daily 크랙 raw'!$A:$ZZ, MATCH(AA$2, 'Daily 크랙 raw'!$A:$A, 0), MATCH($B12, 'Daily 크랙 raw'!$1:$1, 0)), ""), IF(val=0, "", val))</f>
        <v>10730</v>
      </c>
      <c r="AB12" s="157">
        <f t="array" ref="AB12">LET(val, IFERROR(INDEX('Daily 크랙 raw'!$A:$ZZ, MATCH(AB$2, 'Daily 크랙 raw'!$A:$A, 0), MATCH($B12, 'Daily 크랙 raw'!$1:$1, 0)), ""), IF(val=0, "", val))</f>
        <v>11654</v>
      </c>
      <c r="AC12" s="157">
        <f t="array" ref="AC12">LET(val, IFERROR(INDEX('Daily 크랙 raw'!$A:$ZZ, MATCH(AC$2, 'Daily 크랙 raw'!$A:$A, 0), MATCH($B12, 'Daily 크랙 raw'!$1:$1, 0)), ""), IF(val=0, "", val))</f>
        <v>11261</v>
      </c>
      <c r="AD12" s="157">
        <f t="array" ref="AD12">LET(val, IFERROR(INDEX('Daily 크랙 raw'!$A:$ZZ, MATCH(AD$2, 'Daily 크랙 raw'!$A:$A, 0), MATCH($B12, 'Daily 크랙 raw'!$1:$1, 0)), ""), IF(val=0, "", val))</f>
        <v>10748</v>
      </c>
      <c r="AE12" s="157">
        <f t="array" ref="AE12">LET(val, IFERROR(INDEX('Daily 크랙 raw'!$A:$ZZ, MATCH(AE$2, 'Daily 크랙 raw'!$A:$A, 0), MATCH($B12, 'Daily 크랙 raw'!$1:$1, 0)), ""), IF(val=0, "", val))</f>
        <v>10531</v>
      </c>
      <c r="AF12" s="157">
        <f t="array" ref="AF12">LET(val, IFERROR(INDEX('Daily 크랙 raw'!$A:$ZZ, MATCH(AF$2, 'Daily 크랙 raw'!$A:$A, 0), MATCH($B12, 'Daily 크랙 raw'!$1:$1, 0)), ""), IF(val=0, "", val))</f>
        <v>10535</v>
      </c>
      <c r="AG12" s="157">
        <f t="array" ref="AG12">LET(val, IFERROR(INDEX('Daily 크랙 raw'!$A:$ZZ, MATCH(AG$2, 'Daily 크랙 raw'!$A:$A, 0), MATCH($B12, 'Daily 크랙 raw'!$1:$1, 0)), ""), IF(val=0, "", val))</f>
        <v>10507</v>
      </c>
      <c r="AH12" s="157">
        <f t="array" ref="AH12">LET(val, IFERROR(INDEX('Daily 크랙 raw'!$A:$ZZ, MATCH(AH$2, 'Daily 크랙 raw'!$A:$A, 0), MATCH($B12, 'Daily 크랙 raw'!$1:$1, 0)), ""), IF(val=0, "", val))</f>
        <v>10852</v>
      </c>
      <c r="AI12" s="157">
        <f t="array" ref="AI12">LET(val, IFERROR(INDEX('Daily 크랙 raw'!$A:$ZZ, MATCH(AI$2, 'Daily 크랙 raw'!$A:$A, 0), MATCH($B12, 'Daily 크랙 raw'!$1:$1, 0)), ""), IF(val=0, "", val))</f>
        <v>12212</v>
      </c>
      <c r="AJ12" s="157">
        <f t="array" ref="AJ12">LET(val, IFERROR(INDEX('Daily 크랙 raw'!$A:$ZZ, MATCH(AJ$2, 'Daily 크랙 raw'!$A:$A, 0), MATCH($B12, 'Daily 크랙 raw'!$1:$1, 0)), ""), IF(val=0, "", val))</f>
        <v>11254</v>
      </c>
      <c r="AK12" s="157">
        <f t="array" ref="AK12">LET(val, IFERROR(INDEX('Daily 크랙 raw'!$A:$ZZ, MATCH(AK$2, 'Daily 크랙 raw'!$A:$A, 0), MATCH($B12, 'Daily 크랙 raw'!$1:$1, 0)), ""), IF(val=0, "", val))</f>
        <v>10651</v>
      </c>
      <c r="AL12" s="157">
        <f t="array" ref="AL12">LET(val, IFERROR(INDEX('Daily 크랙 raw'!$A:$ZZ, MATCH(AL$2, 'Daily 크랙 raw'!$A:$A, 0), MATCH($B12, 'Daily 크랙 raw'!$1:$1, 0)), ""), IF(val=0, "", val))</f>
        <v>10583</v>
      </c>
      <c r="AM12" s="157">
        <f t="array" ref="AM12">LET(val, IFERROR(INDEX('Daily 크랙 raw'!$A:$ZZ, MATCH(AM$2, 'Daily 크랙 raw'!$A:$A, 0), MATCH($B12, 'Daily 크랙 raw'!$1:$1, 0)), ""), IF(val=0, "", val))</f>
        <v>10604</v>
      </c>
      <c r="AN12" s="157">
        <f t="array" ref="AN12">LET(val, IFERROR(INDEX('Daily 크랙 raw'!$A:$ZZ, MATCH(AN$2, 'Daily 크랙 raw'!$A:$A, 0), MATCH($B12, 'Daily 크랙 raw'!$1:$1, 0)), ""), IF(val=0, "", val))</f>
        <v>10342</v>
      </c>
      <c r="AO12" s="157">
        <f t="array" ref="AO12">LET(val, IFERROR(INDEX('Daily 크랙 raw'!$A:$ZZ, MATCH(AO$2, 'Daily 크랙 raw'!$A:$A, 0), MATCH($B12, 'Daily 크랙 raw'!$1:$1, 0)), ""), IF(val=0, "", val))</f>
        <v>10626</v>
      </c>
      <c r="AP12" s="157">
        <f t="array" ref="AP12">LET(val, IFERROR(INDEX('Daily 크랙 raw'!$A:$ZZ, MATCH(AP$2, 'Daily 크랙 raw'!$A:$A, 0), MATCH($B12, 'Daily 크랙 raw'!$1:$1, 0)), ""), IF(val=0, "", val))</f>
        <v>11108</v>
      </c>
      <c r="AQ12" s="157">
        <f t="array" ref="AQ12">LET(val, IFERROR(INDEX('Daily 크랙 raw'!$A:$ZZ, MATCH(AQ$2, 'Daily 크랙 raw'!$A:$A, 0), MATCH($B12, 'Daily 크랙 raw'!$1:$1, 0)), ""), IF(val=0, "", val))</f>
        <v>11237</v>
      </c>
      <c r="AR12" s="157">
        <f t="array" ref="AR12">LET(val, IFERROR(INDEX('Daily 크랙 raw'!$A:$ZZ, MATCH(AR$2, 'Daily 크랙 raw'!$A:$A, 0), MATCH($B12, 'Daily 크랙 raw'!$1:$1, 0)), ""), IF(val=0, "", val))</f>
        <v>11327</v>
      </c>
      <c r="AS12" s="157">
        <f t="array" ref="AS12">LET(val, IFERROR(INDEX('Daily 크랙 raw'!$A:$ZZ, MATCH(AS$2, 'Daily 크랙 raw'!$A:$A, 0), MATCH($B12, 'Daily 크랙 raw'!$1:$1, 0)), ""), IF(val=0, "", val))</f>
        <v>10858</v>
      </c>
      <c r="AT12" s="157">
        <f t="array" ref="AT12">LET(val, IFERROR(INDEX('Daily 크랙 raw'!$A:$ZZ, MATCH(AT$2, 'Daily 크랙 raw'!$A:$A, 0), MATCH($B12, 'Daily 크랙 raw'!$1:$1, 0)), ""), IF(val=0, "", val))</f>
        <v>10495</v>
      </c>
      <c r="AU12" s="157">
        <f t="array" ref="AU12">LET(val, IFERROR(INDEX('Daily 크랙 raw'!$A:$ZZ, MATCH(AU$2, 'Daily 크랙 raw'!$A:$A, 0), MATCH($B12, 'Daily 크랙 raw'!$1:$1, 0)), ""), IF(val=0, "", val))</f>
        <v>10927</v>
      </c>
      <c r="AV12" s="157">
        <f t="array" ref="AV12">LET(val, IFERROR(INDEX('Daily 크랙 raw'!$A:$ZZ, MATCH(AV$2, 'Daily 크랙 raw'!$A:$A, 0), MATCH($B12, 'Daily 크랙 raw'!$1:$1, 0)), ""), IF(val=0, "", val))</f>
        <v>11164</v>
      </c>
      <c r="AW12" s="157">
        <f t="array" ref="AW12">LET(val, IFERROR(INDEX('Daily 크랙 raw'!$A:$ZZ, MATCH(AW$2, 'Daily 크랙 raw'!$A:$A, 0), MATCH($B12, 'Daily 크랙 raw'!$1:$1, 0)), ""), IF(val=0, "", val))</f>
        <v>11480</v>
      </c>
      <c r="AX12" s="157">
        <f t="array" ref="AX12">LET(val, IFERROR(INDEX('Daily 크랙 raw'!$A:$ZZ, MATCH(AX$2, 'Daily 크랙 raw'!$A:$A, 0), MATCH($B12, 'Daily 크랙 raw'!$1:$1, 0)), ""), IF(val=0, "", val))</f>
        <v>11878</v>
      </c>
      <c r="AY12" s="157">
        <f t="array" ref="AY12">LET(val, IFERROR(INDEX('Daily 크랙 raw'!$A:$ZZ, MATCH(AY$2, 'Daily 크랙 raw'!$A:$A, 0), MATCH($B12, 'Daily 크랙 raw'!$1:$1, 0)), ""), IF(val=0, "", val))</f>
        <v>12631</v>
      </c>
      <c r="AZ12" s="157">
        <f t="array" ref="AZ12">LET(val, IFERROR(INDEX('Daily 크랙 raw'!$A:$ZZ, MATCH(AZ$2, 'Daily 크랙 raw'!$A:$A, 0), MATCH($B12, 'Daily 크랙 raw'!$1:$1, 0)), ""), IF(val=0, "", val))</f>
        <v>13430</v>
      </c>
      <c r="BA12" s="157">
        <f t="array" ref="BA12">LET(val, IFERROR(INDEX('Daily 크랙 raw'!$A:$ZZ, MATCH(BA$2, 'Daily 크랙 raw'!$A:$A, 0), MATCH($B12, 'Daily 크랙 raw'!$1:$1, 0)), ""), IF(val=0, "", val))</f>
        <v>12381</v>
      </c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8"/>
    </row>
    <row r="13" ht="18.75" customHeight="1">
      <c r="A13" s="136"/>
      <c r="B13" s="23" t="s">
        <v>29</v>
      </c>
      <c r="C13" s="136" t="s">
        <v>30</v>
      </c>
      <c r="D13" s="157">
        <f t="array" ref="D13">LET(val, IFERROR(INDEX('Daily 크랙 raw'!$A:$ZZ, MATCH(D$2, 'Daily 크랙 raw'!$A:$A, 0), MATCH($B13, 'Daily 크랙 raw'!$1:$1, 0)), ""), IF(val=0, "", val))</f>
        <v>14889</v>
      </c>
      <c r="E13" s="157">
        <f t="array" ref="E13">LET(val, IFERROR(INDEX('Daily 크랙 raw'!$A:$ZZ, MATCH(E$2, 'Daily 크랙 raw'!$A:$A, 0), MATCH($B13, 'Daily 크랙 raw'!$1:$1, 0)), ""), IF(val=0, "", val))</f>
        <v>14344</v>
      </c>
      <c r="F13" s="157">
        <f t="array" ref="F13">LET(val, IFERROR(INDEX('Daily 크랙 raw'!$A:$ZZ, MATCH(F$2, 'Daily 크랙 raw'!$A:$A, 0), MATCH($B13, 'Daily 크랙 raw'!$1:$1, 0)), ""), IF(val=0, "", val))</f>
        <v>14877</v>
      </c>
      <c r="G13" s="157">
        <f t="array" ref="G13">LET(val, IFERROR(INDEX('Daily 크랙 raw'!$A:$ZZ, MATCH(G$2, 'Daily 크랙 raw'!$A:$A, 0), MATCH($B13, 'Daily 크랙 raw'!$1:$1, 0)), ""), IF(val=0, "", val))</f>
        <v>16230</v>
      </c>
      <c r="H13" s="157">
        <f t="array" ref="H13">LET(val, IFERROR(INDEX('Daily 크랙 raw'!$A:$ZZ, MATCH(H$2, 'Daily 크랙 raw'!$A:$A, 0), MATCH($B13, 'Daily 크랙 raw'!$1:$1, 0)), ""), IF(val=0, "", val))</f>
        <v>15462</v>
      </c>
      <c r="I13" s="157">
        <f t="array" ref="I13">LET(val, IFERROR(INDEX('Daily 크랙 raw'!$A:$ZZ, MATCH(I$2, 'Daily 크랙 raw'!$A:$A, 0), MATCH($B13, 'Daily 크랙 raw'!$1:$1, 0)), ""), IF(val=0, "", val))</f>
        <v>13940</v>
      </c>
      <c r="J13" s="157">
        <f t="array" ref="J13">LET(val, IFERROR(INDEX('Daily 크랙 raw'!$A:$ZZ, MATCH(J$2, 'Daily 크랙 raw'!$A:$A, 0), MATCH($B13, 'Daily 크랙 raw'!$1:$1, 0)), ""), IF(val=0, "", val))</f>
        <v>14261</v>
      </c>
      <c r="K13" s="157">
        <f t="array" ref="K13">LET(val, IFERROR(INDEX('Daily 크랙 raw'!$A:$ZZ, MATCH(K$2, 'Daily 크랙 raw'!$A:$A, 0), MATCH($B13, 'Daily 크랙 raw'!$1:$1, 0)), ""), IF(val=0, "", val))</f>
        <v>14097</v>
      </c>
      <c r="L13" s="157">
        <f t="array" ref="L13">LET(val, IFERROR(INDEX('Daily 크랙 raw'!$A:$ZZ, MATCH(L$2, 'Daily 크랙 raw'!$A:$A, 0), MATCH($B13, 'Daily 크랙 raw'!$1:$1, 0)), ""), IF(val=0, "", val))</f>
        <v>15109</v>
      </c>
      <c r="M13" s="157">
        <f t="array" ref="M13">LET(val, IFERROR(INDEX('Daily 크랙 raw'!$A:$ZZ, MATCH(M$2, 'Daily 크랙 raw'!$A:$A, 0), MATCH($B13, 'Daily 크랙 raw'!$1:$1, 0)), ""), IF(val=0, "", val))</f>
        <v>16324</v>
      </c>
      <c r="N13" s="157">
        <f t="array" ref="N13">LET(val, IFERROR(INDEX('Daily 크랙 raw'!$A:$ZZ, MATCH(N$2, 'Daily 크랙 raw'!$A:$A, 0), MATCH($B13, 'Daily 크랙 raw'!$1:$1, 0)), ""), IF(val=0, "", val))</f>
        <v>17636</v>
      </c>
      <c r="O13" s="157">
        <f t="array" ref="O13">LET(val, IFERROR(INDEX('Daily 크랙 raw'!$A:$ZZ, MATCH(O$2, 'Daily 크랙 raw'!$A:$A, 0), MATCH($B13, 'Daily 크랙 raw'!$1:$1, 0)), ""), IF(val=0, "", val))</f>
        <v>16455</v>
      </c>
      <c r="P13" s="157">
        <f t="array" ref="P13">LET(val, IFERROR(INDEX('Daily 크랙 raw'!$A:$ZZ, MATCH(P$2, 'Daily 크랙 raw'!$A:$A, 0), MATCH($B13, 'Daily 크랙 raw'!$1:$1, 0)), ""), IF(val=0, "", val))</f>
        <v>15921</v>
      </c>
      <c r="Q13" s="157">
        <f t="array" ref="Q13">LET(val, IFERROR(INDEX('Daily 크랙 raw'!$A:$ZZ, MATCH(Q$2, 'Daily 크랙 raw'!$A:$A, 0), MATCH($B13, 'Daily 크랙 raw'!$1:$1, 0)), ""), IF(val=0, "", val))</f>
        <v>15892</v>
      </c>
      <c r="R13" s="157">
        <f t="array" ref="R13">LET(val, IFERROR(INDEX('Daily 크랙 raw'!$A:$ZZ, MATCH(R$2, 'Daily 크랙 raw'!$A:$A, 0), MATCH($B13, 'Daily 크랙 raw'!$1:$1, 0)), ""), IF(val=0, "", val))</f>
        <v>15496</v>
      </c>
      <c r="S13" s="157">
        <f t="array" ref="S13">LET(val, IFERROR(INDEX('Daily 크랙 raw'!$A:$ZZ, MATCH(S$2, 'Daily 크랙 raw'!$A:$A, 0), MATCH($B13, 'Daily 크랙 raw'!$1:$1, 0)), ""), IF(val=0, "", val))</f>
        <v>15603</v>
      </c>
      <c r="T13" s="157">
        <f t="array" ref="T13">LET(val, IFERROR(INDEX('Daily 크랙 raw'!$A:$ZZ, MATCH(T$2, 'Daily 크랙 raw'!$A:$A, 0), MATCH($B13, 'Daily 크랙 raw'!$1:$1, 0)), ""), IF(val=0, "", val))</f>
        <v>16409</v>
      </c>
      <c r="U13" s="157">
        <f t="array" ref="U13">LET(val, IFERROR(INDEX('Daily 크랙 raw'!$A:$ZZ, MATCH(U$2, 'Daily 크랙 raw'!$A:$A, 0), MATCH($B13, 'Daily 크랙 raw'!$1:$1, 0)), ""), IF(val=0, "", val))</f>
        <v>17796</v>
      </c>
      <c r="V13" s="157">
        <f t="array" ref="V13">LET(val, IFERROR(INDEX('Daily 크랙 raw'!$A:$ZZ, MATCH(V$2, 'Daily 크랙 raw'!$A:$A, 0), MATCH($B13, 'Daily 크랙 raw'!$1:$1, 0)), ""), IF(val=0, "", val))</f>
        <v>17352</v>
      </c>
      <c r="W13" s="157">
        <f t="array" ref="W13">LET(val, IFERROR(INDEX('Daily 크랙 raw'!$A:$ZZ, MATCH(W$2, 'Daily 크랙 raw'!$A:$A, 0), MATCH($B13, 'Daily 크랙 raw'!$1:$1, 0)), ""), IF(val=0, "", val))</f>
        <v>16699</v>
      </c>
      <c r="X13" s="157">
        <f t="array" ref="X13">LET(val, IFERROR(INDEX('Daily 크랙 raw'!$A:$ZZ, MATCH(X$2, 'Daily 크랙 raw'!$A:$A, 0), MATCH($B13, 'Daily 크랙 raw'!$1:$1, 0)), ""), IF(val=0, "", val))</f>
        <v>16192</v>
      </c>
      <c r="Y13" s="157">
        <f t="array" ref="Y13">LET(val, IFERROR(INDEX('Daily 크랙 raw'!$A:$ZZ, MATCH(Y$2, 'Daily 크랙 raw'!$A:$A, 0), MATCH($B13, 'Daily 크랙 raw'!$1:$1, 0)), ""), IF(val=0, "", val))</f>
        <v>15684</v>
      </c>
      <c r="Z13" s="157">
        <f t="array" ref="Z13">LET(val, IFERROR(INDEX('Daily 크랙 raw'!$A:$ZZ, MATCH(Z$2, 'Daily 크랙 raw'!$A:$A, 0), MATCH($B13, 'Daily 크랙 raw'!$1:$1, 0)), ""), IF(val=0, "", val))</f>
        <v>16011</v>
      </c>
      <c r="AA13" s="157">
        <f t="array" ref="AA13">LET(val, IFERROR(INDEX('Daily 크랙 raw'!$A:$ZZ, MATCH(AA$2, 'Daily 크랙 raw'!$A:$A, 0), MATCH($B13, 'Daily 크랙 raw'!$1:$1, 0)), ""), IF(val=0, "", val))</f>
        <v>16951</v>
      </c>
      <c r="AB13" s="157">
        <f t="array" ref="AB13">LET(val, IFERROR(INDEX('Daily 크랙 raw'!$A:$ZZ, MATCH(AB$2, 'Daily 크랙 raw'!$A:$A, 0), MATCH($B13, 'Daily 크랙 raw'!$1:$1, 0)), ""), IF(val=0, "", val))</f>
        <v>18525</v>
      </c>
      <c r="AC13" s="157">
        <f t="array" ref="AC13">LET(val, IFERROR(INDEX('Daily 크랙 raw'!$A:$ZZ, MATCH(AC$2, 'Daily 크랙 raw'!$A:$A, 0), MATCH($B13, 'Daily 크랙 raw'!$1:$1, 0)), ""), IF(val=0, "", val))</f>
        <v>17926</v>
      </c>
      <c r="AD13" s="157">
        <f t="array" ref="AD13">LET(val, IFERROR(INDEX('Daily 크랙 raw'!$A:$ZZ, MATCH(AD$2, 'Daily 크랙 raw'!$A:$A, 0), MATCH($B13, 'Daily 크랙 raw'!$1:$1, 0)), ""), IF(val=0, "", val))</f>
        <v>16957</v>
      </c>
      <c r="AE13" s="157">
        <f t="array" ref="AE13">LET(val, IFERROR(INDEX('Daily 크랙 raw'!$A:$ZZ, MATCH(AE$2, 'Daily 크랙 raw'!$A:$A, 0), MATCH($B13, 'Daily 크랙 raw'!$1:$1, 0)), ""), IF(val=0, "", val))</f>
        <v>16326</v>
      </c>
      <c r="AF13" s="157">
        <f t="array" ref="AF13">LET(val, IFERROR(INDEX('Daily 크랙 raw'!$A:$ZZ, MATCH(AF$2, 'Daily 크랙 raw'!$A:$A, 0), MATCH($B13, 'Daily 크랙 raw'!$1:$1, 0)), ""), IF(val=0, "", val))</f>
        <v>16442</v>
      </c>
      <c r="AG13" s="157">
        <f t="array" ref="AG13">LET(val, IFERROR(INDEX('Daily 크랙 raw'!$A:$ZZ, MATCH(AG$2, 'Daily 크랙 raw'!$A:$A, 0), MATCH($B13, 'Daily 크랙 raw'!$1:$1, 0)), ""), IF(val=0, "", val))</f>
        <v>16391</v>
      </c>
      <c r="AH13" s="157">
        <f t="array" ref="AH13">LET(val, IFERROR(INDEX('Daily 크랙 raw'!$A:$ZZ, MATCH(AH$2, 'Daily 크랙 raw'!$A:$A, 0), MATCH($B13, 'Daily 크랙 raw'!$1:$1, 0)), ""), IF(val=0, "", val))</f>
        <v>17116</v>
      </c>
      <c r="AI13" s="157">
        <f t="array" ref="AI13">LET(val, IFERROR(INDEX('Daily 크랙 raw'!$A:$ZZ, MATCH(AI$2, 'Daily 크랙 raw'!$A:$A, 0), MATCH($B13, 'Daily 크랙 raw'!$1:$1, 0)), ""), IF(val=0, "", val))</f>
        <v>19070</v>
      </c>
      <c r="AJ13" s="157">
        <f t="array" ref="AJ13">LET(val, IFERROR(INDEX('Daily 크랙 raw'!$A:$ZZ, MATCH(AJ$2, 'Daily 크랙 raw'!$A:$A, 0), MATCH($B13, 'Daily 크랙 raw'!$1:$1, 0)), ""), IF(val=0, "", val))</f>
        <v>17659</v>
      </c>
      <c r="AK13" s="157">
        <f t="array" ref="AK13">LET(val, IFERROR(INDEX('Daily 크랙 raw'!$A:$ZZ, MATCH(AK$2, 'Daily 크랙 raw'!$A:$A, 0), MATCH($B13, 'Daily 크랙 raw'!$1:$1, 0)), ""), IF(val=0, "", val))</f>
        <v>16578</v>
      </c>
      <c r="AL13" s="157">
        <f t="array" ref="AL13">LET(val, IFERROR(INDEX('Daily 크랙 raw'!$A:$ZZ, MATCH(AL$2, 'Daily 크랙 raw'!$A:$A, 0), MATCH($B13, 'Daily 크랙 raw'!$1:$1, 0)), ""), IF(val=0, "", val))</f>
        <v>16415</v>
      </c>
      <c r="AM13" s="157">
        <f t="array" ref="AM13">LET(val, IFERROR(INDEX('Daily 크랙 raw'!$A:$ZZ, MATCH(AM$2, 'Daily 크랙 raw'!$A:$A, 0), MATCH($B13, 'Daily 크랙 raw'!$1:$1, 0)), ""), IF(val=0, "", val))</f>
        <v>16183</v>
      </c>
      <c r="AN13" s="157">
        <f t="array" ref="AN13">LET(val, IFERROR(INDEX('Daily 크랙 raw'!$A:$ZZ, MATCH(AN$2, 'Daily 크랙 raw'!$A:$A, 0), MATCH($B13, 'Daily 크랙 raw'!$1:$1, 0)), ""), IF(val=0, "", val))</f>
        <v>15886</v>
      </c>
      <c r="AO13" s="157">
        <f t="array" ref="AO13">LET(val, IFERROR(INDEX('Daily 크랙 raw'!$A:$ZZ, MATCH(AO$2, 'Daily 크랙 raw'!$A:$A, 0), MATCH($B13, 'Daily 크랙 raw'!$1:$1, 0)), ""), IF(val=0, "", val))</f>
        <v>16095</v>
      </c>
      <c r="AP13" s="157">
        <f t="array" ref="AP13">LET(val, IFERROR(INDEX('Daily 크랙 raw'!$A:$ZZ, MATCH(AP$2, 'Daily 크랙 raw'!$A:$A, 0), MATCH($B13, 'Daily 크랙 raw'!$1:$1, 0)), ""), IF(val=0, "", val))</f>
        <v>17185</v>
      </c>
      <c r="AQ13" s="157">
        <f t="array" ref="AQ13">LET(val, IFERROR(INDEX('Daily 크랙 raw'!$A:$ZZ, MATCH(AQ$2, 'Daily 크랙 raw'!$A:$A, 0), MATCH($B13, 'Daily 크랙 raw'!$1:$1, 0)), ""), IF(val=0, "", val))</f>
        <v>17365</v>
      </c>
      <c r="AR13" s="157">
        <f t="array" ref="AR13">LET(val, IFERROR(INDEX('Daily 크랙 raw'!$A:$ZZ, MATCH(AR$2, 'Daily 크랙 raw'!$A:$A, 0), MATCH($B13, 'Daily 크랙 raw'!$1:$1, 0)), ""), IF(val=0, "", val))</f>
        <v>17158</v>
      </c>
      <c r="AS13" s="157">
        <f t="array" ref="AS13">LET(val, IFERROR(INDEX('Daily 크랙 raw'!$A:$ZZ, MATCH(AS$2, 'Daily 크랙 raw'!$A:$A, 0), MATCH($B13, 'Daily 크랙 raw'!$1:$1, 0)), ""), IF(val=0, "", val))</f>
        <v>16456</v>
      </c>
      <c r="AT13" s="157">
        <f t="array" ref="AT13">LET(val, IFERROR(INDEX('Daily 크랙 raw'!$A:$ZZ, MATCH(AT$2, 'Daily 크랙 raw'!$A:$A, 0), MATCH($B13, 'Daily 크랙 raw'!$1:$1, 0)), ""), IF(val=0, "", val))</f>
        <v>16023</v>
      </c>
      <c r="AU13" s="157">
        <f t="array" ref="AU13">LET(val, IFERROR(INDEX('Daily 크랙 raw'!$A:$ZZ, MATCH(AU$2, 'Daily 크랙 raw'!$A:$A, 0), MATCH($B13, 'Daily 크랙 raw'!$1:$1, 0)), ""), IF(val=0, "", val))</f>
        <v>16466</v>
      </c>
      <c r="AV13" s="157">
        <f t="array" ref="AV13">LET(val, IFERROR(INDEX('Daily 크랙 raw'!$A:$ZZ, MATCH(AV$2, 'Daily 크랙 raw'!$A:$A, 0), MATCH($B13, 'Daily 크랙 raw'!$1:$1, 0)), ""), IF(val=0, "", val))</f>
        <v>17280</v>
      </c>
      <c r="AW13" s="157">
        <f t="array" ref="AW13">LET(val, IFERROR(INDEX('Daily 크랙 raw'!$A:$ZZ, MATCH(AW$2, 'Daily 크랙 raw'!$A:$A, 0), MATCH($B13, 'Daily 크랙 raw'!$1:$1, 0)), ""), IF(val=0, "", val))</f>
        <v>17831</v>
      </c>
      <c r="AX13" s="157">
        <f t="array" ref="AX13">LET(val, IFERROR(INDEX('Daily 크랙 raw'!$A:$ZZ, MATCH(AX$2, 'Daily 크랙 raw'!$A:$A, 0), MATCH($B13, 'Daily 크랙 raw'!$1:$1, 0)), ""), IF(val=0, "", val))</f>
        <v>18542</v>
      </c>
      <c r="AY13" s="157">
        <f t="array" ref="AY13">LET(val, IFERROR(INDEX('Daily 크랙 raw'!$A:$ZZ, MATCH(AY$2, 'Daily 크랙 raw'!$A:$A, 0), MATCH($B13, 'Daily 크랙 raw'!$1:$1, 0)), ""), IF(val=0, "", val))</f>
        <v>19719</v>
      </c>
      <c r="AZ13" s="157">
        <f t="array" ref="AZ13">LET(val, IFERROR(INDEX('Daily 크랙 raw'!$A:$ZZ, MATCH(AZ$2, 'Daily 크랙 raw'!$A:$A, 0), MATCH($B13, 'Daily 크랙 raw'!$1:$1, 0)), ""), IF(val=0, "", val))</f>
        <v>21259</v>
      </c>
      <c r="BA13" s="157">
        <f t="array" ref="BA13">LET(val, IFERROR(INDEX('Daily 크랙 raw'!$A:$ZZ, MATCH(BA$2, 'Daily 크랙 raw'!$A:$A, 0), MATCH($B13, 'Daily 크랙 raw'!$1:$1, 0)), ""), IF(val=0, "", val))</f>
        <v>19871</v>
      </c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8"/>
    </row>
    <row r="14" ht="18.75" customHeight="1">
      <c r="A14" s="1"/>
      <c r="B14" s="11" t="s">
        <v>31</v>
      </c>
      <c r="C14" s="1" t="s">
        <v>32</v>
      </c>
      <c r="D14" s="158">
        <f t="array" ref="D14">LET(val, IFERROR(INDEX('Daily 크랙 raw'!$A:$ZZ, MATCH(D$2, 'Daily 크랙 raw'!$A:$A, 0), MATCH($B14, 'Daily 크랙 raw'!$1:$1, 0)), ""), IF(val=0, "", val))</f>
        <v>0.3818087259</v>
      </c>
      <c r="E14" s="158">
        <f t="array" ref="E14">LET(val, IFERROR(INDEX('Daily 크랙 raw'!$A:$ZZ, MATCH(E$2, 'Daily 크랙 raw'!$A:$A, 0), MATCH($B14, 'Daily 크랙 raw'!$1:$1, 0)), ""), IF(val=0, "", val))</f>
        <v>0.2879943758</v>
      </c>
      <c r="F14" s="158">
        <f t="array" ref="F14">LET(val, IFERROR(INDEX('Daily 크랙 raw'!$A:$ZZ, MATCH(F$2, 'Daily 크랙 raw'!$A:$A, 0), MATCH($B14, 'Daily 크랙 raw'!$1:$1, 0)), ""), IF(val=0, "", val))</f>
        <v>0.2585228439</v>
      </c>
      <c r="G14" s="158">
        <f t="array" ref="G14">LET(val, IFERROR(INDEX('Daily 크랙 raw'!$A:$ZZ, MATCH(G$2, 'Daily 크랙 raw'!$A:$A, 0), MATCH($B14, 'Daily 크랙 raw'!$1:$1, 0)), ""), IF(val=0, "", val))</f>
        <v>0.3137093616</v>
      </c>
      <c r="H14" s="158">
        <f t="array" ref="H14">LET(val, IFERROR(INDEX('Daily 크랙 raw'!$A:$ZZ, MATCH(H$2, 'Daily 크랙 raw'!$A:$A, 0), MATCH($B14, 'Daily 크랙 raw'!$1:$1, 0)), ""), IF(val=0, "", val))</f>
        <v>0.4342700114</v>
      </c>
      <c r="I14" s="158">
        <f t="array" ref="I14">LET(val, IFERROR(INDEX('Daily 크랙 raw'!$A:$ZZ, MATCH(I$2, 'Daily 크랙 raw'!$A:$A, 0), MATCH($B14, 'Daily 크랙 raw'!$1:$1, 0)), ""), IF(val=0, "", val))</f>
        <v>0.1901644736</v>
      </c>
      <c r="J14" s="158">
        <f t="array" ref="J14">LET(val, IFERROR(INDEX('Daily 크랙 raw'!$A:$ZZ, MATCH(J$2, 'Daily 크랙 raw'!$A:$A, 0), MATCH($B14, 'Daily 크랙 raw'!$1:$1, 0)), ""), IF(val=0, "", val))</f>
        <v>0.1854545871</v>
      </c>
      <c r="K14" s="158">
        <f t="array" ref="K14">LET(val, IFERROR(INDEX('Daily 크랙 raw'!$A:$ZZ, MATCH(K$2, 'Daily 크랙 raw'!$A:$A, 0), MATCH($B14, 'Daily 크랙 raw'!$1:$1, 0)), ""), IF(val=0, "", val))</f>
        <v>0.2275526554</v>
      </c>
      <c r="L14" s="158">
        <f t="array" ref="L14">LET(val, IFERROR(INDEX('Daily 크랙 raw'!$A:$ZZ, MATCH(L$2, 'Daily 크랙 raw'!$A:$A, 0), MATCH($B14, 'Daily 크랙 raw'!$1:$1, 0)), ""), IF(val=0, "", val))</f>
        <v>0.2904346864</v>
      </c>
      <c r="M14" s="158">
        <f t="array" ref="M14">LET(val, IFERROR(INDEX('Daily 크랙 raw'!$A:$ZZ, MATCH(M$2, 'Daily 크랙 raw'!$A:$A, 0), MATCH($B14, 'Daily 크랙 raw'!$1:$1, 0)), ""), IF(val=0, "", val))</f>
        <v>0.271937035</v>
      </c>
      <c r="N14" s="158">
        <f t="array" ref="N14">LET(val, IFERROR(INDEX('Daily 크랙 raw'!$A:$ZZ, MATCH(N$2, 'Daily 크랙 raw'!$A:$A, 0), MATCH($B14, 'Daily 크랙 raw'!$1:$1, 0)), ""), IF(val=0, "", val))</f>
        <v>0.2811373393</v>
      </c>
      <c r="O14" s="158">
        <f t="array" ref="O14">LET(val, IFERROR(INDEX('Daily 크랙 raw'!$A:$ZZ, MATCH(O$2, 'Daily 크랙 raw'!$A:$A, 0), MATCH($B14, 'Daily 크랙 raw'!$1:$1, 0)), ""), IF(val=0, "", val))</f>
        <v>0.2922616866</v>
      </c>
      <c r="P14" s="158">
        <f t="array" ref="P14">LET(val, IFERROR(INDEX('Daily 크랙 raw'!$A:$ZZ, MATCH(P$2, 'Daily 크랙 raw'!$A:$A, 0), MATCH($B14, 'Daily 크랙 raw'!$1:$1, 0)), ""), IF(val=0, "", val))</f>
        <v>0.2813034647</v>
      </c>
      <c r="Q14" s="158">
        <f t="array" ref="Q14">LET(val, IFERROR(INDEX('Daily 크랙 raw'!$A:$ZZ, MATCH(Q$2, 'Daily 크랙 raw'!$A:$A, 0), MATCH($B14, 'Daily 크랙 raw'!$1:$1, 0)), ""), IF(val=0, "", val))</f>
        <v>0.2742841476</v>
      </c>
      <c r="R14" s="158">
        <f t="array" ref="R14">LET(val, IFERROR(INDEX('Daily 크랙 raw'!$A:$ZZ, MATCH(R$2, 'Daily 크랙 raw'!$A:$A, 0), MATCH($B14, 'Daily 크랙 raw'!$1:$1, 0)), ""), IF(val=0, "", val))</f>
        <v>0.296271471</v>
      </c>
      <c r="S14" s="158">
        <f t="array" ref="S14">LET(val, IFERROR(INDEX('Daily 크랙 raw'!$A:$ZZ, MATCH(S$2, 'Daily 크랙 raw'!$A:$A, 0), MATCH($B14, 'Daily 크랙 raw'!$1:$1, 0)), ""), IF(val=0, "", val))</f>
        <v>0.3000577716</v>
      </c>
      <c r="T14" s="158">
        <f t="array" ref="T14">LET(val, IFERROR(INDEX('Daily 크랙 raw'!$A:$ZZ, MATCH(T$2, 'Daily 크랙 raw'!$A:$A, 0), MATCH($B14, 'Daily 크랙 raw'!$1:$1, 0)), ""), IF(val=0, "", val))</f>
        <v>0.2858595882</v>
      </c>
      <c r="U14" s="158">
        <f t="array" ref="U14">LET(val, IFERROR(INDEX('Daily 크랙 raw'!$A:$ZZ, MATCH(U$2, 'Daily 크랙 raw'!$A:$A, 0), MATCH($B14, 'Daily 크랙 raw'!$1:$1, 0)), ""), IF(val=0, "", val))</f>
        <v>0.3061141308</v>
      </c>
      <c r="V14" s="158">
        <f t="array" ref="V14">LET(val, IFERROR(INDEX('Daily 크랙 raw'!$A:$ZZ, MATCH(V$2, 'Daily 크랙 raw'!$A:$A, 0), MATCH($B14, 'Daily 크랙 raw'!$1:$1, 0)), ""), IF(val=0, "", val))</f>
        <v>0.304945863</v>
      </c>
      <c r="W14" s="158">
        <f t="array" ref="W14">LET(val, IFERROR(INDEX('Daily 크랙 raw'!$A:$ZZ, MATCH(W$2, 'Daily 크랙 raw'!$A:$A, 0), MATCH($B14, 'Daily 크랙 raw'!$1:$1, 0)), ""), IF(val=0, "", val))</f>
        <v>0.3154015504</v>
      </c>
      <c r="X14" s="158">
        <f t="array" ref="X14">LET(val, IFERROR(INDEX('Daily 크랙 raw'!$A:$ZZ, MATCH(X$2, 'Daily 크랙 raw'!$A:$A, 0), MATCH($B14, 'Daily 크랙 raw'!$1:$1, 0)), ""), IF(val=0, "", val))</f>
        <v>0.2991593387</v>
      </c>
      <c r="Y14" s="158">
        <f t="array" ref="Y14">LET(val, IFERROR(INDEX('Daily 크랙 raw'!$A:$ZZ, MATCH(Y$2, 'Daily 크랙 raw'!$A:$A, 0), MATCH($B14, 'Daily 크랙 raw'!$1:$1, 0)), ""), IF(val=0, "", val))</f>
        <v>0.2928854313</v>
      </c>
      <c r="Z14" s="158">
        <f t="array" ref="Z14">LET(val, IFERROR(INDEX('Daily 크랙 raw'!$A:$ZZ, MATCH(Z$2, 'Daily 크랙 raw'!$A:$A, 0), MATCH($B14, 'Daily 크랙 raw'!$1:$1, 0)), ""), IF(val=0, "", val))</f>
        <v>0.3180745012</v>
      </c>
      <c r="AA14" s="158">
        <f t="array" ref="AA14">LET(val, IFERROR(INDEX('Daily 크랙 raw'!$A:$ZZ, MATCH(AA$2, 'Daily 크랙 raw'!$A:$A, 0), MATCH($B14, 'Daily 크랙 raw'!$1:$1, 0)), ""), IF(val=0, "", val))</f>
        <v>0.3026183377</v>
      </c>
      <c r="AB14" s="158">
        <f t="array" ref="AB14">LET(val, IFERROR(INDEX('Daily 크랙 raw'!$A:$ZZ, MATCH(AB$2, 'Daily 크랙 raw'!$A:$A, 0), MATCH($B14, 'Daily 크랙 raw'!$1:$1, 0)), ""), IF(val=0, "", val))</f>
        <v>0.3134391656</v>
      </c>
      <c r="AC14" s="158">
        <f t="array" ref="AC14">LET(val, IFERROR(INDEX('Daily 크랙 raw'!$A:$ZZ, MATCH(AC$2, 'Daily 크랙 raw'!$A:$A, 0), MATCH($B14, 'Daily 크랙 raw'!$1:$1, 0)), ""), IF(val=0, "", val))</f>
        <v>0.3190509683</v>
      </c>
      <c r="AD14" s="158">
        <f t="array" ref="AD14">LET(val, IFERROR(INDEX('Daily 크랙 raw'!$A:$ZZ, MATCH(AD$2, 'Daily 크랙 raw'!$A:$A, 0), MATCH($B14, 'Daily 크랙 raw'!$1:$1, 0)), ""), IF(val=0, "", val))</f>
        <v>0.2997319139</v>
      </c>
      <c r="AE14" s="158">
        <f t="array" ref="AE14">LET(val, IFERROR(INDEX('Daily 크랙 raw'!$A:$ZZ, MATCH(AE$2, 'Daily 크랙 raw'!$A:$A, 0), MATCH($B14, 'Daily 크랙 raw'!$1:$1, 0)), ""), IF(val=0, "", val))</f>
        <v>0.2843119803</v>
      </c>
      <c r="AF14" s="158">
        <f t="array" ref="AF14">LET(val, IFERROR(INDEX('Daily 크랙 raw'!$A:$ZZ, MATCH(AF$2, 'Daily 크랙 raw'!$A:$A, 0), MATCH($B14, 'Daily 크랙 raw'!$1:$1, 0)), ""), IF(val=0, "", val))</f>
        <v>0.2872962258</v>
      </c>
      <c r="AG14" s="158">
        <f t="array" ref="AG14">LET(val, IFERROR(INDEX('Daily 크랙 raw'!$A:$ZZ, MATCH(AG$2, 'Daily 크랙 raw'!$A:$A, 0), MATCH($B14, 'Daily 크랙 raw'!$1:$1, 0)), ""), IF(val=0, "", val))</f>
        <v>0.3143938308</v>
      </c>
      <c r="AH14" s="158">
        <f t="array" ref="AH14">LET(val, IFERROR(INDEX('Daily 크랙 raw'!$A:$ZZ, MATCH(AH$2, 'Daily 크랙 raw'!$A:$A, 0), MATCH($B14, 'Daily 크랙 raw'!$1:$1, 0)), ""), IF(val=0, "", val))</f>
        <v>0.3108271407</v>
      </c>
      <c r="AI14" s="158">
        <f t="array" ref="AI14">LET(val, IFERROR(INDEX('Daily 크랙 raw'!$A:$ZZ, MATCH(AI$2, 'Daily 크랙 raw'!$A:$A, 0), MATCH($B14, 'Daily 크랙 raw'!$1:$1, 0)), ""), IF(val=0, "", val))</f>
        <v>0.4088631516</v>
      </c>
      <c r="AJ14" s="158">
        <f t="array" ref="AJ14">LET(val, IFERROR(INDEX('Daily 크랙 raw'!$A:$ZZ, MATCH(AJ$2, 'Daily 크랙 raw'!$A:$A, 0), MATCH($B14, 'Daily 크랙 raw'!$1:$1, 0)), ""), IF(val=0, "", val))</f>
        <v>0.3412132865</v>
      </c>
      <c r="AK14" s="158">
        <f t="array" ref="AK14">LET(val, IFERROR(INDEX('Daily 크랙 raw'!$A:$ZZ, MATCH(AK$2, 'Daily 크랙 raw'!$A:$A, 0), MATCH($B14, 'Daily 크랙 raw'!$1:$1, 0)), ""), IF(val=0, "", val))</f>
        <v>0.3069642285</v>
      </c>
      <c r="AL14" s="158">
        <f t="array" ref="AL14">LET(val, IFERROR(INDEX('Daily 크랙 raw'!$A:$ZZ, MATCH(AL$2, 'Daily 크랙 raw'!$A:$A, 0), MATCH($B14, 'Daily 크랙 raw'!$1:$1, 0)), ""), IF(val=0, "", val))</f>
        <v>0.3033606212</v>
      </c>
      <c r="AM14" s="158">
        <f t="array" ref="AM14">LET(val, IFERROR(INDEX('Daily 크랙 raw'!$A:$ZZ, MATCH(AM$2, 'Daily 크랙 raw'!$A:$A, 0), MATCH($B14, 'Daily 크랙 raw'!$1:$1, 0)), ""), IF(val=0, "", val))</f>
        <v>0.3200954423</v>
      </c>
      <c r="AN14" s="158">
        <f t="array" ref="AN14">LET(val, IFERROR(INDEX('Daily 크랙 raw'!$A:$ZZ, MATCH(AN$2, 'Daily 크랙 raw'!$A:$A, 0), MATCH($B14, 'Daily 크랙 raw'!$1:$1, 0)), ""), IF(val=0, "", val))</f>
        <v>0.2799988328</v>
      </c>
      <c r="AO14" s="158">
        <f t="array" ref="AO14">LET(val, IFERROR(INDEX('Daily 크랙 raw'!$A:$ZZ, MATCH(AO$2, 'Daily 크랙 raw'!$A:$A, 0), MATCH($B14, 'Daily 크랙 raw'!$1:$1, 0)), ""), IF(val=0, "", val))</f>
        <v>0.3044878502</v>
      </c>
      <c r="AP14" s="158">
        <f t="array" ref="AP14">LET(val, IFERROR(INDEX('Daily 크랙 raw'!$A:$ZZ, MATCH(AP$2, 'Daily 크랙 raw'!$A:$A, 0), MATCH($B14, 'Daily 크랙 raw'!$1:$1, 0)), ""), IF(val=0, "", val))</f>
        <v>0.3001491449</v>
      </c>
      <c r="AQ14" s="158">
        <f t="array" ref="AQ14">LET(val, IFERROR(INDEX('Daily 크랙 raw'!$A:$ZZ, MATCH(AQ$2, 'Daily 크랙 raw'!$A:$A, 0), MATCH($B14, 'Daily 크랙 raw'!$1:$1, 0)), ""), IF(val=0, "", val))</f>
        <v>0.3359395041</v>
      </c>
      <c r="AR14" s="158">
        <f t="array" ref="AR14">LET(val, IFERROR(INDEX('Daily 크랙 raw'!$A:$ZZ, MATCH(AR$2, 'Daily 크랙 raw'!$A:$A, 0), MATCH($B14, 'Daily 크랙 raw'!$1:$1, 0)), ""), IF(val=0, "", val))</f>
        <v>0.3868851277</v>
      </c>
      <c r="AS14" s="158">
        <f t="array" ref="AS14">LET(val, IFERROR(INDEX('Daily 크랙 raw'!$A:$ZZ, MATCH(AS$2, 'Daily 크랙 raw'!$A:$A, 0), MATCH($B14, 'Daily 크랙 raw'!$1:$1, 0)), ""), IF(val=0, "", val))</f>
        <v>0.3344173786</v>
      </c>
      <c r="AT14" s="158" t="str">
        <f t="array" ref="AT14">LET(val, IFERROR(INDEX('Daily 크랙 raw'!$A:$ZZ, MATCH(AT$2, 'Daily 크랙 raw'!$A:$A, 0), MATCH($B14, 'Daily 크랙 raw'!$1:$1, 0)), ""), IF(val=0, "", val))</f>
        <v/>
      </c>
      <c r="AU14" s="158" t="str">
        <f t="array" ref="AU14">LET(val, IFERROR(INDEX('Daily 크랙 raw'!$A:$ZZ, MATCH(AU$2, 'Daily 크랙 raw'!$A:$A, 0), MATCH($B14, 'Daily 크랙 raw'!$1:$1, 0)), ""), IF(val=0, "", val))</f>
        <v/>
      </c>
      <c r="AV14" s="158" t="str">
        <f t="array" ref="AV14">LET(val, IFERROR(INDEX('Daily 크랙 raw'!$A:$ZZ, MATCH(AV$2, 'Daily 크랙 raw'!$A:$A, 0), MATCH($B14, 'Daily 크랙 raw'!$1:$1, 0)), ""), IF(val=0, "", val))</f>
        <v/>
      </c>
      <c r="AW14" s="158" t="str">
        <f t="array" ref="AW14">LET(val, IFERROR(INDEX('Daily 크랙 raw'!$A:$ZZ, MATCH(AW$2, 'Daily 크랙 raw'!$A:$A, 0), MATCH($B14, 'Daily 크랙 raw'!$1:$1, 0)), ""), IF(val=0, "", val))</f>
        <v/>
      </c>
      <c r="AX14" s="158" t="str">
        <f t="array" ref="AX14">LET(val, IFERROR(INDEX('Daily 크랙 raw'!$A:$ZZ, MATCH(AX$2, 'Daily 크랙 raw'!$A:$A, 0), MATCH($B14, 'Daily 크랙 raw'!$1:$1, 0)), ""), IF(val=0, "", val))</f>
        <v/>
      </c>
      <c r="AY14" s="158" t="str">
        <f t="array" ref="AY14">LET(val, IFERROR(INDEX('Daily 크랙 raw'!$A:$ZZ, MATCH(AY$2, 'Daily 크랙 raw'!$A:$A, 0), MATCH($B14, 'Daily 크랙 raw'!$1:$1, 0)), ""), IF(val=0, "", val))</f>
        <v/>
      </c>
      <c r="AZ14" s="158" t="str">
        <f t="array" ref="AZ14">LET(val, IFERROR(INDEX('Daily 크랙 raw'!$A:$ZZ, MATCH(AZ$2, 'Daily 크랙 raw'!$A:$A, 0), MATCH($B14, 'Daily 크랙 raw'!$1:$1, 0)), ""), IF(val=0, "", val))</f>
        <v/>
      </c>
      <c r="BA14" s="158" t="str">
        <f t="array" ref="BA14">LET(val, IFERROR(INDEX('Daily 크랙 raw'!$A:$ZZ, MATCH(BA$2, 'Daily 크랙 raw'!$A:$A, 0), MATCH($B14, 'Daily 크랙 raw'!$1:$1, 0)), ""), IF(val=0, "", val))</f>
        <v/>
      </c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40"/>
    </row>
    <row r="15" ht="18.75" customHeight="1">
      <c r="A15" s="135"/>
      <c r="B15" s="23" t="s">
        <v>33</v>
      </c>
      <c r="C15" s="136" t="s">
        <v>155</v>
      </c>
      <c r="D15" s="160">
        <f t="array" ref="D15">LET(val, IFERROR(INDEX('Daily 크랙 raw'!$A:$ZZ, MATCH(D$2, 'Daily 크랙 raw'!$A:$A, 0), MATCH($B15, 'Daily 크랙 raw'!$1:$1, 0)), ""), IF(val=0, "", val))</f>
        <v>168432023.6</v>
      </c>
      <c r="E15" s="160">
        <f t="array" ref="E15">LET(val, IFERROR(INDEX('Daily 크랙 raw'!$A:$ZZ, MATCH(E$2, 'Daily 크랙 raw'!$A:$A, 0), MATCH($B15, 'Daily 크랙 raw'!$1:$1, 0)), ""), IF(val=0, "", val))</f>
        <v>157818894.6</v>
      </c>
      <c r="F15" s="160">
        <f t="array" ref="F15">LET(val, IFERROR(INDEX('Daily 크랙 raw'!$A:$ZZ, MATCH(F$2, 'Daily 크랙 raw'!$A:$A, 0), MATCH($B15, 'Daily 크랙 raw'!$1:$1, 0)), ""), IF(val=0, "", val))</f>
        <v>164667172.7</v>
      </c>
      <c r="G15" s="160">
        <f t="array" ref="G15">LET(val, IFERROR(INDEX('Daily 크랙 raw'!$A:$ZZ, MATCH(G$2, 'Daily 크랙 raw'!$A:$A, 0), MATCH($B15, 'Daily 크랙 raw'!$1:$1, 0)), ""), IF(val=0, "", val))</f>
        <v>175263324.8</v>
      </c>
      <c r="H15" s="160">
        <f t="array" ref="H15">LET(val, IFERROR(INDEX('Daily 크랙 raw'!$A:$ZZ, MATCH(H$2, 'Daily 크랙 raw'!$A:$A, 0), MATCH($B15, 'Daily 크랙 raw'!$1:$1, 0)), ""), IF(val=0, "", val))</f>
        <v>167734246.1</v>
      </c>
      <c r="I15" s="160">
        <f t="array" ref="I15">LET(val, IFERROR(INDEX('Daily 크랙 raw'!$A:$ZZ, MATCH(I$2, 'Daily 크랙 raw'!$A:$A, 0), MATCH($B15, 'Daily 크랙 raw'!$1:$1, 0)), ""), IF(val=0, "", val))</f>
        <v>150533847.3</v>
      </c>
      <c r="J15" s="160">
        <f t="array" ref="J15">LET(val, IFERROR(INDEX('Daily 크랙 raw'!$A:$ZZ, MATCH(J$2, 'Daily 크랙 raw'!$A:$A, 0), MATCH($B15, 'Daily 크랙 raw'!$1:$1, 0)), ""), IF(val=0, "", val))</f>
        <v>156519625.5</v>
      </c>
      <c r="K15" s="160">
        <f t="array" ref="K15">LET(val, IFERROR(INDEX('Daily 크랙 raw'!$A:$ZZ, MATCH(K$2, 'Daily 크랙 raw'!$A:$A, 0), MATCH($B15, 'Daily 크랙 raw'!$1:$1, 0)), ""), IF(val=0, "", val))</f>
        <v>147829427.9</v>
      </c>
      <c r="L15" s="160">
        <f t="array" ref="L15">LET(val, IFERROR(INDEX('Daily 크랙 raw'!$A:$ZZ, MATCH(L$2, 'Daily 크랙 raw'!$A:$A, 0), MATCH($B15, 'Daily 크랙 raw'!$1:$1, 0)), ""), IF(val=0, "", val))</f>
        <v>155670540.8</v>
      </c>
      <c r="M15" s="160">
        <f t="array" ref="M15">LET(val, IFERROR(INDEX('Daily 크랙 raw'!$A:$ZZ, MATCH(M$2, 'Daily 크랙 raw'!$A:$A, 0), MATCH($B15, 'Daily 크랙 raw'!$1:$1, 0)), ""), IF(val=0, "", val))</f>
        <v>170186028.6</v>
      </c>
      <c r="N15" s="160">
        <f t="array" ref="N15">LET(val, IFERROR(INDEX('Daily 크랙 raw'!$A:$ZZ, MATCH(N$2, 'Daily 크랙 raw'!$A:$A, 0), MATCH($B15, 'Daily 크랙 raw'!$1:$1, 0)), ""), IF(val=0, "", val))</f>
        <v>182962624</v>
      </c>
      <c r="O15" s="160">
        <f t="array" ref="O15">LET(val, IFERROR(INDEX('Daily 크랙 raw'!$A:$ZZ, MATCH(O$2, 'Daily 크랙 raw'!$A:$A, 0), MATCH($B15, 'Daily 크랙 raw'!$1:$1, 0)), ""), IF(val=0, "", val))</f>
        <v>170132010</v>
      </c>
      <c r="P15" s="160">
        <f t="array" ref="P15">LET(val, IFERROR(INDEX('Daily 크랙 raw'!$A:$ZZ, MATCH(P$2, 'Daily 크랙 raw'!$A:$A, 0), MATCH($B15, 'Daily 크랙 raw'!$1:$1, 0)), ""), IF(val=0, "", val))</f>
        <v>165901392.8</v>
      </c>
      <c r="Q15" s="160">
        <f t="array" ref="Q15">LET(val, IFERROR(INDEX('Daily 크랙 raw'!$A:$ZZ, MATCH(Q$2, 'Daily 크랙 raw'!$A:$A, 0), MATCH($B15, 'Daily 크랙 raw'!$1:$1, 0)), ""), IF(val=0, "", val))</f>
        <v>160492641.3</v>
      </c>
      <c r="R15" s="160">
        <f t="array" ref="R15">LET(val, IFERROR(INDEX('Daily 크랙 raw'!$A:$ZZ, MATCH(R$2, 'Daily 크랙 raw'!$A:$A, 0), MATCH($B15, 'Daily 크랙 raw'!$1:$1, 0)), ""), IF(val=0, "", val))</f>
        <v>157776569.6</v>
      </c>
      <c r="S15" s="160">
        <f t="array" ref="S15">LET(val, IFERROR(INDEX('Daily 크랙 raw'!$A:$ZZ, MATCH(S$2, 'Daily 크랙 raw'!$A:$A, 0), MATCH($B15, 'Daily 크랙 raw'!$1:$1, 0)), ""), IF(val=0, "", val))</f>
        <v>157454664.1</v>
      </c>
      <c r="T15" s="160">
        <f t="array" ref="T15">LET(val, IFERROR(INDEX('Daily 크랙 raw'!$A:$ZZ, MATCH(T$2, 'Daily 크랙 raw'!$A:$A, 0), MATCH($B15, 'Daily 크랙 raw'!$1:$1, 0)), ""), IF(val=0, "", val))</f>
        <v>164173167.9</v>
      </c>
      <c r="U15" s="160">
        <f t="array" ref="U15">LET(val, IFERROR(INDEX('Daily 크랙 raw'!$A:$ZZ, MATCH(U$2, 'Daily 크랙 raw'!$A:$A, 0), MATCH($B15, 'Daily 크랙 raw'!$1:$1, 0)), ""), IF(val=0, "", val))</f>
        <v>180427187.4</v>
      </c>
      <c r="V15" s="160">
        <f t="array" ref="V15">LET(val, IFERROR(INDEX('Daily 크랙 raw'!$A:$ZZ, MATCH(V$2, 'Daily 크랙 raw'!$A:$A, 0), MATCH($B15, 'Daily 크랙 raw'!$1:$1, 0)), ""), IF(val=0, "", val))</f>
        <v>171179531.5</v>
      </c>
      <c r="W15" s="160">
        <f t="array" ref="W15">LET(val, IFERROR(INDEX('Daily 크랙 raw'!$A:$ZZ, MATCH(W$2, 'Daily 크랙 raw'!$A:$A, 0), MATCH($B15, 'Daily 크랙 raw'!$1:$1, 0)), ""), IF(val=0, "", val))</f>
        <v>165064148.3</v>
      </c>
      <c r="X15" s="160">
        <f t="array" ref="X15">LET(val, IFERROR(INDEX('Daily 크랙 raw'!$A:$ZZ, MATCH(X$2, 'Daily 크랙 raw'!$A:$A, 0), MATCH($B15, 'Daily 크랙 raw'!$1:$1, 0)), ""), IF(val=0, "", val))</f>
        <v>162290027.6</v>
      </c>
      <c r="Y15" s="160">
        <f t="array" ref="Y15">LET(val, IFERROR(INDEX('Daily 크랙 raw'!$A:$ZZ, MATCH(Y$2, 'Daily 크랙 raw'!$A:$A, 0), MATCH($B15, 'Daily 크랙 raw'!$1:$1, 0)), ""), IF(val=0, "", val))</f>
        <v>158229117.8</v>
      </c>
      <c r="Z15" s="160">
        <f t="array" ref="Z15">LET(val, IFERROR(INDEX('Daily 크랙 raw'!$A:$ZZ, MATCH(Z$2, 'Daily 크랙 raw'!$A:$A, 0), MATCH($B15, 'Daily 크랙 raw'!$1:$1, 0)), ""), IF(val=0, "", val))</f>
        <v>160082351.8</v>
      </c>
      <c r="AA15" s="160">
        <f t="array" ref="AA15">LET(val, IFERROR(INDEX('Daily 크랙 raw'!$A:$ZZ, MATCH(AA$2, 'Daily 크랙 raw'!$A:$A, 0), MATCH($B15, 'Daily 크랙 raw'!$1:$1, 0)), ""), IF(val=0, "", val))</f>
        <v>170255132.6</v>
      </c>
      <c r="AB15" s="160">
        <f t="array" ref="AB15">LET(val, IFERROR(INDEX('Daily 크랙 raw'!$A:$ZZ, MATCH(AB$2, 'Daily 크랙 raw'!$A:$A, 0), MATCH($B15, 'Daily 크랙 raw'!$1:$1, 0)), ""), IF(val=0, "", val))</f>
        <v>188535715.5</v>
      </c>
      <c r="AC15" s="160">
        <f t="array" ref="AC15">LET(val, IFERROR(INDEX('Daily 크랙 raw'!$A:$ZZ, MATCH(AC$2, 'Daily 크랙 raw'!$A:$A, 0), MATCH($B15, 'Daily 크랙 raw'!$1:$1, 0)), ""), IF(val=0, "", val))</f>
        <v>175625607.6</v>
      </c>
      <c r="AD15" s="160">
        <f t="array" ref="AD15">LET(val, IFERROR(INDEX('Daily 크랙 raw'!$A:$ZZ, MATCH(AD$2, 'Daily 크랙 raw'!$A:$A, 0), MATCH($B15, 'Daily 크랙 raw'!$1:$1, 0)), ""), IF(val=0, "", val))</f>
        <v>169763401.1</v>
      </c>
      <c r="AE15" s="160">
        <f t="array" ref="AE15">LET(val, IFERROR(INDEX('Daily 크랙 raw'!$A:$ZZ, MATCH(AE$2, 'Daily 크랙 raw'!$A:$A, 0), MATCH($B15, 'Daily 크랙 raw'!$1:$1, 0)), ""), IF(val=0, "", val))</f>
        <v>164328482.1</v>
      </c>
      <c r="AF15" s="160">
        <f t="array" ref="AF15">LET(val, IFERROR(INDEX('Daily 크랙 raw'!$A:$ZZ, MATCH(AF$2, 'Daily 크랙 raw'!$A:$A, 0), MATCH($B15, 'Daily 크랙 raw'!$1:$1, 0)), ""), IF(val=0, "", val))</f>
        <v>162177525.6</v>
      </c>
      <c r="AG15" s="160">
        <f t="array" ref="AG15">LET(val, IFERROR(INDEX('Daily 크랙 raw'!$A:$ZZ, MATCH(AG$2, 'Daily 크랙 raw'!$A:$A, 0), MATCH($B15, 'Daily 크랙 raw'!$1:$1, 0)), ""), IF(val=0, "", val))</f>
        <v>160789113</v>
      </c>
      <c r="AH15" s="160">
        <f t="array" ref="AH15">LET(val, IFERROR(INDEX('Daily 크랙 raw'!$A:$ZZ, MATCH(AH$2, 'Daily 크랙 raw'!$A:$A, 0), MATCH($B15, 'Daily 크랙 raw'!$1:$1, 0)), ""), IF(val=0, "", val))</f>
        <v>169666501.4</v>
      </c>
      <c r="AI15" s="160">
        <f t="array" ref="AI15">LET(val, IFERROR(INDEX('Daily 크랙 raw'!$A:$ZZ, MATCH(AI$2, 'Daily 크랙 raw'!$A:$A, 0), MATCH($B15, 'Daily 크랙 raw'!$1:$1, 0)), ""), IF(val=0, "", val))</f>
        <v>197961444.7</v>
      </c>
      <c r="AJ15" s="160">
        <f t="array" ref="AJ15">LET(val, IFERROR(INDEX('Daily 크랙 raw'!$A:$ZZ, MATCH(AJ$2, 'Daily 크랙 raw'!$A:$A, 0), MATCH($B15, 'Daily 크랙 raw'!$1:$1, 0)), ""), IF(val=0, "", val))</f>
        <v>178017214</v>
      </c>
      <c r="AK15" s="160">
        <f t="array" ref="AK15">LET(val, IFERROR(INDEX('Daily 크랙 raw'!$A:$ZZ, MATCH(AK$2, 'Daily 크랙 raw'!$A:$A, 0), MATCH($B15, 'Daily 크랙 raw'!$1:$1, 0)), ""), IF(val=0, "", val))</f>
        <v>168628285.8</v>
      </c>
      <c r="AL15" s="160">
        <f t="array" ref="AL15">LET(val, IFERROR(INDEX('Daily 크랙 raw'!$A:$ZZ, MATCH(AL$2, 'Daily 크랙 raw'!$A:$A, 0), MATCH($B15, 'Daily 크랙 raw'!$1:$1, 0)), ""), IF(val=0, "", val))</f>
        <v>167282272.4</v>
      </c>
      <c r="AM15" s="160">
        <f t="array" ref="AM15">LET(val, IFERROR(INDEX('Daily 크랙 raw'!$A:$ZZ, MATCH(AM$2, 'Daily 크랙 raw'!$A:$A, 0), MATCH($B15, 'Daily 크랙 raw'!$1:$1, 0)), ""), IF(val=0, "", val))</f>
        <v>165569066.1</v>
      </c>
      <c r="AN15" s="160">
        <f t="array" ref="AN15">LET(val, IFERROR(INDEX('Daily 크랙 raw'!$A:$ZZ, MATCH(AN$2, 'Daily 크랙 raw'!$A:$A, 0), MATCH($B15, 'Daily 크랙 raw'!$1:$1, 0)), ""), IF(val=0, "", val))</f>
        <v>160917812.9</v>
      </c>
      <c r="AO15" s="160">
        <f t="array" ref="AO15">LET(val, IFERROR(INDEX('Daily 크랙 raw'!$A:$ZZ, MATCH(AO$2, 'Daily 크랙 raw'!$A:$A, 0), MATCH($B15, 'Daily 크랙 raw'!$1:$1, 0)), ""), IF(val=0, "", val))</f>
        <v>164493561.6</v>
      </c>
      <c r="AP15" s="160">
        <f t="array" ref="AP15">LET(val, IFERROR(INDEX('Daily 크랙 raw'!$A:$ZZ, MATCH(AP$2, 'Daily 크랙 raw'!$A:$A, 0), MATCH($B15, 'Daily 크랙 raw'!$1:$1, 0)), ""), IF(val=0, "", val))</f>
        <v>178493321.4</v>
      </c>
      <c r="AQ15" s="160">
        <f t="array" ref="AQ15">LET(val, IFERROR(INDEX('Daily 크랙 raw'!$A:$ZZ, MATCH(AQ$2, 'Daily 크랙 raw'!$A:$A, 0), MATCH($B15, 'Daily 크랙 raw'!$1:$1, 0)), ""), IF(val=0, "", val))</f>
        <v>170183963</v>
      </c>
      <c r="AR15" s="160">
        <f t="array" ref="AR15">LET(val, IFERROR(INDEX('Daily 크랙 raw'!$A:$ZZ, MATCH(AR$2, 'Daily 크랙 raw'!$A:$A, 0), MATCH($B15, 'Daily 크랙 raw'!$1:$1, 0)), ""), IF(val=0, "", val))</f>
        <v>168682554.8</v>
      </c>
      <c r="AS15" s="160">
        <f t="array" ref="AS15">LET(val, IFERROR(INDEX('Daily 크랙 raw'!$A:$ZZ, MATCH(AS$2, 'Daily 크랙 raw'!$A:$A, 0), MATCH($B15, 'Daily 크랙 raw'!$1:$1, 0)), ""), IF(val=0, "", val))</f>
        <v>163505096.6</v>
      </c>
      <c r="AT15" s="160" t="str">
        <f t="array" ref="AT15">LET(val, IFERROR(INDEX('Daily 크랙 raw'!$A:$ZZ, MATCH(AT$2, 'Daily 크랙 raw'!$A:$A, 0), MATCH($B15, 'Daily 크랙 raw'!$1:$1, 0)), ""), IF(val=0, "", val))</f>
        <v/>
      </c>
      <c r="AU15" s="160" t="str">
        <f t="array" ref="AU15">LET(val, IFERROR(INDEX('Daily 크랙 raw'!$A:$ZZ, MATCH(AU$2, 'Daily 크랙 raw'!$A:$A, 0), MATCH($B15, 'Daily 크랙 raw'!$1:$1, 0)), ""), IF(val=0, "", val))</f>
        <v/>
      </c>
      <c r="AV15" s="160" t="str">
        <f t="array" ref="AV15">LET(val, IFERROR(INDEX('Daily 크랙 raw'!$A:$ZZ, MATCH(AV$2, 'Daily 크랙 raw'!$A:$A, 0), MATCH($B15, 'Daily 크랙 raw'!$1:$1, 0)), ""), IF(val=0, "", val))</f>
        <v/>
      </c>
      <c r="AW15" s="160" t="str">
        <f t="array" ref="AW15">LET(val, IFERROR(INDEX('Daily 크랙 raw'!$A:$ZZ, MATCH(AW$2, 'Daily 크랙 raw'!$A:$A, 0), MATCH($B15, 'Daily 크랙 raw'!$1:$1, 0)), ""), IF(val=0, "", val))</f>
        <v/>
      </c>
      <c r="AX15" s="160" t="str">
        <f t="array" ref="AX15">LET(val, IFERROR(INDEX('Daily 크랙 raw'!$A:$ZZ, MATCH(AX$2, 'Daily 크랙 raw'!$A:$A, 0), MATCH($B15, 'Daily 크랙 raw'!$1:$1, 0)), ""), IF(val=0, "", val))</f>
        <v/>
      </c>
      <c r="AY15" s="160" t="str">
        <f t="array" ref="AY15">LET(val, IFERROR(INDEX('Daily 크랙 raw'!$A:$ZZ, MATCH(AY$2, 'Daily 크랙 raw'!$A:$A, 0), MATCH($B15, 'Daily 크랙 raw'!$1:$1, 0)), ""), IF(val=0, "", val))</f>
        <v/>
      </c>
      <c r="AZ15" s="160" t="str">
        <f t="array" ref="AZ15">LET(val, IFERROR(INDEX('Daily 크랙 raw'!$A:$ZZ, MATCH(AZ$2, 'Daily 크랙 raw'!$A:$A, 0), MATCH($B15, 'Daily 크랙 raw'!$1:$1, 0)), ""), IF(val=0, "", val))</f>
        <v/>
      </c>
      <c r="BA15" s="160" t="str">
        <f t="array" ref="BA15">LET(val, IFERROR(INDEX('Daily 크랙 raw'!$A:$ZZ, MATCH(BA$2, 'Daily 크랙 raw'!$A:$A, 0), MATCH($B15, 'Daily 크랙 raw'!$1:$1, 0)), ""), IF(val=0, "", val))</f>
        <v/>
      </c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38"/>
    </row>
    <row r="16" ht="18.75" customHeight="1">
      <c r="A16" s="135"/>
      <c r="B16" s="23" t="s">
        <v>35</v>
      </c>
      <c r="C16" s="136" t="s">
        <v>27</v>
      </c>
      <c r="D16" s="160">
        <f t="array" ref="D16">LET(val, IFERROR(INDEX('Daily 크랙 raw'!$A:$ZZ, MATCH(D$2, 'Daily 크랙 raw'!$A:$A, 0), MATCH($B16, 'Daily 크랙 raw'!$1:$1, 0)), ""), IF(val=0, "", val))</f>
        <v>272459400</v>
      </c>
      <c r="E16" s="160">
        <f t="array" ref="E16">LET(val, IFERROR(INDEX('Daily 크랙 raw'!$A:$ZZ, MATCH(E$2, 'Daily 크랙 raw'!$A:$A, 0), MATCH($B16, 'Daily 크랙 raw'!$1:$1, 0)), ""), IF(val=0, "", val))</f>
        <v>221654000</v>
      </c>
      <c r="F16" s="160">
        <f t="array" ref="F16">LET(val, IFERROR(INDEX('Daily 크랙 raw'!$A:$ZZ, MATCH(F$2, 'Daily 크랙 raw'!$A:$A, 0), MATCH($B16, 'Daily 크랙 raw'!$1:$1, 0)), ""), IF(val=0, "", val))</f>
        <v>222079900</v>
      </c>
      <c r="G16" s="160">
        <f t="array" ref="G16">LET(val, IFERROR(INDEX('Daily 크랙 raw'!$A:$ZZ, MATCH(G$2, 'Daily 크랙 raw'!$A:$A, 0), MATCH($B16, 'Daily 크랙 raw'!$1:$1, 0)), ""), IF(val=0, "", val))</f>
        <v>255377700</v>
      </c>
      <c r="H16" s="160">
        <f t="array" ref="H16">LET(val, IFERROR(INDEX('Daily 크랙 raw'!$A:$ZZ, MATCH(H$2, 'Daily 크랙 raw'!$A:$A, 0), MATCH($B16, 'Daily 크랙 raw'!$1:$1, 0)), ""), IF(val=0, "", val))</f>
        <v>296491700</v>
      </c>
      <c r="I16" s="160">
        <f t="array" ref="I16">LET(val, IFERROR(INDEX('Daily 크랙 raw'!$A:$ZZ, MATCH(I$2, 'Daily 크랙 raw'!$A:$A, 0), MATCH($B16, 'Daily 크랙 raw'!$1:$1, 0)), ""), IF(val=0, "", val))</f>
        <v>185882000</v>
      </c>
      <c r="J16" s="160">
        <f t="array" ref="J16">LET(val, IFERROR(INDEX('Daily 크랙 raw'!$A:$ZZ, MATCH(J$2, 'Daily 크랙 raw'!$A:$A, 0), MATCH($B16, 'Daily 크랙 raw'!$1:$1, 0)), ""), IF(val=0, "", val))</f>
        <v>192155800</v>
      </c>
      <c r="K16" s="160">
        <f t="array" ref="K16">LET(val, IFERROR(INDEX('Daily 크랙 raw'!$A:$ZZ, MATCH(K$2, 'Daily 크랙 raw'!$A:$A, 0), MATCH($B16, 'Daily 크랙 raw'!$1:$1, 0)), ""), IF(val=0, "", val))</f>
        <v>191378000</v>
      </c>
      <c r="L16" s="160">
        <f t="array" ref="L16">LET(val, IFERROR(INDEX('Daily 크랙 raw'!$A:$ZZ, MATCH(L$2, 'Daily 크랙 raw'!$A:$A, 0), MATCH($B16, 'Daily 크랙 raw'!$1:$1, 0)), ""), IF(val=0, "", val))</f>
        <v>219388600</v>
      </c>
      <c r="M16" s="160">
        <f t="array" ref="M16">LET(val, IFERROR(INDEX('Daily 크랙 raw'!$A:$ZZ, MATCH(M$2, 'Daily 크랙 raw'!$A:$A, 0), MATCH($B16, 'Daily 크랙 raw'!$1:$1, 0)), ""), IF(val=0, "", val))</f>
        <v>233751800</v>
      </c>
      <c r="N16" s="160">
        <f t="array" ref="N16">LET(val, IFERROR(INDEX('Daily 크랙 raw'!$A:$ZZ, MATCH(N$2, 'Daily 크랙 raw'!$A:$A, 0), MATCH($B16, 'Daily 크랙 raw'!$1:$1, 0)), ""), IF(val=0, "", val))</f>
        <v>254516800</v>
      </c>
      <c r="O16" s="160">
        <f t="array" ref="O16">LET(val, IFERROR(INDEX('Daily 크랙 raw'!$A:$ZZ, MATCH(O$2, 'Daily 크랙 raw'!$A:$A, 0), MATCH($B16, 'Daily 크랙 raw'!$1:$1, 0)), ""), IF(val=0, "", val))</f>
        <v>240388300</v>
      </c>
      <c r="P16" s="160">
        <f t="array" ref="P16">LET(val, IFERROR(INDEX('Daily 크랙 raw'!$A:$ZZ, MATCH(P$2, 'Daily 크랙 raw'!$A:$A, 0), MATCH($B16, 'Daily 크랙 raw'!$1:$1, 0)), ""), IF(val=0, "", val))</f>
        <v>230836500</v>
      </c>
      <c r="Q16" s="160">
        <f t="array" ref="Q16">LET(val, IFERROR(INDEX('Daily 크랙 raw'!$A:$ZZ, MATCH(Q$2, 'Daily 크랙 raw'!$A:$A, 0), MATCH($B16, 'Daily 크랙 raw'!$1:$1, 0)), ""), IF(val=0, "", val))</f>
        <v>221150800</v>
      </c>
      <c r="R16" s="160">
        <f t="array" ref="R16">LET(val, IFERROR(INDEX('Daily 크랙 raw'!$A:$ZZ, MATCH(R$2, 'Daily 크랙 raw'!$A:$A, 0), MATCH($B16, 'Daily 크랙 raw'!$1:$1, 0)), ""), IF(val=0, "", val))</f>
        <v>224200900</v>
      </c>
      <c r="S16" s="160">
        <f t="array" ref="S16">LET(val, IFERROR(INDEX('Daily 크랙 raw'!$A:$ZZ, MATCH(S$2, 'Daily 크랙 raw'!$A:$A, 0), MATCH($B16, 'Daily 크랙 raw'!$1:$1, 0)), ""), IF(val=0, "", val))</f>
        <v>224953800</v>
      </c>
      <c r="T16" s="160">
        <f t="array" ref="T16">LET(val, IFERROR(INDEX('Daily 크랙 raw'!$A:$ZZ, MATCH(T$2, 'Daily 크랙 raw'!$A:$A, 0), MATCH($B16, 'Daily 크랙 raw'!$1:$1, 0)), ""), IF(val=0, "", val))</f>
        <v>229889200</v>
      </c>
      <c r="U16" s="160">
        <f t="array" ref="U16">LET(val, IFERROR(INDEX('Daily 크랙 raw'!$A:$ZZ, MATCH(U$2, 'Daily 크랙 raw'!$A:$A, 0), MATCH($B16, 'Daily 크랙 raw'!$1:$1, 0)), ""), IF(val=0, "", val))</f>
        <v>260024300</v>
      </c>
      <c r="V16" s="160">
        <f t="array" ref="V16">LET(val, IFERROR(INDEX('Daily 크랙 raw'!$A:$ZZ, MATCH(V$2, 'Daily 크랙 raw'!$A:$A, 0), MATCH($B16, 'Daily 크랙 raw'!$1:$1, 0)), ""), IF(val=0, "", val))</f>
        <v>246282300</v>
      </c>
      <c r="W16" s="160">
        <f t="array" ref="W16">LET(val, IFERROR(INDEX('Daily 크랙 raw'!$A:$ZZ, MATCH(W$2, 'Daily 크랙 raw'!$A:$A, 0), MATCH($B16, 'Daily 크랙 raw'!$1:$1, 0)), ""), IF(val=0, "", val))</f>
        <v>241110900</v>
      </c>
      <c r="X16" s="160">
        <f t="array" ref="X16">LET(val, IFERROR(INDEX('Daily 크랙 raw'!$A:$ZZ, MATCH(X$2, 'Daily 크랙 raw'!$A:$A, 0), MATCH($B16, 'Daily 크랙 raw'!$1:$1, 0)), ""), IF(val=0, "", val))</f>
        <v>231564800</v>
      </c>
      <c r="Y16" s="160">
        <f t="array" ref="Y16">LET(val, IFERROR(INDEX('Daily 크랙 raw'!$A:$ZZ, MATCH(Y$2, 'Daily 크랙 raw'!$A:$A, 0), MATCH($B16, 'Daily 크랙 raw'!$1:$1, 0)), ""), IF(val=0, "", val))</f>
        <v>223767300</v>
      </c>
      <c r="Z16" s="160">
        <f t="array" ref="Z16">LET(val, IFERROR(INDEX('Daily 크랙 raw'!$A:$ZZ, MATCH(Z$2, 'Daily 크랙 raw'!$A:$A, 0), MATCH($B16, 'Daily 크랙 raw'!$1:$1, 0)), ""), IF(val=0, "", val))</f>
        <v>234750500</v>
      </c>
      <c r="AA16" s="160">
        <f t="array" ref="AA16">LET(val, IFERROR(INDEX('Daily 크랙 raw'!$A:$ZZ, MATCH(AA$2, 'Daily 크랙 raw'!$A:$A, 0), MATCH($B16, 'Daily 크랙 raw'!$1:$1, 0)), ""), IF(val=0, "", val))</f>
        <v>244134800</v>
      </c>
      <c r="AB16" s="160">
        <f t="array" ref="AB16">LET(val, IFERROR(INDEX('Daily 크랙 raw'!$A:$ZZ, MATCH(AB$2, 'Daily 크랙 raw'!$A:$A, 0), MATCH($B16, 'Daily 크랙 raw'!$1:$1, 0)), ""), IF(val=0, "", val))</f>
        <v>274608900</v>
      </c>
      <c r="AC16" s="160">
        <f t="array" ref="AC16">LET(val, IFERROR(INDEX('Daily 크랙 raw'!$A:$ZZ, MATCH(AC$2, 'Daily 크랙 raw'!$A:$A, 0), MATCH($B16, 'Daily 크랙 raw'!$1:$1, 0)), ""), IF(val=0, "", val))</f>
        <v>257913000</v>
      </c>
      <c r="AD16" s="160">
        <f t="array" ref="AD16">LET(val, IFERROR(INDEX('Daily 크랙 raw'!$A:$ZZ, MATCH(AD$2, 'Daily 크랙 raw'!$A:$A, 0), MATCH($B16, 'Daily 크랙 raw'!$1:$1, 0)), ""), IF(val=0, "", val))</f>
        <v>242426300</v>
      </c>
      <c r="AE16" s="160">
        <f t="array" ref="AE16">LET(val, IFERROR(INDEX('Daily 크랙 raw'!$A:$ZZ, MATCH(AE$2, 'Daily 크랙 raw'!$A:$A, 0), MATCH($B16, 'Daily 크랙 raw'!$1:$1, 0)), ""), IF(val=0, "", val))</f>
        <v>229609100</v>
      </c>
      <c r="AF16" s="160">
        <f t="array" ref="AF16">LET(val, IFERROR(INDEX('Daily 크랙 raw'!$A:$ZZ, MATCH(AF$2, 'Daily 크랙 raw'!$A:$A, 0), MATCH($B16, 'Daily 크랙 raw'!$1:$1, 0)), ""), IF(val=0, "", val))</f>
        <v>227552500</v>
      </c>
      <c r="AG16" s="160">
        <f t="array" ref="AG16">LET(val, IFERROR(INDEX('Daily 크랙 raw'!$A:$ZZ, MATCH(AG$2, 'Daily 크랙 raw'!$A:$A, 0), MATCH($B16, 'Daily 크랙 raw'!$1:$1, 0)), ""), IF(val=0, "", val))</f>
        <v>234521100</v>
      </c>
      <c r="AH16" s="160">
        <f t="array" ref="AH16">LET(val, IFERROR(INDEX('Daily 크랙 raw'!$A:$ZZ, MATCH(AH$2, 'Daily 크랙 raw'!$A:$A, 0), MATCH($B16, 'Daily 크랙 raw'!$1:$1, 0)), ""), IF(val=0, "", val))</f>
        <v>246188600</v>
      </c>
      <c r="AI16" s="160">
        <f t="array" ref="AI16">LET(val, IFERROR(INDEX('Daily 크랙 raw'!$A:$ZZ, MATCH(AI$2, 'Daily 크랙 raw'!$A:$A, 0), MATCH($B16, 'Daily 크랙 raw'!$1:$1, 0)), ""), IF(val=0, "", val))</f>
        <v>334882600</v>
      </c>
      <c r="AJ16" s="160">
        <f t="array" ref="AJ16">LET(val, IFERROR(INDEX('Daily 크랙 raw'!$A:$ZZ, MATCH(AJ$2, 'Daily 크랙 raw'!$A:$A, 0), MATCH($B16, 'Daily 크랙 raw'!$1:$1, 0)), ""), IF(val=0, "", val))</f>
        <v>270219800</v>
      </c>
      <c r="AK16" s="160">
        <f t="array" ref="AK16">LET(val, IFERROR(INDEX('Daily 크랙 raw'!$A:$ZZ, MATCH(AK$2, 'Daily 크랙 raw'!$A:$A, 0), MATCH($B16, 'Daily 크랙 raw'!$1:$1, 0)), ""), IF(val=0, "", val))</f>
        <v>243318300</v>
      </c>
      <c r="AL16" s="160">
        <f t="array" ref="AL16">LET(val, IFERROR(INDEX('Daily 크랙 raw'!$A:$ZZ, MATCH(AL$2, 'Daily 크랙 raw'!$A:$A, 0), MATCH($B16, 'Daily 크랙 raw'!$1:$1, 0)), ""), IF(val=0, "", val))</f>
        <v>240127500</v>
      </c>
      <c r="AM16" s="160">
        <f t="array" ref="AM16">LET(val, IFERROR(INDEX('Daily 크랙 raw'!$A:$ZZ, MATCH(AM$2, 'Daily 크랙 raw'!$A:$A, 0), MATCH($B16, 'Daily 크랙 raw'!$1:$1, 0)), ""), IF(val=0, "", val))</f>
        <v>243518100</v>
      </c>
      <c r="AN16" s="160">
        <f t="array" ref="AN16">LET(val, IFERROR(INDEX('Daily 크랙 raw'!$A:$ZZ, MATCH(AN$2, 'Daily 크랙 raw'!$A:$A, 0), MATCH($B16, 'Daily 크랙 raw'!$1:$1, 0)), ""), IF(val=0, "", val))</f>
        <v>223496600</v>
      </c>
      <c r="AO16" s="160">
        <f t="array" ref="AO16">LET(val, IFERROR(INDEX('Daily 크랙 raw'!$A:$ZZ, MATCH(AO$2, 'Daily 크랙 raw'!$A:$A, 0), MATCH($B16, 'Daily 크랙 raw'!$1:$1, 0)), ""), IF(val=0, "", val))</f>
        <v>236507100</v>
      </c>
      <c r="AP16" s="160">
        <f t="array" ref="AP16">LET(val, IFERROR(INDEX('Daily 크랙 raw'!$A:$ZZ, MATCH(AP$2, 'Daily 크랙 raw'!$A:$A, 0), MATCH($B16, 'Daily 크랙 raw'!$1:$1, 0)), ""), IF(val=0, "", val))</f>
        <v>255044800</v>
      </c>
      <c r="AQ16" s="160">
        <f t="array" ref="AQ16">LET(val, IFERROR(INDEX('Daily 크랙 raw'!$A:$ZZ, MATCH(AQ$2, 'Daily 크랙 raw'!$A:$A, 0), MATCH($B16, 'Daily 크랙 raw'!$1:$1, 0)), ""), IF(val=0, "", val))</f>
        <v>256277800</v>
      </c>
      <c r="AR16" s="160">
        <f t="array" ref="AR16">LET(val, IFERROR(INDEX('Daily 크랙 raw'!$A:$ZZ, MATCH(AR$2, 'Daily 크랙 raw'!$A:$A, 0), MATCH($B16, 'Daily 크랙 raw'!$1:$1, 0)), ""), IF(val=0, "", val))</f>
        <v>275123900</v>
      </c>
      <c r="AS16" s="160">
        <f t="array" ref="AS16">LET(val, IFERROR(INDEX('Daily 크랙 raw'!$A:$ZZ, MATCH(AS$2, 'Daily 크랙 raw'!$A:$A, 0), MATCH($B16, 'Daily 크랙 raw'!$1:$1, 0)), ""), IF(val=0, "", val))</f>
        <v>245657100</v>
      </c>
      <c r="AT16" s="160">
        <f t="array" ref="AT16">LET(val, IFERROR(INDEX('Daily 크랙 raw'!$A:$ZZ, MATCH(AT$2, 'Daily 크랙 raw'!$A:$A, 0), MATCH($B16, 'Daily 크랙 raw'!$1:$1, 0)), ""), IF(val=0, "", val))</f>
        <v>230923400</v>
      </c>
      <c r="AU16" s="160">
        <f t="array" ref="AU16">LET(val, IFERROR(INDEX('Daily 크랙 raw'!$A:$ZZ, MATCH(AU$2, 'Daily 크랙 raw'!$A:$A, 0), MATCH($B16, 'Daily 크랙 raw'!$1:$1, 0)), ""), IF(val=0, "", val))</f>
        <v>242507000</v>
      </c>
      <c r="AV16" s="160">
        <f t="array" ref="AV16">LET(val, IFERROR(INDEX('Daily 크랙 raw'!$A:$ZZ, MATCH(AV$2, 'Daily 크랙 raw'!$A:$A, 0), MATCH($B16, 'Daily 크랙 raw'!$1:$1, 0)), ""), IF(val=0, "", val))</f>
        <v>266477500</v>
      </c>
      <c r="AW16" s="160">
        <f t="array" ref="AW16">LET(val, IFERROR(INDEX('Daily 크랙 raw'!$A:$ZZ, MATCH(AW$2, 'Daily 크랙 raw'!$A:$A, 0), MATCH($B16, 'Daily 크랙 raw'!$1:$1, 0)), ""), IF(val=0, "", val))</f>
        <v>280479400</v>
      </c>
      <c r="AX16" s="160">
        <f t="array" ref="AX16">LET(val, IFERROR(INDEX('Daily 크랙 raw'!$A:$ZZ, MATCH(AX$2, 'Daily 크랙 raw'!$A:$A, 0), MATCH($B16, 'Daily 크랙 raw'!$1:$1, 0)), ""), IF(val=0, "", val))</f>
        <v>292733300</v>
      </c>
      <c r="AY16" s="160">
        <f t="array" ref="AY16">LET(val, IFERROR(INDEX('Daily 크랙 raw'!$A:$ZZ, MATCH(AY$2, 'Daily 크랙 raw'!$A:$A, 0), MATCH($B16, 'Daily 크랙 raw'!$1:$1, 0)), ""), IF(val=0, "", val))</f>
        <v>322541700</v>
      </c>
      <c r="AZ16" s="160">
        <f t="array" ref="AZ16">LET(val, IFERROR(INDEX('Daily 크랙 raw'!$A:$ZZ, MATCH(AZ$2, 'Daily 크랙 raw'!$A:$A, 0), MATCH($B16, 'Daily 크랙 raw'!$1:$1, 0)), ""), IF(val=0, "", val))</f>
        <v>339193000</v>
      </c>
      <c r="BA16" s="160">
        <f t="array" ref="BA16">LET(val, IFERROR(INDEX('Daily 크랙 raw'!$A:$ZZ, MATCH(BA$2, 'Daily 크랙 raw'!$A:$A, 0), MATCH($B16, 'Daily 크랙 raw'!$1:$1, 0)), ""), IF(val=0, "", val))</f>
        <v>307417500</v>
      </c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38"/>
    </row>
    <row r="17" ht="18.75" hidden="1" customHeight="1">
      <c r="A17" s="1"/>
      <c r="B17" s="1"/>
      <c r="C17" s="1" t="s">
        <v>115</v>
      </c>
      <c r="D17" s="44">
        <f t="array" ref="D17">IFERROR(INDEX('Daily 크랙 raw'!$A:$ZZ, MATCH(D$2, 'Daily 크랙 raw'!$A:$A, 0), MATCH($B17, 'Daily 크랙 raw'!$1:$1, 0)), 0)</f>
        <v>0</v>
      </c>
      <c r="E17" s="44">
        <f t="array" ref="E17">IFERROR(INDEX('Daily 크랙 raw'!$A:$ZZ, MATCH(E$2, 'Daily 크랙 raw'!$A:$A, 0), MATCH($B17, 'Daily 크랙 raw'!$1:$1, 0)), 0)</f>
        <v>0</v>
      </c>
      <c r="F17" s="44">
        <f t="array" ref="F17">IFERROR(INDEX('Daily 크랙 raw'!$A:$ZZ, MATCH(F$2, 'Daily 크랙 raw'!$A:$A, 0), MATCH($B17, 'Daily 크랙 raw'!$1:$1, 0)), 0)</f>
        <v>0</v>
      </c>
      <c r="G17" s="44">
        <f t="array" ref="G17">IFERROR(INDEX('Daily 크랙 raw'!$A:$ZZ, MATCH(G$2, 'Daily 크랙 raw'!$A:$A, 0), MATCH($B17, 'Daily 크랙 raw'!$1:$1, 0)), 0)</f>
        <v>0</v>
      </c>
      <c r="H17" s="44">
        <f t="array" ref="H17">IFERROR(INDEX('Daily 크랙 raw'!$A:$ZZ, MATCH(H$2, 'Daily 크랙 raw'!$A:$A, 0), MATCH($B17, 'Daily 크랙 raw'!$1:$1, 0)), 0)</f>
        <v>0</v>
      </c>
      <c r="I17" s="44">
        <f t="array" ref="I17">IFERROR(INDEX('Daily 크랙 raw'!$A:$ZZ, MATCH(I$2, 'Daily 크랙 raw'!$A:$A, 0), MATCH($B17, 'Daily 크랙 raw'!$1:$1, 0)), 0)</f>
        <v>0</v>
      </c>
      <c r="J17" s="44">
        <f t="array" ref="J17">IFERROR(INDEX('Daily 크랙 raw'!$A:$ZZ, MATCH(J$2, 'Daily 크랙 raw'!$A:$A, 0), MATCH($B17, 'Daily 크랙 raw'!$1:$1, 0)), 0)</f>
        <v>0</v>
      </c>
      <c r="K17" s="44">
        <f t="array" ref="K17">IFERROR(INDEX('Daily 크랙 raw'!$A:$ZZ, MATCH(K$2, 'Daily 크랙 raw'!$A:$A, 0), MATCH($B17, 'Daily 크랙 raw'!$1:$1, 0)), 0)</f>
        <v>0</v>
      </c>
      <c r="L17" s="44">
        <f t="array" ref="L17">IFERROR(INDEX('Daily 크랙 raw'!$A:$ZZ, MATCH(L$2, 'Daily 크랙 raw'!$A:$A, 0), MATCH($B17, 'Daily 크랙 raw'!$1:$1, 0)), 0)</f>
        <v>0</v>
      </c>
      <c r="M17" s="44">
        <f t="array" ref="M17">IFERROR(INDEX('Daily 크랙 raw'!$A:$ZZ, MATCH(M$2, 'Daily 크랙 raw'!$A:$A, 0), MATCH($B17, 'Daily 크랙 raw'!$1:$1, 0)), 0)</f>
        <v>0</v>
      </c>
      <c r="N17" s="44">
        <f t="array" ref="N17">IFERROR(INDEX('Daily 크랙 raw'!$A:$ZZ, MATCH(N$2, 'Daily 크랙 raw'!$A:$A, 0), MATCH($B17, 'Daily 크랙 raw'!$1:$1, 0)), 0)</f>
        <v>0</v>
      </c>
      <c r="O17" s="44">
        <f t="array" ref="O17">IFERROR(INDEX('Daily 크랙 raw'!$A:$ZZ, MATCH(O$2, 'Daily 크랙 raw'!$A:$A, 0), MATCH($B17, 'Daily 크랙 raw'!$1:$1, 0)), 0)</f>
        <v>0</v>
      </c>
      <c r="P17" s="44">
        <f t="array" ref="P17">IFERROR(INDEX('Daily 크랙 raw'!$A:$ZZ, MATCH(P$2, 'Daily 크랙 raw'!$A:$A, 0), MATCH($B17, 'Daily 크랙 raw'!$1:$1, 0)), 0)</f>
        <v>0</v>
      </c>
      <c r="Q17" s="44">
        <f t="array" ref="Q17">IFERROR(INDEX('Daily 크랙 raw'!$A:$ZZ, MATCH(Q$2, 'Daily 크랙 raw'!$A:$A, 0), MATCH($B17, 'Daily 크랙 raw'!$1:$1, 0)), 0)</f>
        <v>0</v>
      </c>
      <c r="R17" s="44">
        <f t="array" ref="R17">IFERROR(INDEX('Daily 크랙 raw'!$A:$ZZ, MATCH(R$2, 'Daily 크랙 raw'!$A:$A, 0), MATCH($B17, 'Daily 크랙 raw'!$1:$1, 0)), 0)</f>
        <v>0</v>
      </c>
      <c r="S17" s="44">
        <f t="array" ref="S17">IFERROR(INDEX('Daily 크랙 raw'!$A:$ZZ, MATCH(S$2, 'Daily 크랙 raw'!$A:$A, 0), MATCH($B17, 'Daily 크랙 raw'!$1:$1, 0)), 0)</f>
        <v>0</v>
      </c>
      <c r="T17" s="44">
        <f t="array" ref="T17">IFERROR(INDEX('Daily 크랙 raw'!$A:$ZZ, MATCH(T$2, 'Daily 크랙 raw'!$A:$A, 0), MATCH($B17, 'Daily 크랙 raw'!$1:$1, 0)), 0)</f>
        <v>0</v>
      </c>
      <c r="U17" s="44">
        <f t="array" ref="U17">IFERROR(INDEX('Daily 크랙 raw'!$A:$ZZ, MATCH(U$2, 'Daily 크랙 raw'!$A:$A, 0), MATCH($B17, 'Daily 크랙 raw'!$1:$1, 0)), 0)</f>
        <v>0</v>
      </c>
      <c r="V17" s="44">
        <f t="array" ref="V17">IFERROR(INDEX('Daily 크랙 raw'!$A:$ZZ, MATCH(V$2, 'Daily 크랙 raw'!$A:$A, 0), MATCH($B17, 'Daily 크랙 raw'!$1:$1, 0)), 0)</f>
        <v>0</v>
      </c>
      <c r="W17" s="44">
        <f t="array" ref="W17">IFERROR(INDEX('Daily 크랙 raw'!$A:$ZZ, MATCH(W$2, 'Daily 크랙 raw'!$A:$A, 0), MATCH($B17, 'Daily 크랙 raw'!$1:$1, 0)), 0)</f>
        <v>0</v>
      </c>
      <c r="X17" s="44">
        <f t="array" ref="X17">IFERROR(INDEX('Daily 크랙 raw'!$A:$ZZ, MATCH(X$2, 'Daily 크랙 raw'!$A:$A, 0), MATCH($B17, 'Daily 크랙 raw'!$1:$1, 0)), 0)</f>
        <v>0</v>
      </c>
      <c r="Y17" s="44">
        <f t="array" ref="Y17">IFERROR(INDEX('Daily 크랙 raw'!$A:$ZZ, MATCH(Y$2, 'Daily 크랙 raw'!$A:$A, 0), MATCH($B17, 'Daily 크랙 raw'!$1:$1, 0)), 0)</f>
        <v>0</v>
      </c>
      <c r="Z17" s="44">
        <f t="array" ref="Z17">IFERROR(INDEX('Daily 크랙 raw'!$A:$ZZ, MATCH(Z$2, 'Daily 크랙 raw'!$A:$A, 0), MATCH($B17, 'Daily 크랙 raw'!$1:$1, 0)), 0)</f>
        <v>0</v>
      </c>
      <c r="AA17" s="44">
        <f t="array" ref="AA17">IFERROR(INDEX('Daily 크랙 raw'!$A:$ZZ, MATCH(AA$2, 'Daily 크랙 raw'!$A:$A, 0), MATCH($B17, 'Daily 크랙 raw'!$1:$1, 0)), 0)</f>
        <v>0</v>
      </c>
      <c r="AB17" s="44">
        <f t="array" ref="AB17">IFERROR(INDEX('Daily 크랙 raw'!$A:$ZZ, MATCH(AB$2, 'Daily 크랙 raw'!$A:$A, 0), MATCH($B17, 'Daily 크랙 raw'!$1:$1, 0)), 0)</f>
        <v>0</v>
      </c>
      <c r="AC17" s="44">
        <f t="array" ref="AC17">IFERROR(INDEX('Daily 크랙 raw'!$A:$ZZ, MATCH(AC$2, 'Daily 크랙 raw'!$A:$A, 0), MATCH($B17, 'Daily 크랙 raw'!$1:$1, 0)), 0)</f>
        <v>0</v>
      </c>
      <c r="AD17" s="44">
        <f t="array" ref="AD17">IFERROR(INDEX('Daily 크랙 raw'!$A:$ZZ, MATCH(AD$2, 'Daily 크랙 raw'!$A:$A, 0), MATCH($B17, 'Daily 크랙 raw'!$1:$1, 0)), 0)</f>
        <v>0</v>
      </c>
      <c r="AE17" s="44">
        <f t="array" ref="AE17">IFERROR(INDEX('Daily 크랙 raw'!$A:$ZZ, MATCH(AE$2, 'Daily 크랙 raw'!$A:$A, 0), MATCH($B17, 'Daily 크랙 raw'!$1:$1, 0)), 0)</f>
        <v>0</v>
      </c>
      <c r="AF17" s="44">
        <f t="array" ref="AF17">IFERROR(INDEX('Daily 크랙 raw'!$A:$ZZ, MATCH(AF$2, 'Daily 크랙 raw'!$A:$A, 0), MATCH($B17, 'Daily 크랙 raw'!$1:$1, 0)), 0)</f>
        <v>0</v>
      </c>
      <c r="AG17" s="44">
        <f t="array" ref="AG17">IFERROR(INDEX('Daily 크랙 raw'!$A:$ZZ, MATCH(AG$2, 'Daily 크랙 raw'!$A:$A, 0), MATCH($B17, 'Daily 크랙 raw'!$1:$1, 0)), 0)</f>
        <v>0</v>
      </c>
      <c r="AH17" s="44">
        <f t="array" ref="AH17">IFERROR(INDEX('Daily 크랙 raw'!$A:$ZZ, MATCH(AH$2, 'Daily 크랙 raw'!$A:$A, 0), MATCH($B17, 'Daily 크랙 raw'!$1:$1, 0)), 0)</f>
        <v>0</v>
      </c>
      <c r="AI17" s="44">
        <f t="array" ref="AI17">IFERROR(INDEX('Daily 크랙 raw'!$A:$ZZ, MATCH(AI$2, 'Daily 크랙 raw'!$A:$A, 0), MATCH($B17, 'Daily 크랙 raw'!$1:$1, 0)), 0)</f>
        <v>0</v>
      </c>
      <c r="AJ17" s="44">
        <f t="array" ref="AJ17">IFERROR(INDEX('Daily 크랙 raw'!$A:$ZZ, MATCH(AJ$2, 'Daily 크랙 raw'!$A:$A, 0), MATCH($B17, 'Daily 크랙 raw'!$1:$1, 0)), 0)</f>
        <v>0</v>
      </c>
      <c r="AK17" s="44">
        <f t="array" ref="AK17">IFERROR(INDEX('Daily 크랙 raw'!$A:$ZZ, MATCH(AK$2, 'Daily 크랙 raw'!$A:$A, 0), MATCH($B17, 'Daily 크랙 raw'!$1:$1, 0)), 0)</f>
        <v>0</v>
      </c>
      <c r="AL17" s="44">
        <f t="array" ref="AL17">IFERROR(INDEX('Daily 크랙 raw'!$A:$ZZ, MATCH(AL$2, 'Daily 크랙 raw'!$A:$A, 0), MATCH($B17, 'Daily 크랙 raw'!$1:$1, 0)), 0)</f>
        <v>0</v>
      </c>
      <c r="AM17" s="44">
        <f t="array" ref="AM17">IFERROR(INDEX('Daily 크랙 raw'!$A:$ZZ, MATCH(AM$2, 'Daily 크랙 raw'!$A:$A, 0), MATCH($B17, 'Daily 크랙 raw'!$1:$1, 0)), 0)</f>
        <v>0</v>
      </c>
      <c r="AN17" s="44">
        <f t="array" ref="AN17">IFERROR(INDEX('Daily 크랙 raw'!$A:$ZZ, MATCH(AN$2, 'Daily 크랙 raw'!$A:$A, 0), MATCH($B17, 'Daily 크랙 raw'!$1:$1, 0)), 0)</f>
        <v>0</v>
      </c>
      <c r="AO17" s="44">
        <f t="array" ref="AO17">IFERROR(INDEX('Daily 크랙 raw'!$A:$ZZ, MATCH(AO$2, 'Daily 크랙 raw'!$A:$A, 0), MATCH($B17, 'Daily 크랙 raw'!$1:$1, 0)), 0)</f>
        <v>0</v>
      </c>
      <c r="AP17" s="44">
        <f t="array" ref="AP17">IFERROR(INDEX('Daily 크랙 raw'!$A:$ZZ, MATCH(AP$2, 'Daily 크랙 raw'!$A:$A, 0), MATCH($B17, 'Daily 크랙 raw'!$1:$1, 0)), 0)</f>
        <v>0</v>
      </c>
      <c r="AQ17" s="44">
        <f t="array" ref="AQ17">IFERROR(INDEX('Daily 크랙 raw'!$A:$ZZ, MATCH(AQ$2, 'Daily 크랙 raw'!$A:$A, 0), MATCH($B17, 'Daily 크랙 raw'!$1:$1, 0)), 0)</f>
        <v>0</v>
      </c>
      <c r="AR17" s="44">
        <f t="array" ref="AR17">IFERROR(INDEX('Daily 크랙 raw'!$A:$ZZ, MATCH(AR$2, 'Daily 크랙 raw'!$A:$A, 0), MATCH($B17, 'Daily 크랙 raw'!$1:$1, 0)), 0)</f>
        <v>0</v>
      </c>
      <c r="AS17" s="44">
        <f t="array" ref="AS17">IFERROR(INDEX('Daily 크랙 raw'!$A:$ZZ, MATCH(AS$2, 'Daily 크랙 raw'!$A:$A, 0), MATCH($B17, 'Daily 크랙 raw'!$1:$1, 0)), 0)</f>
        <v>0</v>
      </c>
      <c r="AT17" s="44">
        <f t="array" ref="AT17">IFERROR(INDEX('Daily 크랙 raw'!$A:$ZZ, MATCH(AT$2, 'Daily 크랙 raw'!$A:$A, 0), MATCH($B17, 'Daily 크랙 raw'!$1:$1, 0)), 0)</f>
        <v>0</v>
      </c>
      <c r="AU17" s="44">
        <f t="array" ref="AU17">IFERROR(INDEX('Daily 크랙 raw'!$A:$ZZ, MATCH(AU$2, 'Daily 크랙 raw'!$A:$A, 0), MATCH($B17, 'Daily 크랙 raw'!$1:$1, 0)), 0)</f>
        <v>0</v>
      </c>
      <c r="AV17" s="44">
        <f t="array" ref="AV17">IFERROR(INDEX('Daily 크랙 raw'!$A:$ZZ, MATCH(AV$2, 'Daily 크랙 raw'!$A:$A, 0), MATCH($B17, 'Daily 크랙 raw'!$1:$1, 0)), 0)</f>
        <v>0</v>
      </c>
      <c r="AW17" s="44">
        <f t="array" ref="AW17">IFERROR(INDEX('Daily 크랙 raw'!$A:$ZZ, MATCH(AW$2, 'Daily 크랙 raw'!$A:$A, 0), MATCH($B17, 'Daily 크랙 raw'!$1:$1, 0)), 0)</f>
        <v>0</v>
      </c>
      <c r="AX17" s="44">
        <f t="array" ref="AX17">IFERROR(INDEX('Daily 크랙 raw'!$A:$ZZ, MATCH(AX$2, 'Daily 크랙 raw'!$A:$A, 0), MATCH($B17, 'Daily 크랙 raw'!$1:$1, 0)), 0)</f>
        <v>0</v>
      </c>
      <c r="AY17" s="44">
        <f t="array" ref="AY17">IFERROR(INDEX('Daily 크랙 raw'!$A:$ZZ, MATCH(AY$2, 'Daily 크랙 raw'!$A:$A, 0), MATCH($B17, 'Daily 크랙 raw'!$1:$1, 0)), 0)</f>
        <v>0</v>
      </c>
      <c r="AZ17" s="44">
        <f t="array" ref="AZ17">IFERROR(INDEX('Daily 크랙 raw'!$A:$ZZ, MATCH(AZ$2, 'Daily 크랙 raw'!$A:$A, 0), MATCH($B17, 'Daily 크랙 raw'!$1:$1, 0)), 0)</f>
        <v>0</v>
      </c>
      <c r="BA17" s="44">
        <f t="array" ref="BA17">IFERROR(INDEX('Daily 크랙 raw'!$A:$ZZ, MATCH(BA$2, 'Daily 크랙 raw'!$A:$A, 0), MATCH($B17, 'Daily 크랙 raw'!$1:$1, 0)), 0)</f>
        <v>0</v>
      </c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/>
      <c r="CF17" s="143"/>
      <c r="CG17" s="143"/>
      <c r="CH17" s="143"/>
      <c r="CI17" s="143"/>
      <c r="CJ17" s="143"/>
      <c r="CK17" s="143"/>
      <c r="CL17" s="143"/>
      <c r="CM17" s="143"/>
      <c r="CN17" s="143"/>
      <c r="CO17" s="143"/>
    </row>
    <row r="18" ht="18.75" hidden="1" customHeight="1">
      <c r="A18" s="1"/>
      <c r="B18" s="1"/>
      <c r="C18" s="17" t="s">
        <v>116</v>
      </c>
      <c r="D18" s="44">
        <f t="array" ref="D18">IFERROR(INDEX('Daily 크랙 raw'!$A:$ZZ, MATCH(D$2, 'Daily 크랙 raw'!$A:$A, 0), MATCH($B18, 'Daily 크랙 raw'!$1:$1, 0)), 0)</f>
        <v>0</v>
      </c>
      <c r="E18" s="44">
        <f t="array" ref="E18">IFERROR(INDEX('Daily 크랙 raw'!$A:$ZZ, MATCH(E$2, 'Daily 크랙 raw'!$A:$A, 0), MATCH($B18, 'Daily 크랙 raw'!$1:$1, 0)), 0)</f>
        <v>0</v>
      </c>
      <c r="F18" s="44">
        <f t="array" ref="F18">IFERROR(INDEX('Daily 크랙 raw'!$A:$ZZ, MATCH(F$2, 'Daily 크랙 raw'!$A:$A, 0), MATCH($B18, 'Daily 크랙 raw'!$1:$1, 0)), 0)</f>
        <v>0</v>
      </c>
      <c r="G18" s="44">
        <f t="array" ref="G18">IFERROR(INDEX('Daily 크랙 raw'!$A:$ZZ, MATCH(G$2, 'Daily 크랙 raw'!$A:$A, 0), MATCH($B18, 'Daily 크랙 raw'!$1:$1, 0)), 0)</f>
        <v>0</v>
      </c>
      <c r="H18" s="44">
        <f t="array" ref="H18">IFERROR(INDEX('Daily 크랙 raw'!$A:$ZZ, MATCH(H$2, 'Daily 크랙 raw'!$A:$A, 0), MATCH($B18, 'Daily 크랙 raw'!$1:$1, 0)), 0)</f>
        <v>0</v>
      </c>
      <c r="I18" s="44">
        <f t="array" ref="I18">IFERROR(INDEX('Daily 크랙 raw'!$A:$ZZ, MATCH(I$2, 'Daily 크랙 raw'!$A:$A, 0), MATCH($B18, 'Daily 크랙 raw'!$1:$1, 0)), 0)</f>
        <v>0</v>
      </c>
      <c r="J18" s="44">
        <f t="array" ref="J18">IFERROR(INDEX('Daily 크랙 raw'!$A:$ZZ, MATCH(J$2, 'Daily 크랙 raw'!$A:$A, 0), MATCH($B18, 'Daily 크랙 raw'!$1:$1, 0)), 0)</f>
        <v>0</v>
      </c>
      <c r="K18" s="44">
        <f t="array" ref="K18">IFERROR(INDEX('Daily 크랙 raw'!$A:$ZZ, MATCH(K$2, 'Daily 크랙 raw'!$A:$A, 0), MATCH($B18, 'Daily 크랙 raw'!$1:$1, 0)), 0)</f>
        <v>0</v>
      </c>
      <c r="L18" s="44">
        <f t="array" ref="L18">IFERROR(INDEX('Daily 크랙 raw'!$A:$ZZ, MATCH(L$2, 'Daily 크랙 raw'!$A:$A, 0), MATCH($B18, 'Daily 크랙 raw'!$1:$1, 0)), 0)</f>
        <v>0</v>
      </c>
      <c r="M18" s="44">
        <f t="array" ref="M18">IFERROR(INDEX('Daily 크랙 raw'!$A:$ZZ, MATCH(M$2, 'Daily 크랙 raw'!$A:$A, 0), MATCH($B18, 'Daily 크랙 raw'!$1:$1, 0)), 0)</f>
        <v>0</v>
      </c>
      <c r="N18" s="44">
        <f t="array" ref="N18">IFERROR(INDEX('Daily 크랙 raw'!$A:$ZZ, MATCH(N$2, 'Daily 크랙 raw'!$A:$A, 0), MATCH($B18, 'Daily 크랙 raw'!$1:$1, 0)), 0)</f>
        <v>0</v>
      </c>
      <c r="O18" s="44">
        <f t="array" ref="O18">IFERROR(INDEX('Daily 크랙 raw'!$A:$ZZ, MATCH(O$2, 'Daily 크랙 raw'!$A:$A, 0), MATCH($B18, 'Daily 크랙 raw'!$1:$1, 0)), 0)</f>
        <v>0</v>
      </c>
      <c r="P18" s="44">
        <f t="array" ref="P18">IFERROR(INDEX('Daily 크랙 raw'!$A:$ZZ, MATCH(P$2, 'Daily 크랙 raw'!$A:$A, 0), MATCH($B18, 'Daily 크랙 raw'!$1:$1, 0)), 0)</f>
        <v>0</v>
      </c>
      <c r="Q18" s="44">
        <f t="array" ref="Q18">IFERROR(INDEX('Daily 크랙 raw'!$A:$ZZ, MATCH(Q$2, 'Daily 크랙 raw'!$A:$A, 0), MATCH($B18, 'Daily 크랙 raw'!$1:$1, 0)), 0)</f>
        <v>0</v>
      </c>
      <c r="R18" s="44">
        <f t="array" ref="R18">IFERROR(INDEX('Daily 크랙 raw'!$A:$ZZ, MATCH(R$2, 'Daily 크랙 raw'!$A:$A, 0), MATCH($B18, 'Daily 크랙 raw'!$1:$1, 0)), 0)</f>
        <v>0</v>
      </c>
      <c r="S18" s="44">
        <f t="array" ref="S18">IFERROR(INDEX('Daily 크랙 raw'!$A:$ZZ, MATCH(S$2, 'Daily 크랙 raw'!$A:$A, 0), MATCH($B18, 'Daily 크랙 raw'!$1:$1, 0)), 0)</f>
        <v>0</v>
      </c>
      <c r="T18" s="44">
        <f t="array" ref="T18">IFERROR(INDEX('Daily 크랙 raw'!$A:$ZZ, MATCH(T$2, 'Daily 크랙 raw'!$A:$A, 0), MATCH($B18, 'Daily 크랙 raw'!$1:$1, 0)), 0)</f>
        <v>0</v>
      </c>
      <c r="U18" s="44">
        <f t="array" ref="U18">IFERROR(INDEX('Daily 크랙 raw'!$A:$ZZ, MATCH(U$2, 'Daily 크랙 raw'!$A:$A, 0), MATCH($B18, 'Daily 크랙 raw'!$1:$1, 0)), 0)</f>
        <v>0</v>
      </c>
      <c r="V18" s="44">
        <f t="array" ref="V18">IFERROR(INDEX('Daily 크랙 raw'!$A:$ZZ, MATCH(V$2, 'Daily 크랙 raw'!$A:$A, 0), MATCH($B18, 'Daily 크랙 raw'!$1:$1, 0)), 0)</f>
        <v>0</v>
      </c>
      <c r="W18" s="44">
        <f t="array" ref="W18">IFERROR(INDEX('Daily 크랙 raw'!$A:$ZZ, MATCH(W$2, 'Daily 크랙 raw'!$A:$A, 0), MATCH($B18, 'Daily 크랙 raw'!$1:$1, 0)), 0)</f>
        <v>0</v>
      </c>
      <c r="X18" s="44">
        <f t="array" ref="X18">IFERROR(INDEX('Daily 크랙 raw'!$A:$ZZ, MATCH(X$2, 'Daily 크랙 raw'!$A:$A, 0), MATCH($B18, 'Daily 크랙 raw'!$1:$1, 0)), 0)</f>
        <v>0</v>
      </c>
      <c r="Y18" s="44">
        <f t="array" ref="Y18">IFERROR(INDEX('Daily 크랙 raw'!$A:$ZZ, MATCH(Y$2, 'Daily 크랙 raw'!$A:$A, 0), MATCH($B18, 'Daily 크랙 raw'!$1:$1, 0)), 0)</f>
        <v>0</v>
      </c>
      <c r="Z18" s="44">
        <f t="array" ref="Z18">IFERROR(INDEX('Daily 크랙 raw'!$A:$ZZ, MATCH(Z$2, 'Daily 크랙 raw'!$A:$A, 0), MATCH($B18, 'Daily 크랙 raw'!$1:$1, 0)), 0)</f>
        <v>0</v>
      </c>
      <c r="AA18" s="44">
        <f t="array" ref="AA18">IFERROR(INDEX('Daily 크랙 raw'!$A:$ZZ, MATCH(AA$2, 'Daily 크랙 raw'!$A:$A, 0), MATCH($B18, 'Daily 크랙 raw'!$1:$1, 0)), 0)</f>
        <v>0</v>
      </c>
      <c r="AB18" s="44">
        <f t="array" ref="AB18">IFERROR(INDEX('Daily 크랙 raw'!$A:$ZZ, MATCH(AB$2, 'Daily 크랙 raw'!$A:$A, 0), MATCH($B18, 'Daily 크랙 raw'!$1:$1, 0)), 0)</f>
        <v>0</v>
      </c>
      <c r="AC18" s="44">
        <f t="array" ref="AC18">IFERROR(INDEX('Daily 크랙 raw'!$A:$ZZ, MATCH(AC$2, 'Daily 크랙 raw'!$A:$A, 0), MATCH($B18, 'Daily 크랙 raw'!$1:$1, 0)), 0)</f>
        <v>0</v>
      </c>
      <c r="AD18" s="44">
        <f t="array" ref="AD18">IFERROR(INDEX('Daily 크랙 raw'!$A:$ZZ, MATCH(AD$2, 'Daily 크랙 raw'!$A:$A, 0), MATCH($B18, 'Daily 크랙 raw'!$1:$1, 0)), 0)</f>
        <v>0</v>
      </c>
      <c r="AE18" s="44">
        <f t="array" ref="AE18">IFERROR(INDEX('Daily 크랙 raw'!$A:$ZZ, MATCH(AE$2, 'Daily 크랙 raw'!$A:$A, 0), MATCH($B18, 'Daily 크랙 raw'!$1:$1, 0)), 0)</f>
        <v>0</v>
      </c>
      <c r="AF18" s="44">
        <f t="array" ref="AF18">IFERROR(INDEX('Daily 크랙 raw'!$A:$ZZ, MATCH(AF$2, 'Daily 크랙 raw'!$A:$A, 0), MATCH($B18, 'Daily 크랙 raw'!$1:$1, 0)), 0)</f>
        <v>0</v>
      </c>
      <c r="AG18" s="44">
        <f t="array" ref="AG18">IFERROR(INDEX('Daily 크랙 raw'!$A:$ZZ, MATCH(AG$2, 'Daily 크랙 raw'!$A:$A, 0), MATCH($B18, 'Daily 크랙 raw'!$1:$1, 0)), 0)</f>
        <v>0</v>
      </c>
      <c r="AH18" s="44">
        <f t="array" ref="AH18">IFERROR(INDEX('Daily 크랙 raw'!$A:$ZZ, MATCH(AH$2, 'Daily 크랙 raw'!$A:$A, 0), MATCH($B18, 'Daily 크랙 raw'!$1:$1, 0)), 0)</f>
        <v>0</v>
      </c>
      <c r="AI18" s="44">
        <f t="array" ref="AI18">IFERROR(INDEX('Daily 크랙 raw'!$A:$ZZ, MATCH(AI$2, 'Daily 크랙 raw'!$A:$A, 0), MATCH($B18, 'Daily 크랙 raw'!$1:$1, 0)), 0)</f>
        <v>0</v>
      </c>
      <c r="AJ18" s="44">
        <f t="array" ref="AJ18">IFERROR(INDEX('Daily 크랙 raw'!$A:$ZZ, MATCH(AJ$2, 'Daily 크랙 raw'!$A:$A, 0), MATCH($B18, 'Daily 크랙 raw'!$1:$1, 0)), 0)</f>
        <v>0</v>
      </c>
      <c r="AK18" s="44">
        <f t="array" ref="AK18">IFERROR(INDEX('Daily 크랙 raw'!$A:$ZZ, MATCH(AK$2, 'Daily 크랙 raw'!$A:$A, 0), MATCH($B18, 'Daily 크랙 raw'!$1:$1, 0)), 0)</f>
        <v>0</v>
      </c>
      <c r="AL18" s="44">
        <f t="array" ref="AL18">IFERROR(INDEX('Daily 크랙 raw'!$A:$ZZ, MATCH(AL$2, 'Daily 크랙 raw'!$A:$A, 0), MATCH($B18, 'Daily 크랙 raw'!$1:$1, 0)), 0)</f>
        <v>0</v>
      </c>
      <c r="AM18" s="44">
        <f t="array" ref="AM18">IFERROR(INDEX('Daily 크랙 raw'!$A:$ZZ, MATCH(AM$2, 'Daily 크랙 raw'!$A:$A, 0), MATCH($B18, 'Daily 크랙 raw'!$1:$1, 0)), 0)</f>
        <v>0</v>
      </c>
      <c r="AN18" s="44">
        <f t="array" ref="AN18">IFERROR(INDEX('Daily 크랙 raw'!$A:$ZZ, MATCH(AN$2, 'Daily 크랙 raw'!$A:$A, 0), MATCH($B18, 'Daily 크랙 raw'!$1:$1, 0)), 0)</f>
        <v>0</v>
      </c>
      <c r="AO18" s="44">
        <f t="array" ref="AO18">IFERROR(INDEX('Daily 크랙 raw'!$A:$ZZ, MATCH(AO$2, 'Daily 크랙 raw'!$A:$A, 0), MATCH($B18, 'Daily 크랙 raw'!$1:$1, 0)), 0)</f>
        <v>0</v>
      </c>
      <c r="AP18" s="44">
        <f t="array" ref="AP18">IFERROR(INDEX('Daily 크랙 raw'!$A:$ZZ, MATCH(AP$2, 'Daily 크랙 raw'!$A:$A, 0), MATCH($B18, 'Daily 크랙 raw'!$1:$1, 0)), 0)</f>
        <v>0</v>
      </c>
      <c r="AQ18" s="44">
        <f t="array" ref="AQ18">IFERROR(INDEX('Daily 크랙 raw'!$A:$ZZ, MATCH(AQ$2, 'Daily 크랙 raw'!$A:$A, 0), MATCH($B18, 'Daily 크랙 raw'!$1:$1, 0)), 0)</f>
        <v>0</v>
      </c>
      <c r="AR18" s="44">
        <f t="array" ref="AR18">IFERROR(INDEX('Daily 크랙 raw'!$A:$ZZ, MATCH(AR$2, 'Daily 크랙 raw'!$A:$A, 0), MATCH($B18, 'Daily 크랙 raw'!$1:$1, 0)), 0)</f>
        <v>0</v>
      </c>
      <c r="AS18" s="44">
        <f t="array" ref="AS18">IFERROR(INDEX('Daily 크랙 raw'!$A:$ZZ, MATCH(AS$2, 'Daily 크랙 raw'!$A:$A, 0), MATCH($B18, 'Daily 크랙 raw'!$1:$1, 0)), 0)</f>
        <v>0</v>
      </c>
      <c r="AT18" s="44">
        <f t="array" ref="AT18">IFERROR(INDEX('Daily 크랙 raw'!$A:$ZZ, MATCH(AT$2, 'Daily 크랙 raw'!$A:$A, 0), MATCH($B18, 'Daily 크랙 raw'!$1:$1, 0)), 0)</f>
        <v>0</v>
      </c>
      <c r="AU18" s="44">
        <f t="array" ref="AU18">IFERROR(INDEX('Daily 크랙 raw'!$A:$ZZ, MATCH(AU$2, 'Daily 크랙 raw'!$A:$A, 0), MATCH($B18, 'Daily 크랙 raw'!$1:$1, 0)), 0)</f>
        <v>0</v>
      </c>
      <c r="AV18" s="44">
        <f t="array" ref="AV18">IFERROR(INDEX('Daily 크랙 raw'!$A:$ZZ, MATCH(AV$2, 'Daily 크랙 raw'!$A:$A, 0), MATCH($B18, 'Daily 크랙 raw'!$1:$1, 0)), 0)</f>
        <v>0</v>
      </c>
      <c r="AW18" s="44">
        <f t="array" ref="AW18">IFERROR(INDEX('Daily 크랙 raw'!$A:$ZZ, MATCH(AW$2, 'Daily 크랙 raw'!$A:$A, 0), MATCH($B18, 'Daily 크랙 raw'!$1:$1, 0)), 0)</f>
        <v>0</v>
      </c>
      <c r="AX18" s="44">
        <f t="array" ref="AX18">IFERROR(INDEX('Daily 크랙 raw'!$A:$ZZ, MATCH(AX$2, 'Daily 크랙 raw'!$A:$A, 0), MATCH($B18, 'Daily 크랙 raw'!$1:$1, 0)), 0)</f>
        <v>0</v>
      </c>
      <c r="AY18" s="44">
        <f t="array" ref="AY18">IFERROR(INDEX('Daily 크랙 raw'!$A:$ZZ, MATCH(AY$2, 'Daily 크랙 raw'!$A:$A, 0), MATCH($B18, 'Daily 크랙 raw'!$1:$1, 0)), 0)</f>
        <v>0</v>
      </c>
      <c r="AZ18" s="44">
        <f t="array" ref="AZ18">IFERROR(INDEX('Daily 크랙 raw'!$A:$ZZ, MATCH(AZ$2, 'Daily 크랙 raw'!$A:$A, 0), MATCH($B18, 'Daily 크랙 raw'!$1:$1, 0)), 0)</f>
        <v>0</v>
      </c>
      <c r="BA18" s="44">
        <f t="array" ref="BA18">IFERROR(INDEX('Daily 크랙 raw'!$A:$ZZ, MATCH(BA$2, 'Daily 크랙 raw'!$A:$A, 0), MATCH($B18, 'Daily 크랙 raw'!$1:$1, 0)), 0)</f>
        <v>0</v>
      </c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</row>
    <row r="19" ht="18.75" hidden="1" customHeight="1">
      <c r="A19" s="1"/>
      <c r="B19" s="1"/>
      <c r="C19" s="17" t="s">
        <v>117</v>
      </c>
      <c r="D19" s="44">
        <f t="array" ref="D19">IFERROR(INDEX('Daily 크랙 raw'!$A:$ZZ, MATCH(D$2, 'Daily 크랙 raw'!$A:$A, 0), MATCH($B19, 'Daily 크랙 raw'!$1:$1, 0)), 0)</f>
        <v>0</v>
      </c>
      <c r="E19" s="44">
        <f t="array" ref="E19">IFERROR(INDEX('Daily 크랙 raw'!$A:$ZZ, MATCH(E$2, 'Daily 크랙 raw'!$A:$A, 0), MATCH($B19, 'Daily 크랙 raw'!$1:$1, 0)), 0)</f>
        <v>0</v>
      </c>
      <c r="F19" s="44">
        <f t="array" ref="F19">IFERROR(INDEX('Daily 크랙 raw'!$A:$ZZ, MATCH(F$2, 'Daily 크랙 raw'!$A:$A, 0), MATCH($B19, 'Daily 크랙 raw'!$1:$1, 0)), 0)</f>
        <v>0</v>
      </c>
      <c r="G19" s="44">
        <f t="array" ref="G19">IFERROR(INDEX('Daily 크랙 raw'!$A:$ZZ, MATCH(G$2, 'Daily 크랙 raw'!$A:$A, 0), MATCH($B19, 'Daily 크랙 raw'!$1:$1, 0)), 0)</f>
        <v>0</v>
      </c>
      <c r="H19" s="44">
        <f t="array" ref="H19">IFERROR(INDEX('Daily 크랙 raw'!$A:$ZZ, MATCH(H$2, 'Daily 크랙 raw'!$A:$A, 0), MATCH($B19, 'Daily 크랙 raw'!$1:$1, 0)), 0)</f>
        <v>0</v>
      </c>
      <c r="I19" s="44">
        <f t="array" ref="I19">IFERROR(INDEX('Daily 크랙 raw'!$A:$ZZ, MATCH(I$2, 'Daily 크랙 raw'!$A:$A, 0), MATCH($B19, 'Daily 크랙 raw'!$1:$1, 0)), 0)</f>
        <v>0</v>
      </c>
      <c r="J19" s="44">
        <f t="array" ref="J19">IFERROR(INDEX('Daily 크랙 raw'!$A:$ZZ, MATCH(J$2, 'Daily 크랙 raw'!$A:$A, 0), MATCH($B19, 'Daily 크랙 raw'!$1:$1, 0)), 0)</f>
        <v>0</v>
      </c>
      <c r="K19" s="44">
        <f t="array" ref="K19">IFERROR(INDEX('Daily 크랙 raw'!$A:$ZZ, MATCH(K$2, 'Daily 크랙 raw'!$A:$A, 0), MATCH($B19, 'Daily 크랙 raw'!$1:$1, 0)), 0)</f>
        <v>0</v>
      </c>
      <c r="L19" s="44">
        <f t="array" ref="L19">IFERROR(INDEX('Daily 크랙 raw'!$A:$ZZ, MATCH(L$2, 'Daily 크랙 raw'!$A:$A, 0), MATCH($B19, 'Daily 크랙 raw'!$1:$1, 0)), 0)</f>
        <v>0</v>
      </c>
      <c r="M19" s="44">
        <f t="array" ref="M19">IFERROR(INDEX('Daily 크랙 raw'!$A:$ZZ, MATCH(M$2, 'Daily 크랙 raw'!$A:$A, 0), MATCH($B19, 'Daily 크랙 raw'!$1:$1, 0)), 0)</f>
        <v>0</v>
      </c>
      <c r="N19" s="44">
        <f t="array" ref="N19">IFERROR(INDEX('Daily 크랙 raw'!$A:$ZZ, MATCH(N$2, 'Daily 크랙 raw'!$A:$A, 0), MATCH($B19, 'Daily 크랙 raw'!$1:$1, 0)), 0)</f>
        <v>0</v>
      </c>
      <c r="O19" s="44">
        <f t="array" ref="O19">IFERROR(INDEX('Daily 크랙 raw'!$A:$ZZ, MATCH(O$2, 'Daily 크랙 raw'!$A:$A, 0), MATCH($B19, 'Daily 크랙 raw'!$1:$1, 0)), 0)</f>
        <v>0</v>
      </c>
      <c r="P19" s="44">
        <f t="array" ref="P19">IFERROR(INDEX('Daily 크랙 raw'!$A:$ZZ, MATCH(P$2, 'Daily 크랙 raw'!$A:$A, 0), MATCH($B19, 'Daily 크랙 raw'!$1:$1, 0)), 0)</f>
        <v>0</v>
      </c>
      <c r="Q19" s="44">
        <f t="array" ref="Q19">IFERROR(INDEX('Daily 크랙 raw'!$A:$ZZ, MATCH(Q$2, 'Daily 크랙 raw'!$A:$A, 0), MATCH($B19, 'Daily 크랙 raw'!$1:$1, 0)), 0)</f>
        <v>0</v>
      </c>
      <c r="R19" s="44">
        <f t="array" ref="R19">IFERROR(INDEX('Daily 크랙 raw'!$A:$ZZ, MATCH(R$2, 'Daily 크랙 raw'!$A:$A, 0), MATCH($B19, 'Daily 크랙 raw'!$1:$1, 0)), 0)</f>
        <v>0</v>
      </c>
      <c r="S19" s="44">
        <f t="array" ref="S19">IFERROR(INDEX('Daily 크랙 raw'!$A:$ZZ, MATCH(S$2, 'Daily 크랙 raw'!$A:$A, 0), MATCH($B19, 'Daily 크랙 raw'!$1:$1, 0)), 0)</f>
        <v>0</v>
      </c>
      <c r="T19" s="44">
        <f t="array" ref="T19">IFERROR(INDEX('Daily 크랙 raw'!$A:$ZZ, MATCH(T$2, 'Daily 크랙 raw'!$A:$A, 0), MATCH($B19, 'Daily 크랙 raw'!$1:$1, 0)), 0)</f>
        <v>0</v>
      </c>
      <c r="U19" s="44">
        <f t="array" ref="U19">IFERROR(INDEX('Daily 크랙 raw'!$A:$ZZ, MATCH(U$2, 'Daily 크랙 raw'!$A:$A, 0), MATCH($B19, 'Daily 크랙 raw'!$1:$1, 0)), 0)</f>
        <v>0</v>
      </c>
      <c r="V19" s="44">
        <f t="array" ref="V19">IFERROR(INDEX('Daily 크랙 raw'!$A:$ZZ, MATCH(V$2, 'Daily 크랙 raw'!$A:$A, 0), MATCH($B19, 'Daily 크랙 raw'!$1:$1, 0)), 0)</f>
        <v>0</v>
      </c>
      <c r="W19" s="44">
        <f t="array" ref="W19">IFERROR(INDEX('Daily 크랙 raw'!$A:$ZZ, MATCH(W$2, 'Daily 크랙 raw'!$A:$A, 0), MATCH($B19, 'Daily 크랙 raw'!$1:$1, 0)), 0)</f>
        <v>0</v>
      </c>
      <c r="X19" s="44">
        <f t="array" ref="X19">IFERROR(INDEX('Daily 크랙 raw'!$A:$ZZ, MATCH(X$2, 'Daily 크랙 raw'!$A:$A, 0), MATCH($B19, 'Daily 크랙 raw'!$1:$1, 0)), 0)</f>
        <v>0</v>
      </c>
      <c r="Y19" s="44">
        <f t="array" ref="Y19">IFERROR(INDEX('Daily 크랙 raw'!$A:$ZZ, MATCH(Y$2, 'Daily 크랙 raw'!$A:$A, 0), MATCH($B19, 'Daily 크랙 raw'!$1:$1, 0)), 0)</f>
        <v>0</v>
      </c>
      <c r="Z19" s="44">
        <f t="array" ref="Z19">IFERROR(INDEX('Daily 크랙 raw'!$A:$ZZ, MATCH(Z$2, 'Daily 크랙 raw'!$A:$A, 0), MATCH($B19, 'Daily 크랙 raw'!$1:$1, 0)), 0)</f>
        <v>0</v>
      </c>
      <c r="AA19" s="44">
        <f t="array" ref="AA19">IFERROR(INDEX('Daily 크랙 raw'!$A:$ZZ, MATCH(AA$2, 'Daily 크랙 raw'!$A:$A, 0), MATCH($B19, 'Daily 크랙 raw'!$1:$1, 0)), 0)</f>
        <v>0</v>
      </c>
      <c r="AB19" s="44">
        <f t="array" ref="AB19">IFERROR(INDEX('Daily 크랙 raw'!$A:$ZZ, MATCH(AB$2, 'Daily 크랙 raw'!$A:$A, 0), MATCH($B19, 'Daily 크랙 raw'!$1:$1, 0)), 0)</f>
        <v>0</v>
      </c>
      <c r="AC19" s="44">
        <f t="array" ref="AC19">IFERROR(INDEX('Daily 크랙 raw'!$A:$ZZ, MATCH(AC$2, 'Daily 크랙 raw'!$A:$A, 0), MATCH($B19, 'Daily 크랙 raw'!$1:$1, 0)), 0)</f>
        <v>0</v>
      </c>
      <c r="AD19" s="44">
        <f t="array" ref="AD19">IFERROR(INDEX('Daily 크랙 raw'!$A:$ZZ, MATCH(AD$2, 'Daily 크랙 raw'!$A:$A, 0), MATCH($B19, 'Daily 크랙 raw'!$1:$1, 0)), 0)</f>
        <v>0</v>
      </c>
      <c r="AE19" s="44">
        <f t="array" ref="AE19">IFERROR(INDEX('Daily 크랙 raw'!$A:$ZZ, MATCH(AE$2, 'Daily 크랙 raw'!$A:$A, 0), MATCH($B19, 'Daily 크랙 raw'!$1:$1, 0)), 0)</f>
        <v>0</v>
      </c>
      <c r="AF19" s="44">
        <f t="array" ref="AF19">IFERROR(INDEX('Daily 크랙 raw'!$A:$ZZ, MATCH(AF$2, 'Daily 크랙 raw'!$A:$A, 0), MATCH($B19, 'Daily 크랙 raw'!$1:$1, 0)), 0)</f>
        <v>0</v>
      </c>
      <c r="AG19" s="44">
        <f t="array" ref="AG19">IFERROR(INDEX('Daily 크랙 raw'!$A:$ZZ, MATCH(AG$2, 'Daily 크랙 raw'!$A:$A, 0), MATCH($B19, 'Daily 크랙 raw'!$1:$1, 0)), 0)</f>
        <v>0</v>
      </c>
      <c r="AH19" s="44">
        <f t="array" ref="AH19">IFERROR(INDEX('Daily 크랙 raw'!$A:$ZZ, MATCH(AH$2, 'Daily 크랙 raw'!$A:$A, 0), MATCH($B19, 'Daily 크랙 raw'!$1:$1, 0)), 0)</f>
        <v>0</v>
      </c>
      <c r="AI19" s="44">
        <f t="array" ref="AI19">IFERROR(INDEX('Daily 크랙 raw'!$A:$ZZ, MATCH(AI$2, 'Daily 크랙 raw'!$A:$A, 0), MATCH($B19, 'Daily 크랙 raw'!$1:$1, 0)), 0)</f>
        <v>0</v>
      </c>
      <c r="AJ19" s="44">
        <f t="array" ref="AJ19">IFERROR(INDEX('Daily 크랙 raw'!$A:$ZZ, MATCH(AJ$2, 'Daily 크랙 raw'!$A:$A, 0), MATCH($B19, 'Daily 크랙 raw'!$1:$1, 0)), 0)</f>
        <v>0</v>
      </c>
      <c r="AK19" s="44">
        <f t="array" ref="AK19">IFERROR(INDEX('Daily 크랙 raw'!$A:$ZZ, MATCH(AK$2, 'Daily 크랙 raw'!$A:$A, 0), MATCH($B19, 'Daily 크랙 raw'!$1:$1, 0)), 0)</f>
        <v>0</v>
      </c>
      <c r="AL19" s="44">
        <f t="array" ref="AL19">IFERROR(INDEX('Daily 크랙 raw'!$A:$ZZ, MATCH(AL$2, 'Daily 크랙 raw'!$A:$A, 0), MATCH($B19, 'Daily 크랙 raw'!$1:$1, 0)), 0)</f>
        <v>0</v>
      </c>
      <c r="AM19" s="44">
        <f t="array" ref="AM19">IFERROR(INDEX('Daily 크랙 raw'!$A:$ZZ, MATCH(AM$2, 'Daily 크랙 raw'!$A:$A, 0), MATCH($B19, 'Daily 크랙 raw'!$1:$1, 0)), 0)</f>
        <v>0</v>
      </c>
      <c r="AN19" s="44">
        <f t="array" ref="AN19">IFERROR(INDEX('Daily 크랙 raw'!$A:$ZZ, MATCH(AN$2, 'Daily 크랙 raw'!$A:$A, 0), MATCH($B19, 'Daily 크랙 raw'!$1:$1, 0)), 0)</f>
        <v>0</v>
      </c>
      <c r="AO19" s="44">
        <f t="array" ref="AO19">IFERROR(INDEX('Daily 크랙 raw'!$A:$ZZ, MATCH(AO$2, 'Daily 크랙 raw'!$A:$A, 0), MATCH($B19, 'Daily 크랙 raw'!$1:$1, 0)), 0)</f>
        <v>0</v>
      </c>
      <c r="AP19" s="44">
        <f t="array" ref="AP19">IFERROR(INDEX('Daily 크랙 raw'!$A:$ZZ, MATCH(AP$2, 'Daily 크랙 raw'!$A:$A, 0), MATCH($B19, 'Daily 크랙 raw'!$1:$1, 0)), 0)</f>
        <v>0</v>
      </c>
      <c r="AQ19" s="44">
        <f t="array" ref="AQ19">IFERROR(INDEX('Daily 크랙 raw'!$A:$ZZ, MATCH(AQ$2, 'Daily 크랙 raw'!$A:$A, 0), MATCH($B19, 'Daily 크랙 raw'!$1:$1, 0)), 0)</f>
        <v>0</v>
      </c>
      <c r="AR19" s="44">
        <f t="array" ref="AR19">IFERROR(INDEX('Daily 크랙 raw'!$A:$ZZ, MATCH(AR$2, 'Daily 크랙 raw'!$A:$A, 0), MATCH($B19, 'Daily 크랙 raw'!$1:$1, 0)), 0)</f>
        <v>0</v>
      </c>
      <c r="AS19" s="44">
        <f t="array" ref="AS19">IFERROR(INDEX('Daily 크랙 raw'!$A:$ZZ, MATCH(AS$2, 'Daily 크랙 raw'!$A:$A, 0), MATCH($B19, 'Daily 크랙 raw'!$1:$1, 0)), 0)</f>
        <v>0</v>
      </c>
      <c r="AT19" s="44">
        <f t="array" ref="AT19">IFERROR(INDEX('Daily 크랙 raw'!$A:$ZZ, MATCH(AT$2, 'Daily 크랙 raw'!$A:$A, 0), MATCH($B19, 'Daily 크랙 raw'!$1:$1, 0)), 0)</f>
        <v>0</v>
      </c>
      <c r="AU19" s="44">
        <f t="array" ref="AU19">IFERROR(INDEX('Daily 크랙 raw'!$A:$ZZ, MATCH(AU$2, 'Daily 크랙 raw'!$A:$A, 0), MATCH($B19, 'Daily 크랙 raw'!$1:$1, 0)), 0)</f>
        <v>0</v>
      </c>
      <c r="AV19" s="44">
        <f t="array" ref="AV19">IFERROR(INDEX('Daily 크랙 raw'!$A:$ZZ, MATCH(AV$2, 'Daily 크랙 raw'!$A:$A, 0), MATCH($B19, 'Daily 크랙 raw'!$1:$1, 0)), 0)</f>
        <v>0</v>
      </c>
      <c r="AW19" s="44">
        <f t="array" ref="AW19">IFERROR(INDEX('Daily 크랙 raw'!$A:$ZZ, MATCH(AW$2, 'Daily 크랙 raw'!$A:$A, 0), MATCH($B19, 'Daily 크랙 raw'!$1:$1, 0)), 0)</f>
        <v>0</v>
      </c>
      <c r="AX19" s="44">
        <f t="array" ref="AX19">IFERROR(INDEX('Daily 크랙 raw'!$A:$ZZ, MATCH(AX$2, 'Daily 크랙 raw'!$A:$A, 0), MATCH($B19, 'Daily 크랙 raw'!$1:$1, 0)), 0)</f>
        <v>0</v>
      </c>
      <c r="AY19" s="44">
        <f t="array" ref="AY19">IFERROR(INDEX('Daily 크랙 raw'!$A:$ZZ, MATCH(AY$2, 'Daily 크랙 raw'!$A:$A, 0), MATCH($B19, 'Daily 크랙 raw'!$1:$1, 0)), 0)</f>
        <v>0</v>
      </c>
      <c r="AZ19" s="44">
        <f t="array" ref="AZ19">IFERROR(INDEX('Daily 크랙 raw'!$A:$ZZ, MATCH(AZ$2, 'Daily 크랙 raw'!$A:$A, 0), MATCH($B19, 'Daily 크랙 raw'!$1:$1, 0)), 0)</f>
        <v>0</v>
      </c>
      <c r="BA19" s="44">
        <f t="array" ref="BA19">IFERROR(INDEX('Daily 크랙 raw'!$A:$ZZ, MATCH(BA$2, 'Daily 크랙 raw'!$A:$A, 0), MATCH($B19, 'Daily 크랙 raw'!$1:$1, 0)), 0)</f>
        <v>0</v>
      </c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</row>
    <row r="20" ht="18.75" hidden="1" customHeight="1">
      <c r="A20" s="1"/>
      <c r="B20" s="1"/>
      <c r="C20" s="17" t="s">
        <v>118</v>
      </c>
      <c r="D20" s="44">
        <f t="array" ref="D20">IFERROR(INDEX('Daily 크랙 raw'!$A:$ZZ, MATCH(D$2, 'Daily 크랙 raw'!$A:$A, 0), MATCH($B20, 'Daily 크랙 raw'!$1:$1, 0)), 0)</f>
        <v>0</v>
      </c>
      <c r="E20" s="44">
        <f t="array" ref="E20">IFERROR(INDEX('Daily 크랙 raw'!$A:$ZZ, MATCH(E$2, 'Daily 크랙 raw'!$A:$A, 0), MATCH($B20, 'Daily 크랙 raw'!$1:$1, 0)), 0)</f>
        <v>0</v>
      </c>
      <c r="F20" s="44">
        <f t="array" ref="F20">IFERROR(INDEX('Daily 크랙 raw'!$A:$ZZ, MATCH(F$2, 'Daily 크랙 raw'!$A:$A, 0), MATCH($B20, 'Daily 크랙 raw'!$1:$1, 0)), 0)</f>
        <v>0</v>
      </c>
      <c r="G20" s="44">
        <f t="array" ref="G20">IFERROR(INDEX('Daily 크랙 raw'!$A:$ZZ, MATCH(G$2, 'Daily 크랙 raw'!$A:$A, 0), MATCH($B20, 'Daily 크랙 raw'!$1:$1, 0)), 0)</f>
        <v>0</v>
      </c>
      <c r="H20" s="44">
        <f t="array" ref="H20">IFERROR(INDEX('Daily 크랙 raw'!$A:$ZZ, MATCH(H$2, 'Daily 크랙 raw'!$A:$A, 0), MATCH($B20, 'Daily 크랙 raw'!$1:$1, 0)), 0)</f>
        <v>0</v>
      </c>
      <c r="I20" s="44">
        <f t="array" ref="I20">IFERROR(INDEX('Daily 크랙 raw'!$A:$ZZ, MATCH(I$2, 'Daily 크랙 raw'!$A:$A, 0), MATCH($B20, 'Daily 크랙 raw'!$1:$1, 0)), 0)</f>
        <v>0</v>
      </c>
      <c r="J20" s="44">
        <f t="array" ref="J20">IFERROR(INDEX('Daily 크랙 raw'!$A:$ZZ, MATCH(J$2, 'Daily 크랙 raw'!$A:$A, 0), MATCH($B20, 'Daily 크랙 raw'!$1:$1, 0)), 0)</f>
        <v>0</v>
      </c>
      <c r="K20" s="44">
        <f t="array" ref="K20">IFERROR(INDEX('Daily 크랙 raw'!$A:$ZZ, MATCH(K$2, 'Daily 크랙 raw'!$A:$A, 0), MATCH($B20, 'Daily 크랙 raw'!$1:$1, 0)), 0)</f>
        <v>0</v>
      </c>
      <c r="L20" s="44">
        <f t="array" ref="L20">IFERROR(INDEX('Daily 크랙 raw'!$A:$ZZ, MATCH(L$2, 'Daily 크랙 raw'!$A:$A, 0), MATCH($B20, 'Daily 크랙 raw'!$1:$1, 0)), 0)</f>
        <v>0</v>
      </c>
      <c r="M20" s="44">
        <f t="array" ref="M20">IFERROR(INDEX('Daily 크랙 raw'!$A:$ZZ, MATCH(M$2, 'Daily 크랙 raw'!$A:$A, 0), MATCH($B20, 'Daily 크랙 raw'!$1:$1, 0)), 0)</f>
        <v>0</v>
      </c>
      <c r="N20" s="44">
        <f t="array" ref="N20">IFERROR(INDEX('Daily 크랙 raw'!$A:$ZZ, MATCH(N$2, 'Daily 크랙 raw'!$A:$A, 0), MATCH($B20, 'Daily 크랙 raw'!$1:$1, 0)), 0)</f>
        <v>0</v>
      </c>
      <c r="O20" s="44">
        <f t="array" ref="O20">IFERROR(INDEX('Daily 크랙 raw'!$A:$ZZ, MATCH(O$2, 'Daily 크랙 raw'!$A:$A, 0), MATCH($B20, 'Daily 크랙 raw'!$1:$1, 0)), 0)</f>
        <v>0</v>
      </c>
      <c r="P20" s="44">
        <f t="array" ref="P20">IFERROR(INDEX('Daily 크랙 raw'!$A:$ZZ, MATCH(P$2, 'Daily 크랙 raw'!$A:$A, 0), MATCH($B20, 'Daily 크랙 raw'!$1:$1, 0)), 0)</f>
        <v>0</v>
      </c>
      <c r="Q20" s="44">
        <f t="array" ref="Q20">IFERROR(INDEX('Daily 크랙 raw'!$A:$ZZ, MATCH(Q$2, 'Daily 크랙 raw'!$A:$A, 0), MATCH($B20, 'Daily 크랙 raw'!$1:$1, 0)), 0)</f>
        <v>0</v>
      </c>
      <c r="R20" s="44">
        <f t="array" ref="R20">IFERROR(INDEX('Daily 크랙 raw'!$A:$ZZ, MATCH(R$2, 'Daily 크랙 raw'!$A:$A, 0), MATCH($B20, 'Daily 크랙 raw'!$1:$1, 0)), 0)</f>
        <v>0</v>
      </c>
      <c r="S20" s="44">
        <f t="array" ref="S20">IFERROR(INDEX('Daily 크랙 raw'!$A:$ZZ, MATCH(S$2, 'Daily 크랙 raw'!$A:$A, 0), MATCH($B20, 'Daily 크랙 raw'!$1:$1, 0)), 0)</f>
        <v>0</v>
      </c>
      <c r="T20" s="44">
        <f t="array" ref="T20">IFERROR(INDEX('Daily 크랙 raw'!$A:$ZZ, MATCH(T$2, 'Daily 크랙 raw'!$A:$A, 0), MATCH($B20, 'Daily 크랙 raw'!$1:$1, 0)), 0)</f>
        <v>0</v>
      </c>
      <c r="U20" s="44">
        <f t="array" ref="U20">IFERROR(INDEX('Daily 크랙 raw'!$A:$ZZ, MATCH(U$2, 'Daily 크랙 raw'!$A:$A, 0), MATCH($B20, 'Daily 크랙 raw'!$1:$1, 0)), 0)</f>
        <v>0</v>
      </c>
      <c r="V20" s="44">
        <f t="array" ref="V20">IFERROR(INDEX('Daily 크랙 raw'!$A:$ZZ, MATCH(V$2, 'Daily 크랙 raw'!$A:$A, 0), MATCH($B20, 'Daily 크랙 raw'!$1:$1, 0)), 0)</f>
        <v>0</v>
      </c>
      <c r="W20" s="44">
        <f t="array" ref="W20">IFERROR(INDEX('Daily 크랙 raw'!$A:$ZZ, MATCH(W$2, 'Daily 크랙 raw'!$A:$A, 0), MATCH($B20, 'Daily 크랙 raw'!$1:$1, 0)), 0)</f>
        <v>0</v>
      </c>
      <c r="X20" s="44">
        <f t="array" ref="X20">IFERROR(INDEX('Daily 크랙 raw'!$A:$ZZ, MATCH(X$2, 'Daily 크랙 raw'!$A:$A, 0), MATCH($B20, 'Daily 크랙 raw'!$1:$1, 0)), 0)</f>
        <v>0</v>
      </c>
      <c r="Y20" s="44">
        <f t="array" ref="Y20">IFERROR(INDEX('Daily 크랙 raw'!$A:$ZZ, MATCH(Y$2, 'Daily 크랙 raw'!$A:$A, 0), MATCH($B20, 'Daily 크랙 raw'!$1:$1, 0)), 0)</f>
        <v>0</v>
      </c>
      <c r="Z20" s="44">
        <f t="array" ref="Z20">IFERROR(INDEX('Daily 크랙 raw'!$A:$ZZ, MATCH(Z$2, 'Daily 크랙 raw'!$A:$A, 0), MATCH($B20, 'Daily 크랙 raw'!$1:$1, 0)), 0)</f>
        <v>0</v>
      </c>
      <c r="AA20" s="44">
        <f t="array" ref="AA20">IFERROR(INDEX('Daily 크랙 raw'!$A:$ZZ, MATCH(AA$2, 'Daily 크랙 raw'!$A:$A, 0), MATCH($B20, 'Daily 크랙 raw'!$1:$1, 0)), 0)</f>
        <v>0</v>
      </c>
      <c r="AB20" s="44">
        <f t="array" ref="AB20">IFERROR(INDEX('Daily 크랙 raw'!$A:$ZZ, MATCH(AB$2, 'Daily 크랙 raw'!$A:$A, 0), MATCH($B20, 'Daily 크랙 raw'!$1:$1, 0)), 0)</f>
        <v>0</v>
      </c>
      <c r="AC20" s="44">
        <f t="array" ref="AC20">IFERROR(INDEX('Daily 크랙 raw'!$A:$ZZ, MATCH(AC$2, 'Daily 크랙 raw'!$A:$A, 0), MATCH($B20, 'Daily 크랙 raw'!$1:$1, 0)), 0)</f>
        <v>0</v>
      </c>
      <c r="AD20" s="44">
        <f t="array" ref="AD20">IFERROR(INDEX('Daily 크랙 raw'!$A:$ZZ, MATCH(AD$2, 'Daily 크랙 raw'!$A:$A, 0), MATCH($B20, 'Daily 크랙 raw'!$1:$1, 0)), 0)</f>
        <v>0</v>
      </c>
      <c r="AE20" s="44">
        <f t="array" ref="AE20">IFERROR(INDEX('Daily 크랙 raw'!$A:$ZZ, MATCH(AE$2, 'Daily 크랙 raw'!$A:$A, 0), MATCH($B20, 'Daily 크랙 raw'!$1:$1, 0)), 0)</f>
        <v>0</v>
      </c>
      <c r="AF20" s="44">
        <f t="array" ref="AF20">IFERROR(INDEX('Daily 크랙 raw'!$A:$ZZ, MATCH(AF$2, 'Daily 크랙 raw'!$A:$A, 0), MATCH($B20, 'Daily 크랙 raw'!$1:$1, 0)), 0)</f>
        <v>0</v>
      </c>
      <c r="AG20" s="44">
        <f t="array" ref="AG20">IFERROR(INDEX('Daily 크랙 raw'!$A:$ZZ, MATCH(AG$2, 'Daily 크랙 raw'!$A:$A, 0), MATCH($B20, 'Daily 크랙 raw'!$1:$1, 0)), 0)</f>
        <v>0</v>
      </c>
      <c r="AH20" s="44">
        <f t="array" ref="AH20">IFERROR(INDEX('Daily 크랙 raw'!$A:$ZZ, MATCH(AH$2, 'Daily 크랙 raw'!$A:$A, 0), MATCH($B20, 'Daily 크랙 raw'!$1:$1, 0)), 0)</f>
        <v>0</v>
      </c>
      <c r="AI20" s="44">
        <f t="array" ref="AI20">IFERROR(INDEX('Daily 크랙 raw'!$A:$ZZ, MATCH(AI$2, 'Daily 크랙 raw'!$A:$A, 0), MATCH($B20, 'Daily 크랙 raw'!$1:$1, 0)), 0)</f>
        <v>0</v>
      </c>
      <c r="AJ20" s="44">
        <f t="array" ref="AJ20">IFERROR(INDEX('Daily 크랙 raw'!$A:$ZZ, MATCH(AJ$2, 'Daily 크랙 raw'!$A:$A, 0), MATCH($B20, 'Daily 크랙 raw'!$1:$1, 0)), 0)</f>
        <v>0</v>
      </c>
      <c r="AK20" s="44">
        <f t="array" ref="AK20">IFERROR(INDEX('Daily 크랙 raw'!$A:$ZZ, MATCH(AK$2, 'Daily 크랙 raw'!$A:$A, 0), MATCH($B20, 'Daily 크랙 raw'!$1:$1, 0)), 0)</f>
        <v>0</v>
      </c>
      <c r="AL20" s="44">
        <f t="array" ref="AL20">IFERROR(INDEX('Daily 크랙 raw'!$A:$ZZ, MATCH(AL$2, 'Daily 크랙 raw'!$A:$A, 0), MATCH($B20, 'Daily 크랙 raw'!$1:$1, 0)), 0)</f>
        <v>0</v>
      </c>
      <c r="AM20" s="44">
        <f t="array" ref="AM20">IFERROR(INDEX('Daily 크랙 raw'!$A:$ZZ, MATCH(AM$2, 'Daily 크랙 raw'!$A:$A, 0), MATCH($B20, 'Daily 크랙 raw'!$1:$1, 0)), 0)</f>
        <v>0</v>
      </c>
      <c r="AN20" s="44">
        <f t="array" ref="AN20">IFERROR(INDEX('Daily 크랙 raw'!$A:$ZZ, MATCH(AN$2, 'Daily 크랙 raw'!$A:$A, 0), MATCH($B20, 'Daily 크랙 raw'!$1:$1, 0)), 0)</f>
        <v>0</v>
      </c>
      <c r="AO20" s="44">
        <f t="array" ref="AO20">IFERROR(INDEX('Daily 크랙 raw'!$A:$ZZ, MATCH(AO$2, 'Daily 크랙 raw'!$A:$A, 0), MATCH($B20, 'Daily 크랙 raw'!$1:$1, 0)), 0)</f>
        <v>0</v>
      </c>
      <c r="AP20" s="44">
        <f t="array" ref="AP20">IFERROR(INDEX('Daily 크랙 raw'!$A:$ZZ, MATCH(AP$2, 'Daily 크랙 raw'!$A:$A, 0), MATCH($B20, 'Daily 크랙 raw'!$1:$1, 0)), 0)</f>
        <v>0</v>
      </c>
      <c r="AQ20" s="44">
        <f t="array" ref="AQ20">IFERROR(INDEX('Daily 크랙 raw'!$A:$ZZ, MATCH(AQ$2, 'Daily 크랙 raw'!$A:$A, 0), MATCH($B20, 'Daily 크랙 raw'!$1:$1, 0)), 0)</f>
        <v>0</v>
      </c>
      <c r="AR20" s="44">
        <f t="array" ref="AR20">IFERROR(INDEX('Daily 크랙 raw'!$A:$ZZ, MATCH(AR$2, 'Daily 크랙 raw'!$A:$A, 0), MATCH($B20, 'Daily 크랙 raw'!$1:$1, 0)), 0)</f>
        <v>0</v>
      </c>
      <c r="AS20" s="44">
        <f t="array" ref="AS20">IFERROR(INDEX('Daily 크랙 raw'!$A:$ZZ, MATCH(AS$2, 'Daily 크랙 raw'!$A:$A, 0), MATCH($B20, 'Daily 크랙 raw'!$1:$1, 0)), 0)</f>
        <v>0</v>
      </c>
      <c r="AT20" s="44">
        <f t="array" ref="AT20">IFERROR(INDEX('Daily 크랙 raw'!$A:$ZZ, MATCH(AT$2, 'Daily 크랙 raw'!$A:$A, 0), MATCH($B20, 'Daily 크랙 raw'!$1:$1, 0)), 0)</f>
        <v>0</v>
      </c>
      <c r="AU20" s="44">
        <f t="array" ref="AU20">IFERROR(INDEX('Daily 크랙 raw'!$A:$ZZ, MATCH(AU$2, 'Daily 크랙 raw'!$A:$A, 0), MATCH($B20, 'Daily 크랙 raw'!$1:$1, 0)), 0)</f>
        <v>0</v>
      </c>
      <c r="AV20" s="44">
        <f t="array" ref="AV20">IFERROR(INDEX('Daily 크랙 raw'!$A:$ZZ, MATCH(AV$2, 'Daily 크랙 raw'!$A:$A, 0), MATCH($B20, 'Daily 크랙 raw'!$1:$1, 0)), 0)</f>
        <v>0</v>
      </c>
      <c r="AW20" s="44">
        <f t="array" ref="AW20">IFERROR(INDEX('Daily 크랙 raw'!$A:$ZZ, MATCH(AW$2, 'Daily 크랙 raw'!$A:$A, 0), MATCH($B20, 'Daily 크랙 raw'!$1:$1, 0)), 0)</f>
        <v>0</v>
      </c>
      <c r="AX20" s="44">
        <f t="array" ref="AX20">IFERROR(INDEX('Daily 크랙 raw'!$A:$ZZ, MATCH(AX$2, 'Daily 크랙 raw'!$A:$A, 0), MATCH($B20, 'Daily 크랙 raw'!$1:$1, 0)), 0)</f>
        <v>0</v>
      </c>
      <c r="AY20" s="44">
        <f t="array" ref="AY20">IFERROR(INDEX('Daily 크랙 raw'!$A:$ZZ, MATCH(AY$2, 'Daily 크랙 raw'!$A:$A, 0), MATCH($B20, 'Daily 크랙 raw'!$1:$1, 0)), 0)</f>
        <v>0</v>
      </c>
      <c r="AZ20" s="44">
        <f t="array" ref="AZ20">IFERROR(INDEX('Daily 크랙 raw'!$A:$ZZ, MATCH(AZ$2, 'Daily 크랙 raw'!$A:$A, 0), MATCH($B20, 'Daily 크랙 raw'!$1:$1, 0)), 0)</f>
        <v>0</v>
      </c>
      <c r="BA20" s="44">
        <f t="array" ref="BA20">IFERROR(INDEX('Daily 크랙 raw'!$A:$ZZ, MATCH(BA$2, 'Daily 크랙 raw'!$A:$A, 0), MATCH($B20, 'Daily 크랙 raw'!$1:$1, 0)), 0)</f>
        <v>0</v>
      </c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</row>
    <row r="21" ht="18.75" customHeight="1">
      <c r="A21" s="30"/>
      <c r="B21" s="16"/>
      <c r="C21" s="30" t="s">
        <v>36</v>
      </c>
      <c r="D21" s="44" t="str">
        <f t="array" ref="D21">LET(val, IFERROR(INDEX('Daily 크랙 raw'!$A:$ZZ, MATCH(D$2, 'Daily 크랙 raw'!$A:$A, 0), MATCH($B21, 'Daily 크랙 raw'!$1:$1, 0)), ""), IF(val=0, "", val))</f>
        <v/>
      </c>
      <c r="E21" s="44" t="str">
        <f t="array" ref="E21">LET(val, IFERROR(INDEX('Daily 크랙 raw'!$A:$ZZ, MATCH(E$2, 'Daily 크랙 raw'!$A:$A, 0), MATCH($B21, 'Daily 크랙 raw'!$1:$1, 0)), ""), IF(val=0, "", val))</f>
        <v/>
      </c>
      <c r="F21" s="44" t="str">
        <f t="array" ref="F21">LET(val, IFERROR(INDEX('Daily 크랙 raw'!$A:$ZZ, MATCH(F$2, 'Daily 크랙 raw'!$A:$A, 0), MATCH($B21, 'Daily 크랙 raw'!$1:$1, 0)), ""), IF(val=0, "", val))</f>
        <v/>
      </c>
      <c r="G21" s="44" t="str">
        <f t="array" ref="G21">LET(val, IFERROR(INDEX('Daily 크랙 raw'!$A:$ZZ, MATCH(G$2, 'Daily 크랙 raw'!$A:$A, 0), MATCH($B21, 'Daily 크랙 raw'!$1:$1, 0)), ""), IF(val=0, "", val))</f>
        <v/>
      </c>
      <c r="H21" s="44" t="str">
        <f t="array" ref="H21">LET(val, IFERROR(INDEX('Daily 크랙 raw'!$A:$ZZ, MATCH(H$2, 'Daily 크랙 raw'!$A:$A, 0), MATCH($B21, 'Daily 크랙 raw'!$1:$1, 0)), ""), IF(val=0, "", val))</f>
        <v/>
      </c>
      <c r="I21" s="44" t="str">
        <f t="array" ref="I21">LET(val, IFERROR(INDEX('Daily 크랙 raw'!$A:$ZZ, MATCH(I$2, 'Daily 크랙 raw'!$A:$A, 0), MATCH($B21, 'Daily 크랙 raw'!$1:$1, 0)), ""), IF(val=0, "", val))</f>
        <v/>
      </c>
      <c r="J21" s="44" t="str">
        <f t="array" ref="J21">LET(val, IFERROR(INDEX('Daily 크랙 raw'!$A:$ZZ, MATCH(J$2, 'Daily 크랙 raw'!$A:$A, 0), MATCH($B21, 'Daily 크랙 raw'!$1:$1, 0)), ""), IF(val=0, "", val))</f>
        <v/>
      </c>
      <c r="K21" s="44" t="str">
        <f t="array" ref="K21">LET(val, IFERROR(INDEX('Daily 크랙 raw'!$A:$ZZ, MATCH(K$2, 'Daily 크랙 raw'!$A:$A, 0), MATCH($B21, 'Daily 크랙 raw'!$1:$1, 0)), ""), IF(val=0, "", val))</f>
        <v/>
      </c>
      <c r="L21" s="44" t="str">
        <f t="array" ref="L21">LET(val, IFERROR(INDEX('Daily 크랙 raw'!$A:$ZZ, MATCH(L$2, 'Daily 크랙 raw'!$A:$A, 0), MATCH($B21, 'Daily 크랙 raw'!$1:$1, 0)), ""), IF(val=0, "", val))</f>
        <v/>
      </c>
      <c r="M21" s="44" t="str">
        <f t="array" ref="M21">LET(val, IFERROR(INDEX('Daily 크랙 raw'!$A:$ZZ, MATCH(M$2, 'Daily 크랙 raw'!$A:$A, 0), MATCH($B21, 'Daily 크랙 raw'!$1:$1, 0)), ""), IF(val=0, "", val))</f>
        <v/>
      </c>
      <c r="N21" s="44" t="str">
        <f t="array" ref="N21">LET(val, IFERROR(INDEX('Daily 크랙 raw'!$A:$ZZ, MATCH(N$2, 'Daily 크랙 raw'!$A:$A, 0), MATCH($B21, 'Daily 크랙 raw'!$1:$1, 0)), ""), IF(val=0, "", val))</f>
        <v/>
      </c>
      <c r="O21" s="44" t="str">
        <f t="array" ref="O21">LET(val, IFERROR(INDEX('Daily 크랙 raw'!$A:$ZZ, MATCH(O$2, 'Daily 크랙 raw'!$A:$A, 0), MATCH($B21, 'Daily 크랙 raw'!$1:$1, 0)), ""), IF(val=0, "", val))</f>
        <v/>
      </c>
      <c r="P21" s="44" t="str">
        <f t="array" ref="P21">LET(val, IFERROR(INDEX('Daily 크랙 raw'!$A:$ZZ, MATCH(P$2, 'Daily 크랙 raw'!$A:$A, 0), MATCH($B21, 'Daily 크랙 raw'!$1:$1, 0)), ""), IF(val=0, "", val))</f>
        <v/>
      </c>
      <c r="Q21" s="44" t="str">
        <f t="array" ref="Q21">LET(val, IFERROR(INDEX('Daily 크랙 raw'!$A:$ZZ, MATCH(Q$2, 'Daily 크랙 raw'!$A:$A, 0), MATCH($B21, 'Daily 크랙 raw'!$1:$1, 0)), ""), IF(val=0, "", val))</f>
        <v/>
      </c>
      <c r="R21" s="44" t="str">
        <f t="array" ref="R21">LET(val, IFERROR(INDEX('Daily 크랙 raw'!$A:$ZZ, MATCH(R$2, 'Daily 크랙 raw'!$A:$A, 0), MATCH($B21, 'Daily 크랙 raw'!$1:$1, 0)), ""), IF(val=0, "", val))</f>
        <v/>
      </c>
      <c r="S21" s="44" t="str">
        <f t="array" ref="S21">LET(val, IFERROR(INDEX('Daily 크랙 raw'!$A:$ZZ, MATCH(S$2, 'Daily 크랙 raw'!$A:$A, 0), MATCH($B21, 'Daily 크랙 raw'!$1:$1, 0)), ""), IF(val=0, "", val))</f>
        <v/>
      </c>
      <c r="T21" s="44" t="str">
        <f t="array" ref="T21">LET(val, IFERROR(INDEX('Daily 크랙 raw'!$A:$ZZ, MATCH(T$2, 'Daily 크랙 raw'!$A:$A, 0), MATCH($B21, 'Daily 크랙 raw'!$1:$1, 0)), ""), IF(val=0, "", val))</f>
        <v/>
      </c>
      <c r="U21" s="44" t="str">
        <f t="array" ref="U21">LET(val, IFERROR(INDEX('Daily 크랙 raw'!$A:$ZZ, MATCH(U$2, 'Daily 크랙 raw'!$A:$A, 0), MATCH($B21, 'Daily 크랙 raw'!$1:$1, 0)), ""), IF(val=0, "", val))</f>
        <v/>
      </c>
      <c r="V21" s="44" t="str">
        <f t="array" ref="V21">LET(val, IFERROR(INDEX('Daily 크랙 raw'!$A:$ZZ, MATCH(V$2, 'Daily 크랙 raw'!$A:$A, 0), MATCH($B21, 'Daily 크랙 raw'!$1:$1, 0)), ""), IF(val=0, "", val))</f>
        <v/>
      </c>
      <c r="W21" s="44" t="str">
        <f t="array" ref="W21">LET(val, IFERROR(INDEX('Daily 크랙 raw'!$A:$ZZ, MATCH(W$2, 'Daily 크랙 raw'!$A:$A, 0), MATCH($B21, 'Daily 크랙 raw'!$1:$1, 0)), ""), IF(val=0, "", val))</f>
        <v/>
      </c>
      <c r="X21" s="44" t="str">
        <f t="array" ref="X21">LET(val, IFERROR(INDEX('Daily 크랙 raw'!$A:$ZZ, MATCH(X$2, 'Daily 크랙 raw'!$A:$A, 0), MATCH($B21, 'Daily 크랙 raw'!$1:$1, 0)), ""), IF(val=0, "", val))</f>
        <v/>
      </c>
      <c r="Y21" s="44" t="str">
        <f t="array" ref="Y21">LET(val, IFERROR(INDEX('Daily 크랙 raw'!$A:$ZZ, MATCH(Y$2, 'Daily 크랙 raw'!$A:$A, 0), MATCH($B21, 'Daily 크랙 raw'!$1:$1, 0)), ""), IF(val=0, "", val))</f>
        <v/>
      </c>
      <c r="Z21" s="44" t="str">
        <f t="array" ref="Z21">LET(val, IFERROR(INDEX('Daily 크랙 raw'!$A:$ZZ, MATCH(Z$2, 'Daily 크랙 raw'!$A:$A, 0), MATCH($B21, 'Daily 크랙 raw'!$1:$1, 0)), ""), IF(val=0, "", val))</f>
        <v/>
      </c>
      <c r="AA21" s="44" t="str">
        <f t="array" ref="AA21">LET(val, IFERROR(INDEX('Daily 크랙 raw'!$A:$ZZ, MATCH(AA$2, 'Daily 크랙 raw'!$A:$A, 0), MATCH($B21, 'Daily 크랙 raw'!$1:$1, 0)), ""), IF(val=0, "", val))</f>
        <v/>
      </c>
      <c r="AB21" s="44" t="str">
        <f t="array" ref="AB21">LET(val, IFERROR(INDEX('Daily 크랙 raw'!$A:$ZZ, MATCH(AB$2, 'Daily 크랙 raw'!$A:$A, 0), MATCH($B21, 'Daily 크랙 raw'!$1:$1, 0)), ""), IF(val=0, "", val))</f>
        <v/>
      </c>
      <c r="AC21" s="44" t="str">
        <f t="array" ref="AC21">LET(val, IFERROR(INDEX('Daily 크랙 raw'!$A:$ZZ, MATCH(AC$2, 'Daily 크랙 raw'!$A:$A, 0), MATCH($B21, 'Daily 크랙 raw'!$1:$1, 0)), ""), IF(val=0, "", val))</f>
        <v/>
      </c>
      <c r="AD21" s="44" t="str">
        <f t="array" ref="AD21">LET(val, IFERROR(INDEX('Daily 크랙 raw'!$A:$ZZ, MATCH(AD$2, 'Daily 크랙 raw'!$A:$A, 0), MATCH($B21, 'Daily 크랙 raw'!$1:$1, 0)), ""), IF(val=0, "", val))</f>
        <v/>
      </c>
      <c r="AE21" s="44" t="str">
        <f t="array" ref="AE21">LET(val, IFERROR(INDEX('Daily 크랙 raw'!$A:$ZZ, MATCH(AE$2, 'Daily 크랙 raw'!$A:$A, 0), MATCH($B21, 'Daily 크랙 raw'!$1:$1, 0)), ""), IF(val=0, "", val))</f>
        <v/>
      </c>
      <c r="AF21" s="44" t="str">
        <f t="array" ref="AF21">LET(val, IFERROR(INDEX('Daily 크랙 raw'!$A:$ZZ, MATCH(AF$2, 'Daily 크랙 raw'!$A:$A, 0), MATCH($B21, 'Daily 크랙 raw'!$1:$1, 0)), ""), IF(val=0, "", val))</f>
        <v/>
      </c>
      <c r="AG21" s="44" t="str">
        <f t="array" ref="AG21">LET(val, IFERROR(INDEX('Daily 크랙 raw'!$A:$ZZ, MATCH(AG$2, 'Daily 크랙 raw'!$A:$A, 0), MATCH($B21, 'Daily 크랙 raw'!$1:$1, 0)), ""), IF(val=0, "", val))</f>
        <v/>
      </c>
      <c r="AH21" s="44" t="str">
        <f t="array" ref="AH21">LET(val, IFERROR(INDEX('Daily 크랙 raw'!$A:$ZZ, MATCH(AH$2, 'Daily 크랙 raw'!$A:$A, 0), MATCH($B21, 'Daily 크랙 raw'!$1:$1, 0)), ""), IF(val=0, "", val))</f>
        <v/>
      </c>
      <c r="AI21" s="44" t="str">
        <f t="array" ref="AI21">LET(val, IFERROR(INDEX('Daily 크랙 raw'!$A:$ZZ, MATCH(AI$2, 'Daily 크랙 raw'!$A:$A, 0), MATCH($B21, 'Daily 크랙 raw'!$1:$1, 0)), ""), IF(val=0, "", val))</f>
        <v/>
      </c>
      <c r="AJ21" s="44" t="str">
        <f t="array" ref="AJ21">LET(val, IFERROR(INDEX('Daily 크랙 raw'!$A:$ZZ, MATCH(AJ$2, 'Daily 크랙 raw'!$A:$A, 0), MATCH($B21, 'Daily 크랙 raw'!$1:$1, 0)), ""), IF(val=0, "", val))</f>
        <v/>
      </c>
      <c r="AK21" s="44" t="str">
        <f t="array" ref="AK21">LET(val, IFERROR(INDEX('Daily 크랙 raw'!$A:$ZZ, MATCH(AK$2, 'Daily 크랙 raw'!$A:$A, 0), MATCH($B21, 'Daily 크랙 raw'!$1:$1, 0)), ""), IF(val=0, "", val))</f>
        <v/>
      </c>
      <c r="AL21" s="44" t="str">
        <f t="array" ref="AL21">LET(val, IFERROR(INDEX('Daily 크랙 raw'!$A:$ZZ, MATCH(AL$2, 'Daily 크랙 raw'!$A:$A, 0), MATCH($B21, 'Daily 크랙 raw'!$1:$1, 0)), ""), IF(val=0, "", val))</f>
        <v/>
      </c>
      <c r="AM21" s="44" t="str">
        <f t="array" ref="AM21">LET(val, IFERROR(INDEX('Daily 크랙 raw'!$A:$ZZ, MATCH(AM$2, 'Daily 크랙 raw'!$A:$A, 0), MATCH($B21, 'Daily 크랙 raw'!$1:$1, 0)), ""), IF(val=0, "", val))</f>
        <v/>
      </c>
      <c r="AN21" s="44" t="str">
        <f t="array" ref="AN21">LET(val, IFERROR(INDEX('Daily 크랙 raw'!$A:$ZZ, MATCH(AN$2, 'Daily 크랙 raw'!$A:$A, 0), MATCH($B21, 'Daily 크랙 raw'!$1:$1, 0)), ""), IF(val=0, "", val))</f>
        <v/>
      </c>
      <c r="AO21" s="44" t="str">
        <f t="array" ref="AO21">LET(val, IFERROR(INDEX('Daily 크랙 raw'!$A:$ZZ, MATCH(AO$2, 'Daily 크랙 raw'!$A:$A, 0), MATCH($B21, 'Daily 크랙 raw'!$1:$1, 0)), ""), IF(val=0, "", val))</f>
        <v/>
      </c>
      <c r="AP21" s="44" t="str">
        <f t="array" ref="AP21">LET(val, IFERROR(INDEX('Daily 크랙 raw'!$A:$ZZ, MATCH(AP$2, 'Daily 크랙 raw'!$A:$A, 0), MATCH($B21, 'Daily 크랙 raw'!$1:$1, 0)), ""), IF(val=0, "", val))</f>
        <v/>
      </c>
      <c r="AQ21" s="44" t="str">
        <f t="array" ref="AQ21">LET(val, IFERROR(INDEX('Daily 크랙 raw'!$A:$ZZ, MATCH(AQ$2, 'Daily 크랙 raw'!$A:$A, 0), MATCH($B21, 'Daily 크랙 raw'!$1:$1, 0)), ""), IF(val=0, "", val))</f>
        <v/>
      </c>
      <c r="AR21" s="44" t="str">
        <f t="array" ref="AR21">LET(val, IFERROR(INDEX('Daily 크랙 raw'!$A:$ZZ, MATCH(AR$2, 'Daily 크랙 raw'!$A:$A, 0), MATCH($B21, 'Daily 크랙 raw'!$1:$1, 0)), ""), IF(val=0, "", val))</f>
        <v/>
      </c>
      <c r="AS21" s="44" t="str">
        <f t="array" ref="AS21">LET(val, IFERROR(INDEX('Daily 크랙 raw'!$A:$ZZ, MATCH(AS$2, 'Daily 크랙 raw'!$A:$A, 0), MATCH($B21, 'Daily 크랙 raw'!$1:$1, 0)), ""), IF(val=0, "", val))</f>
        <v/>
      </c>
      <c r="AT21" s="44" t="str">
        <f t="array" ref="AT21">LET(val, IFERROR(INDEX('Daily 크랙 raw'!$A:$ZZ, MATCH(AT$2, 'Daily 크랙 raw'!$A:$A, 0), MATCH($B21, 'Daily 크랙 raw'!$1:$1, 0)), ""), IF(val=0, "", val))</f>
        <v/>
      </c>
      <c r="AU21" s="44" t="str">
        <f t="array" ref="AU21">LET(val, IFERROR(INDEX('Daily 크랙 raw'!$A:$ZZ, MATCH(AU$2, 'Daily 크랙 raw'!$A:$A, 0), MATCH($B21, 'Daily 크랙 raw'!$1:$1, 0)), ""), IF(val=0, "", val))</f>
        <v/>
      </c>
      <c r="AV21" s="44" t="str">
        <f t="array" ref="AV21">LET(val, IFERROR(INDEX('Daily 크랙 raw'!$A:$ZZ, MATCH(AV$2, 'Daily 크랙 raw'!$A:$A, 0), MATCH($B21, 'Daily 크랙 raw'!$1:$1, 0)), ""), IF(val=0, "", val))</f>
        <v/>
      </c>
      <c r="AW21" s="44" t="str">
        <f t="array" ref="AW21">LET(val, IFERROR(INDEX('Daily 크랙 raw'!$A:$ZZ, MATCH(AW$2, 'Daily 크랙 raw'!$A:$A, 0), MATCH($B21, 'Daily 크랙 raw'!$1:$1, 0)), ""), IF(val=0, "", val))</f>
        <v/>
      </c>
      <c r="AX21" s="44" t="str">
        <f t="array" ref="AX21">LET(val, IFERROR(INDEX('Daily 크랙 raw'!$A:$ZZ, MATCH(AX$2, 'Daily 크랙 raw'!$A:$A, 0), MATCH($B21, 'Daily 크랙 raw'!$1:$1, 0)), ""), IF(val=0, "", val))</f>
        <v/>
      </c>
      <c r="AY21" s="44" t="str">
        <f t="array" ref="AY21">LET(val, IFERROR(INDEX('Daily 크랙 raw'!$A:$ZZ, MATCH(AY$2, 'Daily 크랙 raw'!$A:$A, 0), MATCH($B21, 'Daily 크랙 raw'!$1:$1, 0)), ""), IF(val=0, "", val))</f>
        <v/>
      </c>
      <c r="AZ21" s="44" t="str">
        <f t="array" ref="AZ21">LET(val, IFERROR(INDEX('Daily 크랙 raw'!$A:$ZZ, MATCH(AZ$2, 'Daily 크랙 raw'!$A:$A, 0), MATCH($B21, 'Daily 크랙 raw'!$1:$1, 0)), ""), IF(val=0, "", val))</f>
        <v/>
      </c>
      <c r="BA21" s="44" t="str">
        <f t="array" ref="BA21">LET(val, IFERROR(INDEX('Daily 크랙 raw'!$A:$ZZ, MATCH(BA$2, 'Daily 크랙 raw'!$A:$A, 0), MATCH($B21, 'Daily 크랙 raw'!$1:$1, 0)), ""), IF(val=0, "", val))</f>
        <v/>
      </c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</row>
    <row r="22" ht="18.75" customHeight="1">
      <c r="A22" s="17"/>
      <c r="B22" s="16" t="s">
        <v>37</v>
      </c>
      <c r="C22" s="17" t="s">
        <v>38</v>
      </c>
      <c r="D22" s="44" t="str">
        <f t="array" ref="D22">LET(val, IFERROR(INDEX('Daily 크랙 raw'!$A:$ZZ, MATCH(D$2, 'Daily 크랙 raw'!$A:$A, 0), MATCH($B22, 'Daily 크랙 raw'!$1:$1, 0)), ""), IF(val=0, "", val))</f>
        <v/>
      </c>
      <c r="E22" s="44" t="str">
        <f t="array" ref="E22">LET(val, IFERROR(INDEX('Daily 크랙 raw'!$A:$ZZ, MATCH(E$2, 'Daily 크랙 raw'!$A:$A, 0), MATCH($B22, 'Daily 크랙 raw'!$1:$1, 0)), ""), IF(val=0, "", val))</f>
        <v/>
      </c>
      <c r="F22" s="44" t="str">
        <f t="array" ref="F22">LET(val, IFERROR(INDEX('Daily 크랙 raw'!$A:$ZZ, MATCH(F$2, 'Daily 크랙 raw'!$A:$A, 0), MATCH($B22, 'Daily 크랙 raw'!$1:$1, 0)), ""), IF(val=0, "", val))</f>
        <v/>
      </c>
      <c r="G22" s="44" t="str">
        <f t="array" ref="G22">LET(val, IFERROR(INDEX('Daily 크랙 raw'!$A:$ZZ, MATCH(G$2, 'Daily 크랙 raw'!$A:$A, 0), MATCH($B22, 'Daily 크랙 raw'!$1:$1, 0)), ""), IF(val=0, "", val))</f>
        <v/>
      </c>
      <c r="H22" s="44" t="str">
        <f t="array" ref="H22">LET(val, IFERROR(INDEX('Daily 크랙 raw'!$A:$ZZ, MATCH(H$2, 'Daily 크랙 raw'!$A:$A, 0), MATCH($B22, 'Daily 크랙 raw'!$1:$1, 0)), ""), IF(val=0, "", val))</f>
        <v/>
      </c>
      <c r="I22" s="44" t="str">
        <f t="array" ref="I22">LET(val, IFERROR(INDEX('Daily 크랙 raw'!$A:$ZZ, MATCH(I$2, 'Daily 크랙 raw'!$A:$A, 0), MATCH($B22, 'Daily 크랙 raw'!$1:$1, 0)), ""), IF(val=0, "", val))</f>
        <v/>
      </c>
      <c r="J22" s="44" t="str">
        <f t="array" ref="J22">LET(val, IFERROR(INDEX('Daily 크랙 raw'!$A:$ZZ, MATCH(J$2, 'Daily 크랙 raw'!$A:$A, 0), MATCH($B22, 'Daily 크랙 raw'!$1:$1, 0)), ""), IF(val=0, "", val))</f>
        <v/>
      </c>
      <c r="K22" s="44" t="str">
        <f t="array" ref="K22">LET(val, IFERROR(INDEX('Daily 크랙 raw'!$A:$ZZ, MATCH(K$2, 'Daily 크랙 raw'!$A:$A, 0), MATCH($B22, 'Daily 크랙 raw'!$1:$1, 0)), ""), IF(val=0, "", val))</f>
        <v/>
      </c>
      <c r="L22" s="44" t="str">
        <f t="array" ref="L22">LET(val, IFERROR(INDEX('Daily 크랙 raw'!$A:$ZZ, MATCH(L$2, 'Daily 크랙 raw'!$A:$A, 0), MATCH($B22, 'Daily 크랙 raw'!$1:$1, 0)), ""), IF(val=0, "", val))</f>
        <v/>
      </c>
      <c r="M22" s="44" t="str">
        <f t="array" ref="M22">LET(val, IFERROR(INDEX('Daily 크랙 raw'!$A:$ZZ, MATCH(M$2, 'Daily 크랙 raw'!$A:$A, 0), MATCH($B22, 'Daily 크랙 raw'!$1:$1, 0)), ""), IF(val=0, "", val))</f>
        <v/>
      </c>
      <c r="N22" s="44" t="str">
        <f t="array" ref="N22">LET(val, IFERROR(INDEX('Daily 크랙 raw'!$A:$ZZ, MATCH(N$2, 'Daily 크랙 raw'!$A:$A, 0), MATCH($B22, 'Daily 크랙 raw'!$1:$1, 0)), ""), IF(val=0, "", val))</f>
        <v/>
      </c>
      <c r="O22" s="44" t="str">
        <f t="array" ref="O22">LET(val, IFERROR(INDEX('Daily 크랙 raw'!$A:$ZZ, MATCH(O$2, 'Daily 크랙 raw'!$A:$A, 0), MATCH($B22, 'Daily 크랙 raw'!$1:$1, 0)), ""), IF(val=0, "", val))</f>
        <v/>
      </c>
      <c r="P22" s="44" t="str">
        <f t="array" ref="P22">LET(val, IFERROR(INDEX('Daily 크랙 raw'!$A:$ZZ, MATCH(P$2, 'Daily 크랙 raw'!$A:$A, 0), MATCH($B22, 'Daily 크랙 raw'!$1:$1, 0)), ""), IF(val=0, "", val))</f>
        <v/>
      </c>
      <c r="Q22" s="44" t="str">
        <f t="array" ref="Q22">LET(val, IFERROR(INDEX('Daily 크랙 raw'!$A:$ZZ, MATCH(Q$2, 'Daily 크랙 raw'!$A:$A, 0), MATCH($B22, 'Daily 크랙 raw'!$1:$1, 0)), ""), IF(val=0, "", val))</f>
        <v/>
      </c>
      <c r="R22" s="44" t="str">
        <f t="array" ref="R22">LET(val, IFERROR(INDEX('Daily 크랙 raw'!$A:$ZZ, MATCH(R$2, 'Daily 크랙 raw'!$A:$A, 0), MATCH($B22, 'Daily 크랙 raw'!$1:$1, 0)), ""), IF(val=0, "", val))</f>
        <v/>
      </c>
      <c r="S22" s="44" t="str">
        <f t="array" ref="S22">LET(val, IFERROR(INDEX('Daily 크랙 raw'!$A:$ZZ, MATCH(S$2, 'Daily 크랙 raw'!$A:$A, 0), MATCH($B22, 'Daily 크랙 raw'!$1:$1, 0)), ""), IF(val=0, "", val))</f>
        <v/>
      </c>
      <c r="T22" s="44" t="str">
        <f t="array" ref="T22">LET(val, IFERROR(INDEX('Daily 크랙 raw'!$A:$ZZ, MATCH(T$2, 'Daily 크랙 raw'!$A:$A, 0), MATCH($B22, 'Daily 크랙 raw'!$1:$1, 0)), ""), IF(val=0, "", val))</f>
        <v/>
      </c>
      <c r="U22" s="44" t="str">
        <f t="array" ref="U22">LET(val, IFERROR(INDEX('Daily 크랙 raw'!$A:$ZZ, MATCH(U$2, 'Daily 크랙 raw'!$A:$A, 0), MATCH($B22, 'Daily 크랙 raw'!$1:$1, 0)), ""), IF(val=0, "", val))</f>
        <v/>
      </c>
      <c r="V22" s="44" t="str">
        <f t="array" ref="V22">LET(val, IFERROR(INDEX('Daily 크랙 raw'!$A:$ZZ, MATCH(V$2, 'Daily 크랙 raw'!$A:$A, 0), MATCH($B22, 'Daily 크랙 raw'!$1:$1, 0)), ""), IF(val=0, "", val))</f>
        <v/>
      </c>
      <c r="W22" s="44" t="str">
        <f t="array" ref="W22">LET(val, IFERROR(INDEX('Daily 크랙 raw'!$A:$ZZ, MATCH(W$2, 'Daily 크랙 raw'!$A:$A, 0), MATCH($B22, 'Daily 크랙 raw'!$1:$1, 0)), ""), IF(val=0, "", val))</f>
        <v/>
      </c>
      <c r="X22" s="44" t="str">
        <f t="array" ref="X22">LET(val, IFERROR(INDEX('Daily 크랙 raw'!$A:$ZZ, MATCH(X$2, 'Daily 크랙 raw'!$A:$A, 0), MATCH($B22, 'Daily 크랙 raw'!$1:$1, 0)), ""), IF(val=0, "", val))</f>
        <v/>
      </c>
      <c r="Y22" s="44" t="str">
        <f t="array" ref="Y22">LET(val, IFERROR(INDEX('Daily 크랙 raw'!$A:$ZZ, MATCH(Y$2, 'Daily 크랙 raw'!$A:$A, 0), MATCH($B22, 'Daily 크랙 raw'!$1:$1, 0)), ""), IF(val=0, "", val))</f>
        <v/>
      </c>
      <c r="Z22" s="44" t="str">
        <f t="array" ref="Z22">LET(val, IFERROR(INDEX('Daily 크랙 raw'!$A:$ZZ, MATCH(Z$2, 'Daily 크랙 raw'!$A:$A, 0), MATCH($B22, 'Daily 크랙 raw'!$1:$1, 0)), ""), IF(val=0, "", val))</f>
        <v/>
      </c>
      <c r="AA22" s="44" t="str">
        <f t="array" ref="AA22">LET(val, IFERROR(INDEX('Daily 크랙 raw'!$A:$ZZ, MATCH(AA$2, 'Daily 크랙 raw'!$A:$A, 0), MATCH($B22, 'Daily 크랙 raw'!$1:$1, 0)), ""), IF(val=0, "", val))</f>
        <v/>
      </c>
      <c r="AB22" s="44" t="str">
        <f t="array" ref="AB22">LET(val, IFERROR(INDEX('Daily 크랙 raw'!$A:$ZZ, MATCH(AB$2, 'Daily 크랙 raw'!$A:$A, 0), MATCH($B22, 'Daily 크랙 raw'!$1:$1, 0)), ""), IF(val=0, "", val))</f>
        <v/>
      </c>
      <c r="AC22" s="44" t="str">
        <f t="array" ref="AC22">LET(val, IFERROR(INDEX('Daily 크랙 raw'!$A:$ZZ, MATCH(AC$2, 'Daily 크랙 raw'!$A:$A, 0), MATCH($B22, 'Daily 크랙 raw'!$1:$1, 0)), ""), IF(val=0, "", val))</f>
        <v/>
      </c>
      <c r="AD22" s="44" t="str">
        <f t="array" ref="AD22">LET(val, IFERROR(INDEX('Daily 크랙 raw'!$A:$ZZ, MATCH(AD$2, 'Daily 크랙 raw'!$A:$A, 0), MATCH($B22, 'Daily 크랙 raw'!$1:$1, 0)), ""), IF(val=0, "", val))</f>
        <v/>
      </c>
      <c r="AE22" s="44" t="str">
        <f t="array" ref="AE22">LET(val, IFERROR(INDEX('Daily 크랙 raw'!$A:$ZZ, MATCH(AE$2, 'Daily 크랙 raw'!$A:$A, 0), MATCH($B22, 'Daily 크랙 raw'!$1:$1, 0)), ""), IF(val=0, "", val))</f>
        <v/>
      </c>
      <c r="AF22" s="44" t="str">
        <f t="array" ref="AF22">LET(val, IFERROR(INDEX('Daily 크랙 raw'!$A:$ZZ, MATCH(AF$2, 'Daily 크랙 raw'!$A:$A, 0), MATCH($B22, 'Daily 크랙 raw'!$1:$1, 0)), ""), IF(val=0, "", val))</f>
        <v/>
      </c>
      <c r="AG22" s="44" t="str">
        <f t="array" ref="AG22">LET(val, IFERROR(INDEX('Daily 크랙 raw'!$A:$ZZ, MATCH(AG$2, 'Daily 크랙 raw'!$A:$A, 0), MATCH($B22, 'Daily 크랙 raw'!$1:$1, 0)), ""), IF(val=0, "", val))</f>
        <v/>
      </c>
      <c r="AH22" s="44" t="str">
        <f t="array" ref="AH22">LET(val, IFERROR(INDEX('Daily 크랙 raw'!$A:$ZZ, MATCH(AH$2, 'Daily 크랙 raw'!$A:$A, 0), MATCH($B22, 'Daily 크랙 raw'!$1:$1, 0)), ""), IF(val=0, "", val))</f>
        <v/>
      </c>
      <c r="AI22" s="44" t="str">
        <f t="array" ref="AI22">LET(val, IFERROR(INDEX('Daily 크랙 raw'!$A:$ZZ, MATCH(AI$2, 'Daily 크랙 raw'!$A:$A, 0), MATCH($B22, 'Daily 크랙 raw'!$1:$1, 0)), ""), IF(val=0, "", val))</f>
        <v/>
      </c>
      <c r="AJ22" s="44" t="str">
        <f t="array" ref="AJ22">LET(val, IFERROR(INDEX('Daily 크랙 raw'!$A:$ZZ, MATCH(AJ$2, 'Daily 크랙 raw'!$A:$A, 0), MATCH($B22, 'Daily 크랙 raw'!$1:$1, 0)), ""), IF(val=0, "", val))</f>
        <v/>
      </c>
      <c r="AK22" s="44" t="str">
        <f t="array" ref="AK22">LET(val, IFERROR(INDEX('Daily 크랙 raw'!$A:$ZZ, MATCH(AK$2, 'Daily 크랙 raw'!$A:$A, 0), MATCH($B22, 'Daily 크랙 raw'!$1:$1, 0)), ""), IF(val=0, "", val))</f>
        <v/>
      </c>
      <c r="AL22" s="44" t="str">
        <f t="array" ref="AL22">LET(val, IFERROR(INDEX('Daily 크랙 raw'!$A:$ZZ, MATCH(AL$2, 'Daily 크랙 raw'!$A:$A, 0), MATCH($B22, 'Daily 크랙 raw'!$1:$1, 0)), ""), IF(val=0, "", val))</f>
        <v/>
      </c>
      <c r="AM22" s="44" t="str">
        <f t="array" ref="AM22">LET(val, IFERROR(INDEX('Daily 크랙 raw'!$A:$ZZ, MATCH(AM$2, 'Daily 크랙 raw'!$A:$A, 0), MATCH($B22, 'Daily 크랙 raw'!$1:$1, 0)), ""), IF(val=0, "", val))</f>
        <v/>
      </c>
      <c r="AN22" s="44" t="str">
        <f t="array" ref="AN22">LET(val, IFERROR(INDEX('Daily 크랙 raw'!$A:$ZZ, MATCH(AN$2, 'Daily 크랙 raw'!$A:$A, 0), MATCH($B22, 'Daily 크랙 raw'!$1:$1, 0)), ""), IF(val=0, "", val))</f>
        <v/>
      </c>
      <c r="AO22" s="44" t="str">
        <f t="array" ref="AO22">LET(val, IFERROR(INDEX('Daily 크랙 raw'!$A:$ZZ, MATCH(AO$2, 'Daily 크랙 raw'!$A:$A, 0), MATCH($B22, 'Daily 크랙 raw'!$1:$1, 0)), ""), IF(val=0, "", val))</f>
        <v/>
      </c>
      <c r="AP22" s="44" t="str">
        <f t="array" ref="AP22">LET(val, IFERROR(INDEX('Daily 크랙 raw'!$A:$ZZ, MATCH(AP$2, 'Daily 크랙 raw'!$A:$A, 0), MATCH($B22, 'Daily 크랙 raw'!$1:$1, 0)), ""), IF(val=0, "", val))</f>
        <v/>
      </c>
      <c r="AQ22" s="44" t="str">
        <f t="array" ref="AQ22">LET(val, IFERROR(INDEX('Daily 크랙 raw'!$A:$ZZ, MATCH(AQ$2, 'Daily 크랙 raw'!$A:$A, 0), MATCH($B22, 'Daily 크랙 raw'!$1:$1, 0)), ""), IF(val=0, "", val))</f>
        <v/>
      </c>
      <c r="AR22" s="44" t="str">
        <f t="array" ref="AR22">LET(val, IFERROR(INDEX('Daily 크랙 raw'!$A:$ZZ, MATCH(AR$2, 'Daily 크랙 raw'!$A:$A, 0), MATCH($B22, 'Daily 크랙 raw'!$1:$1, 0)), ""), IF(val=0, "", val))</f>
        <v/>
      </c>
      <c r="AS22" s="44" t="str">
        <f t="array" ref="AS22">LET(val, IFERROR(INDEX('Daily 크랙 raw'!$A:$ZZ, MATCH(AS$2, 'Daily 크랙 raw'!$A:$A, 0), MATCH($B22, 'Daily 크랙 raw'!$1:$1, 0)), ""), IF(val=0, "", val))</f>
        <v/>
      </c>
      <c r="AT22" s="44" t="str">
        <f t="array" ref="AT22">LET(val, IFERROR(INDEX('Daily 크랙 raw'!$A:$ZZ, MATCH(AT$2, 'Daily 크랙 raw'!$A:$A, 0), MATCH($B22, 'Daily 크랙 raw'!$1:$1, 0)), ""), IF(val=0, "", val))</f>
        <v/>
      </c>
      <c r="AU22" s="44" t="str">
        <f t="array" ref="AU22">LET(val, IFERROR(INDEX('Daily 크랙 raw'!$A:$ZZ, MATCH(AU$2, 'Daily 크랙 raw'!$A:$A, 0), MATCH($B22, 'Daily 크랙 raw'!$1:$1, 0)), ""), IF(val=0, "", val))</f>
        <v/>
      </c>
      <c r="AV22" s="44" t="str">
        <f t="array" ref="AV22">LET(val, IFERROR(INDEX('Daily 크랙 raw'!$A:$ZZ, MATCH(AV$2, 'Daily 크랙 raw'!$A:$A, 0), MATCH($B22, 'Daily 크랙 raw'!$1:$1, 0)), ""), IF(val=0, "", val))</f>
        <v/>
      </c>
      <c r="AW22" s="44" t="str">
        <f t="array" ref="AW22">LET(val, IFERROR(INDEX('Daily 크랙 raw'!$A:$ZZ, MATCH(AW$2, 'Daily 크랙 raw'!$A:$A, 0), MATCH($B22, 'Daily 크랙 raw'!$1:$1, 0)), ""), IF(val=0, "", val))</f>
        <v/>
      </c>
      <c r="AX22" s="44" t="str">
        <f t="array" ref="AX22">LET(val, IFERROR(INDEX('Daily 크랙 raw'!$A:$ZZ, MATCH(AX$2, 'Daily 크랙 raw'!$A:$A, 0), MATCH($B22, 'Daily 크랙 raw'!$1:$1, 0)), ""), IF(val=0, "", val))</f>
        <v/>
      </c>
      <c r="AY22" s="44" t="str">
        <f t="array" ref="AY22">LET(val, IFERROR(INDEX('Daily 크랙 raw'!$A:$ZZ, MATCH(AY$2, 'Daily 크랙 raw'!$A:$A, 0), MATCH($B22, 'Daily 크랙 raw'!$1:$1, 0)), ""), IF(val=0, "", val))</f>
        <v/>
      </c>
      <c r="AZ22" s="44" t="str">
        <f t="array" ref="AZ22">LET(val, IFERROR(INDEX('Daily 크랙 raw'!$A:$ZZ, MATCH(AZ$2, 'Daily 크랙 raw'!$A:$A, 0), MATCH($B22, 'Daily 크랙 raw'!$1:$1, 0)), ""), IF(val=0, "", val))</f>
        <v/>
      </c>
      <c r="BA22" s="44" t="str">
        <f t="array" ref="BA22">LET(val, IFERROR(INDEX('Daily 크랙 raw'!$A:$ZZ, MATCH(BA$2, 'Daily 크랙 raw'!$A:$A, 0), MATCH($B22, 'Daily 크랙 raw'!$1:$1, 0)), ""), IF(val=0, "", val))</f>
        <v/>
      </c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</row>
    <row r="23" ht="18.75" customHeight="1">
      <c r="A23" s="17"/>
      <c r="B23" s="16" t="s">
        <v>39</v>
      </c>
      <c r="C23" s="17" t="s">
        <v>40</v>
      </c>
      <c r="D23" s="44" t="str">
        <f t="array" ref="D23">LET(val, IFERROR(INDEX('Daily 크랙 raw'!$A:$ZZ, MATCH(D$2, 'Daily 크랙 raw'!$A:$A, 0), MATCH($B23, 'Daily 크랙 raw'!$1:$1, 0)), ""), IF(val=0, "", val))</f>
        <v/>
      </c>
      <c r="E23" s="44" t="str">
        <f t="array" ref="E23">LET(val, IFERROR(INDEX('Daily 크랙 raw'!$A:$ZZ, MATCH(E$2, 'Daily 크랙 raw'!$A:$A, 0), MATCH($B23, 'Daily 크랙 raw'!$1:$1, 0)), ""), IF(val=0, "", val))</f>
        <v/>
      </c>
      <c r="F23" s="44" t="str">
        <f t="array" ref="F23">LET(val, IFERROR(INDEX('Daily 크랙 raw'!$A:$ZZ, MATCH(F$2, 'Daily 크랙 raw'!$A:$A, 0), MATCH($B23, 'Daily 크랙 raw'!$1:$1, 0)), ""), IF(val=0, "", val))</f>
        <v/>
      </c>
      <c r="G23" s="44" t="str">
        <f t="array" ref="G23">LET(val, IFERROR(INDEX('Daily 크랙 raw'!$A:$ZZ, MATCH(G$2, 'Daily 크랙 raw'!$A:$A, 0), MATCH($B23, 'Daily 크랙 raw'!$1:$1, 0)), ""), IF(val=0, "", val))</f>
        <v/>
      </c>
      <c r="H23" s="44" t="str">
        <f t="array" ref="H23">LET(val, IFERROR(INDEX('Daily 크랙 raw'!$A:$ZZ, MATCH(H$2, 'Daily 크랙 raw'!$A:$A, 0), MATCH($B23, 'Daily 크랙 raw'!$1:$1, 0)), ""), IF(val=0, "", val))</f>
        <v/>
      </c>
      <c r="I23" s="44" t="str">
        <f t="array" ref="I23">LET(val, IFERROR(INDEX('Daily 크랙 raw'!$A:$ZZ, MATCH(I$2, 'Daily 크랙 raw'!$A:$A, 0), MATCH($B23, 'Daily 크랙 raw'!$1:$1, 0)), ""), IF(val=0, "", val))</f>
        <v/>
      </c>
      <c r="J23" s="44" t="str">
        <f t="array" ref="J23">LET(val, IFERROR(INDEX('Daily 크랙 raw'!$A:$ZZ, MATCH(J$2, 'Daily 크랙 raw'!$A:$A, 0), MATCH($B23, 'Daily 크랙 raw'!$1:$1, 0)), ""), IF(val=0, "", val))</f>
        <v/>
      </c>
      <c r="K23" s="44" t="str">
        <f t="array" ref="K23">LET(val, IFERROR(INDEX('Daily 크랙 raw'!$A:$ZZ, MATCH(K$2, 'Daily 크랙 raw'!$A:$A, 0), MATCH($B23, 'Daily 크랙 raw'!$1:$1, 0)), ""), IF(val=0, "", val))</f>
        <v/>
      </c>
      <c r="L23" s="44" t="str">
        <f t="array" ref="L23">LET(val, IFERROR(INDEX('Daily 크랙 raw'!$A:$ZZ, MATCH(L$2, 'Daily 크랙 raw'!$A:$A, 0), MATCH($B23, 'Daily 크랙 raw'!$1:$1, 0)), ""), IF(val=0, "", val))</f>
        <v/>
      </c>
      <c r="M23" s="44" t="str">
        <f t="array" ref="M23">LET(val, IFERROR(INDEX('Daily 크랙 raw'!$A:$ZZ, MATCH(M$2, 'Daily 크랙 raw'!$A:$A, 0), MATCH($B23, 'Daily 크랙 raw'!$1:$1, 0)), ""), IF(val=0, "", val))</f>
        <v/>
      </c>
      <c r="N23" s="44" t="str">
        <f t="array" ref="N23">LET(val, IFERROR(INDEX('Daily 크랙 raw'!$A:$ZZ, MATCH(N$2, 'Daily 크랙 raw'!$A:$A, 0), MATCH($B23, 'Daily 크랙 raw'!$1:$1, 0)), ""), IF(val=0, "", val))</f>
        <v/>
      </c>
      <c r="O23" s="44" t="str">
        <f t="array" ref="O23">LET(val, IFERROR(INDEX('Daily 크랙 raw'!$A:$ZZ, MATCH(O$2, 'Daily 크랙 raw'!$A:$A, 0), MATCH($B23, 'Daily 크랙 raw'!$1:$1, 0)), ""), IF(val=0, "", val))</f>
        <v/>
      </c>
      <c r="P23" s="44" t="str">
        <f t="array" ref="P23">LET(val, IFERROR(INDEX('Daily 크랙 raw'!$A:$ZZ, MATCH(P$2, 'Daily 크랙 raw'!$A:$A, 0), MATCH($B23, 'Daily 크랙 raw'!$1:$1, 0)), ""), IF(val=0, "", val))</f>
        <v/>
      </c>
      <c r="Q23" s="44" t="str">
        <f t="array" ref="Q23">LET(val, IFERROR(INDEX('Daily 크랙 raw'!$A:$ZZ, MATCH(Q$2, 'Daily 크랙 raw'!$A:$A, 0), MATCH($B23, 'Daily 크랙 raw'!$1:$1, 0)), ""), IF(val=0, "", val))</f>
        <v/>
      </c>
      <c r="R23" s="44" t="str">
        <f t="array" ref="R23">LET(val, IFERROR(INDEX('Daily 크랙 raw'!$A:$ZZ, MATCH(R$2, 'Daily 크랙 raw'!$A:$A, 0), MATCH($B23, 'Daily 크랙 raw'!$1:$1, 0)), ""), IF(val=0, "", val))</f>
        <v/>
      </c>
      <c r="S23" s="44" t="str">
        <f t="array" ref="S23">LET(val, IFERROR(INDEX('Daily 크랙 raw'!$A:$ZZ, MATCH(S$2, 'Daily 크랙 raw'!$A:$A, 0), MATCH($B23, 'Daily 크랙 raw'!$1:$1, 0)), ""), IF(val=0, "", val))</f>
        <v/>
      </c>
      <c r="T23" s="44" t="str">
        <f t="array" ref="T23">LET(val, IFERROR(INDEX('Daily 크랙 raw'!$A:$ZZ, MATCH(T$2, 'Daily 크랙 raw'!$A:$A, 0), MATCH($B23, 'Daily 크랙 raw'!$1:$1, 0)), ""), IF(val=0, "", val))</f>
        <v/>
      </c>
      <c r="U23" s="44" t="str">
        <f t="array" ref="U23">LET(val, IFERROR(INDEX('Daily 크랙 raw'!$A:$ZZ, MATCH(U$2, 'Daily 크랙 raw'!$A:$A, 0), MATCH($B23, 'Daily 크랙 raw'!$1:$1, 0)), ""), IF(val=0, "", val))</f>
        <v/>
      </c>
      <c r="V23" s="44" t="str">
        <f t="array" ref="V23">LET(val, IFERROR(INDEX('Daily 크랙 raw'!$A:$ZZ, MATCH(V$2, 'Daily 크랙 raw'!$A:$A, 0), MATCH($B23, 'Daily 크랙 raw'!$1:$1, 0)), ""), IF(val=0, "", val))</f>
        <v/>
      </c>
      <c r="W23" s="44" t="str">
        <f t="array" ref="W23">LET(val, IFERROR(INDEX('Daily 크랙 raw'!$A:$ZZ, MATCH(W$2, 'Daily 크랙 raw'!$A:$A, 0), MATCH($B23, 'Daily 크랙 raw'!$1:$1, 0)), ""), IF(val=0, "", val))</f>
        <v/>
      </c>
      <c r="X23" s="44" t="str">
        <f t="array" ref="X23">LET(val, IFERROR(INDEX('Daily 크랙 raw'!$A:$ZZ, MATCH(X$2, 'Daily 크랙 raw'!$A:$A, 0), MATCH($B23, 'Daily 크랙 raw'!$1:$1, 0)), ""), IF(val=0, "", val))</f>
        <v/>
      </c>
      <c r="Y23" s="44" t="str">
        <f t="array" ref="Y23">LET(val, IFERROR(INDEX('Daily 크랙 raw'!$A:$ZZ, MATCH(Y$2, 'Daily 크랙 raw'!$A:$A, 0), MATCH($B23, 'Daily 크랙 raw'!$1:$1, 0)), ""), IF(val=0, "", val))</f>
        <v/>
      </c>
      <c r="Z23" s="44" t="str">
        <f t="array" ref="Z23">LET(val, IFERROR(INDEX('Daily 크랙 raw'!$A:$ZZ, MATCH(Z$2, 'Daily 크랙 raw'!$A:$A, 0), MATCH($B23, 'Daily 크랙 raw'!$1:$1, 0)), ""), IF(val=0, "", val))</f>
        <v/>
      </c>
      <c r="AA23" s="44" t="str">
        <f t="array" ref="AA23">LET(val, IFERROR(INDEX('Daily 크랙 raw'!$A:$ZZ, MATCH(AA$2, 'Daily 크랙 raw'!$A:$A, 0), MATCH($B23, 'Daily 크랙 raw'!$1:$1, 0)), ""), IF(val=0, "", val))</f>
        <v/>
      </c>
      <c r="AB23" s="44" t="str">
        <f t="array" ref="AB23">LET(val, IFERROR(INDEX('Daily 크랙 raw'!$A:$ZZ, MATCH(AB$2, 'Daily 크랙 raw'!$A:$A, 0), MATCH($B23, 'Daily 크랙 raw'!$1:$1, 0)), ""), IF(val=0, "", val))</f>
        <v/>
      </c>
      <c r="AC23" s="44" t="str">
        <f t="array" ref="AC23">LET(val, IFERROR(INDEX('Daily 크랙 raw'!$A:$ZZ, MATCH(AC$2, 'Daily 크랙 raw'!$A:$A, 0), MATCH($B23, 'Daily 크랙 raw'!$1:$1, 0)), ""), IF(val=0, "", val))</f>
        <v/>
      </c>
      <c r="AD23" s="44" t="str">
        <f t="array" ref="AD23">LET(val, IFERROR(INDEX('Daily 크랙 raw'!$A:$ZZ, MATCH(AD$2, 'Daily 크랙 raw'!$A:$A, 0), MATCH($B23, 'Daily 크랙 raw'!$1:$1, 0)), ""), IF(val=0, "", val))</f>
        <v/>
      </c>
      <c r="AE23" s="44" t="str">
        <f t="array" ref="AE23">LET(val, IFERROR(INDEX('Daily 크랙 raw'!$A:$ZZ, MATCH(AE$2, 'Daily 크랙 raw'!$A:$A, 0), MATCH($B23, 'Daily 크랙 raw'!$1:$1, 0)), ""), IF(val=0, "", val))</f>
        <v/>
      </c>
      <c r="AF23" s="44" t="str">
        <f t="array" ref="AF23">LET(val, IFERROR(INDEX('Daily 크랙 raw'!$A:$ZZ, MATCH(AF$2, 'Daily 크랙 raw'!$A:$A, 0), MATCH($B23, 'Daily 크랙 raw'!$1:$1, 0)), ""), IF(val=0, "", val))</f>
        <v/>
      </c>
      <c r="AG23" s="44" t="str">
        <f t="array" ref="AG23">LET(val, IFERROR(INDEX('Daily 크랙 raw'!$A:$ZZ, MATCH(AG$2, 'Daily 크랙 raw'!$A:$A, 0), MATCH($B23, 'Daily 크랙 raw'!$1:$1, 0)), ""), IF(val=0, "", val))</f>
        <v/>
      </c>
      <c r="AH23" s="44" t="str">
        <f t="array" ref="AH23">LET(val, IFERROR(INDEX('Daily 크랙 raw'!$A:$ZZ, MATCH(AH$2, 'Daily 크랙 raw'!$A:$A, 0), MATCH($B23, 'Daily 크랙 raw'!$1:$1, 0)), ""), IF(val=0, "", val))</f>
        <v/>
      </c>
      <c r="AI23" s="44" t="str">
        <f t="array" ref="AI23">LET(val, IFERROR(INDEX('Daily 크랙 raw'!$A:$ZZ, MATCH(AI$2, 'Daily 크랙 raw'!$A:$A, 0), MATCH($B23, 'Daily 크랙 raw'!$1:$1, 0)), ""), IF(val=0, "", val))</f>
        <v/>
      </c>
      <c r="AJ23" s="44" t="str">
        <f t="array" ref="AJ23">LET(val, IFERROR(INDEX('Daily 크랙 raw'!$A:$ZZ, MATCH(AJ$2, 'Daily 크랙 raw'!$A:$A, 0), MATCH($B23, 'Daily 크랙 raw'!$1:$1, 0)), ""), IF(val=0, "", val))</f>
        <v/>
      </c>
      <c r="AK23" s="44" t="str">
        <f t="array" ref="AK23">LET(val, IFERROR(INDEX('Daily 크랙 raw'!$A:$ZZ, MATCH(AK$2, 'Daily 크랙 raw'!$A:$A, 0), MATCH($B23, 'Daily 크랙 raw'!$1:$1, 0)), ""), IF(val=0, "", val))</f>
        <v/>
      </c>
      <c r="AL23" s="44" t="str">
        <f t="array" ref="AL23">LET(val, IFERROR(INDEX('Daily 크랙 raw'!$A:$ZZ, MATCH(AL$2, 'Daily 크랙 raw'!$A:$A, 0), MATCH($B23, 'Daily 크랙 raw'!$1:$1, 0)), ""), IF(val=0, "", val))</f>
        <v/>
      </c>
      <c r="AM23" s="44" t="str">
        <f t="array" ref="AM23">LET(val, IFERROR(INDEX('Daily 크랙 raw'!$A:$ZZ, MATCH(AM$2, 'Daily 크랙 raw'!$A:$A, 0), MATCH($B23, 'Daily 크랙 raw'!$1:$1, 0)), ""), IF(val=0, "", val))</f>
        <v/>
      </c>
      <c r="AN23" s="44" t="str">
        <f t="array" ref="AN23">LET(val, IFERROR(INDEX('Daily 크랙 raw'!$A:$ZZ, MATCH(AN$2, 'Daily 크랙 raw'!$A:$A, 0), MATCH($B23, 'Daily 크랙 raw'!$1:$1, 0)), ""), IF(val=0, "", val))</f>
        <v/>
      </c>
      <c r="AO23" s="44" t="str">
        <f t="array" ref="AO23">LET(val, IFERROR(INDEX('Daily 크랙 raw'!$A:$ZZ, MATCH(AO$2, 'Daily 크랙 raw'!$A:$A, 0), MATCH($B23, 'Daily 크랙 raw'!$1:$1, 0)), ""), IF(val=0, "", val))</f>
        <v/>
      </c>
      <c r="AP23" s="44" t="str">
        <f t="array" ref="AP23">LET(val, IFERROR(INDEX('Daily 크랙 raw'!$A:$ZZ, MATCH(AP$2, 'Daily 크랙 raw'!$A:$A, 0), MATCH($B23, 'Daily 크랙 raw'!$1:$1, 0)), ""), IF(val=0, "", val))</f>
        <v/>
      </c>
      <c r="AQ23" s="44" t="str">
        <f t="array" ref="AQ23">LET(val, IFERROR(INDEX('Daily 크랙 raw'!$A:$ZZ, MATCH(AQ$2, 'Daily 크랙 raw'!$A:$A, 0), MATCH($B23, 'Daily 크랙 raw'!$1:$1, 0)), ""), IF(val=0, "", val))</f>
        <v/>
      </c>
      <c r="AR23" s="44" t="str">
        <f t="array" ref="AR23">LET(val, IFERROR(INDEX('Daily 크랙 raw'!$A:$ZZ, MATCH(AR$2, 'Daily 크랙 raw'!$A:$A, 0), MATCH($B23, 'Daily 크랙 raw'!$1:$1, 0)), ""), IF(val=0, "", val))</f>
        <v/>
      </c>
      <c r="AS23" s="44" t="str">
        <f t="array" ref="AS23">LET(val, IFERROR(INDEX('Daily 크랙 raw'!$A:$ZZ, MATCH(AS$2, 'Daily 크랙 raw'!$A:$A, 0), MATCH($B23, 'Daily 크랙 raw'!$1:$1, 0)), ""), IF(val=0, "", val))</f>
        <v/>
      </c>
      <c r="AT23" s="44" t="str">
        <f t="array" ref="AT23">LET(val, IFERROR(INDEX('Daily 크랙 raw'!$A:$ZZ, MATCH(AT$2, 'Daily 크랙 raw'!$A:$A, 0), MATCH($B23, 'Daily 크랙 raw'!$1:$1, 0)), ""), IF(val=0, "", val))</f>
        <v/>
      </c>
      <c r="AU23" s="44" t="str">
        <f t="array" ref="AU23">LET(val, IFERROR(INDEX('Daily 크랙 raw'!$A:$ZZ, MATCH(AU$2, 'Daily 크랙 raw'!$A:$A, 0), MATCH($B23, 'Daily 크랙 raw'!$1:$1, 0)), ""), IF(val=0, "", val))</f>
        <v/>
      </c>
      <c r="AV23" s="44" t="str">
        <f t="array" ref="AV23">LET(val, IFERROR(INDEX('Daily 크랙 raw'!$A:$ZZ, MATCH(AV$2, 'Daily 크랙 raw'!$A:$A, 0), MATCH($B23, 'Daily 크랙 raw'!$1:$1, 0)), ""), IF(val=0, "", val))</f>
        <v/>
      </c>
      <c r="AW23" s="44" t="str">
        <f t="array" ref="AW23">LET(val, IFERROR(INDEX('Daily 크랙 raw'!$A:$ZZ, MATCH(AW$2, 'Daily 크랙 raw'!$A:$A, 0), MATCH($B23, 'Daily 크랙 raw'!$1:$1, 0)), ""), IF(val=0, "", val))</f>
        <v/>
      </c>
      <c r="AX23" s="44" t="str">
        <f t="array" ref="AX23">LET(val, IFERROR(INDEX('Daily 크랙 raw'!$A:$ZZ, MATCH(AX$2, 'Daily 크랙 raw'!$A:$A, 0), MATCH($B23, 'Daily 크랙 raw'!$1:$1, 0)), ""), IF(val=0, "", val))</f>
        <v/>
      </c>
      <c r="AY23" s="44" t="str">
        <f t="array" ref="AY23">LET(val, IFERROR(INDEX('Daily 크랙 raw'!$A:$ZZ, MATCH(AY$2, 'Daily 크랙 raw'!$A:$A, 0), MATCH($B23, 'Daily 크랙 raw'!$1:$1, 0)), ""), IF(val=0, "", val))</f>
        <v/>
      </c>
      <c r="AZ23" s="44" t="str">
        <f t="array" ref="AZ23">LET(val, IFERROR(INDEX('Daily 크랙 raw'!$A:$ZZ, MATCH(AZ$2, 'Daily 크랙 raw'!$A:$A, 0), MATCH($B23, 'Daily 크랙 raw'!$1:$1, 0)), ""), IF(val=0, "", val))</f>
        <v/>
      </c>
      <c r="BA23" s="44" t="str">
        <f t="array" ref="BA23">LET(val, IFERROR(INDEX('Daily 크랙 raw'!$A:$ZZ, MATCH(BA$2, 'Daily 크랙 raw'!$A:$A, 0), MATCH($B23, 'Daily 크랙 raw'!$1:$1, 0)), ""), IF(val=0, "", val))</f>
        <v/>
      </c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</row>
    <row r="24" ht="18.75" customHeight="1">
      <c r="A24" s="17"/>
      <c r="B24" s="16" t="s">
        <v>41</v>
      </c>
      <c r="C24" s="17" t="s">
        <v>42</v>
      </c>
      <c r="D24" s="44">
        <f t="array" ref="D24">LET(val, IFERROR(INDEX('Daily 크랙 raw'!$A:$ZZ, MATCH(D$2, 'Daily 크랙 raw'!$A:$A, 0), MATCH($B24, 'Daily 크랙 raw'!$1:$1, 0)), ""), IF(val=0, "", val))</f>
        <v>3797</v>
      </c>
      <c r="E24" s="44">
        <f t="array" ref="E24">LET(val, IFERROR(INDEX('Daily 크랙 raw'!$A:$ZZ, MATCH(E$2, 'Daily 크랙 raw'!$A:$A, 0), MATCH($B24, 'Daily 크랙 raw'!$1:$1, 0)), ""), IF(val=0, "", val))</f>
        <v>3262</v>
      </c>
      <c r="F24" s="44">
        <f t="array" ref="F24">LET(val, IFERROR(INDEX('Daily 크랙 raw'!$A:$ZZ, MATCH(F$2, 'Daily 크랙 raw'!$A:$A, 0), MATCH($B24, 'Daily 크랙 raw'!$1:$1, 0)), ""), IF(val=0, "", val))</f>
        <v>3353</v>
      </c>
      <c r="G24" s="44">
        <f t="array" ref="G24">LET(val, IFERROR(INDEX('Daily 크랙 raw'!$A:$ZZ, MATCH(G$2, 'Daily 크랙 raw'!$A:$A, 0), MATCH($B24, 'Daily 크랙 raw'!$1:$1, 0)), ""), IF(val=0, "", val))</f>
        <v>3479</v>
      </c>
      <c r="H24" s="44">
        <f t="array" ref="H24">LET(val, IFERROR(INDEX('Daily 크랙 raw'!$A:$ZZ, MATCH(H$2, 'Daily 크랙 raw'!$A:$A, 0), MATCH($B24, 'Daily 크랙 raw'!$1:$1, 0)), ""), IF(val=0, "", val))</f>
        <v>2266</v>
      </c>
      <c r="I24" s="44">
        <f t="array" ref="I24">LET(val, IFERROR(INDEX('Daily 크랙 raw'!$A:$ZZ, MATCH(I$2, 'Daily 크랙 raw'!$A:$A, 0), MATCH($B24, 'Daily 크랙 raw'!$1:$1, 0)), ""), IF(val=0, "", val))</f>
        <v>2083</v>
      </c>
      <c r="J24" s="44">
        <f t="array" ref="J24">LET(val, IFERROR(INDEX('Daily 크랙 raw'!$A:$ZZ, MATCH(J$2, 'Daily 크랙 raw'!$A:$A, 0), MATCH($B24, 'Daily 크랙 raw'!$1:$1, 0)), ""), IF(val=0, "", val))</f>
        <v>2053</v>
      </c>
      <c r="K24" s="44">
        <f t="array" ref="K24">LET(val, IFERROR(INDEX('Daily 크랙 raw'!$A:$ZZ, MATCH(K$2, 'Daily 크랙 raw'!$A:$A, 0), MATCH($B24, 'Daily 크랙 raw'!$1:$1, 0)), ""), IF(val=0, "", val))</f>
        <v>2181</v>
      </c>
      <c r="L24" s="44">
        <f t="array" ref="L24">LET(val, IFERROR(INDEX('Daily 크랙 raw'!$A:$ZZ, MATCH(L$2, 'Daily 크랙 raw'!$A:$A, 0), MATCH($B24, 'Daily 크랙 raw'!$1:$1, 0)), ""), IF(val=0, "", val))</f>
        <v>2561</v>
      </c>
      <c r="M24" s="44">
        <f t="array" ref="M24">LET(val, IFERROR(INDEX('Daily 크랙 raw'!$A:$ZZ, MATCH(M$2, 'Daily 크랙 raw'!$A:$A, 0), MATCH($B24, 'Daily 크랙 raw'!$1:$1, 0)), ""), IF(val=0, "", val))</f>
        <v>2438</v>
      </c>
      <c r="N24" s="44">
        <f t="array" ref="N24">LET(val, IFERROR(INDEX('Daily 크랙 raw'!$A:$ZZ, MATCH(N$2, 'Daily 크랙 raw'!$A:$A, 0), MATCH($B24, 'Daily 크랙 raw'!$1:$1, 0)), ""), IF(val=0, "", val))</f>
        <v>2605</v>
      </c>
      <c r="O24" s="44">
        <f t="array" ref="O24">LET(val, IFERROR(INDEX('Daily 크랙 raw'!$A:$ZZ, MATCH(O$2, 'Daily 크랙 raw'!$A:$A, 0), MATCH($B24, 'Daily 크랙 raw'!$1:$1, 0)), ""), IF(val=0, "", val))</f>
        <v>2296</v>
      </c>
      <c r="P24" s="44">
        <f t="array" ref="P24">LET(val, IFERROR(INDEX('Daily 크랙 raw'!$A:$ZZ, MATCH(P$2, 'Daily 크랙 raw'!$A:$A, 0), MATCH($B24, 'Daily 크랙 raw'!$1:$1, 0)), ""), IF(val=0, "", val))</f>
        <v>2261</v>
      </c>
      <c r="Q24" s="44">
        <f t="array" ref="Q24">LET(val, IFERROR(INDEX('Daily 크랙 raw'!$A:$ZZ, MATCH(Q$2, 'Daily 크랙 raw'!$A:$A, 0), MATCH($B24, 'Daily 크랙 raw'!$1:$1, 0)), ""), IF(val=0, "", val))</f>
        <v>2349</v>
      </c>
      <c r="R24" s="44">
        <f t="array" ref="R24">LET(val, IFERROR(INDEX('Daily 크랙 raw'!$A:$ZZ, MATCH(R$2, 'Daily 크랙 raw'!$A:$A, 0), MATCH($B24, 'Daily 크랙 raw'!$1:$1, 0)), ""), IF(val=0, "", val))</f>
        <v>2503</v>
      </c>
      <c r="S24" s="44">
        <f t="array" ref="S24">LET(val, IFERROR(INDEX('Daily 크랙 raw'!$A:$ZZ, MATCH(S$2, 'Daily 크랙 raw'!$A:$A, 0), MATCH($B24, 'Daily 크랙 raw'!$1:$1, 0)), ""), IF(val=0, "", val))</f>
        <v>2734</v>
      </c>
      <c r="T24" s="44">
        <f t="array" ref="T24">LET(val, IFERROR(INDEX('Daily 크랙 raw'!$A:$ZZ, MATCH(T$2, 'Daily 크랙 raw'!$A:$A, 0), MATCH($B24, 'Daily 크랙 raw'!$1:$1, 0)), ""), IF(val=0, "", val))</f>
        <v>3299</v>
      </c>
      <c r="U24" s="44">
        <f t="array" ref="U24">LET(val, IFERROR(INDEX('Daily 크랙 raw'!$A:$ZZ, MATCH(U$2, 'Daily 크랙 raw'!$A:$A, 0), MATCH($B24, 'Daily 크랙 raw'!$1:$1, 0)), ""), IF(val=0, "", val))</f>
        <v>3392</v>
      </c>
      <c r="V24" s="44">
        <f t="array" ref="V24">LET(val, IFERROR(INDEX('Daily 크랙 raw'!$A:$ZZ, MATCH(V$2, 'Daily 크랙 raw'!$A:$A, 0), MATCH($B24, 'Daily 크랙 raw'!$1:$1, 0)), ""), IF(val=0, "", val))</f>
        <v>2824</v>
      </c>
      <c r="W24" s="44">
        <f t="array" ref="W24">LET(val, IFERROR(INDEX('Daily 크랙 raw'!$A:$ZZ, MATCH(W$2, 'Daily 크랙 raw'!$A:$A, 0), MATCH($B24, 'Daily 크랙 raw'!$1:$1, 0)), ""), IF(val=0, "", val))</f>
        <v>2601</v>
      </c>
      <c r="X24" s="44">
        <f t="array" ref="X24">LET(val, IFERROR(INDEX('Daily 크랙 raw'!$A:$ZZ, MATCH(X$2, 'Daily 크랙 raw'!$A:$A, 0), MATCH($B24, 'Daily 크랙 raw'!$1:$1, 0)), ""), IF(val=0, "", val))</f>
        <v>2681</v>
      </c>
      <c r="Y24" s="44">
        <f t="array" ref="Y24">LET(val, IFERROR(INDEX('Daily 크랙 raw'!$A:$ZZ, MATCH(Y$2, 'Daily 크랙 raw'!$A:$A, 0), MATCH($B24, 'Daily 크랙 raw'!$1:$1, 0)), ""), IF(val=0, "", val))</f>
        <v>2375</v>
      </c>
      <c r="Z24" s="44">
        <f t="array" ref="Z24">LET(val, IFERROR(INDEX('Daily 크랙 raw'!$A:$ZZ, MATCH(Z$2, 'Daily 크랙 raw'!$A:$A, 0), MATCH($B24, 'Daily 크랙 raw'!$1:$1, 0)), ""), IF(val=0, "", val))</f>
        <v>2624</v>
      </c>
      <c r="AA24" s="44">
        <f t="array" ref="AA24">LET(val, IFERROR(INDEX('Daily 크랙 raw'!$A:$ZZ, MATCH(AA$2, 'Daily 크랙 raw'!$A:$A, 0), MATCH($B24, 'Daily 크랙 raw'!$1:$1, 0)), ""), IF(val=0, "", val))</f>
        <v>4175</v>
      </c>
      <c r="AB24" s="44">
        <f t="array" ref="AB24">LET(val, IFERROR(INDEX('Daily 크랙 raw'!$A:$ZZ, MATCH(AB$2, 'Daily 크랙 raw'!$A:$A, 0), MATCH($B24, 'Daily 크랙 raw'!$1:$1, 0)), ""), IF(val=0, "", val))</f>
        <v>4317</v>
      </c>
      <c r="AC24" s="44">
        <f t="array" ref="AC24">LET(val, IFERROR(INDEX('Daily 크랙 raw'!$A:$ZZ, MATCH(AC$2, 'Daily 크랙 raw'!$A:$A, 0), MATCH($B24, 'Daily 크랙 raw'!$1:$1, 0)), ""), IF(val=0, "", val))</f>
        <v>3457</v>
      </c>
      <c r="AD24" s="44">
        <f t="array" ref="AD24">LET(val, IFERROR(INDEX('Daily 크랙 raw'!$A:$ZZ, MATCH(AD$2, 'Daily 크랙 raw'!$A:$A, 0), MATCH($B24, 'Daily 크랙 raw'!$1:$1, 0)), ""), IF(val=0, "", val))</f>
        <v>2974</v>
      </c>
      <c r="AE24" s="44">
        <f t="array" ref="AE24">LET(val, IFERROR(INDEX('Daily 크랙 raw'!$A:$ZZ, MATCH(AE$2, 'Daily 크랙 raw'!$A:$A, 0), MATCH($B24, 'Daily 크랙 raw'!$1:$1, 0)), ""), IF(val=0, "", val))</f>
        <v>2903</v>
      </c>
      <c r="AF24" s="44">
        <f t="array" ref="AF24">LET(val, IFERROR(INDEX('Daily 크랙 raw'!$A:$ZZ, MATCH(AF$2, 'Daily 크랙 raw'!$A:$A, 0), MATCH($B24, 'Daily 크랙 raw'!$1:$1, 0)), ""), IF(val=0, "", val))</f>
        <v>2720</v>
      </c>
      <c r="AG24" s="44">
        <f t="array" ref="AG24">LET(val, IFERROR(INDEX('Daily 크랙 raw'!$A:$ZZ, MATCH(AG$2, 'Daily 크랙 raw'!$A:$A, 0), MATCH($B24, 'Daily 크랙 raw'!$1:$1, 0)), ""), IF(val=0, "", val))</f>
        <v>2590</v>
      </c>
      <c r="AH24" s="44">
        <f t="array" ref="AH24">LET(val, IFERROR(INDEX('Daily 크랙 raw'!$A:$ZZ, MATCH(AH$2, 'Daily 크랙 raw'!$A:$A, 0), MATCH($B24, 'Daily 크랙 raw'!$1:$1, 0)), ""), IF(val=0, "", val))</f>
        <v>2672</v>
      </c>
      <c r="AI24" s="44">
        <f t="array" ref="AI24">LET(val, IFERROR(INDEX('Daily 크랙 raw'!$A:$ZZ, MATCH(AI$2, 'Daily 크랙 raw'!$A:$A, 0), MATCH($B24, 'Daily 크랙 raw'!$1:$1, 0)), ""), IF(val=0, "", val))</f>
        <v>2901</v>
      </c>
      <c r="AJ24" s="44">
        <f t="array" ref="AJ24">LET(val, IFERROR(INDEX('Daily 크랙 raw'!$A:$ZZ, MATCH(AJ$2, 'Daily 크랙 raw'!$A:$A, 0), MATCH($B24, 'Daily 크랙 raw'!$1:$1, 0)), ""), IF(val=0, "", val))</f>
        <v>2755</v>
      </c>
      <c r="AK24" s="44">
        <f t="array" ref="AK24">LET(val, IFERROR(INDEX('Daily 크랙 raw'!$A:$ZZ, MATCH(AK$2, 'Daily 크랙 raw'!$A:$A, 0), MATCH($B24, 'Daily 크랙 raw'!$1:$1, 0)), ""), IF(val=0, "", val))</f>
        <v>3000</v>
      </c>
      <c r="AL24" s="44">
        <f t="array" ref="AL24">LET(val, IFERROR(INDEX('Daily 크랙 raw'!$A:$ZZ, MATCH(AL$2, 'Daily 크랙 raw'!$A:$A, 0), MATCH($B24, 'Daily 크랙 raw'!$1:$1, 0)), ""), IF(val=0, "", val))</f>
        <v>2644</v>
      </c>
      <c r="AM24" s="44">
        <f t="array" ref="AM24">LET(val, IFERROR(INDEX('Daily 크랙 raw'!$A:$ZZ, MATCH(AM$2, 'Daily 크랙 raw'!$A:$A, 0), MATCH($B24, 'Daily 크랙 raw'!$1:$1, 0)), ""), IF(val=0, "", val))</f>
        <v>3141</v>
      </c>
      <c r="AN24" s="44">
        <f t="array" ref="AN24">LET(val, IFERROR(INDEX('Daily 크랙 raw'!$A:$ZZ, MATCH(AN$2, 'Daily 크랙 raw'!$A:$A, 0), MATCH($B24, 'Daily 크랙 raw'!$1:$1, 0)), ""), IF(val=0, "", val))</f>
        <v>3506</v>
      </c>
      <c r="AO24" s="44">
        <f t="array" ref="AO24">LET(val, IFERROR(INDEX('Daily 크랙 raw'!$A:$ZZ, MATCH(AO$2, 'Daily 크랙 raw'!$A:$A, 0), MATCH($B24, 'Daily 크랙 raw'!$1:$1, 0)), ""), IF(val=0, "", val))</f>
        <v>3951</v>
      </c>
      <c r="AP24" s="44">
        <f t="array" ref="AP24">LET(val, IFERROR(INDEX('Daily 크랙 raw'!$A:$ZZ, MATCH(AP$2, 'Daily 크랙 raw'!$A:$A, 0), MATCH($B24, 'Daily 크랙 raw'!$1:$1, 0)), ""), IF(val=0, "", val))</f>
        <v>3796</v>
      </c>
      <c r="AQ24" s="44">
        <f t="array" ref="AQ24">LET(val, IFERROR(INDEX('Daily 크랙 raw'!$A:$ZZ, MATCH(AQ$2, 'Daily 크랙 raw'!$A:$A, 0), MATCH($B24, 'Daily 크랙 raw'!$1:$1, 0)), ""), IF(val=0, "", val))</f>
        <v>3240</v>
      </c>
      <c r="AR24" s="44">
        <f t="array" ref="AR24">LET(val, IFERROR(INDEX('Daily 크랙 raw'!$A:$ZZ, MATCH(AR$2, 'Daily 크랙 raw'!$A:$A, 0), MATCH($B24, 'Daily 크랙 raw'!$1:$1, 0)), ""), IF(val=0, "", val))</f>
        <v>3349</v>
      </c>
      <c r="AS24" s="44">
        <f t="array" ref="AS24">LET(val, IFERROR(INDEX('Daily 크랙 raw'!$A:$ZZ, MATCH(AS$2, 'Daily 크랙 raw'!$A:$A, 0), MATCH($B24, 'Daily 크랙 raw'!$1:$1, 0)), ""), IF(val=0, "", val))</f>
        <v>3127</v>
      </c>
      <c r="AT24" s="44">
        <f t="array" ref="AT24">LET(val, IFERROR(INDEX('Daily 크랙 raw'!$A:$ZZ, MATCH(AT$2, 'Daily 크랙 raw'!$A:$A, 0), MATCH($B24, 'Daily 크랙 raw'!$1:$1, 0)), ""), IF(val=0, "", val))</f>
        <v>3082</v>
      </c>
      <c r="AU24" s="44">
        <f t="array" ref="AU24">LET(val, IFERROR(INDEX('Daily 크랙 raw'!$A:$ZZ, MATCH(AU$2, 'Daily 크랙 raw'!$A:$A, 0), MATCH($B24, 'Daily 크랙 raw'!$1:$1, 0)), ""), IF(val=0, "", val))</f>
        <v>4392</v>
      </c>
      <c r="AV24" s="44">
        <f t="array" ref="AV24">LET(val, IFERROR(INDEX('Daily 크랙 raw'!$A:$ZZ, MATCH(AV$2, 'Daily 크랙 raw'!$A:$A, 0), MATCH($B24, 'Daily 크랙 raw'!$1:$1, 0)), ""), IF(val=0, "", val))</f>
        <v>5994</v>
      </c>
      <c r="AW24" s="44">
        <f t="array" ref="AW24">LET(val, IFERROR(INDEX('Daily 크랙 raw'!$A:$ZZ, MATCH(AW$2, 'Daily 크랙 raw'!$A:$A, 0), MATCH($B24, 'Daily 크랙 raw'!$1:$1, 0)), ""), IF(val=0, "", val))</f>
        <v>5967</v>
      </c>
      <c r="AX24" s="44">
        <f t="array" ref="AX24">LET(val, IFERROR(INDEX('Daily 크랙 raw'!$A:$ZZ, MATCH(AX$2, 'Daily 크랙 raw'!$A:$A, 0), MATCH($B24, 'Daily 크랙 raw'!$1:$1, 0)), ""), IF(val=0, "", val))</f>
        <v>5271</v>
      </c>
      <c r="AY24" s="44">
        <f t="array" ref="AY24">LET(val, IFERROR(INDEX('Daily 크랙 raw'!$A:$ZZ, MATCH(AY$2, 'Daily 크랙 raw'!$A:$A, 0), MATCH($B24, 'Daily 크랙 raw'!$1:$1, 0)), ""), IF(val=0, "", val))</f>
        <v>4752</v>
      </c>
      <c r="AZ24" s="44">
        <f t="array" ref="AZ24">LET(val, IFERROR(INDEX('Daily 크랙 raw'!$A:$ZZ, MATCH(AZ$2, 'Daily 크랙 raw'!$A:$A, 0), MATCH($B24, 'Daily 크랙 raw'!$1:$1, 0)), ""), IF(val=0, "", val))</f>
        <v>4939</v>
      </c>
      <c r="BA24" s="44">
        <f t="array" ref="BA24">LET(val, IFERROR(INDEX('Daily 크랙 raw'!$A:$ZZ, MATCH(BA$2, 'Daily 크랙 raw'!$A:$A, 0), MATCH($B24, 'Daily 크랙 raw'!$1:$1, 0)), ""), IF(val=0, "", val))</f>
        <v>4924</v>
      </c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</row>
    <row r="25" ht="18.75" customHeight="1">
      <c r="A25" s="17"/>
      <c r="B25" s="16" t="s">
        <v>43</v>
      </c>
      <c r="C25" s="17" t="s">
        <v>44</v>
      </c>
      <c r="D25" s="44">
        <f t="array" ref="D25">LET(val, IFERROR(INDEX('Daily 크랙 raw'!$A:$ZZ, MATCH(D$2, 'Daily 크랙 raw'!$A:$A, 0), MATCH($B25, 'Daily 크랙 raw'!$1:$1, 0)), ""), IF(val=0, "", val))</f>
        <v>2954</v>
      </c>
      <c r="E25" s="44">
        <f t="array" ref="E25">LET(val, IFERROR(INDEX('Daily 크랙 raw'!$A:$ZZ, MATCH(E$2, 'Daily 크랙 raw'!$A:$A, 0), MATCH($B25, 'Daily 크랙 raw'!$1:$1, 0)), ""), IF(val=0, "", val))</f>
        <v>2613</v>
      </c>
      <c r="F25" s="44">
        <f t="array" ref="F25">LET(val, IFERROR(INDEX('Daily 크랙 raw'!$A:$ZZ, MATCH(F$2, 'Daily 크랙 raw'!$A:$A, 0), MATCH($B25, 'Daily 크랙 raw'!$1:$1, 0)), ""), IF(val=0, "", val))</f>
        <v>2690</v>
      </c>
      <c r="G25" s="44">
        <f t="array" ref="G25">LET(val, IFERROR(INDEX('Daily 크랙 raw'!$A:$ZZ, MATCH(G$2, 'Daily 크랙 raw'!$A:$A, 0), MATCH($B25, 'Daily 크랙 raw'!$1:$1, 0)), ""), IF(val=0, "", val))</f>
        <v>2847</v>
      </c>
      <c r="H25" s="44">
        <f t="array" ref="H25">LET(val, IFERROR(INDEX('Daily 크랙 raw'!$A:$ZZ, MATCH(H$2, 'Daily 크랙 raw'!$A:$A, 0), MATCH($B25, 'Daily 크랙 raw'!$1:$1, 0)), ""), IF(val=0, "", val))</f>
        <v>1732</v>
      </c>
      <c r="I25" s="44">
        <f t="array" ref="I25">LET(val, IFERROR(INDEX('Daily 크랙 raw'!$A:$ZZ, MATCH(I$2, 'Daily 크랙 raw'!$A:$A, 0), MATCH($B25, 'Daily 크랙 raw'!$1:$1, 0)), ""), IF(val=0, "", val))</f>
        <v>1582</v>
      </c>
      <c r="J25" s="44">
        <f t="array" ref="J25">LET(val, IFERROR(INDEX('Daily 크랙 raw'!$A:$ZZ, MATCH(J$2, 'Daily 크랙 raw'!$A:$A, 0), MATCH($B25, 'Daily 크랙 raw'!$1:$1, 0)), ""), IF(val=0, "", val))</f>
        <v>1597</v>
      </c>
      <c r="K25" s="44">
        <f t="array" ref="K25">LET(val, IFERROR(INDEX('Daily 크랙 raw'!$A:$ZZ, MATCH(K$2, 'Daily 크랙 raw'!$A:$A, 0), MATCH($B25, 'Daily 크랙 raw'!$1:$1, 0)), ""), IF(val=0, "", val))</f>
        <v>1750</v>
      </c>
      <c r="L25" s="44">
        <f t="array" ref="L25">LET(val, IFERROR(INDEX('Daily 크랙 raw'!$A:$ZZ, MATCH(L$2, 'Daily 크랙 raw'!$A:$A, 0), MATCH($B25, 'Daily 크랙 raw'!$1:$1, 0)), ""), IF(val=0, "", val))</f>
        <v>2063</v>
      </c>
      <c r="M25" s="44">
        <f t="array" ref="M25">LET(val, IFERROR(INDEX('Daily 크랙 raw'!$A:$ZZ, MATCH(M$2, 'Daily 크랙 raw'!$A:$A, 0), MATCH($B25, 'Daily 크랙 raw'!$1:$1, 0)), ""), IF(val=0, "", val))</f>
        <v>1998</v>
      </c>
      <c r="N25" s="44">
        <f t="array" ref="N25">LET(val, IFERROR(INDEX('Daily 크랙 raw'!$A:$ZZ, MATCH(N$2, 'Daily 크랙 raw'!$A:$A, 0), MATCH($B25, 'Daily 크랙 raw'!$1:$1, 0)), ""), IF(val=0, "", val))</f>
        <v>2130</v>
      </c>
      <c r="O25" s="44">
        <f t="array" ref="O25">LET(val, IFERROR(INDEX('Daily 크랙 raw'!$A:$ZZ, MATCH(O$2, 'Daily 크랙 raw'!$A:$A, 0), MATCH($B25, 'Daily 크랙 raw'!$1:$1, 0)), ""), IF(val=0, "", val))</f>
        <v>1865</v>
      </c>
      <c r="P25" s="44">
        <f t="array" ref="P25">LET(val, IFERROR(INDEX('Daily 크랙 raw'!$A:$ZZ, MATCH(P$2, 'Daily 크랙 raw'!$A:$A, 0), MATCH($B25, 'Daily 크랙 raw'!$1:$1, 0)), ""), IF(val=0, "", val))</f>
        <v>1809</v>
      </c>
      <c r="Q25" s="44">
        <f t="array" ref="Q25">LET(val, IFERROR(INDEX('Daily 크랙 raw'!$A:$ZZ, MATCH(Q$2, 'Daily 크랙 raw'!$A:$A, 0), MATCH($B25, 'Daily 크랙 raw'!$1:$1, 0)), ""), IF(val=0, "", val))</f>
        <v>1867</v>
      </c>
      <c r="R25" s="44">
        <f t="array" ref="R25">LET(val, IFERROR(INDEX('Daily 크랙 raw'!$A:$ZZ, MATCH(R$2, 'Daily 크랙 raw'!$A:$A, 0), MATCH($B25, 'Daily 크랙 raw'!$1:$1, 0)), ""), IF(val=0, "", val))</f>
        <v>1995</v>
      </c>
      <c r="S25" s="44">
        <f t="array" ref="S25">LET(val, IFERROR(INDEX('Daily 크랙 raw'!$A:$ZZ, MATCH(S$2, 'Daily 크랙 raw'!$A:$A, 0), MATCH($B25, 'Daily 크랙 raw'!$1:$1, 0)), ""), IF(val=0, "", val))</f>
        <v>2237</v>
      </c>
      <c r="T25" s="44">
        <f t="array" ref="T25">LET(val, IFERROR(INDEX('Daily 크랙 raw'!$A:$ZZ, MATCH(T$2, 'Daily 크랙 raw'!$A:$A, 0), MATCH($B25, 'Daily 크랙 raw'!$1:$1, 0)), ""), IF(val=0, "", val))</f>
        <v>2721</v>
      </c>
      <c r="U25" s="44">
        <f t="array" ref="U25">LET(val, IFERROR(INDEX('Daily 크랙 raw'!$A:$ZZ, MATCH(U$2, 'Daily 크랙 raw'!$A:$A, 0), MATCH($B25, 'Daily 크랙 raw'!$1:$1, 0)), ""), IF(val=0, "", val))</f>
        <v>2801</v>
      </c>
      <c r="V25" s="44">
        <f t="array" ref="V25">LET(val, IFERROR(INDEX('Daily 크랙 raw'!$A:$ZZ, MATCH(V$2, 'Daily 크랙 raw'!$A:$A, 0), MATCH($B25, 'Daily 크랙 raw'!$1:$1, 0)), ""), IF(val=0, "", val))</f>
        <v>2330</v>
      </c>
      <c r="W25" s="44">
        <f t="array" ref="W25">LET(val, IFERROR(INDEX('Daily 크랙 raw'!$A:$ZZ, MATCH(W$2, 'Daily 크랙 raw'!$A:$A, 0), MATCH($B25, 'Daily 크랙 raw'!$1:$1, 0)), ""), IF(val=0, "", val))</f>
        <v>2079</v>
      </c>
      <c r="X25" s="44">
        <f t="array" ref="X25">LET(val, IFERROR(INDEX('Daily 크랙 raw'!$A:$ZZ, MATCH(X$2, 'Daily 크랙 raw'!$A:$A, 0), MATCH($B25, 'Daily 크랙 raw'!$1:$1, 0)), ""), IF(val=0, "", val))</f>
        <v>2148</v>
      </c>
      <c r="Y25" s="44">
        <f t="array" ref="Y25">LET(val, IFERROR(INDEX('Daily 크랙 raw'!$A:$ZZ, MATCH(Y$2, 'Daily 크랙 raw'!$A:$A, 0), MATCH($B25, 'Daily 크랙 raw'!$1:$1, 0)), ""), IF(val=0, "", val))</f>
        <v>1884</v>
      </c>
      <c r="Z25" s="44">
        <f t="array" ref="Z25">LET(val, IFERROR(INDEX('Daily 크랙 raw'!$A:$ZZ, MATCH(Z$2, 'Daily 크랙 raw'!$A:$A, 0), MATCH($B25, 'Daily 크랙 raw'!$1:$1, 0)), ""), IF(val=0, "", val))</f>
        <v>2086</v>
      </c>
      <c r="AA25" s="44">
        <f t="array" ref="AA25">LET(val, IFERROR(INDEX('Daily 크랙 raw'!$A:$ZZ, MATCH(AA$2, 'Daily 크랙 raw'!$A:$A, 0), MATCH($B25, 'Daily 크랙 raw'!$1:$1, 0)), ""), IF(val=0, "", val))</f>
        <v>3377</v>
      </c>
      <c r="AB25" s="44">
        <f t="array" ref="AB25">LET(val, IFERROR(INDEX('Daily 크랙 raw'!$A:$ZZ, MATCH(AB$2, 'Daily 크랙 raw'!$A:$A, 0), MATCH($B25, 'Daily 크랙 raw'!$1:$1, 0)), ""), IF(val=0, "", val))</f>
        <v>3544</v>
      </c>
      <c r="AC25" s="44">
        <f t="array" ref="AC25">LET(val, IFERROR(INDEX('Daily 크랙 raw'!$A:$ZZ, MATCH(AC$2, 'Daily 크랙 raw'!$A:$A, 0), MATCH($B25, 'Daily 크랙 raw'!$1:$1, 0)), ""), IF(val=0, "", val))</f>
        <v>2835</v>
      </c>
      <c r="AD25" s="44">
        <f t="array" ref="AD25">LET(val, IFERROR(INDEX('Daily 크랙 raw'!$A:$ZZ, MATCH(AD$2, 'Daily 크랙 raw'!$A:$A, 0), MATCH($B25, 'Daily 크랙 raw'!$1:$1, 0)), ""), IF(val=0, "", val))</f>
        <v>2386</v>
      </c>
      <c r="AE25" s="44">
        <f t="array" ref="AE25">LET(val, IFERROR(INDEX('Daily 크랙 raw'!$A:$ZZ, MATCH(AE$2, 'Daily 크랙 raw'!$A:$A, 0), MATCH($B25, 'Daily 크랙 raw'!$1:$1, 0)), ""), IF(val=0, "", val))</f>
        <v>2316</v>
      </c>
      <c r="AF25" s="44">
        <f t="array" ref="AF25">LET(val, IFERROR(INDEX('Daily 크랙 raw'!$A:$ZZ, MATCH(AF$2, 'Daily 크랙 raw'!$A:$A, 0), MATCH($B25, 'Daily 크랙 raw'!$1:$1, 0)), ""), IF(val=0, "", val))</f>
        <v>2195</v>
      </c>
      <c r="AG25" s="44">
        <f t="array" ref="AG25">LET(val, IFERROR(INDEX('Daily 크랙 raw'!$A:$ZZ, MATCH(AG$2, 'Daily 크랙 raw'!$A:$A, 0), MATCH($B25, 'Daily 크랙 raw'!$1:$1, 0)), ""), IF(val=0, "", val))</f>
        <v>2102</v>
      </c>
      <c r="AH25" s="44">
        <f t="array" ref="AH25">LET(val, IFERROR(INDEX('Daily 크랙 raw'!$A:$ZZ, MATCH(AH$2, 'Daily 크랙 raw'!$A:$A, 0), MATCH($B25, 'Daily 크랙 raw'!$1:$1, 0)), ""), IF(val=0, "", val))</f>
        <v>2167</v>
      </c>
      <c r="AI25" s="44">
        <f t="array" ref="AI25">LET(val, IFERROR(INDEX('Daily 크랙 raw'!$A:$ZZ, MATCH(AI$2, 'Daily 크랙 raw'!$A:$A, 0), MATCH($B25, 'Daily 크랙 raw'!$1:$1, 0)), ""), IF(val=0, "", val))</f>
        <v>2338</v>
      </c>
      <c r="AJ25" s="44">
        <f t="array" ref="AJ25">LET(val, IFERROR(INDEX('Daily 크랙 raw'!$A:$ZZ, MATCH(AJ$2, 'Daily 크랙 raw'!$A:$A, 0), MATCH($B25, 'Daily 크랙 raw'!$1:$1, 0)), ""), IF(val=0, "", val))</f>
        <v>2185</v>
      </c>
      <c r="AK25" s="44">
        <f t="array" ref="AK25">LET(val, IFERROR(INDEX('Daily 크랙 raw'!$A:$ZZ, MATCH(AK$2, 'Daily 크랙 raw'!$A:$A, 0), MATCH($B25, 'Daily 크랙 raw'!$1:$1, 0)), ""), IF(val=0, "", val))</f>
        <v>2456</v>
      </c>
      <c r="AL25" s="44">
        <f t="array" ref="AL25">LET(val, IFERROR(INDEX('Daily 크랙 raw'!$A:$ZZ, MATCH(AL$2, 'Daily 크랙 raw'!$A:$A, 0), MATCH($B25, 'Daily 크랙 raw'!$1:$1, 0)), ""), IF(val=0, "", val))</f>
        <v>2115</v>
      </c>
      <c r="AM25" s="44">
        <f t="array" ref="AM25">LET(val, IFERROR(INDEX('Daily 크랙 raw'!$A:$ZZ, MATCH(AM$2, 'Daily 크랙 raw'!$A:$A, 0), MATCH($B25, 'Daily 크랙 raw'!$1:$1, 0)), ""), IF(val=0, "", val))</f>
        <v>2517</v>
      </c>
      <c r="AN25" s="44">
        <f t="array" ref="AN25">LET(val, IFERROR(INDEX('Daily 크랙 raw'!$A:$ZZ, MATCH(AN$2, 'Daily 크랙 raw'!$A:$A, 0), MATCH($B25, 'Daily 크랙 raw'!$1:$1, 0)), ""), IF(val=0, "", val))</f>
        <v>2760</v>
      </c>
      <c r="AO25" s="44">
        <f t="array" ref="AO25">LET(val, IFERROR(INDEX('Daily 크랙 raw'!$A:$ZZ, MATCH(AO$2, 'Daily 크랙 raw'!$A:$A, 0), MATCH($B25, 'Daily 크랙 raw'!$1:$1, 0)), ""), IF(val=0, "", val))</f>
        <v>3172</v>
      </c>
      <c r="AP25" s="44">
        <f t="array" ref="AP25">LET(val, IFERROR(INDEX('Daily 크랙 raw'!$A:$ZZ, MATCH(AP$2, 'Daily 크랙 raw'!$A:$A, 0), MATCH($B25, 'Daily 크랙 raw'!$1:$1, 0)), ""), IF(val=0, "", val))</f>
        <v>3024</v>
      </c>
      <c r="AQ25" s="44">
        <f t="array" ref="AQ25">LET(val, IFERROR(INDEX('Daily 크랙 raw'!$A:$ZZ, MATCH(AQ$2, 'Daily 크랙 raw'!$A:$A, 0), MATCH($B25, 'Daily 크랙 raw'!$1:$1, 0)), ""), IF(val=0, "", val))</f>
        <v>2577</v>
      </c>
      <c r="AR25" s="44">
        <f t="array" ref="AR25">LET(val, IFERROR(INDEX('Daily 크랙 raw'!$A:$ZZ, MATCH(AR$2, 'Daily 크랙 raw'!$A:$A, 0), MATCH($B25, 'Daily 크랙 raw'!$1:$1, 0)), ""), IF(val=0, "", val))</f>
        <v>2696</v>
      </c>
      <c r="AS25" s="44">
        <f t="array" ref="AS25">LET(val, IFERROR(INDEX('Daily 크랙 raw'!$A:$ZZ, MATCH(AS$2, 'Daily 크랙 raw'!$A:$A, 0), MATCH($B25, 'Daily 크랙 raw'!$1:$1, 0)), ""), IF(val=0, "", val))</f>
        <v>2494</v>
      </c>
      <c r="AT25" s="44">
        <f t="array" ref="AT25">LET(val, IFERROR(INDEX('Daily 크랙 raw'!$A:$ZZ, MATCH(AT$2, 'Daily 크랙 raw'!$A:$A, 0), MATCH($B25, 'Daily 크랙 raw'!$1:$1, 0)), ""), IF(val=0, "", val))</f>
        <v>2437</v>
      </c>
      <c r="AU25" s="44">
        <f t="array" ref="AU25">LET(val, IFERROR(INDEX('Daily 크랙 raw'!$A:$ZZ, MATCH(AU$2, 'Daily 크랙 raw'!$A:$A, 0), MATCH($B25, 'Daily 크랙 raw'!$1:$1, 0)), ""), IF(val=0, "", val))</f>
        <v>3578</v>
      </c>
      <c r="AV25" s="44">
        <f t="array" ref="AV25">LET(val, IFERROR(INDEX('Daily 크랙 raw'!$A:$ZZ, MATCH(AV$2, 'Daily 크랙 raw'!$A:$A, 0), MATCH($B25, 'Daily 크랙 raw'!$1:$1, 0)), ""), IF(val=0, "", val))</f>
        <v>4719</v>
      </c>
      <c r="AW25" s="44">
        <f t="array" ref="AW25">LET(val, IFERROR(INDEX('Daily 크랙 raw'!$A:$ZZ, MATCH(AW$2, 'Daily 크랙 raw'!$A:$A, 0), MATCH($B25, 'Daily 크랙 raw'!$1:$1, 0)), ""), IF(val=0, "", val))</f>
        <v>4664</v>
      </c>
      <c r="AX25" s="44">
        <f t="array" ref="AX25">LET(val, IFERROR(INDEX('Daily 크랙 raw'!$A:$ZZ, MATCH(AX$2, 'Daily 크랙 raw'!$A:$A, 0), MATCH($B25, 'Daily 크랙 raw'!$1:$1, 0)), ""), IF(val=0, "", val))</f>
        <v>4120</v>
      </c>
      <c r="AY25" s="44">
        <f t="array" ref="AY25">LET(val, IFERROR(INDEX('Daily 크랙 raw'!$A:$ZZ, MATCH(AY$2, 'Daily 크랙 raw'!$A:$A, 0), MATCH($B25, 'Daily 크랙 raw'!$1:$1, 0)), ""), IF(val=0, "", val))</f>
        <v>3785</v>
      </c>
      <c r="AZ25" s="44">
        <f t="array" ref="AZ25">LET(val, IFERROR(INDEX('Daily 크랙 raw'!$A:$ZZ, MATCH(AZ$2, 'Daily 크랙 raw'!$A:$A, 0), MATCH($B25, 'Daily 크랙 raw'!$1:$1, 0)), ""), IF(val=0, "", val))</f>
        <v>3919</v>
      </c>
      <c r="BA25" s="44">
        <f t="array" ref="BA25">LET(val, IFERROR(INDEX('Daily 크랙 raw'!$A:$ZZ, MATCH(BA$2, 'Daily 크랙 raw'!$A:$A, 0), MATCH($B25, 'Daily 크랙 raw'!$1:$1, 0)), ""), IF(val=0, "", val))</f>
        <v>3880</v>
      </c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</row>
    <row r="26" ht="18.75" customHeight="1">
      <c r="A26" s="17"/>
      <c r="B26" s="16" t="s">
        <v>45</v>
      </c>
      <c r="C26" s="17" t="s">
        <v>22</v>
      </c>
      <c r="D26" s="44">
        <f t="array" ref="D26">LET(val, IFERROR(INDEX('Daily 크랙 raw'!$A:$ZZ, MATCH(D$2, 'Daily 크랙 raw'!$A:$A, 0), MATCH($B26, 'Daily 크랙 raw'!$1:$1, 0)), ""), IF(val=0, "", val))</f>
        <v>2880</v>
      </c>
      <c r="E26" s="44">
        <f t="array" ref="E26">LET(val, IFERROR(INDEX('Daily 크랙 raw'!$A:$ZZ, MATCH(E$2, 'Daily 크랙 raw'!$A:$A, 0), MATCH($B26, 'Daily 크랙 raw'!$1:$1, 0)), ""), IF(val=0, "", val))</f>
        <v>2453</v>
      </c>
      <c r="F26" s="44">
        <f t="array" ref="F26">LET(val, IFERROR(INDEX('Daily 크랙 raw'!$A:$ZZ, MATCH(F$2, 'Daily 크랙 raw'!$A:$A, 0), MATCH($B26, 'Daily 크랙 raw'!$1:$1, 0)), ""), IF(val=0, "", val))</f>
        <v>2599</v>
      </c>
      <c r="G26" s="44">
        <f t="array" ref="G26">LET(val, IFERROR(INDEX('Daily 크랙 raw'!$A:$ZZ, MATCH(G$2, 'Daily 크랙 raw'!$A:$A, 0), MATCH($B26, 'Daily 크랙 raw'!$1:$1, 0)), ""), IF(val=0, "", val))</f>
        <v>2732</v>
      </c>
      <c r="H26" s="44">
        <f t="array" ref="H26">LET(val, IFERROR(INDEX('Daily 크랙 raw'!$A:$ZZ, MATCH(H$2, 'Daily 크랙 raw'!$A:$A, 0), MATCH($B26, 'Daily 크랙 raw'!$1:$1, 0)), ""), IF(val=0, "", val))</f>
        <v>1689</v>
      </c>
      <c r="I26" s="44">
        <f t="array" ref="I26">LET(val, IFERROR(INDEX('Daily 크랙 raw'!$A:$ZZ, MATCH(I$2, 'Daily 크랙 raw'!$A:$A, 0), MATCH($B26, 'Daily 크랙 raw'!$1:$1, 0)), ""), IF(val=0, "", val))</f>
        <v>1544</v>
      </c>
      <c r="J26" s="44">
        <f t="array" ref="J26">LET(val, IFERROR(INDEX('Daily 크랙 raw'!$A:$ZZ, MATCH(J$2, 'Daily 크랙 raw'!$A:$A, 0), MATCH($B26, 'Daily 크랙 raw'!$1:$1, 0)), ""), IF(val=0, "", val))</f>
        <v>1549</v>
      </c>
      <c r="K26" s="44">
        <f t="array" ref="K26">LET(val, IFERROR(INDEX('Daily 크랙 raw'!$A:$ZZ, MATCH(K$2, 'Daily 크랙 raw'!$A:$A, 0), MATCH($B26, 'Daily 크랙 raw'!$1:$1, 0)), ""), IF(val=0, "", val))</f>
        <v>1592</v>
      </c>
      <c r="L26" s="44">
        <f t="array" ref="L26">LET(val, IFERROR(INDEX('Daily 크랙 raw'!$A:$ZZ, MATCH(L$2, 'Daily 크랙 raw'!$A:$A, 0), MATCH($B26, 'Daily 크랙 raw'!$1:$1, 0)), ""), IF(val=0, "", val))</f>
        <v>1904</v>
      </c>
      <c r="M26" s="44">
        <f t="array" ref="M26">LET(val, IFERROR(INDEX('Daily 크랙 raw'!$A:$ZZ, MATCH(M$2, 'Daily 크랙 raw'!$A:$A, 0), MATCH($B26, 'Daily 크랙 raw'!$1:$1, 0)), ""), IF(val=0, "", val))</f>
        <v>1900</v>
      </c>
      <c r="N26" s="44">
        <f t="array" ref="N26">LET(val, IFERROR(INDEX('Daily 크랙 raw'!$A:$ZZ, MATCH(N$2, 'Daily 크랙 raw'!$A:$A, 0), MATCH($B26, 'Daily 크랙 raw'!$1:$1, 0)), ""), IF(val=0, "", val))</f>
        <v>1994</v>
      </c>
      <c r="O26" s="44">
        <f t="array" ref="O26">LET(val, IFERROR(INDEX('Daily 크랙 raw'!$A:$ZZ, MATCH(O$2, 'Daily 크랙 raw'!$A:$A, 0), MATCH($B26, 'Daily 크랙 raw'!$1:$1, 0)), ""), IF(val=0, "", val))</f>
        <v>1762</v>
      </c>
      <c r="P26" s="44">
        <f t="array" ref="P26">LET(val, IFERROR(INDEX('Daily 크랙 raw'!$A:$ZZ, MATCH(P$2, 'Daily 크랙 raw'!$A:$A, 0), MATCH($B26, 'Daily 크랙 raw'!$1:$1, 0)), ""), IF(val=0, "", val))</f>
        <v>1729</v>
      </c>
      <c r="Q26" s="44">
        <f t="array" ref="Q26">LET(val, IFERROR(INDEX('Daily 크랙 raw'!$A:$ZZ, MATCH(Q$2, 'Daily 크랙 raw'!$A:$A, 0), MATCH($B26, 'Daily 크랙 raw'!$1:$1, 0)), ""), IF(val=0, "", val))</f>
        <v>1812</v>
      </c>
      <c r="R26" s="44">
        <f t="array" ref="R26">LET(val, IFERROR(INDEX('Daily 크랙 raw'!$A:$ZZ, MATCH(R$2, 'Daily 크랙 raw'!$A:$A, 0), MATCH($B26, 'Daily 크랙 raw'!$1:$1, 0)), ""), IF(val=0, "", val))</f>
        <v>1967</v>
      </c>
      <c r="S26" s="44">
        <f t="array" ref="S26">LET(val, IFERROR(INDEX('Daily 크랙 raw'!$A:$ZZ, MATCH(S$2, 'Daily 크랙 raw'!$A:$A, 0), MATCH($B26, 'Daily 크랙 raw'!$1:$1, 0)), ""), IF(val=0, "", val))</f>
        <v>2184</v>
      </c>
      <c r="T26" s="44">
        <f t="array" ref="T26">LET(val, IFERROR(INDEX('Daily 크랙 raw'!$A:$ZZ, MATCH(T$2, 'Daily 크랙 raw'!$A:$A, 0), MATCH($B26, 'Daily 크랙 raw'!$1:$1, 0)), ""), IF(val=0, "", val))</f>
        <v>2648</v>
      </c>
      <c r="U26" s="44">
        <f t="array" ref="U26">LET(val, IFERROR(INDEX('Daily 크랙 raw'!$A:$ZZ, MATCH(U$2, 'Daily 크랙 raw'!$A:$A, 0), MATCH($B26, 'Daily 크랙 raw'!$1:$1, 0)), ""), IF(val=0, "", val))</f>
        <v>2716</v>
      </c>
      <c r="V26" s="44">
        <f t="array" ref="V26">LET(val, IFERROR(INDEX('Daily 크랙 raw'!$A:$ZZ, MATCH(V$2, 'Daily 크랙 raw'!$A:$A, 0), MATCH($B26, 'Daily 크랙 raw'!$1:$1, 0)), ""), IF(val=0, "", val))</f>
        <v>2278</v>
      </c>
      <c r="W26" s="44">
        <f t="array" ref="W26">LET(val, IFERROR(INDEX('Daily 크랙 raw'!$A:$ZZ, MATCH(W$2, 'Daily 크랙 raw'!$A:$A, 0), MATCH($B26, 'Daily 크랙 raw'!$1:$1, 0)), ""), IF(val=0, "", val))</f>
        <v>2044</v>
      </c>
      <c r="X26" s="44">
        <f t="array" ref="X26">LET(val, IFERROR(INDEX('Daily 크랙 raw'!$A:$ZZ, MATCH(X$2, 'Daily 크랙 raw'!$A:$A, 0), MATCH($B26, 'Daily 크랙 raw'!$1:$1, 0)), ""), IF(val=0, "", val))</f>
        <v>2088</v>
      </c>
      <c r="Y26" s="44">
        <f t="array" ref="Y26">LET(val, IFERROR(INDEX('Daily 크랙 raw'!$A:$ZZ, MATCH(Y$2, 'Daily 크랙 raw'!$A:$A, 0), MATCH($B26, 'Daily 크랙 raw'!$1:$1, 0)), ""), IF(val=0, "", val))</f>
        <v>1806</v>
      </c>
      <c r="Z26" s="44">
        <f t="array" ref="Z26">LET(val, IFERROR(INDEX('Daily 크랙 raw'!$A:$ZZ, MATCH(Z$2, 'Daily 크랙 raw'!$A:$A, 0), MATCH($B26, 'Daily 크랙 raw'!$1:$1, 0)), ""), IF(val=0, "", val))</f>
        <v>2050</v>
      </c>
      <c r="AA26" s="44">
        <f t="array" ref="AA26">LET(val, IFERROR(INDEX('Daily 크랙 raw'!$A:$ZZ, MATCH(AA$2, 'Daily 크랙 raw'!$A:$A, 0), MATCH($B26, 'Daily 크랙 raw'!$1:$1, 0)), ""), IF(val=0, "", val))</f>
        <v>3208</v>
      </c>
      <c r="AB26" s="44">
        <f t="array" ref="AB26">LET(val, IFERROR(INDEX('Daily 크랙 raw'!$A:$ZZ, MATCH(AB$2, 'Daily 크랙 raw'!$A:$A, 0), MATCH($B26, 'Daily 크랙 raw'!$1:$1, 0)), ""), IF(val=0, "", val))</f>
        <v>3352</v>
      </c>
      <c r="AC26" s="44">
        <f t="array" ref="AC26">LET(val, IFERROR(INDEX('Daily 크랙 raw'!$A:$ZZ, MATCH(AC$2, 'Daily 크랙 raw'!$A:$A, 0), MATCH($B26, 'Daily 크랙 raw'!$1:$1, 0)), ""), IF(val=0, "", val))</f>
        <v>2680</v>
      </c>
      <c r="AD26" s="44">
        <f t="array" ref="AD26">LET(val, IFERROR(INDEX('Daily 크랙 raw'!$A:$ZZ, MATCH(AD$2, 'Daily 크랙 raw'!$A:$A, 0), MATCH($B26, 'Daily 크랙 raw'!$1:$1, 0)), ""), IF(val=0, "", val))</f>
        <v>2297</v>
      </c>
      <c r="AE26" s="44">
        <f t="array" ref="AE26">LET(val, IFERROR(INDEX('Daily 크랙 raw'!$A:$ZZ, MATCH(AE$2, 'Daily 크랙 raw'!$A:$A, 0), MATCH($B26, 'Daily 크랙 raw'!$1:$1, 0)), ""), IF(val=0, "", val))</f>
        <v>2210</v>
      </c>
      <c r="AF26" s="44">
        <f t="array" ref="AF26">LET(val, IFERROR(INDEX('Daily 크랙 raw'!$A:$ZZ, MATCH(AF$2, 'Daily 크랙 raw'!$A:$A, 0), MATCH($B26, 'Daily 크랙 raw'!$1:$1, 0)), ""), IF(val=0, "", val))</f>
        <v>2097</v>
      </c>
      <c r="AG26" s="44">
        <f t="array" ref="AG26">LET(val, IFERROR(INDEX('Daily 크랙 raw'!$A:$ZZ, MATCH(AG$2, 'Daily 크랙 raw'!$A:$A, 0), MATCH($B26, 'Daily 크랙 raw'!$1:$1, 0)), ""), IF(val=0, "", val))</f>
        <v>1985</v>
      </c>
      <c r="AH26" s="44">
        <f t="array" ref="AH26">LET(val, IFERROR(INDEX('Daily 크랙 raw'!$A:$ZZ, MATCH(AH$2, 'Daily 크랙 raw'!$A:$A, 0), MATCH($B26, 'Daily 크랙 raw'!$1:$1, 0)), ""), IF(val=0, "", val))</f>
        <v>2108</v>
      </c>
      <c r="AI26" s="44">
        <f t="array" ref="AI26">LET(val, IFERROR(INDEX('Daily 크랙 raw'!$A:$ZZ, MATCH(AI$2, 'Daily 크랙 raw'!$A:$A, 0), MATCH($B26, 'Daily 크랙 raw'!$1:$1, 0)), ""), IF(val=0, "", val))</f>
        <v>2280</v>
      </c>
      <c r="AJ26" s="44">
        <f t="array" ref="AJ26">LET(val, IFERROR(INDEX('Daily 크랙 raw'!$A:$ZZ, MATCH(AJ$2, 'Daily 크랙 raw'!$A:$A, 0), MATCH($B26, 'Daily 크랙 raw'!$1:$1, 0)), ""), IF(val=0, "", val))</f>
        <v>2140</v>
      </c>
      <c r="AK26" s="44">
        <f t="array" ref="AK26">LET(val, IFERROR(INDEX('Daily 크랙 raw'!$A:$ZZ, MATCH(AK$2, 'Daily 크랙 raw'!$A:$A, 0), MATCH($B26, 'Daily 크랙 raw'!$1:$1, 0)), ""), IF(val=0, "", val))</f>
        <v>2410</v>
      </c>
      <c r="AL26" s="44">
        <f t="array" ref="AL26">LET(val, IFERROR(INDEX('Daily 크랙 raw'!$A:$ZZ, MATCH(AL$2, 'Daily 크랙 raw'!$A:$A, 0), MATCH($B26, 'Daily 크랙 raw'!$1:$1, 0)), ""), IF(val=0, "", val))</f>
        <v>2101</v>
      </c>
      <c r="AM26" s="44">
        <f t="array" ref="AM26">LET(val, IFERROR(INDEX('Daily 크랙 raw'!$A:$ZZ, MATCH(AM$2, 'Daily 크랙 raw'!$A:$A, 0), MATCH($B26, 'Daily 크랙 raw'!$1:$1, 0)), ""), IF(val=0, "", val))</f>
        <v>2483</v>
      </c>
      <c r="AN26" s="44">
        <f t="array" ref="AN26">LET(val, IFERROR(INDEX('Daily 크랙 raw'!$A:$ZZ, MATCH(AN$2, 'Daily 크랙 raw'!$A:$A, 0), MATCH($B26, 'Daily 크랙 raw'!$1:$1, 0)), ""), IF(val=0, "", val))</f>
        <v>2749</v>
      </c>
      <c r="AO26" s="44">
        <f t="array" ref="AO26">LET(val, IFERROR(INDEX('Daily 크랙 raw'!$A:$ZZ, MATCH(AO$2, 'Daily 크랙 raw'!$A:$A, 0), MATCH($B26, 'Daily 크랙 raw'!$1:$1, 0)), ""), IF(val=0, "", val))</f>
        <v>3151</v>
      </c>
      <c r="AP26" s="44">
        <f t="array" ref="AP26">LET(val, IFERROR(INDEX('Daily 크랙 raw'!$A:$ZZ, MATCH(AP$2, 'Daily 크랙 raw'!$A:$A, 0), MATCH($B26, 'Daily 크랙 raw'!$1:$1, 0)), ""), IF(val=0, "", val))</f>
        <v>2992</v>
      </c>
      <c r="AQ26" s="44">
        <f t="array" ref="AQ26">LET(val, IFERROR(INDEX('Daily 크랙 raw'!$A:$ZZ, MATCH(AQ$2, 'Daily 크랙 raw'!$A:$A, 0), MATCH($B26, 'Daily 크랙 raw'!$1:$1, 0)), ""), IF(val=0, "", val))</f>
        <v>2590</v>
      </c>
      <c r="AR26" s="44">
        <f t="array" ref="AR26">LET(val, IFERROR(INDEX('Daily 크랙 raw'!$A:$ZZ, MATCH(AR$2, 'Daily 크랙 raw'!$A:$A, 0), MATCH($B26, 'Daily 크랙 raw'!$1:$1, 0)), ""), IF(val=0, "", val))</f>
        <v>2681</v>
      </c>
      <c r="AS26" s="44">
        <f t="array" ref="AS26">LET(val, IFERROR(INDEX('Daily 크랙 raw'!$A:$ZZ, MATCH(AS$2, 'Daily 크랙 raw'!$A:$A, 0), MATCH($B26, 'Daily 크랙 raw'!$1:$1, 0)), ""), IF(val=0, "", val))</f>
        <v>2438</v>
      </c>
      <c r="AT26" s="44">
        <f t="array" ref="AT26">LET(val, IFERROR(INDEX('Daily 크랙 raw'!$A:$ZZ, MATCH(AT$2, 'Daily 크랙 raw'!$A:$A, 0), MATCH($B26, 'Daily 크랙 raw'!$1:$1, 0)), ""), IF(val=0, "", val))</f>
        <v>2400</v>
      </c>
      <c r="AU26" s="44">
        <f t="array" ref="AU26">LET(val, IFERROR(INDEX('Daily 크랙 raw'!$A:$ZZ, MATCH(AU$2, 'Daily 크랙 raw'!$A:$A, 0), MATCH($B26, 'Daily 크랙 raw'!$1:$1, 0)), ""), IF(val=0, "", val))</f>
        <v>3480</v>
      </c>
      <c r="AV26" s="44">
        <f t="array" ref="AV26">LET(val, IFERROR(INDEX('Daily 크랙 raw'!$A:$ZZ, MATCH(AV$2, 'Daily 크랙 raw'!$A:$A, 0), MATCH($B26, 'Daily 크랙 raw'!$1:$1, 0)), ""), IF(val=0, "", val))</f>
        <v>4877</v>
      </c>
      <c r="AW26" s="44">
        <f t="array" ref="AW26">LET(val, IFERROR(INDEX('Daily 크랙 raw'!$A:$ZZ, MATCH(AW$2, 'Daily 크랙 raw'!$A:$A, 0), MATCH($B26, 'Daily 크랙 raw'!$1:$1, 0)), ""), IF(val=0, "", val))</f>
        <v>4746</v>
      </c>
      <c r="AX26" s="44">
        <f t="array" ref="AX26">LET(val, IFERROR(INDEX('Daily 크랙 raw'!$A:$ZZ, MATCH(AX$2, 'Daily 크랙 raw'!$A:$A, 0), MATCH($B26, 'Daily 크랙 raw'!$1:$1, 0)), ""), IF(val=0, "", val))</f>
        <v>4161</v>
      </c>
      <c r="AY26" s="44">
        <f t="array" ref="AY26">LET(val, IFERROR(INDEX('Daily 크랙 raw'!$A:$ZZ, MATCH(AY$2, 'Daily 크랙 raw'!$A:$A, 0), MATCH($B26, 'Daily 크랙 raw'!$1:$1, 0)), ""), IF(val=0, "", val))</f>
        <v>3796</v>
      </c>
      <c r="AZ26" s="44">
        <f t="array" ref="AZ26">LET(val, IFERROR(INDEX('Daily 크랙 raw'!$A:$ZZ, MATCH(AZ$2, 'Daily 크랙 raw'!$A:$A, 0), MATCH($B26, 'Daily 크랙 raw'!$1:$1, 0)), ""), IF(val=0, "", val))</f>
        <v>3964</v>
      </c>
      <c r="BA26" s="44">
        <f t="array" ref="BA26">LET(val, IFERROR(INDEX('Daily 크랙 raw'!$A:$ZZ, MATCH(BA$2, 'Daily 크랙 raw'!$A:$A, 0), MATCH($B26, 'Daily 크랙 raw'!$1:$1, 0)), ""), IF(val=0, "", val))</f>
        <v>3934</v>
      </c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</row>
    <row r="27" ht="18.75" customHeight="1">
      <c r="A27" s="17"/>
      <c r="B27" s="16" t="s">
        <v>46</v>
      </c>
      <c r="C27" s="17" t="s">
        <v>47</v>
      </c>
      <c r="D27" s="44">
        <f t="array" ref="D27">LET(val, IFERROR(INDEX('Daily 크랙 raw'!$A:$ZZ, MATCH(D$2, 'Daily 크랙 raw'!$A:$A, 0), MATCH($B27, 'Daily 크랙 raw'!$1:$1, 0)), ""), IF(val=0, "", val))</f>
        <v>1847</v>
      </c>
      <c r="E27" s="44">
        <f t="array" ref="E27">LET(val, IFERROR(INDEX('Daily 크랙 raw'!$A:$ZZ, MATCH(E$2, 'Daily 크랙 raw'!$A:$A, 0), MATCH($B27, 'Daily 크랙 raw'!$1:$1, 0)), ""), IF(val=0, "", val))</f>
        <v>1625</v>
      </c>
      <c r="F27" s="44">
        <f t="array" ref="F27">LET(val, IFERROR(INDEX('Daily 크랙 raw'!$A:$ZZ, MATCH(F$2, 'Daily 크랙 raw'!$A:$A, 0), MATCH($B27, 'Daily 크랙 raw'!$1:$1, 0)), ""), IF(val=0, "", val))</f>
        <v>1747</v>
      </c>
      <c r="G27" s="44">
        <f t="array" ref="G27">LET(val, IFERROR(INDEX('Daily 크랙 raw'!$A:$ZZ, MATCH(G$2, 'Daily 크랙 raw'!$A:$A, 0), MATCH($B27, 'Daily 크랙 raw'!$1:$1, 0)), ""), IF(val=0, "", val))</f>
        <v>1858</v>
      </c>
      <c r="H27" s="44">
        <f t="array" ref="H27">LET(val, IFERROR(INDEX('Daily 크랙 raw'!$A:$ZZ, MATCH(H$2, 'Daily 크랙 raw'!$A:$A, 0), MATCH($B27, 'Daily 크랙 raw'!$1:$1, 0)), ""), IF(val=0, "", val))</f>
        <v>1156</v>
      </c>
      <c r="I27" s="44">
        <f t="array" ref="I27">LET(val, IFERROR(INDEX('Daily 크랙 raw'!$A:$ZZ, MATCH(I$2, 'Daily 크랙 raw'!$A:$A, 0), MATCH($B27, 'Daily 크랙 raw'!$1:$1, 0)), ""), IF(val=0, "", val))</f>
        <v>1055</v>
      </c>
      <c r="J27" s="44">
        <f t="array" ref="J27">LET(val, IFERROR(INDEX('Daily 크랙 raw'!$A:$ZZ, MATCH(J$2, 'Daily 크랙 raw'!$A:$A, 0), MATCH($B27, 'Daily 크랙 raw'!$1:$1, 0)), ""), IF(val=0, "", val))</f>
        <v>1046</v>
      </c>
      <c r="K27" s="44">
        <f t="array" ref="K27">LET(val, IFERROR(INDEX('Daily 크랙 raw'!$A:$ZZ, MATCH(K$2, 'Daily 크랙 raw'!$A:$A, 0), MATCH($B27, 'Daily 크랙 raw'!$1:$1, 0)), ""), IF(val=0, "", val))</f>
        <v>1053</v>
      </c>
      <c r="L27" s="44">
        <f t="array" ref="L27">LET(val, IFERROR(INDEX('Daily 크랙 raw'!$A:$ZZ, MATCH(L$2, 'Daily 크랙 raw'!$A:$A, 0), MATCH($B27, 'Daily 크랙 raw'!$1:$1, 0)), ""), IF(val=0, "", val))</f>
        <v>1290</v>
      </c>
      <c r="M27" s="44">
        <f t="array" ref="M27">LET(val, IFERROR(INDEX('Daily 크랙 raw'!$A:$ZZ, MATCH(M$2, 'Daily 크랙 raw'!$A:$A, 0), MATCH($B27, 'Daily 크랙 raw'!$1:$1, 0)), ""), IF(val=0, "", val))</f>
        <v>1332</v>
      </c>
      <c r="N27" s="44">
        <f t="array" ref="N27">LET(val, IFERROR(INDEX('Daily 크랙 raw'!$A:$ZZ, MATCH(N$2, 'Daily 크랙 raw'!$A:$A, 0), MATCH($B27, 'Daily 크랙 raw'!$1:$1, 0)), ""), IF(val=0, "", val))</f>
        <v>1346</v>
      </c>
      <c r="O27" s="44">
        <f t="array" ref="O27">LET(val, IFERROR(INDEX('Daily 크랙 raw'!$A:$ZZ, MATCH(O$2, 'Daily 크랙 raw'!$A:$A, 0), MATCH($B27, 'Daily 크랙 raw'!$1:$1, 0)), ""), IF(val=0, "", val))</f>
        <v>1202</v>
      </c>
      <c r="P27" s="44">
        <f t="array" ref="P27">LET(val, IFERROR(INDEX('Daily 크랙 raw'!$A:$ZZ, MATCH(P$2, 'Daily 크랙 raw'!$A:$A, 0), MATCH($B27, 'Daily 크랙 raw'!$1:$1, 0)), ""), IF(val=0, "", val))</f>
        <v>1205</v>
      </c>
      <c r="Q27" s="44">
        <f t="array" ref="Q27">LET(val, IFERROR(INDEX('Daily 크랙 raw'!$A:$ZZ, MATCH(Q$2, 'Daily 크랙 raw'!$A:$A, 0), MATCH($B27, 'Daily 크랙 raw'!$1:$1, 0)), ""), IF(val=0, "", val))</f>
        <v>1226</v>
      </c>
      <c r="R27" s="44">
        <f t="array" ref="R27">LET(val, IFERROR(INDEX('Daily 크랙 raw'!$A:$ZZ, MATCH(R$2, 'Daily 크랙 raw'!$A:$A, 0), MATCH($B27, 'Daily 크랙 raw'!$1:$1, 0)), ""), IF(val=0, "", val))</f>
        <v>1239</v>
      </c>
      <c r="S27" s="44">
        <f t="array" ref="S27">LET(val, IFERROR(INDEX('Daily 크랙 raw'!$A:$ZZ, MATCH(S$2, 'Daily 크랙 raw'!$A:$A, 0), MATCH($B27, 'Daily 크랙 raw'!$1:$1, 0)), ""), IF(val=0, "", val))</f>
        <v>1505</v>
      </c>
      <c r="T27" s="44">
        <f t="array" ref="T27">LET(val, IFERROR(INDEX('Daily 크랙 raw'!$A:$ZZ, MATCH(T$2, 'Daily 크랙 raw'!$A:$A, 0), MATCH($B27, 'Daily 크랙 raw'!$1:$1, 0)), ""), IF(val=0, "", val))</f>
        <v>1832</v>
      </c>
      <c r="U27" s="44">
        <f t="array" ref="U27">LET(val, IFERROR(INDEX('Daily 크랙 raw'!$A:$ZZ, MATCH(U$2, 'Daily 크랙 raw'!$A:$A, 0), MATCH($B27, 'Daily 크랙 raw'!$1:$1, 0)), ""), IF(val=0, "", val))</f>
        <v>1929</v>
      </c>
      <c r="V27" s="44">
        <f t="array" ref="V27">LET(val, IFERROR(INDEX('Daily 크랙 raw'!$A:$ZZ, MATCH(V$2, 'Daily 크랙 raw'!$A:$A, 0), MATCH($B27, 'Daily 크랙 raw'!$1:$1, 0)), ""), IF(val=0, "", val))</f>
        <v>1601</v>
      </c>
      <c r="W27" s="44">
        <f t="array" ref="W27">LET(val, IFERROR(INDEX('Daily 크랙 raw'!$A:$ZZ, MATCH(W$2, 'Daily 크랙 raw'!$A:$A, 0), MATCH($B27, 'Daily 크랙 raw'!$1:$1, 0)), ""), IF(val=0, "", val))</f>
        <v>1407</v>
      </c>
      <c r="X27" s="44">
        <f t="array" ref="X27">LET(val, IFERROR(INDEX('Daily 크랙 raw'!$A:$ZZ, MATCH(X$2, 'Daily 크랙 raw'!$A:$A, 0), MATCH($B27, 'Daily 크랙 raw'!$1:$1, 0)), ""), IF(val=0, "", val))</f>
        <v>1492</v>
      </c>
      <c r="Y27" s="44">
        <f t="array" ref="Y27">LET(val, IFERROR(INDEX('Daily 크랙 raw'!$A:$ZZ, MATCH(Y$2, 'Daily 크랙 raw'!$A:$A, 0), MATCH($B27, 'Daily 크랙 raw'!$1:$1, 0)), ""), IF(val=0, "", val))</f>
        <v>1261</v>
      </c>
      <c r="Z27" s="44">
        <f t="array" ref="Z27">LET(val, IFERROR(INDEX('Daily 크랙 raw'!$A:$ZZ, MATCH(Z$2, 'Daily 크랙 raw'!$A:$A, 0), MATCH($B27, 'Daily 크랙 raw'!$1:$1, 0)), ""), IF(val=0, "", val))</f>
        <v>1450</v>
      </c>
      <c r="AA27" s="44">
        <f t="array" ref="AA27">LET(val, IFERROR(INDEX('Daily 크랙 raw'!$A:$ZZ, MATCH(AA$2, 'Daily 크랙 raw'!$A:$A, 0), MATCH($B27, 'Daily 크랙 raw'!$1:$1, 0)), ""), IF(val=0, "", val))</f>
        <v>2430</v>
      </c>
      <c r="AB27" s="44">
        <f t="array" ref="AB27">LET(val, IFERROR(INDEX('Daily 크랙 raw'!$A:$ZZ, MATCH(AB$2, 'Daily 크랙 raw'!$A:$A, 0), MATCH($B27, 'Daily 크랙 raw'!$1:$1, 0)), ""), IF(val=0, "", val))</f>
        <v>2612</v>
      </c>
      <c r="AC27" s="44">
        <f t="array" ref="AC27">LET(val, IFERROR(INDEX('Daily 크랙 raw'!$A:$ZZ, MATCH(AC$2, 'Daily 크랙 raw'!$A:$A, 0), MATCH($B27, 'Daily 크랙 raw'!$1:$1, 0)), ""), IF(val=0, "", val))</f>
        <v>2021</v>
      </c>
      <c r="AD27" s="44">
        <f t="array" ref="AD27">LET(val, IFERROR(INDEX('Daily 크랙 raw'!$A:$ZZ, MATCH(AD$2, 'Daily 크랙 raw'!$A:$A, 0), MATCH($B27, 'Daily 크랙 raw'!$1:$1, 0)), ""), IF(val=0, "", val))</f>
        <v>1750</v>
      </c>
      <c r="AE27" s="44">
        <f t="array" ref="AE27">LET(val, IFERROR(INDEX('Daily 크랙 raw'!$A:$ZZ, MATCH(AE$2, 'Daily 크랙 raw'!$A:$A, 0), MATCH($B27, 'Daily 크랙 raw'!$1:$1, 0)), ""), IF(val=0, "", val))</f>
        <v>1588</v>
      </c>
      <c r="AF27" s="44">
        <f t="array" ref="AF27">LET(val, IFERROR(INDEX('Daily 크랙 raw'!$A:$ZZ, MATCH(AF$2, 'Daily 크랙 raw'!$A:$A, 0), MATCH($B27, 'Daily 크랙 raw'!$1:$1, 0)), ""), IF(val=0, "", val))</f>
        <v>1537</v>
      </c>
      <c r="AG27" s="44">
        <f t="array" ref="AG27">LET(val, IFERROR(INDEX('Daily 크랙 raw'!$A:$ZZ, MATCH(AG$2, 'Daily 크랙 raw'!$A:$A, 0), MATCH($B27, 'Daily 크랙 raw'!$1:$1, 0)), ""), IF(val=0, "", val))</f>
        <v>1410</v>
      </c>
      <c r="AH27" s="44">
        <f t="array" ref="AH27">LET(val, IFERROR(INDEX('Daily 크랙 raw'!$A:$ZZ, MATCH(AH$2, 'Daily 크랙 raw'!$A:$A, 0), MATCH($B27, 'Daily 크랙 raw'!$1:$1, 0)), ""), IF(val=0, "", val))</f>
        <v>1557</v>
      </c>
      <c r="AI27" s="44">
        <f t="array" ref="AI27">LET(val, IFERROR(INDEX('Daily 크랙 raw'!$A:$ZZ, MATCH(AI$2, 'Daily 크랙 raw'!$A:$A, 0), MATCH($B27, 'Daily 크랙 raw'!$1:$1, 0)), ""), IF(val=0, "", val))</f>
        <v>1645</v>
      </c>
      <c r="AJ27" s="44">
        <f t="array" ref="AJ27">LET(val, IFERROR(INDEX('Daily 크랙 raw'!$A:$ZZ, MATCH(AJ$2, 'Daily 크랙 raw'!$A:$A, 0), MATCH($B27, 'Daily 크랙 raw'!$1:$1, 0)), ""), IF(val=0, "", val))</f>
        <v>1541</v>
      </c>
      <c r="AK27" s="44">
        <f t="array" ref="AK27">LET(val, IFERROR(INDEX('Daily 크랙 raw'!$A:$ZZ, MATCH(AK$2, 'Daily 크랙 raw'!$A:$A, 0), MATCH($B27, 'Daily 크랙 raw'!$1:$1, 0)), ""), IF(val=0, "", val))</f>
        <v>1684</v>
      </c>
      <c r="AL27" s="44">
        <f t="array" ref="AL27">LET(val, IFERROR(INDEX('Daily 크랙 raw'!$A:$ZZ, MATCH(AL$2, 'Daily 크랙 raw'!$A:$A, 0), MATCH($B27, 'Daily 크랙 raw'!$1:$1, 0)), ""), IF(val=0, "", val))</f>
        <v>1482</v>
      </c>
      <c r="AM27" s="44">
        <f t="array" ref="AM27">LET(val, IFERROR(INDEX('Daily 크랙 raw'!$A:$ZZ, MATCH(AM$2, 'Daily 크랙 raw'!$A:$A, 0), MATCH($B27, 'Daily 크랙 raw'!$1:$1, 0)), ""), IF(val=0, "", val))</f>
        <v>1671</v>
      </c>
      <c r="AN27" s="44">
        <f t="array" ref="AN27">LET(val, IFERROR(INDEX('Daily 크랙 raw'!$A:$ZZ, MATCH(AN$2, 'Daily 크랙 raw'!$A:$A, 0), MATCH($B27, 'Daily 크랙 raw'!$1:$1, 0)), ""), IF(val=0, "", val))</f>
        <v>1826</v>
      </c>
      <c r="AO27" s="44">
        <f t="array" ref="AO27">LET(val, IFERROR(INDEX('Daily 크랙 raw'!$A:$ZZ, MATCH(AO$2, 'Daily 크랙 raw'!$A:$A, 0), MATCH($B27, 'Daily 크랙 raw'!$1:$1, 0)), ""), IF(val=0, "", val))</f>
        <v>2087</v>
      </c>
      <c r="AP27" s="44">
        <f t="array" ref="AP27">LET(val, IFERROR(INDEX('Daily 크랙 raw'!$A:$ZZ, MATCH(AP$2, 'Daily 크랙 raw'!$A:$A, 0), MATCH($B27, 'Daily 크랙 raw'!$1:$1, 0)), ""), IF(val=0, "", val))</f>
        <v>2089</v>
      </c>
      <c r="AQ27" s="44">
        <f t="array" ref="AQ27">LET(val, IFERROR(INDEX('Daily 크랙 raw'!$A:$ZZ, MATCH(AQ$2, 'Daily 크랙 raw'!$A:$A, 0), MATCH($B27, 'Daily 크랙 raw'!$1:$1, 0)), ""), IF(val=0, "", val))</f>
        <v>1759</v>
      </c>
      <c r="AR27" s="44">
        <f t="array" ref="AR27">LET(val, IFERROR(INDEX('Daily 크랙 raw'!$A:$ZZ, MATCH(AR$2, 'Daily 크랙 raw'!$A:$A, 0), MATCH($B27, 'Daily 크랙 raw'!$1:$1, 0)), ""), IF(val=0, "", val))</f>
        <v>1814</v>
      </c>
      <c r="AS27" s="44">
        <f t="array" ref="AS27">LET(val, IFERROR(INDEX('Daily 크랙 raw'!$A:$ZZ, MATCH(AS$2, 'Daily 크랙 raw'!$A:$A, 0), MATCH($B27, 'Daily 크랙 raw'!$1:$1, 0)), ""), IF(val=0, "", val))</f>
        <v>1617</v>
      </c>
      <c r="AT27" s="44">
        <f t="array" ref="AT27">LET(val, IFERROR(INDEX('Daily 크랙 raw'!$A:$ZZ, MATCH(AT$2, 'Daily 크랙 raw'!$A:$A, 0), MATCH($B27, 'Daily 크랙 raw'!$1:$1, 0)), ""), IF(val=0, "", val))</f>
        <v>1639</v>
      </c>
      <c r="AU27" s="44">
        <f t="array" ref="AU27">LET(val, IFERROR(INDEX('Daily 크랙 raw'!$A:$ZZ, MATCH(AU$2, 'Daily 크랙 raw'!$A:$A, 0), MATCH($B27, 'Daily 크랙 raw'!$1:$1, 0)), ""), IF(val=0, "", val))</f>
        <v>2487</v>
      </c>
      <c r="AV27" s="44">
        <f t="array" ref="AV27">LET(val, IFERROR(INDEX('Daily 크랙 raw'!$A:$ZZ, MATCH(AV$2, 'Daily 크랙 raw'!$A:$A, 0), MATCH($B27, 'Daily 크랙 raw'!$1:$1, 0)), ""), IF(val=0, "", val))</f>
        <v>3298</v>
      </c>
      <c r="AW27" s="44">
        <f t="array" ref="AW27">LET(val, IFERROR(INDEX('Daily 크랙 raw'!$A:$ZZ, MATCH(AW$2, 'Daily 크랙 raw'!$A:$A, 0), MATCH($B27, 'Daily 크랙 raw'!$1:$1, 0)), ""), IF(val=0, "", val))</f>
        <v>3206</v>
      </c>
      <c r="AX27" s="44">
        <f t="array" ref="AX27">LET(val, IFERROR(INDEX('Daily 크랙 raw'!$A:$ZZ, MATCH(AX$2, 'Daily 크랙 raw'!$A:$A, 0), MATCH($B27, 'Daily 크랙 raw'!$1:$1, 0)), ""), IF(val=0, "", val))</f>
        <v>2851</v>
      </c>
      <c r="AY27" s="44">
        <f t="array" ref="AY27">LET(val, IFERROR(INDEX('Daily 크랙 raw'!$A:$ZZ, MATCH(AY$2, 'Daily 크랙 raw'!$A:$A, 0), MATCH($B27, 'Daily 크랙 raw'!$1:$1, 0)), ""), IF(val=0, "", val))</f>
        <v>2665</v>
      </c>
      <c r="AZ27" s="44">
        <f t="array" ref="AZ27">LET(val, IFERROR(INDEX('Daily 크랙 raw'!$A:$ZZ, MATCH(AZ$2, 'Daily 크랙 raw'!$A:$A, 0), MATCH($B27, 'Daily 크랙 raw'!$1:$1, 0)), ""), IF(val=0, "", val))</f>
        <v>2714</v>
      </c>
      <c r="BA27" s="44">
        <f t="array" ref="BA27">LET(val, IFERROR(INDEX('Daily 크랙 raw'!$A:$ZZ, MATCH(BA$2, 'Daily 크랙 raw'!$A:$A, 0), MATCH($B27, 'Daily 크랙 raw'!$1:$1, 0)), ""), IF(val=0, "", val))</f>
        <v>2667</v>
      </c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</row>
    <row r="28" ht="18.75" customHeight="1">
      <c r="A28" s="17"/>
      <c r="B28" s="16" t="s">
        <v>48</v>
      </c>
      <c r="C28" s="17" t="s">
        <v>20</v>
      </c>
      <c r="D28" s="44">
        <f t="array" ref="D28">LET(val, IFERROR(INDEX('Daily 크랙 raw'!$A:$ZZ, MATCH(D$2, 'Daily 크랙 raw'!$A:$A, 0), MATCH($B28, 'Daily 크랙 raw'!$1:$1, 0)), ""), IF(val=0, "", val))</f>
        <v>146</v>
      </c>
      <c r="E28" s="44">
        <f t="array" ref="E28">LET(val, IFERROR(INDEX('Daily 크랙 raw'!$A:$ZZ, MATCH(E$2, 'Daily 크랙 raw'!$A:$A, 0), MATCH($B28, 'Daily 크랙 raw'!$1:$1, 0)), ""), IF(val=0, "", val))</f>
        <v>137</v>
      </c>
      <c r="F28" s="44">
        <f t="array" ref="F28">LET(val, IFERROR(INDEX('Daily 크랙 raw'!$A:$ZZ, MATCH(F$2, 'Daily 크랙 raw'!$A:$A, 0), MATCH($B28, 'Daily 크랙 raw'!$1:$1, 0)), ""), IF(val=0, "", val))</f>
        <v>124</v>
      </c>
      <c r="G28" s="44">
        <f t="array" ref="G28">LET(val, IFERROR(INDEX('Daily 크랙 raw'!$A:$ZZ, MATCH(G$2, 'Daily 크랙 raw'!$A:$A, 0), MATCH($B28, 'Daily 크랙 raw'!$1:$1, 0)), ""), IF(val=0, "", val))</f>
        <v>142</v>
      </c>
      <c r="H28" s="44">
        <f t="array" ref="H28">LET(val, IFERROR(INDEX('Daily 크랙 raw'!$A:$ZZ, MATCH(H$2, 'Daily 크랙 raw'!$A:$A, 0), MATCH($B28, 'Daily 크랙 raw'!$1:$1, 0)), ""), IF(val=0, "", val))</f>
        <v>116</v>
      </c>
      <c r="I28" s="44">
        <f t="array" ref="I28">LET(val, IFERROR(INDEX('Daily 크랙 raw'!$A:$ZZ, MATCH(I$2, 'Daily 크랙 raw'!$A:$A, 0), MATCH($B28, 'Daily 크랙 raw'!$1:$1, 0)), ""), IF(val=0, "", val))</f>
        <v>99</v>
      </c>
      <c r="J28" s="44">
        <f t="array" ref="J28">LET(val, IFERROR(INDEX('Daily 크랙 raw'!$A:$ZZ, MATCH(J$2, 'Daily 크랙 raw'!$A:$A, 0), MATCH($B28, 'Daily 크랙 raw'!$1:$1, 0)), ""), IF(val=0, "", val))</f>
        <v>85</v>
      </c>
      <c r="K28" s="44">
        <f t="array" ref="K28">LET(val, IFERROR(INDEX('Daily 크랙 raw'!$A:$ZZ, MATCH(K$2, 'Daily 크랙 raw'!$A:$A, 0), MATCH($B28, 'Daily 크랙 raw'!$1:$1, 0)), ""), IF(val=0, "", val))</f>
        <v>90</v>
      </c>
      <c r="L28" s="44">
        <f t="array" ref="L28">LET(val, IFERROR(INDEX('Daily 크랙 raw'!$A:$ZZ, MATCH(L$2, 'Daily 크랙 raw'!$A:$A, 0), MATCH($B28, 'Daily 크랙 raw'!$1:$1, 0)), ""), IF(val=0, "", val))</f>
        <v>151</v>
      </c>
      <c r="M28" s="44">
        <f t="array" ref="M28">LET(val, IFERROR(INDEX('Daily 크랙 raw'!$A:$ZZ, MATCH(M$2, 'Daily 크랙 raw'!$A:$A, 0), MATCH($B28, 'Daily 크랙 raw'!$1:$1, 0)), ""), IF(val=0, "", val))</f>
        <v>156</v>
      </c>
      <c r="N28" s="44">
        <f t="array" ref="N28">LET(val, IFERROR(INDEX('Daily 크랙 raw'!$A:$ZZ, MATCH(N$2, 'Daily 크랙 raw'!$A:$A, 0), MATCH($B28, 'Daily 크랙 raw'!$1:$1, 0)), ""), IF(val=0, "", val))</f>
        <v>155</v>
      </c>
      <c r="O28" s="44">
        <f t="array" ref="O28">LET(val, IFERROR(INDEX('Daily 크랙 raw'!$A:$ZZ, MATCH(O$2, 'Daily 크랙 raw'!$A:$A, 0), MATCH($B28, 'Daily 크랙 raw'!$1:$1, 0)), ""), IF(val=0, "", val))</f>
        <v>109</v>
      </c>
      <c r="P28" s="44">
        <f t="array" ref="P28">LET(val, IFERROR(INDEX('Daily 크랙 raw'!$A:$ZZ, MATCH(P$2, 'Daily 크랙 raw'!$A:$A, 0), MATCH($B28, 'Daily 크랙 raw'!$1:$1, 0)), ""), IF(val=0, "", val))</f>
        <v>113</v>
      </c>
      <c r="Q28" s="44">
        <f t="array" ref="Q28">LET(val, IFERROR(INDEX('Daily 크랙 raw'!$A:$ZZ, MATCH(Q$2, 'Daily 크랙 raw'!$A:$A, 0), MATCH($B28, 'Daily 크랙 raw'!$1:$1, 0)), ""), IF(val=0, "", val))</f>
        <v>100</v>
      </c>
      <c r="R28" s="44">
        <f t="array" ref="R28">LET(val, IFERROR(INDEX('Daily 크랙 raw'!$A:$ZZ, MATCH(R$2, 'Daily 크랙 raw'!$A:$A, 0), MATCH($B28, 'Daily 크랙 raw'!$1:$1, 0)), ""), IF(val=0, "", val))</f>
        <v>100</v>
      </c>
      <c r="S28" s="44">
        <f t="array" ref="S28">LET(val, IFERROR(INDEX('Daily 크랙 raw'!$A:$ZZ, MATCH(S$2, 'Daily 크랙 raw'!$A:$A, 0), MATCH($B28, 'Daily 크랙 raw'!$1:$1, 0)), ""), IF(val=0, "", val))</f>
        <v>116</v>
      </c>
      <c r="T28" s="44">
        <f t="array" ref="T28">LET(val, IFERROR(INDEX('Daily 크랙 raw'!$A:$ZZ, MATCH(T$2, 'Daily 크랙 raw'!$A:$A, 0), MATCH($B28, 'Daily 크랙 raw'!$1:$1, 0)), ""), IF(val=0, "", val))</f>
        <v>221</v>
      </c>
      <c r="U28" s="44">
        <f t="array" ref="U28">LET(val, IFERROR(INDEX('Daily 크랙 raw'!$A:$ZZ, MATCH(U$2, 'Daily 크랙 raw'!$A:$A, 0), MATCH($B28, 'Daily 크랙 raw'!$1:$1, 0)), ""), IF(val=0, "", val))</f>
        <v>250</v>
      </c>
      <c r="V28" s="44">
        <f t="array" ref="V28">LET(val, IFERROR(INDEX('Daily 크랙 raw'!$A:$ZZ, MATCH(V$2, 'Daily 크랙 raw'!$A:$A, 0), MATCH($B28, 'Daily 크랙 raw'!$1:$1, 0)), ""), IF(val=0, "", val))</f>
        <v>171</v>
      </c>
      <c r="W28" s="44">
        <f t="array" ref="W28">LET(val, IFERROR(INDEX('Daily 크랙 raw'!$A:$ZZ, MATCH(W$2, 'Daily 크랙 raw'!$A:$A, 0), MATCH($B28, 'Daily 크랙 raw'!$1:$1, 0)), ""), IF(val=0, "", val))</f>
        <v>156</v>
      </c>
      <c r="X28" s="44">
        <f t="array" ref="X28">LET(val, IFERROR(INDEX('Daily 크랙 raw'!$A:$ZZ, MATCH(X$2, 'Daily 크랙 raw'!$A:$A, 0), MATCH($B28, 'Daily 크랙 raw'!$1:$1, 0)), ""), IF(val=0, "", val))</f>
        <v>139</v>
      </c>
      <c r="Y28" s="44">
        <f t="array" ref="Y28">LET(val, IFERROR(INDEX('Daily 크랙 raw'!$A:$ZZ, MATCH(Y$2, 'Daily 크랙 raw'!$A:$A, 0), MATCH($B28, 'Daily 크랙 raw'!$1:$1, 0)), ""), IF(val=0, "", val))</f>
        <v>118</v>
      </c>
      <c r="Z28" s="44">
        <f t="array" ref="Z28">LET(val, IFERROR(INDEX('Daily 크랙 raw'!$A:$ZZ, MATCH(Z$2, 'Daily 크랙 raw'!$A:$A, 0), MATCH($B28, 'Daily 크랙 raw'!$1:$1, 0)), ""), IF(val=0, "", val))</f>
        <v>136</v>
      </c>
      <c r="AA28" s="44">
        <f t="array" ref="AA28">LET(val, IFERROR(INDEX('Daily 크랙 raw'!$A:$ZZ, MATCH(AA$2, 'Daily 크랙 raw'!$A:$A, 0), MATCH($B28, 'Daily 크랙 raw'!$1:$1, 0)), ""), IF(val=0, "", val))</f>
        <v>278</v>
      </c>
      <c r="AB28" s="44">
        <f t="array" ref="AB28">LET(val, IFERROR(INDEX('Daily 크랙 raw'!$A:$ZZ, MATCH(AB$2, 'Daily 크랙 raw'!$A:$A, 0), MATCH($B28, 'Daily 크랙 raw'!$1:$1, 0)), ""), IF(val=0, "", val))</f>
        <v>300</v>
      </c>
      <c r="AC28" s="44">
        <f t="array" ref="AC28">LET(val, IFERROR(INDEX('Daily 크랙 raw'!$A:$ZZ, MATCH(AC$2, 'Daily 크랙 raw'!$A:$A, 0), MATCH($B28, 'Daily 크랙 raw'!$1:$1, 0)), ""), IF(val=0, "", val))</f>
        <v>190</v>
      </c>
      <c r="AD28" s="44">
        <f t="array" ref="AD28">LET(val, IFERROR(INDEX('Daily 크랙 raw'!$A:$ZZ, MATCH(AD$2, 'Daily 크랙 raw'!$A:$A, 0), MATCH($B28, 'Daily 크랙 raw'!$1:$1, 0)), ""), IF(val=0, "", val))</f>
        <v>189</v>
      </c>
      <c r="AE28" s="44">
        <f t="array" ref="AE28">LET(val, IFERROR(INDEX('Daily 크랙 raw'!$A:$ZZ, MATCH(AE$2, 'Daily 크랙 raw'!$A:$A, 0), MATCH($B28, 'Daily 크랙 raw'!$1:$1, 0)), ""), IF(val=0, "", val))</f>
        <v>149</v>
      </c>
      <c r="AF28" s="44">
        <f t="array" ref="AF28">LET(val, IFERROR(INDEX('Daily 크랙 raw'!$A:$ZZ, MATCH(AF$2, 'Daily 크랙 raw'!$A:$A, 0), MATCH($B28, 'Daily 크랙 raw'!$1:$1, 0)), ""), IF(val=0, "", val))</f>
        <v>145</v>
      </c>
      <c r="AG28" s="44">
        <f t="array" ref="AG28">LET(val, IFERROR(INDEX('Daily 크랙 raw'!$A:$ZZ, MATCH(AG$2, 'Daily 크랙 raw'!$A:$A, 0), MATCH($B28, 'Daily 크랙 raw'!$1:$1, 0)), ""), IF(val=0, "", val))</f>
        <v>124</v>
      </c>
      <c r="AH28" s="44">
        <f t="array" ref="AH28">LET(val, IFERROR(INDEX('Daily 크랙 raw'!$A:$ZZ, MATCH(AH$2, 'Daily 크랙 raw'!$A:$A, 0), MATCH($B28, 'Daily 크랙 raw'!$1:$1, 0)), ""), IF(val=0, "", val))</f>
        <v>143</v>
      </c>
      <c r="AI28" s="44">
        <f t="array" ref="AI28">LET(val, IFERROR(INDEX('Daily 크랙 raw'!$A:$ZZ, MATCH(AI$2, 'Daily 크랙 raw'!$A:$A, 0), MATCH($B28, 'Daily 크랙 raw'!$1:$1, 0)), ""), IF(val=0, "", val))</f>
        <v>170</v>
      </c>
      <c r="AJ28" s="44">
        <f t="array" ref="AJ28">LET(val, IFERROR(INDEX('Daily 크랙 raw'!$A:$ZZ, MATCH(AJ$2, 'Daily 크랙 raw'!$A:$A, 0), MATCH($B28, 'Daily 크랙 raw'!$1:$1, 0)), ""), IF(val=0, "", val))</f>
        <v>148</v>
      </c>
      <c r="AK28" s="44">
        <f t="array" ref="AK28">LET(val, IFERROR(INDEX('Daily 크랙 raw'!$A:$ZZ, MATCH(AK$2, 'Daily 크랙 raw'!$A:$A, 0), MATCH($B28, 'Daily 크랙 raw'!$1:$1, 0)), ""), IF(val=0, "", val))</f>
        <v>160</v>
      </c>
      <c r="AL28" s="44">
        <f t="array" ref="AL28">LET(val, IFERROR(INDEX('Daily 크랙 raw'!$A:$ZZ, MATCH(AL$2, 'Daily 크랙 raw'!$A:$A, 0), MATCH($B28, 'Daily 크랙 raw'!$1:$1, 0)), ""), IF(val=0, "", val))</f>
        <v>143</v>
      </c>
      <c r="AM28" s="44">
        <f t="array" ref="AM28">LET(val, IFERROR(INDEX('Daily 크랙 raw'!$A:$ZZ, MATCH(AM$2, 'Daily 크랙 raw'!$A:$A, 0), MATCH($B28, 'Daily 크랙 raw'!$1:$1, 0)), ""), IF(val=0, "", val))</f>
        <v>153</v>
      </c>
      <c r="AN28" s="44">
        <f t="array" ref="AN28">LET(val, IFERROR(INDEX('Daily 크랙 raw'!$A:$ZZ, MATCH(AN$2, 'Daily 크랙 raw'!$A:$A, 0), MATCH($B28, 'Daily 크랙 raw'!$1:$1, 0)), ""), IF(val=0, "", val))</f>
        <v>166</v>
      </c>
      <c r="AO28" s="44">
        <f t="array" ref="AO28">LET(val, IFERROR(INDEX('Daily 크랙 raw'!$A:$ZZ, MATCH(AO$2, 'Daily 크랙 raw'!$A:$A, 0), MATCH($B28, 'Daily 크랙 raw'!$1:$1, 0)), ""), IF(val=0, "", val))</f>
        <v>206</v>
      </c>
      <c r="AP28" s="44">
        <f t="array" ref="AP28">LET(val, IFERROR(INDEX('Daily 크랙 raw'!$A:$ZZ, MATCH(AP$2, 'Daily 크랙 raw'!$A:$A, 0), MATCH($B28, 'Daily 크랙 raw'!$1:$1, 0)), ""), IF(val=0, "", val))</f>
        <v>185</v>
      </c>
      <c r="AQ28" s="44">
        <f t="array" ref="AQ28">LET(val, IFERROR(INDEX('Daily 크랙 raw'!$A:$ZZ, MATCH(AQ$2, 'Daily 크랙 raw'!$A:$A, 0), MATCH($B28, 'Daily 크랙 raw'!$1:$1, 0)), ""), IF(val=0, "", val))</f>
        <v>177</v>
      </c>
      <c r="AR28" s="44">
        <f t="array" ref="AR28">LET(val, IFERROR(INDEX('Daily 크랙 raw'!$A:$ZZ, MATCH(AR$2, 'Daily 크랙 raw'!$A:$A, 0), MATCH($B28, 'Daily 크랙 raw'!$1:$1, 0)), ""), IF(val=0, "", val))</f>
        <v>197</v>
      </c>
      <c r="AS28" s="44">
        <f t="array" ref="AS28">LET(val, IFERROR(INDEX('Daily 크랙 raw'!$A:$ZZ, MATCH(AS$2, 'Daily 크랙 raw'!$A:$A, 0), MATCH($B28, 'Daily 크랙 raw'!$1:$1, 0)), ""), IF(val=0, "", val))</f>
        <v>153</v>
      </c>
      <c r="AT28" s="44">
        <f t="array" ref="AT28">LET(val, IFERROR(INDEX('Daily 크랙 raw'!$A:$ZZ, MATCH(AT$2, 'Daily 크랙 raw'!$A:$A, 0), MATCH($B28, 'Daily 크랙 raw'!$1:$1, 0)), ""), IF(val=0, "", val))</f>
        <v>142</v>
      </c>
      <c r="AU28" s="44">
        <f t="array" ref="AU28">LET(val, IFERROR(INDEX('Daily 크랙 raw'!$A:$ZZ, MATCH(AU$2, 'Daily 크랙 raw'!$A:$A, 0), MATCH($B28, 'Daily 크랙 raw'!$1:$1, 0)), ""), IF(val=0, "", val))</f>
        <v>191</v>
      </c>
      <c r="AV28" s="44">
        <f t="array" ref="AV28">LET(val, IFERROR(INDEX('Daily 크랙 raw'!$A:$ZZ, MATCH(AV$2, 'Daily 크랙 raw'!$A:$A, 0), MATCH($B28, 'Daily 크랙 raw'!$1:$1, 0)), ""), IF(val=0, "", val))</f>
        <v>278</v>
      </c>
      <c r="AW28" s="44">
        <f t="array" ref="AW28">LET(val, IFERROR(INDEX('Daily 크랙 raw'!$A:$ZZ, MATCH(AW$2, 'Daily 크랙 raw'!$A:$A, 0), MATCH($B28, 'Daily 크랙 raw'!$1:$1, 0)), ""), IF(val=0, "", val))</f>
        <v>273</v>
      </c>
      <c r="AX28" s="44">
        <f t="array" ref="AX28">LET(val, IFERROR(INDEX('Daily 크랙 raw'!$A:$ZZ, MATCH(AX$2, 'Daily 크랙 raw'!$A:$A, 0), MATCH($B28, 'Daily 크랙 raw'!$1:$1, 0)), ""), IF(val=0, "", val))</f>
        <v>272</v>
      </c>
      <c r="AY28" s="44">
        <f t="array" ref="AY28">LET(val, IFERROR(INDEX('Daily 크랙 raw'!$A:$ZZ, MATCH(AY$2, 'Daily 크랙 raw'!$A:$A, 0), MATCH($B28, 'Daily 크랙 raw'!$1:$1, 0)), ""), IF(val=0, "", val))</f>
        <v>267</v>
      </c>
      <c r="AZ28" s="44">
        <f t="array" ref="AZ28">LET(val, IFERROR(INDEX('Daily 크랙 raw'!$A:$ZZ, MATCH(AZ$2, 'Daily 크랙 raw'!$A:$A, 0), MATCH($B28, 'Daily 크랙 raw'!$1:$1, 0)), ""), IF(val=0, "", val))</f>
        <v>297</v>
      </c>
      <c r="BA28" s="44">
        <f t="array" ref="BA28">LET(val, IFERROR(INDEX('Daily 크랙 raw'!$A:$ZZ, MATCH(BA$2, 'Daily 크랙 raw'!$A:$A, 0), MATCH($B28, 'Daily 크랙 raw'!$1:$1, 0)), ""), IF(val=0, "", val))</f>
        <v>290</v>
      </c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</row>
    <row r="29">
      <c r="A29" s="30"/>
      <c r="B29" s="16"/>
      <c r="C29" s="30" t="s">
        <v>49</v>
      </c>
      <c r="D29" s="44" t="str">
        <f t="array" ref="D29">LET(val, IFERROR(INDEX('Daily 크랙 raw'!$A:$ZZ, MATCH(D$2, 'Daily 크랙 raw'!$A:$A, 0), MATCH($B29, 'Daily 크랙 raw'!$1:$1, 0)), ""), IF(val=0, "", val))</f>
        <v/>
      </c>
      <c r="E29" s="44" t="str">
        <f t="array" ref="E29">LET(val, IFERROR(INDEX('Daily 크랙 raw'!$A:$ZZ, MATCH(E$2, 'Daily 크랙 raw'!$A:$A, 0), MATCH($B29, 'Daily 크랙 raw'!$1:$1, 0)), ""), IF(val=0, "", val))</f>
        <v/>
      </c>
      <c r="F29" s="44" t="str">
        <f t="array" ref="F29">LET(val, IFERROR(INDEX('Daily 크랙 raw'!$A:$ZZ, MATCH(F$2, 'Daily 크랙 raw'!$A:$A, 0), MATCH($B29, 'Daily 크랙 raw'!$1:$1, 0)), ""), IF(val=0, "", val))</f>
        <v/>
      </c>
      <c r="G29" s="44" t="str">
        <f t="array" ref="G29">LET(val, IFERROR(INDEX('Daily 크랙 raw'!$A:$ZZ, MATCH(G$2, 'Daily 크랙 raw'!$A:$A, 0), MATCH($B29, 'Daily 크랙 raw'!$1:$1, 0)), ""), IF(val=0, "", val))</f>
        <v/>
      </c>
      <c r="H29" s="44" t="str">
        <f t="array" ref="H29">LET(val, IFERROR(INDEX('Daily 크랙 raw'!$A:$ZZ, MATCH(H$2, 'Daily 크랙 raw'!$A:$A, 0), MATCH($B29, 'Daily 크랙 raw'!$1:$1, 0)), ""), IF(val=0, "", val))</f>
        <v/>
      </c>
      <c r="I29" s="44" t="str">
        <f t="array" ref="I29">LET(val, IFERROR(INDEX('Daily 크랙 raw'!$A:$ZZ, MATCH(I$2, 'Daily 크랙 raw'!$A:$A, 0), MATCH($B29, 'Daily 크랙 raw'!$1:$1, 0)), ""), IF(val=0, "", val))</f>
        <v/>
      </c>
      <c r="J29" s="44" t="str">
        <f t="array" ref="J29">LET(val, IFERROR(INDEX('Daily 크랙 raw'!$A:$ZZ, MATCH(J$2, 'Daily 크랙 raw'!$A:$A, 0), MATCH($B29, 'Daily 크랙 raw'!$1:$1, 0)), ""), IF(val=0, "", val))</f>
        <v/>
      </c>
      <c r="K29" s="44" t="str">
        <f t="array" ref="K29">LET(val, IFERROR(INDEX('Daily 크랙 raw'!$A:$ZZ, MATCH(K$2, 'Daily 크랙 raw'!$A:$A, 0), MATCH($B29, 'Daily 크랙 raw'!$1:$1, 0)), ""), IF(val=0, "", val))</f>
        <v/>
      </c>
      <c r="L29" s="44" t="str">
        <f t="array" ref="L29">LET(val, IFERROR(INDEX('Daily 크랙 raw'!$A:$ZZ, MATCH(L$2, 'Daily 크랙 raw'!$A:$A, 0), MATCH($B29, 'Daily 크랙 raw'!$1:$1, 0)), ""), IF(val=0, "", val))</f>
        <v/>
      </c>
      <c r="M29" s="44" t="str">
        <f t="array" ref="M29">LET(val, IFERROR(INDEX('Daily 크랙 raw'!$A:$ZZ, MATCH(M$2, 'Daily 크랙 raw'!$A:$A, 0), MATCH($B29, 'Daily 크랙 raw'!$1:$1, 0)), ""), IF(val=0, "", val))</f>
        <v/>
      </c>
      <c r="N29" s="44" t="str">
        <f t="array" ref="N29">LET(val, IFERROR(INDEX('Daily 크랙 raw'!$A:$ZZ, MATCH(N$2, 'Daily 크랙 raw'!$A:$A, 0), MATCH($B29, 'Daily 크랙 raw'!$1:$1, 0)), ""), IF(val=0, "", val))</f>
        <v/>
      </c>
      <c r="O29" s="44" t="str">
        <f t="array" ref="O29">LET(val, IFERROR(INDEX('Daily 크랙 raw'!$A:$ZZ, MATCH(O$2, 'Daily 크랙 raw'!$A:$A, 0), MATCH($B29, 'Daily 크랙 raw'!$1:$1, 0)), ""), IF(val=0, "", val))</f>
        <v/>
      </c>
      <c r="P29" s="44" t="str">
        <f t="array" ref="P29">LET(val, IFERROR(INDEX('Daily 크랙 raw'!$A:$ZZ, MATCH(P$2, 'Daily 크랙 raw'!$A:$A, 0), MATCH($B29, 'Daily 크랙 raw'!$1:$1, 0)), ""), IF(val=0, "", val))</f>
        <v/>
      </c>
      <c r="Q29" s="44" t="str">
        <f t="array" ref="Q29">LET(val, IFERROR(INDEX('Daily 크랙 raw'!$A:$ZZ, MATCH(Q$2, 'Daily 크랙 raw'!$A:$A, 0), MATCH($B29, 'Daily 크랙 raw'!$1:$1, 0)), ""), IF(val=0, "", val))</f>
        <v/>
      </c>
      <c r="R29" s="44" t="str">
        <f t="array" ref="R29">LET(val, IFERROR(INDEX('Daily 크랙 raw'!$A:$ZZ, MATCH(R$2, 'Daily 크랙 raw'!$A:$A, 0), MATCH($B29, 'Daily 크랙 raw'!$1:$1, 0)), ""), IF(val=0, "", val))</f>
        <v/>
      </c>
      <c r="S29" s="44" t="str">
        <f t="array" ref="S29">LET(val, IFERROR(INDEX('Daily 크랙 raw'!$A:$ZZ, MATCH(S$2, 'Daily 크랙 raw'!$A:$A, 0), MATCH($B29, 'Daily 크랙 raw'!$1:$1, 0)), ""), IF(val=0, "", val))</f>
        <v/>
      </c>
      <c r="T29" s="44" t="str">
        <f t="array" ref="T29">LET(val, IFERROR(INDEX('Daily 크랙 raw'!$A:$ZZ, MATCH(T$2, 'Daily 크랙 raw'!$A:$A, 0), MATCH($B29, 'Daily 크랙 raw'!$1:$1, 0)), ""), IF(val=0, "", val))</f>
        <v/>
      </c>
      <c r="U29" s="44" t="str">
        <f t="array" ref="U29">LET(val, IFERROR(INDEX('Daily 크랙 raw'!$A:$ZZ, MATCH(U$2, 'Daily 크랙 raw'!$A:$A, 0), MATCH($B29, 'Daily 크랙 raw'!$1:$1, 0)), ""), IF(val=0, "", val))</f>
        <v/>
      </c>
      <c r="V29" s="44" t="str">
        <f t="array" ref="V29">LET(val, IFERROR(INDEX('Daily 크랙 raw'!$A:$ZZ, MATCH(V$2, 'Daily 크랙 raw'!$A:$A, 0), MATCH($B29, 'Daily 크랙 raw'!$1:$1, 0)), ""), IF(val=0, "", val))</f>
        <v/>
      </c>
      <c r="W29" s="44" t="str">
        <f t="array" ref="W29">LET(val, IFERROR(INDEX('Daily 크랙 raw'!$A:$ZZ, MATCH(W$2, 'Daily 크랙 raw'!$A:$A, 0), MATCH($B29, 'Daily 크랙 raw'!$1:$1, 0)), ""), IF(val=0, "", val))</f>
        <v/>
      </c>
      <c r="X29" s="44" t="str">
        <f t="array" ref="X29">LET(val, IFERROR(INDEX('Daily 크랙 raw'!$A:$ZZ, MATCH(X$2, 'Daily 크랙 raw'!$A:$A, 0), MATCH($B29, 'Daily 크랙 raw'!$1:$1, 0)), ""), IF(val=0, "", val))</f>
        <v/>
      </c>
      <c r="Y29" s="44" t="str">
        <f t="array" ref="Y29">LET(val, IFERROR(INDEX('Daily 크랙 raw'!$A:$ZZ, MATCH(Y$2, 'Daily 크랙 raw'!$A:$A, 0), MATCH($B29, 'Daily 크랙 raw'!$1:$1, 0)), ""), IF(val=0, "", val))</f>
        <v/>
      </c>
      <c r="Z29" s="44" t="str">
        <f t="array" ref="Z29">LET(val, IFERROR(INDEX('Daily 크랙 raw'!$A:$ZZ, MATCH(Z$2, 'Daily 크랙 raw'!$A:$A, 0), MATCH($B29, 'Daily 크랙 raw'!$1:$1, 0)), ""), IF(val=0, "", val))</f>
        <v/>
      </c>
      <c r="AA29" s="44" t="str">
        <f t="array" ref="AA29">LET(val, IFERROR(INDEX('Daily 크랙 raw'!$A:$ZZ, MATCH(AA$2, 'Daily 크랙 raw'!$A:$A, 0), MATCH($B29, 'Daily 크랙 raw'!$1:$1, 0)), ""), IF(val=0, "", val))</f>
        <v/>
      </c>
      <c r="AB29" s="44" t="str">
        <f t="array" ref="AB29">LET(val, IFERROR(INDEX('Daily 크랙 raw'!$A:$ZZ, MATCH(AB$2, 'Daily 크랙 raw'!$A:$A, 0), MATCH($B29, 'Daily 크랙 raw'!$1:$1, 0)), ""), IF(val=0, "", val))</f>
        <v/>
      </c>
      <c r="AC29" s="44" t="str">
        <f t="array" ref="AC29">LET(val, IFERROR(INDEX('Daily 크랙 raw'!$A:$ZZ, MATCH(AC$2, 'Daily 크랙 raw'!$A:$A, 0), MATCH($B29, 'Daily 크랙 raw'!$1:$1, 0)), ""), IF(val=0, "", val))</f>
        <v/>
      </c>
      <c r="AD29" s="44" t="str">
        <f t="array" ref="AD29">LET(val, IFERROR(INDEX('Daily 크랙 raw'!$A:$ZZ, MATCH(AD$2, 'Daily 크랙 raw'!$A:$A, 0), MATCH($B29, 'Daily 크랙 raw'!$1:$1, 0)), ""), IF(val=0, "", val))</f>
        <v/>
      </c>
      <c r="AE29" s="44" t="str">
        <f t="array" ref="AE29">LET(val, IFERROR(INDEX('Daily 크랙 raw'!$A:$ZZ, MATCH(AE$2, 'Daily 크랙 raw'!$A:$A, 0), MATCH($B29, 'Daily 크랙 raw'!$1:$1, 0)), ""), IF(val=0, "", val))</f>
        <v/>
      </c>
      <c r="AF29" s="44" t="str">
        <f t="array" ref="AF29">LET(val, IFERROR(INDEX('Daily 크랙 raw'!$A:$ZZ, MATCH(AF$2, 'Daily 크랙 raw'!$A:$A, 0), MATCH($B29, 'Daily 크랙 raw'!$1:$1, 0)), ""), IF(val=0, "", val))</f>
        <v/>
      </c>
      <c r="AG29" s="44" t="str">
        <f t="array" ref="AG29">LET(val, IFERROR(INDEX('Daily 크랙 raw'!$A:$ZZ, MATCH(AG$2, 'Daily 크랙 raw'!$A:$A, 0), MATCH($B29, 'Daily 크랙 raw'!$1:$1, 0)), ""), IF(val=0, "", val))</f>
        <v/>
      </c>
      <c r="AH29" s="44" t="str">
        <f t="array" ref="AH29">LET(val, IFERROR(INDEX('Daily 크랙 raw'!$A:$ZZ, MATCH(AH$2, 'Daily 크랙 raw'!$A:$A, 0), MATCH($B29, 'Daily 크랙 raw'!$1:$1, 0)), ""), IF(val=0, "", val))</f>
        <v/>
      </c>
      <c r="AI29" s="44" t="str">
        <f t="array" ref="AI29">LET(val, IFERROR(INDEX('Daily 크랙 raw'!$A:$ZZ, MATCH(AI$2, 'Daily 크랙 raw'!$A:$A, 0), MATCH($B29, 'Daily 크랙 raw'!$1:$1, 0)), ""), IF(val=0, "", val))</f>
        <v/>
      </c>
      <c r="AJ29" s="44" t="str">
        <f t="array" ref="AJ29">LET(val, IFERROR(INDEX('Daily 크랙 raw'!$A:$ZZ, MATCH(AJ$2, 'Daily 크랙 raw'!$A:$A, 0), MATCH($B29, 'Daily 크랙 raw'!$1:$1, 0)), ""), IF(val=0, "", val))</f>
        <v/>
      </c>
      <c r="AK29" s="44" t="str">
        <f t="array" ref="AK29">LET(val, IFERROR(INDEX('Daily 크랙 raw'!$A:$ZZ, MATCH(AK$2, 'Daily 크랙 raw'!$A:$A, 0), MATCH($B29, 'Daily 크랙 raw'!$1:$1, 0)), ""), IF(val=0, "", val))</f>
        <v/>
      </c>
      <c r="AL29" s="44" t="str">
        <f t="array" ref="AL29">LET(val, IFERROR(INDEX('Daily 크랙 raw'!$A:$ZZ, MATCH(AL$2, 'Daily 크랙 raw'!$A:$A, 0), MATCH($B29, 'Daily 크랙 raw'!$1:$1, 0)), ""), IF(val=0, "", val))</f>
        <v/>
      </c>
      <c r="AM29" s="44" t="str">
        <f t="array" ref="AM29">LET(val, IFERROR(INDEX('Daily 크랙 raw'!$A:$ZZ, MATCH(AM$2, 'Daily 크랙 raw'!$A:$A, 0), MATCH($B29, 'Daily 크랙 raw'!$1:$1, 0)), ""), IF(val=0, "", val))</f>
        <v/>
      </c>
      <c r="AN29" s="44" t="str">
        <f t="array" ref="AN29">LET(val, IFERROR(INDEX('Daily 크랙 raw'!$A:$ZZ, MATCH(AN$2, 'Daily 크랙 raw'!$A:$A, 0), MATCH($B29, 'Daily 크랙 raw'!$1:$1, 0)), ""), IF(val=0, "", val))</f>
        <v/>
      </c>
      <c r="AO29" s="44" t="str">
        <f t="array" ref="AO29">LET(val, IFERROR(INDEX('Daily 크랙 raw'!$A:$ZZ, MATCH(AO$2, 'Daily 크랙 raw'!$A:$A, 0), MATCH($B29, 'Daily 크랙 raw'!$1:$1, 0)), ""), IF(val=0, "", val))</f>
        <v/>
      </c>
      <c r="AP29" s="44" t="str">
        <f t="array" ref="AP29">LET(val, IFERROR(INDEX('Daily 크랙 raw'!$A:$ZZ, MATCH(AP$2, 'Daily 크랙 raw'!$A:$A, 0), MATCH($B29, 'Daily 크랙 raw'!$1:$1, 0)), ""), IF(val=0, "", val))</f>
        <v/>
      </c>
      <c r="AQ29" s="44" t="str">
        <f t="array" ref="AQ29">LET(val, IFERROR(INDEX('Daily 크랙 raw'!$A:$ZZ, MATCH(AQ$2, 'Daily 크랙 raw'!$A:$A, 0), MATCH($B29, 'Daily 크랙 raw'!$1:$1, 0)), ""), IF(val=0, "", val))</f>
        <v/>
      </c>
      <c r="AR29" s="44" t="str">
        <f t="array" ref="AR29">LET(val, IFERROR(INDEX('Daily 크랙 raw'!$A:$ZZ, MATCH(AR$2, 'Daily 크랙 raw'!$A:$A, 0), MATCH($B29, 'Daily 크랙 raw'!$1:$1, 0)), ""), IF(val=0, "", val))</f>
        <v/>
      </c>
      <c r="AS29" s="44" t="str">
        <f t="array" ref="AS29">LET(val, IFERROR(INDEX('Daily 크랙 raw'!$A:$ZZ, MATCH(AS$2, 'Daily 크랙 raw'!$A:$A, 0), MATCH($B29, 'Daily 크랙 raw'!$1:$1, 0)), ""), IF(val=0, "", val))</f>
        <v/>
      </c>
      <c r="AT29" s="44" t="str">
        <f t="array" ref="AT29">LET(val, IFERROR(INDEX('Daily 크랙 raw'!$A:$ZZ, MATCH(AT$2, 'Daily 크랙 raw'!$A:$A, 0), MATCH($B29, 'Daily 크랙 raw'!$1:$1, 0)), ""), IF(val=0, "", val))</f>
        <v/>
      </c>
      <c r="AU29" s="44" t="str">
        <f t="array" ref="AU29">LET(val, IFERROR(INDEX('Daily 크랙 raw'!$A:$ZZ, MATCH(AU$2, 'Daily 크랙 raw'!$A:$A, 0), MATCH($B29, 'Daily 크랙 raw'!$1:$1, 0)), ""), IF(val=0, "", val))</f>
        <v/>
      </c>
      <c r="AV29" s="44" t="str">
        <f t="array" ref="AV29">LET(val, IFERROR(INDEX('Daily 크랙 raw'!$A:$ZZ, MATCH(AV$2, 'Daily 크랙 raw'!$A:$A, 0), MATCH($B29, 'Daily 크랙 raw'!$1:$1, 0)), ""), IF(val=0, "", val))</f>
        <v/>
      </c>
      <c r="AW29" s="44" t="str">
        <f t="array" ref="AW29">LET(val, IFERROR(INDEX('Daily 크랙 raw'!$A:$ZZ, MATCH(AW$2, 'Daily 크랙 raw'!$A:$A, 0), MATCH($B29, 'Daily 크랙 raw'!$1:$1, 0)), ""), IF(val=0, "", val))</f>
        <v/>
      </c>
      <c r="AX29" s="44" t="str">
        <f t="array" ref="AX29">LET(val, IFERROR(INDEX('Daily 크랙 raw'!$A:$ZZ, MATCH(AX$2, 'Daily 크랙 raw'!$A:$A, 0), MATCH($B29, 'Daily 크랙 raw'!$1:$1, 0)), ""), IF(val=0, "", val))</f>
        <v/>
      </c>
      <c r="AY29" s="44" t="str">
        <f t="array" ref="AY29">LET(val, IFERROR(INDEX('Daily 크랙 raw'!$A:$ZZ, MATCH(AY$2, 'Daily 크랙 raw'!$A:$A, 0), MATCH($B29, 'Daily 크랙 raw'!$1:$1, 0)), ""), IF(val=0, "", val))</f>
        <v/>
      </c>
      <c r="AZ29" s="44" t="str">
        <f t="array" ref="AZ29">LET(val, IFERROR(INDEX('Daily 크랙 raw'!$A:$ZZ, MATCH(AZ$2, 'Daily 크랙 raw'!$A:$A, 0), MATCH($B29, 'Daily 크랙 raw'!$1:$1, 0)), ""), IF(val=0, "", val))</f>
        <v/>
      </c>
      <c r="BA29" s="44" t="str">
        <f t="array" ref="BA29">LET(val, IFERROR(INDEX('Daily 크랙 raw'!$A:$ZZ, MATCH(BA$2, 'Daily 크랙 raw'!$A:$A, 0), MATCH($B29, 'Daily 크랙 raw'!$1:$1, 0)), ""), IF(val=0, "", val))</f>
        <v/>
      </c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</row>
    <row r="30">
      <c r="A30" s="30"/>
      <c r="B30" s="16" t="s">
        <v>50</v>
      </c>
      <c r="C30" s="17" t="s">
        <v>42</v>
      </c>
      <c r="D30" s="44">
        <f t="array" ref="D30">LET(val, IFERROR(INDEX('Daily 크랙 raw'!$A:$ZZ, MATCH(D$2, 'Daily 크랙 raw'!$A:$A, 0), MATCH($B30, 'Daily 크랙 raw'!$1:$1, 0)), ""), IF(val=0, "", val))</f>
        <v>112400</v>
      </c>
      <c r="E30" s="44">
        <f t="array" ref="E30">LET(val, IFERROR(INDEX('Daily 크랙 raw'!$A:$ZZ, MATCH(E$2, 'Daily 크랙 raw'!$A:$A, 0), MATCH($B30, 'Daily 크랙 raw'!$1:$1, 0)), ""), IF(val=0, "", val))</f>
        <v>114175</v>
      </c>
      <c r="F30" s="44">
        <f t="array" ref="F30">LET(val, IFERROR(INDEX('Daily 크랙 raw'!$A:$ZZ, MATCH(F$2, 'Daily 크랙 raw'!$A:$A, 0), MATCH($B30, 'Daily 크랙 raw'!$1:$1, 0)), ""), IF(val=0, "", val))</f>
        <v>115050</v>
      </c>
      <c r="G30" s="44">
        <f t="array" ref="G30">LET(val, IFERROR(INDEX('Daily 크랙 raw'!$A:$ZZ, MATCH(G$2, 'Daily 크랙 raw'!$A:$A, 0), MATCH($B30, 'Daily 크랙 raw'!$1:$1, 0)), ""), IF(val=0, "", val))</f>
        <v>116304</v>
      </c>
      <c r="H30" s="44">
        <f t="array" ref="H30">LET(val, IFERROR(INDEX('Daily 크랙 raw'!$A:$ZZ, MATCH(H$2, 'Daily 크랙 raw'!$A:$A, 0), MATCH($B30, 'Daily 크랙 raw'!$1:$1, 0)), ""), IF(val=0, "", val))</f>
        <v>116188</v>
      </c>
      <c r="I30" s="44">
        <f t="array" ref="I30">LET(val, IFERROR(INDEX('Daily 크랙 raw'!$A:$ZZ, MATCH(I$2, 'Daily 크랙 raw'!$A:$A, 0), MATCH($B30, 'Daily 크랙 raw'!$1:$1, 0)), ""), IF(val=0, "", val))</f>
        <v>115166</v>
      </c>
      <c r="J30" s="44">
        <f t="array" ref="J30">LET(val, IFERROR(INDEX('Daily 크랙 raw'!$A:$ZZ, MATCH(J$2, 'Daily 크랙 raw'!$A:$A, 0), MATCH($B30, 'Daily 크랙 raw'!$1:$1, 0)), ""), IF(val=0, "", val))</f>
        <v>115476</v>
      </c>
      <c r="K30" s="44">
        <f t="array" ref="K30">LET(val, IFERROR(INDEX('Daily 크랙 raw'!$A:$ZZ, MATCH(K$2, 'Daily 크랙 raw'!$A:$A, 0), MATCH($B30, 'Daily 크랙 raw'!$1:$1, 0)), ""), IF(val=0, "", val))</f>
        <v>115509</v>
      </c>
      <c r="L30" s="44">
        <f t="array" ref="L30">LET(val, IFERROR(INDEX('Daily 크랙 raw'!$A:$ZZ, MATCH(L$2, 'Daily 크랙 raw'!$A:$A, 0), MATCH($B30, 'Daily 크랙 raw'!$1:$1, 0)), ""), IF(val=0, "", val))</f>
        <v>115518</v>
      </c>
      <c r="M30" s="44">
        <f t="array" ref="M30">LET(val, IFERROR(INDEX('Daily 크랙 raw'!$A:$ZZ, MATCH(M$2, 'Daily 크랙 raw'!$A:$A, 0), MATCH($B30, 'Daily 크랙 raw'!$1:$1, 0)), ""), IF(val=0, "", val))</f>
        <v>116648</v>
      </c>
      <c r="N30" s="44">
        <f t="array" ref="N30">LET(val, IFERROR(INDEX('Daily 크랙 raw'!$A:$ZZ, MATCH(N$2, 'Daily 크랙 raw'!$A:$A, 0), MATCH($B30, 'Daily 크랙 raw'!$1:$1, 0)), ""), IF(val=0, "", val))</f>
        <v>117027</v>
      </c>
      <c r="O30" s="44">
        <f t="array" ref="O30">LET(val, IFERROR(INDEX('Daily 크랙 raw'!$A:$ZZ, MATCH(O$2, 'Daily 크랙 raw'!$A:$A, 0), MATCH($B30, 'Daily 크랙 raw'!$1:$1, 0)), ""), IF(val=0, "", val))</f>
        <v>117111</v>
      </c>
      <c r="P30" s="44">
        <f t="array" ref="P30">LET(val, IFERROR(INDEX('Daily 크랙 raw'!$A:$ZZ, MATCH(P$2, 'Daily 크랙 raw'!$A:$A, 0), MATCH($B30, 'Daily 크랙 raw'!$1:$1, 0)), ""), IF(val=0, "", val))</f>
        <v>117158</v>
      </c>
      <c r="Q30" s="44">
        <f t="array" ref="Q30">LET(val, IFERROR(INDEX('Daily 크랙 raw'!$A:$ZZ, MATCH(Q$2, 'Daily 크랙 raw'!$A:$A, 0), MATCH($B30, 'Daily 크랙 raw'!$1:$1, 0)), ""), IF(val=0, "", val))</f>
        <v>117077</v>
      </c>
      <c r="R30" s="44">
        <f t="array" ref="R30">LET(val, IFERROR(INDEX('Daily 크랙 raw'!$A:$ZZ, MATCH(R$2, 'Daily 크랙 raw'!$A:$A, 0), MATCH($B30, 'Daily 크랙 raw'!$1:$1, 0)), ""), IF(val=0, "", val))</f>
        <v>115814</v>
      </c>
      <c r="S30" s="44">
        <f t="array" ref="S30">LET(val, IFERROR(INDEX('Daily 크랙 raw'!$A:$ZZ, MATCH(S$2, 'Daily 크랙 raw'!$A:$A, 0), MATCH($B30, 'Daily 크랙 raw'!$1:$1, 0)), ""), IF(val=0, "", val))</f>
        <v>114119</v>
      </c>
      <c r="T30" s="44">
        <f t="array" ref="T30">LET(val, IFERROR(INDEX('Daily 크랙 raw'!$A:$ZZ, MATCH(T$2, 'Daily 크랙 raw'!$A:$A, 0), MATCH($B30, 'Daily 크랙 raw'!$1:$1, 0)), ""), IF(val=0, "", val))</f>
        <v>115210</v>
      </c>
      <c r="U30" s="44">
        <f t="array" ref="U30">LET(val, IFERROR(INDEX('Daily 크랙 raw'!$A:$ZZ, MATCH(U$2, 'Daily 크랙 raw'!$A:$A, 0), MATCH($B30, 'Daily 크랙 raw'!$1:$1, 0)), ""), IF(val=0, "", val))</f>
        <v>115805</v>
      </c>
      <c r="V30" s="44">
        <f t="array" ref="V30">LET(val, IFERROR(INDEX('Daily 크랙 raw'!$A:$ZZ, MATCH(V$2, 'Daily 크랙 raw'!$A:$A, 0), MATCH($B30, 'Daily 크랙 raw'!$1:$1, 0)), ""), IF(val=0, "", val))</f>
        <v>115356</v>
      </c>
      <c r="W30" s="44">
        <f t="array" ref="W30">LET(val, IFERROR(INDEX('Daily 크랙 raw'!$A:$ZZ, MATCH(W$2, 'Daily 크랙 raw'!$A:$A, 0), MATCH($B30, 'Daily 크랙 raw'!$1:$1, 0)), ""), IF(val=0, "", val))</f>
        <v>115041</v>
      </c>
      <c r="X30" s="44">
        <f t="array" ref="X30">LET(val, IFERROR(INDEX('Daily 크랙 raw'!$A:$ZZ, MATCH(X$2, 'Daily 크랙 raw'!$A:$A, 0), MATCH($B30, 'Daily 크랙 raw'!$1:$1, 0)), ""), IF(val=0, "", val))</f>
        <v>115530</v>
      </c>
      <c r="Y30" s="44">
        <f t="array" ref="Y30">LET(val, IFERROR(INDEX('Daily 크랙 raw'!$A:$ZZ, MATCH(Y$2, 'Daily 크랙 raw'!$A:$A, 0), MATCH($B30, 'Daily 크랙 raw'!$1:$1, 0)), ""), IF(val=0, "", val))</f>
        <v>115325</v>
      </c>
      <c r="Z30" s="44">
        <f t="array" ref="Z30">LET(val, IFERROR(INDEX('Daily 크랙 raw'!$A:$ZZ, MATCH(Z$2, 'Daily 크랙 raw'!$A:$A, 0), MATCH($B30, 'Daily 크랙 raw'!$1:$1, 0)), ""), IF(val=0, "", val))</f>
        <v>115194</v>
      </c>
      <c r="AA30" s="44">
        <f t="array" ref="AA30">LET(val, IFERROR(INDEX('Daily 크랙 raw'!$A:$ZZ, MATCH(AA$2, 'Daily 크랙 raw'!$A:$A, 0), MATCH($B30, 'Daily 크랙 raw'!$1:$1, 0)), ""), IF(val=0, "", val))</f>
        <v>116923</v>
      </c>
      <c r="AB30" s="44">
        <f t="array" ref="AB30">LET(val, IFERROR(INDEX('Daily 크랙 raw'!$A:$ZZ, MATCH(AB$2, 'Daily 크랙 raw'!$A:$A, 0), MATCH($B30, 'Daily 크랙 raw'!$1:$1, 0)), ""), IF(val=0, "", val))</f>
        <v>118796</v>
      </c>
      <c r="AC30" s="44">
        <f t="array" ref="AC30">LET(val, IFERROR(INDEX('Daily 크랙 raw'!$A:$ZZ, MATCH(AC$2, 'Daily 크랙 raw'!$A:$A, 0), MATCH($B30, 'Daily 크랙 raw'!$1:$1, 0)), ""), IF(val=0, "", val))</f>
        <v>118846</v>
      </c>
      <c r="AD30" s="44">
        <f t="array" ref="AD30">LET(val, IFERROR(INDEX('Daily 크랙 raw'!$A:$ZZ, MATCH(AD$2, 'Daily 크랙 raw'!$A:$A, 0), MATCH($B30, 'Daily 크랙 raw'!$1:$1, 0)), ""), IF(val=0, "", val))</f>
        <v>119236</v>
      </c>
      <c r="AE30" s="44">
        <f t="array" ref="AE30">LET(val, IFERROR(INDEX('Daily 크랙 raw'!$A:$ZZ, MATCH(AE$2, 'Daily 크랙 raw'!$A:$A, 0), MATCH($B30, 'Daily 크랙 raw'!$1:$1, 0)), ""), IF(val=0, "", val))</f>
        <v>119507</v>
      </c>
      <c r="AF30" s="44">
        <f t="array" ref="AF30">LET(val, IFERROR(INDEX('Daily 크랙 raw'!$A:$ZZ, MATCH(AF$2, 'Daily 크랙 raw'!$A:$A, 0), MATCH($B30, 'Daily 크랙 raw'!$1:$1, 0)), ""), IF(val=0, "", val))</f>
        <v>120037</v>
      </c>
      <c r="AG30" s="44">
        <f t="array" ref="AG30">LET(val, IFERROR(INDEX('Daily 크랙 raw'!$A:$ZZ, MATCH(AG$2, 'Daily 크랙 raw'!$A:$A, 0), MATCH($B30, 'Daily 크랙 raw'!$1:$1, 0)), ""), IF(val=0, "", val))</f>
        <v>119124</v>
      </c>
      <c r="AH30" s="44">
        <f t="array" ref="AH30">LET(val, IFERROR(INDEX('Daily 크랙 raw'!$A:$ZZ, MATCH(AH$2, 'Daily 크랙 raw'!$A:$A, 0), MATCH($B30, 'Daily 크랙 raw'!$1:$1, 0)), ""), IF(val=0, "", val))</f>
        <v>118438</v>
      </c>
      <c r="AI30" s="44">
        <f t="array" ref="AI30">LET(val, IFERROR(INDEX('Daily 크랙 raw'!$A:$ZZ, MATCH(AI$2, 'Daily 크랙 raw'!$A:$A, 0), MATCH($B30, 'Daily 크랙 raw'!$1:$1, 0)), ""), IF(val=0, "", val))</f>
        <v>119400</v>
      </c>
      <c r="AJ30" s="44">
        <f t="array" ref="AJ30">LET(val, IFERROR(INDEX('Daily 크랙 raw'!$A:$ZZ, MATCH(AJ$2, 'Daily 크랙 raw'!$A:$A, 0), MATCH($B30, 'Daily 크랙 raw'!$1:$1, 0)), ""), IF(val=0, "", val))</f>
        <v>119476</v>
      </c>
      <c r="AK30" s="44">
        <f t="array" ref="AK30">LET(val, IFERROR(INDEX('Daily 크랙 raw'!$A:$ZZ, MATCH(AK$2, 'Daily 크랙 raw'!$A:$A, 0), MATCH($B30, 'Daily 크랙 raw'!$1:$1, 0)), ""), IF(val=0, "", val))</f>
        <v>119036</v>
      </c>
      <c r="AL30" s="44">
        <f t="array" ref="AL30">LET(val, IFERROR(INDEX('Daily 크랙 raw'!$A:$ZZ, MATCH(AL$2, 'Daily 크랙 raw'!$A:$A, 0), MATCH($B30, 'Daily 크랙 raw'!$1:$1, 0)), ""), IF(val=0, "", val))</f>
        <v>118720</v>
      </c>
      <c r="AM30" s="44">
        <f t="array" ref="AM30">LET(val, IFERROR(INDEX('Daily 크랙 raw'!$A:$ZZ, MATCH(AM$2, 'Daily 크랙 raw'!$A:$A, 0), MATCH($B30, 'Daily 크랙 raw'!$1:$1, 0)), ""), IF(val=0, "", val))</f>
        <v>119088</v>
      </c>
      <c r="AN30" s="44">
        <f t="array" ref="AN30">LET(val, IFERROR(INDEX('Daily 크랙 raw'!$A:$ZZ, MATCH(AN$2, 'Daily 크랙 raw'!$A:$A, 0), MATCH($B30, 'Daily 크랙 raw'!$1:$1, 0)), ""), IF(val=0, "", val))</f>
        <v>119575</v>
      </c>
      <c r="AO30" s="44">
        <f t="array" ref="AO30">LET(val, IFERROR(INDEX('Daily 크랙 raw'!$A:$ZZ, MATCH(AO$2, 'Daily 크랙 raw'!$A:$A, 0), MATCH($B30, 'Daily 크랙 raw'!$1:$1, 0)), ""), IF(val=0, "", val))</f>
        <v>121211</v>
      </c>
      <c r="AP30" s="44">
        <f t="array" ref="AP30">LET(val, IFERROR(INDEX('Daily 크랙 raw'!$A:$ZZ, MATCH(AP$2, 'Daily 크랙 raw'!$A:$A, 0), MATCH($B30, 'Daily 크랙 raw'!$1:$1, 0)), ""), IF(val=0, "", val))</f>
        <v>122390</v>
      </c>
      <c r="AQ30" s="44">
        <f t="array" ref="AQ30">LET(val, IFERROR(INDEX('Daily 크랙 raw'!$A:$ZZ, MATCH(AQ$2, 'Daily 크랙 raw'!$A:$A, 0), MATCH($B30, 'Daily 크랙 raw'!$1:$1, 0)), ""), IF(val=0, "", val))</f>
        <v>121969</v>
      </c>
      <c r="AR30" s="44">
        <f t="array" ref="AR30">LET(val, IFERROR(INDEX('Daily 크랙 raw'!$A:$ZZ, MATCH(AR$2, 'Daily 크랙 raw'!$A:$A, 0), MATCH($B30, 'Daily 크랙 raw'!$1:$1, 0)), ""), IF(val=0, "", val))</f>
        <v>123577</v>
      </c>
      <c r="AS30" s="44">
        <f t="array" ref="AS30">LET(val, IFERROR(INDEX('Daily 크랙 raw'!$A:$ZZ, MATCH(AS$2, 'Daily 크랙 raw'!$A:$A, 0), MATCH($B30, 'Daily 크랙 raw'!$1:$1, 0)), ""), IF(val=0, "", val))</f>
        <v>124106</v>
      </c>
      <c r="AT30" s="44">
        <f t="array" ref="AT30">LET(val, IFERROR(INDEX('Daily 크랙 raw'!$A:$ZZ, MATCH(AT$2, 'Daily 크랙 raw'!$A:$A, 0), MATCH($B30, 'Daily 크랙 raw'!$1:$1, 0)), ""), IF(val=0, "", val))</f>
        <v>124985</v>
      </c>
      <c r="AU30" s="44">
        <f t="array" ref="AU30">LET(val, IFERROR(INDEX('Daily 크랙 raw'!$A:$ZZ, MATCH(AU$2, 'Daily 크랙 raw'!$A:$A, 0), MATCH($B30, 'Daily 크랙 raw'!$1:$1, 0)), ""), IF(val=0, "", val))</f>
        <v>125787</v>
      </c>
      <c r="AV30" s="44">
        <f t="array" ref="AV30">LET(val, IFERROR(INDEX('Daily 크랙 raw'!$A:$ZZ, MATCH(AV$2, 'Daily 크랙 raw'!$A:$A, 0), MATCH($B30, 'Daily 크랙 raw'!$1:$1, 0)), ""), IF(val=0, "", val))</f>
        <v>129026</v>
      </c>
      <c r="AW30" s="44">
        <f t="array" ref="AW30">LET(val, IFERROR(INDEX('Daily 크랙 raw'!$A:$ZZ, MATCH(AW$2, 'Daily 크랙 raw'!$A:$A, 0), MATCH($B30, 'Daily 크랙 raw'!$1:$1, 0)), ""), IF(val=0, "", val))</f>
        <v>131366</v>
      </c>
      <c r="AX30" s="44">
        <f t="array" ref="AX30">LET(val, IFERROR(INDEX('Daily 크랙 raw'!$A:$ZZ, MATCH(AX$2, 'Daily 크랙 raw'!$A:$A, 0), MATCH($B30, 'Daily 크랙 raw'!$1:$1, 0)), ""), IF(val=0, "", val))</f>
        <v>134170</v>
      </c>
      <c r="AY30" s="44">
        <f t="array" ref="AY30">LET(val, IFERROR(INDEX('Daily 크랙 raw'!$A:$ZZ, MATCH(AY$2, 'Daily 크랙 raw'!$A:$A, 0), MATCH($B30, 'Daily 크랙 raw'!$1:$1, 0)), ""), IF(val=0, "", val))</f>
        <v>135326</v>
      </c>
      <c r="AZ30" s="44">
        <f t="array" ref="AZ30">LET(val, IFERROR(INDEX('Daily 크랙 raw'!$A:$ZZ, MATCH(AZ$2, 'Daily 크랙 raw'!$A:$A, 0), MATCH($B30, 'Daily 크랙 raw'!$1:$1, 0)), ""), IF(val=0, "", val))</f>
        <v>137296</v>
      </c>
      <c r="BA30" s="44">
        <f t="array" ref="BA30">LET(val, IFERROR(INDEX('Daily 크랙 raw'!$A:$ZZ, MATCH(BA$2, 'Daily 크랙 raw'!$A:$A, 0), MATCH($B30, 'Daily 크랙 raw'!$1:$1, 0)), ""), IF(val=0, "", val))</f>
        <v>136536</v>
      </c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</row>
    <row r="31">
      <c r="A31" s="30"/>
      <c r="B31" s="16" t="s">
        <v>51</v>
      </c>
      <c r="C31" s="17" t="s">
        <v>44</v>
      </c>
      <c r="D31" s="44">
        <f t="array" ref="D31">LET(val, IFERROR(INDEX('Daily 크랙 raw'!$A:$ZZ, MATCH(D$2, 'Daily 크랙 raw'!$A:$A, 0), MATCH($B31, 'Daily 크랙 raw'!$1:$1, 0)), ""), IF(val=0, "", val))</f>
        <v>51050</v>
      </c>
      <c r="E31" s="44">
        <f t="array" ref="E31">LET(val, IFERROR(INDEX('Daily 크랙 raw'!$A:$ZZ, MATCH(E$2, 'Daily 크랙 raw'!$A:$A, 0), MATCH($B31, 'Daily 크랙 raw'!$1:$1, 0)), ""), IF(val=0, "", val))</f>
        <v>49569</v>
      </c>
      <c r="F31" s="44">
        <f t="array" ref="F31">LET(val, IFERROR(INDEX('Daily 크랙 raw'!$A:$ZZ, MATCH(F$2, 'Daily 크랙 raw'!$A:$A, 0), MATCH($B31, 'Daily 크랙 raw'!$1:$1, 0)), ""), IF(val=0, "", val))</f>
        <v>51285</v>
      </c>
      <c r="G31" s="44">
        <f t="array" ref="G31">LET(val, IFERROR(INDEX('Daily 크랙 raw'!$A:$ZZ, MATCH(G$2, 'Daily 크랙 raw'!$A:$A, 0), MATCH($B31, 'Daily 크랙 raw'!$1:$1, 0)), ""), IF(val=0, "", val))</f>
        <v>52546</v>
      </c>
      <c r="H31" s="44">
        <f t="array" ref="H31">LET(val, IFERROR(INDEX('Daily 크랙 raw'!$A:$ZZ, MATCH(H$2, 'Daily 크랙 raw'!$A:$A, 0), MATCH($B31, 'Daily 크랙 raw'!$1:$1, 0)), ""), IF(val=0, "", val))</f>
        <v>50125</v>
      </c>
      <c r="I31" s="44">
        <f t="array" ref="I31">LET(val, IFERROR(INDEX('Daily 크랙 raw'!$A:$ZZ, MATCH(I$2, 'Daily 크랙 raw'!$A:$A, 0), MATCH($B31, 'Daily 크랙 raw'!$1:$1, 0)), ""), IF(val=0, "", val))</f>
        <v>48765</v>
      </c>
      <c r="J31" s="44">
        <f t="array" ref="J31">LET(val, IFERROR(INDEX('Daily 크랙 raw'!$A:$ZZ, MATCH(J$2, 'Daily 크랙 raw'!$A:$A, 0), MATCH($B31, 'Daily 크랙 raw'!$1:$1, 0)), ""), IF(val=0, "", val))</f>
        <v>48878</v>
      </c>
      <c r="K31" s="44">
        <f t="array" ref="K31">LET(val, IFERROR(INDEX('Daily 크랙 raw'!$A:$ZZ, MATCH(K$2, 'Daily 크랙 raw'!$A:$A, 0), MATCH($B31, 'Daily 크랙 raw'!$1:$1, 0)), ""), IF(val=0, "", val))</f>
        <v>49054</v>
      </c>
      <c r="L31" s="44">
        <f t="array" ref="L31">LET(val, IFERROR(INDEX('Daily 크랙 raw'!$A:$ZZ, MATCH(L$2, 'Daily 크랙 raw'!$A:$A, 0), MATCH($B31, 'Daily 크랙 raw'!$1:$1, 0)), ""), IF(val=0, "", val))</f>
        <v>48506</v>
      </c>
      <c r="M31" s="44">
        <f t="array" ref="M31">LET(val, IFERROR(INDEX('Daily 크랙 raw'!$A:$ZZ, MATCH(M$2, 'Daily 크랙 raw'!$A:$A, 0), MATCH($B31, 'Daily 크랙 raw'!$1:$1, 0)), ""), IF(val=0, "", val))</f>
        <v>51491</v>
      </c>
      <c r="N31" s="44">
        <f t="array" ref="N31">LET(val, IFERROR(INDEX('Daily 크랙 raw'!$A:$ZZ, MATCH(N$2, 'Daily 크랙 raw'!$A:$A, 0), MATCH($B31, 'Daily 크랙 raw'!$1:$1, 0)), ""), IF(val=0, "", val))</f>
        <v>51318</v>
      </c>
      <c r="O31" s="44">
        <f t="array" ref="O31">LET(val, IFERROR(INDEX('Daily 크랙 raw'!$A:$ZZ, MATCH(O$2, 'Daily 크랙 raw'!$A:$A, 0), MATCH($B31, 'Daily 크랙 raw'!$1:$1, 0)), ""), IF(val=0, "", val))</f>
        <v>49980</v>
      </c>
      <c r="P31" s="44">
        <f t="array" ref="P31">LET(val, IFERROR(INDEX('Daily 크랙 raw'!$A:$ZZ, MATCH(P$2, 'Daily 크랙 raw'!$A:$A, 0), MATCH($B31, 'Daily 크랙 raw'!$1:$1, 0)), ""), IF(val=0, "", val))</f>
        <v>49990</v>
      </c>
      <c r="Q31" s="44">
        <f t="array" ref="Q31">LET(val, IFERROR(INDEX('Daily 크랙 raw'!$A:$ZZ, MATCH(Q$2, 'Daily 크랙 raw'!$A:$A, 0), MATCH($B31, 'Daily 크랙 raw'!$1:$1, 0)), ""), IF(val=0, "", val))</f>
        <v>50637</v>
      </c>
      <c r="R31" s="44">
        <f t="array" ref="R31">LET(val, IFERROR(INDEX('Daily 크랙 raw'!$A:$ZZ, MATCH(R$2, 'Daily 크랙 raw'!$A:$A, 0), MATCH($B31, 'Daily 크랙 raw'!$1:$1, 0)), ""), IF(val=0, "", val))</f>
        <v>49449</v>
      </c>
      <c r="S31" s="44">
        <f t="array" ref="S31">LET(val, IFERROR(INDEX('Daily 크랙 raw'!$A:$ZZ, MATCH(S$2, 'Daily 크랙 raw'!$A:$A, 0), MATCH($B31, 'Daily 크랙 raw'!$1:$1, 0)), ""), IF(val=0, "", val))</f>
        <v>49068</v>
      </c>
      <c r="T31" s="44">
        <f t="array" ref="T31">LET(val, IFERROR(INDEX('Daily 크랙 raw'!$A:$ZZ, MATCH(T$2, 'Daily 크랙 raw'!$A:$A, 0), MATCH($B31, 'Daily 크랙 raw'!$1:$1, 0)), ""), IF(val=0, "", val))</f>
        <v>50480</v>
      </c>
      <c r="U31" s="44">
        <f t="array" ref="U31">LET(val, IFERROR(INDEX('Daily 크랙 raw'!$A:$ZZ, MATCH(U$2, 'Daily 크랙 raw'!$A:$A, 0), MATCH($B31, 'Daily 크랙 raw'!$1:$1, 0)), ""), IF(val=0, "", val))</f>
        <v>51861</v>
      </c>
      <c r="V31" s="44">
        <f t="array" ref="V31">LET(val, IFERROR(INDEX('Daily 크랙 raw'!$A:$ZZ, MATCH(V$2, 'Daily 크랙 raw'!$A:$A, 0), MATCH($B31, 'Daily 크랙 raw'!$1:$1, 0)), ""), IF(val=0, "", val))</f>
        <v>50258</v>
      </c>
      <c r="W31" s="44">
        <f t="array" ref="W31">LET(val, IFERROR(INDEX('Daily 크랙 raw'!$A:$ZZ, MATCH(W$2, 'Daily 크랙 raw'!$A:$A, 0), MATCH($B31, 'Daily 크랙 raw'!$1:$1, 0)), ""), IF(val=0, "", val))</f>
        <v>50318</v>
      </c>
      <c r="X31" s="44">
        <f t="array" ref="X31">LET(val, IFERROR(INDEX('Daily 크랙 raw'!$A:$ZZ, MATCH(X$2, 'Daily 크랙 raw'!$A:$A, 0), MATCH($B31, 'Daily 크랙 raw'!$1:$1, 0)), ""), IF(val=0, "", val))</f>
        <v>50867</v>
      </c>
      <c r="Y31" s="44">
        <f t="array" ref="Y31">LET(val, IFERROR(INDEX('Daily 크랙 raw'!$A:$ZZ, MATCH(Y$2, 'Daily 크랙 raw'!$A:$A, 0), MATCH($B31, 'Daily 크랙 raw'!$1:$1, 0)), ""), IF(val=0, "", val))</f>
        <v>49719</v>
      </c>
      <c r="Z31" s="44">
        <f t="array" ref="Z31">LET(val, IFERROR(INDEX('Daily 크랙 raw'!$A:$ZZ, MATCH(Z$2, 'Daily 크랙 raw'!$A:$A, 0), MATCH($B31, 'Daily 크랙 raw'!$1:$1, 0)), ""), IF(val=0, "", val))</f>
        <v>49986</v>
      </c>
      <c r="AA31" s="44">
        <f t="array" ref="AA31">LET(val, IFERROR(INDEX('Daily 크랙 raw'!$A:$ZZ, MATCH(AA$2, 'Daily 크랙 raw'!$A:$A, 0), MATCH($B31, 'Daily 크랙 raw'!$1:$1, 0)), ""), IF(val=0, "", val))</f>
        <v>51827</v>
      </c>
      <c r="AB31" s="44">
        <f t="array" ref="AB31">LET(val, IFERROR(INDEX('Daily 크랙 raw'!$A:$ZZ, MATCH(AB$2, 'Daily 크랙 raw'!$A:$A, 0), MATCH($B31, 'Daily 크랙 raw'!$1:$1, 0)), ""), IF(val=0, "", val))</f>
        <v>53159</v>
      </c>
      <c r="AC31" s="44">
        <f t="array" ref="AC31">LET(val, IFERROR(INDEX('Daily 크랙 raw'!$A:$ZZ, MATCH(AC$2, 'Daily 크랙 raw'!$A:$A, 0), MATCH($B31, 'Daily 크랙 raw'!$1:$1, 0)), ""), IF(val=0, "", val))</f>
        <v>51940</v>
      </c>
      <c r="AD31" s="44">
        <f t="array" ref="AD31">LET(val, IFERROR(INDEX('Daily 크랙 raw'!$A:$ZZ, MATCH(AD$2, 'Daily 크랙 raw'!$A:$A, 0), MATCH($B31, 'Daily 크랙 raw'!$1:$1, 0)), ""), IF(val=0, "", val))</f>
        <v>52088</v>
      </c>
      <c r="AE31" s="44">
        <f t="array" ref="AE31">LET(val, IFERROR(INDEX('Daily 크랙 raw'!$A:$ZZ, MATCH(AE$2, 'Daily 크랙 raw'!$A:$A, 0), MATCH($B31, 'Daily 크랙 raw'!$1:$1, 0)), ""), IF(val=0, "", val))</f>
        <v>52300</v>
      </c>
      <c r="AF31" s="44">
        <f t="array" ref="AF31">LET(val, IFERROR(INDEX('Daily 크랙 raw'!$A:$ZZ, MATCH(AF$2, 'Daily 크랙 raw'!$A:$A, 0), MATCH($B31, 'Daily 크랙 raw'!$1:$1, 0)), ""), IF(val=0, "", val))</f>
        <v>52352</v>
      </c>
      <c r="AG31" s="44">
        <f t="array" ref="AG31">LET(val, IFERROR(INDEX('Daily 크랙 raw'!$A:$ZZ, MATCH(AG$2, 'Daily 크랙 raw'!$A:$A, 0), MATCH($B31, 'Daily 크랙 raw'!$1:$1, 0)), ""), IF(val=0, "", val))</f>
        <v>51479</v>
      </c>
      <c r="AH31" s="44">
        <f t="array" ref="AH31">LET(val, IFERROR(INDEX('Daily 크랙 raw'!$A:$ZZ, MATCH(AH$2, 'Daily 크랙 raw'!$A:$A, 0), MATCH($B31, 'Daily 크랙 raw'!$1:$1, 0)), ""), IF(val=0, "", val))</f>
        <v>51360</v>
      </c>
      <c r="AI31" s="44">
        <f t="array" ref="AI31">LET(val, IFERROR(INDEX('Daily 크랙 raw'!$A:$ZZ, MATCH(AI$2, 'Daily 크랙 raw'!$A:$A, 0), MATCH($B31, 'Daily 크랙 raw'!$1:$1, 0)), ""), IF(val=0, "", val))</f>
        <v>52412</v>
      </c>
      <c r="AJ31" s="44">
        <f t="array" ref="AJ31">LET(val, IFERROR(INDEX('Daily 크랙 raw'!$A:$ZZ, MATCH(AJ$2, 'Daily 크랙 raw'!$A:$A, 0), MATCH($B31, 'Daily 크랙 raw'!$1:$1, 0)), ""), IF(val=0, "", val))</f>
        <v>52365</v>
      </c>
      <c r="AK31" s="44">
        <f t="array" ref="AK31">LET(val, IFERROR(INDEX('Daily 크랙 raw'!$A:$ZZ, MATCH(AK$2, 'Daily 크랙 raw'!$A:$A, 0), MATCH($B31, 'Daily 크랙 raw'!$1:$1, 0)), ""), IF(val=0, "", val))</f>
        <v>52415</v>
      </c>
      <c r="AL31" s="44">
        <f t="array" ref="AL31">LET(val, IFERROR(INDEX('Daily 크랙 raw'!$A:$ZZ, MATCH(AL$2, 'Daily 크랙 raw'!$A:$A, 0), MATCH($B31, 'Daily 크랙 raw'!$1:$1, 0)), ""), IF(val=0, "", val))</f>
        <v>52290</v>
      </c>
      <c r="AM31" s="44">
        <f t="array" ref="AM31">LET(val, IFERROR(INDEX('Daily 크랙 raw'!$A:$ZZ, MATCH(AM$2, 'Daily 크랙 raw'!$A:$A, 0), MATCH($B31, 'Daily 크랙 raw'!$1:$1, 0)), ""), IF(val=0, "", val))</f>
        <v>51891</v>
      </c>
      <c r="AN31" s="44">
        <f t="array" ref="AN31">LET(val, IFERROR(INDEX('Daily 크랙 raw'!$A:$ZZ, MATCH(AN$2, 'Daily 크랙 raw'!$A:$A, 0), MATCH($B31, 'Daily 크랙 raw'!$1:$1, 0)), ""), IF(val=0, "", val))</f>
        <v>51750</v>
      </c>
      <c r="AO31" s="44">
        <f t="array" ref="AO31">LET(val, IFERROR(INDEX('Daily 크랙 raw'!$A:$ZZ, MATCH(AO$2, 'Daily 크랙 raw'!$A:$A, 0), MATCH($B31, 'Daily 크랙 raw'!$1:$1, 0)), ""), IF(val=0, "", val))</f>
        <v>53147</v>
      </c>
      <c r="AP31" s="44">
        <f t="array" ref="AP31">LET(val, IFERROR(INDEX('Daily 크랙 raw'!$A:$ZZ, MATCH(AP$2, 'Daily 크랙 raw'!$A:$A, 0), MATCH($B31, 'Daily 크랙 raw'!$1:$1, 0)), ""), IF(val=0, "", val))</f>
        <v>53673</v>
      </c>
      <c r="AQ31" s="44">
        <f t="array" ref="AQ31">LET(val, IFERROR(INDEX('Daily 크랙 raw'!$A:$ZZ, MATCH(AQ$2, 'Daily 크랙 raw'!$A:$A, 0), MATCH($B31, 'Daily 크랙 raw'!$1:$1, 0)), ""), IF(val=0, "", val))</f>
        <v>51570</v>
      </c>
      <c r="AR31" s="44">
        <f t="array" ref="AR31">LET(val, IFERROR(INDEX('Daily 크랙 raw'!$A:$ZZ, MATCH(AR$2, 'Daily 크랙 raw'!$A:$A, 0), MATCH($B31, 'Daily 크랙 raw'!$1:$1, 0)), ""), IF(val=0, "", val))</f>
        <v>52504</v>
      </c>
      <c r="AS31" s="44">
        <f t="array" ref="AS31">LET(val, IFERROR(INDEX('Daily 크랙 raw'!$A:$ZZ, MATCH(AS$2, 'Daily 크랙 raw'!$A:$A, 0), MATCH($B31, 'Daily 크랙 raw'!$1:$1, 0)), ""), IF(val=0, "", val))</f>
        <v>52938</v>
      </c>
      <c r="AT31" s="44">
        <f t="array" ref="AT31">LET(val, IFERROR(INDEX('Daily 크랙 raw'!$A:$ZZ, MATCH(AT$2, 'Daily 크랙 raw'!$A:$A, 0), MATCH($B31, 'Daily 크랙 raw'!$1:$1, 0)), ""), IF(val=0, "", val))</f>
        <v>52968</v>
      </c>
      <c r="AU31" s="44">
        <f t="array" ref="AU31">LET(val, IFERROR(INDEX('Daily 크랙 raw'!$A:$ZZ, MATCH(AU$2, 'Daily 크랙 raw'!$A:$A, 0), MATCH($B31, 'Daily 크랙 raw'!$1:$1, 0)), ""), IF(val=0, "", val))</f>
        <v>53352</v>
      </c>
      <c r="AV31" s="44">
        <f t="array" ref="AV31">LET(val, IFERROR(INDEX('Daily 크랙 raw'!$A:$ZZ, MATCH(AV$2, 'Daily 크랙 raw'!$A:$A, 0), MATCH($B31, 'Daily 크랙 raw'!$1:$1, 0)), ""), IF(val=0, "", val))</f>
        <v>55661</v>
      </c>
      <c r="AW31" s="44">
        <f t="array" ref="AW31">LET(val, IFERROR(INDEX('Daily 크랙 raw'!$A:$ZZ, MATCH(AW$2, 'Daily 크랙 raw'!$A:$A, 0), MATCH($B31, 'Daily 크랙 raw'!$1:$1, 0)), ""), IF(val=0, "", val))</f>
        <v>55595</v>
      </c>
      <c r="AX31" s="44">
        <f t="array" ref="AX31">LET(val, IFERROR(INDEX('Daily 크랙 raw'!$A:$ZZ, MATCH(AX$2, 'Daily 크랙 raw'!$A:$A, 0), MATCH($B31, 'Daily 크랙 raw'!$1:$1, 0)), ""), IF(val=0, "", val))</f>
        <v>57838</v>
      </c>
      <c r="AY31" s="44">
        <f t="array" ref="AY31">LET(val, IFERROR(INDEX('Daily 크랙 raw'!$A:$ZZ, MATCH(AY$2, 'Daily 크랙 raw'!$A:$A, 0), MATCH($B31, 'Daily 크랙 raw'!$1:$1, 0)), ""), IF(val=0, "", val))</f>
        <v>56115</v>
      </c>
      <c r="AZ31" s="44">
        <f t="array" ref="AZ31">LET(val, IFERROR(INDEX('Daily 크랙 raw'!$A:$ZZ, MATCH(AZ$2, 'Daily 크랙 raw'!$A:$A, 0), MATCH($B31, 'Daily 크랙 raw'!$1:$1, 0)), ""), IF(val=0, "", val))</f>
        <v>61409</v>
      </c>
      <c r="BA31" s="44">
        <f t="array" ref="BA31">LET(val, IFERROR(INDEX('Daily 크랙 raw'!$A:$ZZ, MATCH(BA$2, 'Daily 크랙 raw'!$A:$A, 0), MATCH($B31, 'Daily 크랙 raw'!$1:$1, 0)), ""), IF(val=0, "", val))</f>
        <v>57932</v>
      </c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</row>
    <row r="32">
      <c r="A32" s="30"/>
      <c r="B32" s="16" t="s">
        <v>52</v>
      </c>
      <c r="C32" s="17" t="s">
        <v>22</v>
      </c>
      <c r="D32" s="44">
        <f t="array" ref="D32">LET(val, IFERROR(INDEX('Daily 크랙 raw'!$A:$ZZ, MATCH(D$2, 'Daily 크랙 raw'!$A:$A, 0), MATCH($B32, 'Daily 크랙 raw'!$1:$1, 0)), ""), IF(val=0, "", val))</f>
        <v>56143</v>
      </c>
      <c r="E32" s="44">
        <f t="array" ref="E32">LET(val, IFERROR(INDEX('Daily 크랙 raw'!$A:$ZZ, MATCH(E$2, 'Daily 크랙 raw'!$A:$A, 0), MATCH($B32, 'Daily 크랙 raw'!$1:$1, 0)), ""), IF(val=0, "", val))</f>
        <v>56021</v>
      </c>
      <c r="F32" s="44">
        <f t="array" ref="F32">LET(val, IFERROR(INDEX('Daily 크랙 raw'!$A:$ZZ, MATCH(F$2, 'Daily 크랙 raw'!$A:$A, 0), MATCH($B32, 'Daily 크랙 raw'!$1:$1, 0)), ""), IF(val=0, "", val))</f>
        <v>57229</v>
      </c>
      <c r="G32" s="44">
        <f t="array" ref="G32">LET(val, IFERROR(INDEX('Daily 크랙 raw'!$A:$ZZ, MATCH(G$2, 'Daily 크랙 raw'!$A:$A, 0), MATCH($B32, 'Daily 크랙 raw'!$1:$1, 0)), ""), IF(val=0, "", val))</f>
        <v>58471</v>
      </c>
      <c r="H32" s="44">
        <f t="array" ref="H32">LET(val, IFERROR(INDEX('Daily 크랙 raw'!$A:$ZZ, MATCH(H$2, 'Daily 크랙 raw'!$A:$A, 0), MATCH($B32, 'Daily 크랙 raw'!$1:$1, 0)), ""), IF(val=0, "", val))</f>
        <v>56756</v>
      </c>
      <c r="I32" s="44">
        <f t="array" ref="I32">LET(val, IFERROR(INDEX('Daily 크랙 raw'!$A:$ZZ, MATCH(I$2, 'Daily 크랙 raw'!$A:$A, 0), MATCH($B32, 'Daily 크랙 raw'!$1:$1, 0)), ""), IF(val=0, "", val))</f>
        <v>55285</v>
      </c>
      <c r="J32" s="44">
        <f t="array" ref="J32">LET(val, IFERROR(INDEX('Daily 크랙 raw'!$A:$ZZ, MATCH(J$2, 'Daily 크랙 raw'!$A:$A, 0), MATCH($B32, 'Daily 크랙 raw'!$1:$1, 0)), ""), IF(val=0, "", val))</f>
        <v>55129</v>
      </c>
      <c r="K32" s="44">
        <f t="array" ref="K32">LET(val, IFERROR(INDEX('Daily 크랙 raw'!$A:$ZZ, MATCH(K$2, 'Daily 크랙 raw'!$A:$A, 0), MATCH($B32, 'Daily 크랙 raw'!$1:$1, 0)), ""), IF(val=0, "", val))</f>
        <v>54986</v>
      </c>
      <c r="L32" s="44">
        <f t="array" ref="L32">LET(val, IFERROR(INDEX('Daily 크랙 raw'!$A:$ZZ, MATCH(L$2, 'Daily 크랙 raw'!$A:$A, 0), MATCH($B32, 'Daily 크랙 raw'!$1:$1, 0)), ""), IF(val=0, "", val))</f>
        <v>54900</v>
      </c>
      <c r="M32" s="44">
        <f t="array" ref="M32">LET(val, IFERROR(INDEX('Daily 크랙 raw'!$A:$ZZ, MATCH(M$2, 'Daily 크랙 raw'!$A:$A, 0), MATCH($B32, 'Daily 크랙 raw'!$1:$1, 0)), ""), IF(val=0, "", val))</f>
        <v>56256</v>
      </c>
      <c r="N32" s="44">
        <f t="array" ref="N32">LET(val, IFERROR(INDEX('Daily 크랙 raw'!$A:$ZZ, MATCH(N$2, 'Daily 크랙 raw'!$A:$A, 0), MATCH($B32, 'Daily 크랙 raw'!$1:$1, 0)), ""), IF(val=0, "", val))</f>
        <v>57187</v>
      </c>
      <c r="O32" s="44">
        <f t="array" ref="O32">LET(val, IFERROR(INDEX('Daily 크랙 raw'!$A:$ZZ, MATCH(O$2, 'Daily 크랙 raw'!$A:$A, 0), MATCH($B32, 'Daily 크랙 raw'!$1:$1, 0)), ""), IF(val=0, "", val))</f>
        <v>56771</v>
      </c>
      <c r="P32" s="44">
        <f t="array" ref="P32">LET(val, IFERROR(INDEX('Daily 크랙 raw'!$A:$ZZ, MATCH(P$2, 'Daily 크랙 raw'!$A:$A, 0), MATCH($B32, 'Daily 크랙 raw'!$1:$1, 0)), ""), IF(val=0, "", val))</f>
        <v>56454</v>
      </c>
      <c r="Q32" s="44">
        <f t="array" ref="Q32">LET(val, IFERROR(INDEX('Daily 크랙 raw'!$A:$ZZ, MATCH(Q$2, 'Daily 크랙 raw'!$A:$A, 0), MATCH($B32, 'Daily 크랙 raw'!$1:$1, 0)), ""), IF(val=0, "", val))</f>
        <v>75368</v>
      </c>
      <c r="R32" s="44">
        <f t="array" ref="R32">LET(val, IFERROR(INDEX('Daily 크랙 raw'!$A:$ZZ, MATCH(R$2, 'Daily 크랙 raw'!$A:$A, 0), MATCH($B32, 'Daily 크랙 raw'!$1:$1, 0)), ""), IF(val=0, "", val))</f>
        <v>58586</v>
      </c>
      <c r="S32" s="44">
        <f t="array" ref="S32">LET(val, IFERROR(INDEX('Daily 크랙 raw'!$A:$ZZ, MATCH(S$2, 'Daily 크랙 raw'!$A:$A, 0), MATCH($B32, 'Daily 크랙 raw'!$1:$1, 0)), ""), IF(val=0, "", val))</f>
        <v>57531</v>
      </c>
      <c r="T32" s="44">
        <f t="array" ref="T32">LET(val, IFERROR(INDEX('Daily 크랙 raw'!$A:$ZZ, MATCH(T$2, 'Daily 크랙 raw'!$A:$A, 0), MATCH($B32, 'Daily 크랙 raw'!$1:$1, 0)), ""), IF(val=0, "", val))</f>
        <v>66241</v>
      </c>
      <c r="U32" s="44">
        <f t="array" ref="U32">LET(val, IFERROR(INDEX('Daily 크랙 raw'!$A:$ZZ, MATCH(U$2, 'Daily 크랙 raw'!$A:$A, 0), MATCH($B32, 'Daily 크랙 raw'!$1:$1, 0)), ""), IF(val=0, "", val))</f>
        <v>61143</v>
      </c>
      <c r="V32" s="44">
        <f t="array" ref="V32">LET(val, IFERROR(INDEX('Daily 크랙 raw'!$A:$ZZ, MATCH(V$2, 'Daily 크랙 raw'!$A:$A, 0), MATCH($B32, 'Daily 크랙 raw'!$1:$1, 0)), ""), IF(val=0, "", val))</f>
        <v>59118</v>
      </c>
      <c r="W32" s="44">
        <f t="array" ref="W32">LET(val, IFERROR(INDEX('Daily 크랙 raw'!$A:$ZZ, MATCH(W$2, 'Daily 크랙 raw'!$A:$A, 0), MATCH($B32, 'Daily 크랙 raw'!$1:$1, 0)), ""), IF(val=0, "", val))</f>
        <v>65118</v>
      </c>
      <c r="X32" s="44">
        <f t="array" ref="X32">LET(val, IFERROR(INDEX('Daily 크랙 raw'!$A:$ZZ, MATCH(X$2, 'Daily 크랙 raw'!$A:$A, 0), MATCH($B32, 'Daily 크랙 raw'!$1:$1, 0)), ""), IF(val=0, "", val))</f>
        <v>59898</v>
      </c>
      <c r="Y32" s="44">
        <f t="array" ref="Y32">LET(val, IFERROR(INDEX('Daily 크랙 raw'!$A:$ZZ, MATCH(Y$2, 'Daily 크랙 raw'!$A:$A, 0), MATCH($B32, 'Daily 크랙 raw'!$1:$1, 0)), ""), IF(val=0, "", val))</f>
        <v>58351</v>
      </c>
      <c r="Z32" s="44">
        <f t="array" ref="Z32">LET(val, IFERROR(INDEX('Daily 크랙 raw'!$A:$ZZ, MATCH(Z$2, 'Daily 크랙 raw'!$A:$A, 0), MATCH($B32, 'Daily 크랙 raw'!$1:$1, 0)), ""), IF(val=0, "", val))</f>
        <v>63167</v>
      </c>
      <c r="AA32" s="44">
        <f t="array" ref="AA32">LET(val, IFERROR(INDEX('Daily 크랙 raw'!$A:$ZZ, MATCH(AA$2, 'Daily 크랙 raw'!$A:$A, 0), MATCH($B32, 'Daily 크랙 raw'!$1:$1, 0)), ""), IF(val=0, "", val))</f>
        <v>61274</v>
      </c>
      <c r="AB32" s="44">
        <f t="array" ref="AB32">LET(val, IFERROR(INDEX('Daily 크랙 raw'!$A:$ZZ, MATCH(AB$2, 'Daily 크랙 raw'!$A:$A, 0), MATCH($B32, 'Daily 크랙 raw'!$1:$1, 0)), ""), IF(val=0, "", val))</f>
        <v>62166</v>
      </c>
      <c r="AC32" s="44">
        <f t="array" ref="AC32">LET(val, IFERROR(INDEX('Daily 크랙 raw'!$A:$ZZ, MATCH(AC$2, 'Daily 크랙 raw'!$A:$A, 0), MATCH($B32, 'Daily 크랙 raw'!$1:$1, 0)), ""), IF(val=0, "", val))</f>
        <v>64892</v>
      </c>
      <c r="AD32" s="44">
        <f t="array" ref="AD32">LET(val, IFERROR(INDEX('Daily 크랙 raw'!$A:$ZZ, MATCH(AD$2, 'Daily 크랙 raw'!$A:$A, 0), MATCH($B32, 'Daily 크랙 raw'!$1:$1, 0)), ""), IF(val=0, "", val))</f>
        <v>58319</v>
      </c>
      <c r="AE32" s="44">
        <f t="array" ref="AE32">LET(val, IFERROR(INDEX('Daily 크랙 raw'!$A:$ZZ, MATCH(AE$2, 'Daily 크랙 raw'!$A:$A, 0), MATCH($B32, 'Daily 크랙 raw'!$1:$1, 0)), ""), IF(val=0, "", val))</f>
        <v>58219</v>
      </c>
      <c r="AF32" s="44">
        <f t="array" ref="AF32">LET(val, IFERROR(INDEX('Daily 크랙 raw'!$A:$ZZ, MATCH(AF$2, 'Daily 크랙 raw'!$A:$A, 0), MATCH($B32, 'Daily 크랙 raw'!$1:$1, 0)), ""), IF(val=0, "", val))</f>
        <v>58366</v>
      </c>
      <c r="AG32" s="44">
        <f t="array" ref="AG32">LET(val, IFERROR(INDEX('Daily 크랙 raw'!$A:$ZZ, MATCH(AG$2, 'Daily 크랙 raw'!$A:$A, 0), MATCH($B32, 'Daily 크랙 raw'!$1:$1, 0)), ""), IF(val=0, "", val))</f>
        <v>57723</v>
      </c>
      <c r="AH32" s="44">
        <f t="array" ref="AH32">LET(val, IFERROR(INDEX('Daily 크랙 raw'!$A:$ZZ, MATCH(AH$2, 'Daily 크랙 raw'!$A:$A, 0), MATCH($B32, 'Daily 크랙 raw'!$1:$1, 0)), ""), IF(val=0, "", val))</f>
        <v>57637</v>
      </c>
      <c r="AI32" s="44">
        <f t="array" ref="AI32">LET(val, IFERROR(INDEX('Daily 크랙 raw'!$A:$ZZ, MATCH(AI$2, 'Daily 크랙 raw'!$A:$A, 0), MATCH($B32, 'Daily 크랙 raw'!$1:$1, 0)), ""), IF(val=0, "", val))</f>
        <v>58593</v>
      </c>
      <c r="AJ32" s="44">
        <f t="array" ref="AJ32">LET(val, IFERROR(INDEX('Daily 크랙 raw'!$A:$ZZ, MATCH(AJ$2, 'Daily 크랙 raw'!$A:$A, 0), MATCH($B32, 'Daily 크랙 raw'!$1:$1, 0)), ""), IF(val=0, "", val))</f>
        <v>58184</v>
      </c>
      <c r="AK32" s="44">
        <f t="array" ref="AK32">LET(val, IFERROR(INDEX('Daily 크랙 raw'!$A:$ZZ, MATCH(AK$2, 'Daily 크랙 raw'!$A:$A, 0), MATCH($B32, 'Daily 크랙 raw'!$1:$1, 0)), ""), IF(val=0, "", val))</f>
        <v>58177</v>
      </c>
      <c r="AL32" s="44">
        <f t="array" ref="AL32">LET(val, IFERROR(INDEX('Daily 크랙 raw'!$A:$ZZ, MATCH(AL$2, 'Daily 크랙 raw'!$A:$A, 0), MATCH($B32, 'Daily 크랙 raw'!$1:$1, 0)), ""), IF(val=0, "", val))</f>
        <v>57964</v>
      </c>
      <c r="AM32" s="44">
        <f t="array" ref="AM32">LET(val, IFERROR(INDEX('Daily 크랙 raw'!$A:$ZZ, MATCH(AM$2, 'Daily 크랙 raw'!$A:$A, 0), MATCH($B32, 'Daily 크랙 raw'!$1:$1, 0)), ""), IF(val=0, "", val))</f>
        <v>58027</v>
      </c>
      <c r="AN32" s="44">
        <f t="array" ref="AN32">LET(val, IFERROR(INDEX('Daily 크랙 raw'!$A:$ZZ, MATCH(AN$2, 'Daily 크랙 raw'!$A:$A, 0), MATCH($B32, 'Daily 크랙 raw'!$1:$1, 0)), ""), IF(val=0, "", val))</f>
        <v>58351</v>
      </c>
      <c r="AO32" s="44">
        <f t="array" ref="AO32">LET(val, IFERROR(INDEX('Daily 크랙 raw'!$A:$ZZ, MATCH(AO$2, 'Daily 크랙 raw'!$A:$A, 0), MATCH($B32, 'Daily 크랙 raw'!$1:$1, 0)), ""), IF(val=0, "", val))</f>
        <v>59570</v>
      </c>
      <c r="AP32" s="44">
        <f t="array" ref="AP32">LET(val, IFERROR(INDEX('Daily 크랙 raw'!$A:$ZZ, MATCH(AP$2, 'Daily 크랙 raw'!$A:$A, 0), MATCH($B32, 'Daily 크랙 raw'!$1:$1, 0)), ""), IF(val=0, "", val))</f>
        <v>59947</v>
      </c>
      <c r="AQ32" s="44">
        <f t="array" ref="AQ32">LET(val, IFERROR(INDEX('Daily 크랙 raw'!$A:$ZZ, MATCH(AQ$2, 'Daily 크랙 raw'!$A:$A, 0), MATCH($B32, 'Daily 크랙 raw'!$1:$1, 0)), ""), IF(val=0, "", val))</f>
        <v>58795</v>
      </c>
      <c r="AR32" s="44">
        <f t="array" ref="AR32">LET(val, IFERROR(INDEX('Daily 크랙 raw'!$A:$ZZ, MATCH(AR$2, 'Daily 크랙 raw'!$A:$A, 0), MATCH($B32, 'Daily 크랙 raw'!$1:$1, 0)), ""), IF(val=0, "", val))</f>
        <v>59042</v>
      </c>
      <c r="AS32" s="44">
        <f t="array" ref="AS32">LET(val, IFERROR(INDEX('Daily 크랙 raw'!$A:$ZZ, MATCH(AS$2, 'Daily 크랙 raw'!$A:$A, 0), MATCH($B32, 'Daily 크랙 raw'!$1:$1, 0)), ""), IF(val=0, "", val))</f>
        <v>58991</v>
      </c>
      <c r="AT32" s="44">
        <f t="array" ref="AT32">LET(val, IFERROR(INDEX('Daily 크랙 raw'!$A:$ZZ, MATCH(AT$2, 'Daily 크랙 raw'!$A:$A, 0), MATCH($B32, 'Daily 크랙 raw'!$1:$1, 0)), ""), IF(val=0, "", val))</f>
        <v>59411</v>
      </c>
      <c r="AU32" s="44">
        <f t="array" ref="AU32">LET(val, IFERROR(INDEX('Daily 크랙 raw'!$A:$ZZ, MATCH(AU$2, 'Daily 크랙 raw'!$A:$A, 0), MATCH($B32, 'Daily 크랙 raw'!$1:$1, 0)), ""), IF(val=0, "", val))</f>
        <v>59730</v>
      </c>
      <c r="AV32" s="44">
        <f t="array" ref="AV32">LET(val, IFERROR(INDEX('Daily 크랙 raw'!$A:$ZZ, MATCH(AV$2, 'Daily 크랙 raw'!$A:$A, 0), MATCH($B32, 'Daily 크랙 raw'!$1:$1, 0)), ""), IF(val=0, "", val))</f>
        <v>61737</v>
      </c>
      <c r="AW32" s="44">
        <f t="array" ref="AW32">LET(val, IFERROR(INDEX('Daily 크랙 raw'!$A:$ZZ, MATCH(AW$2, 'Daily 크랙 raw'!$A:$A, 0), MATCH($B32, 'Daily 크랙 raw'!$1:$1, 0)), ""), IF(val=0, "", val))</f>
        <v>62574</v>
      </c>
      <c r="AX32" s="44">
        <f t="array" ref="AX32">LET(val, IFERROR(INDEX('Daily 크랙 raw'!$A:$ZZ, MATCH(AX$2, 'Daily 크랙 raw'!$A:$A, 0), MATCH($B32, 'Daily 크랙 raw'!$1:$1, 0)), ""), IF(val=0, "", val))</f>
        <v>63698</v>
      </c>
      <c r="AY32" s="44">
        <f t="array" ref="AY32">LET(val, IFERROR(INDEX('Daily 크랙 raw'!$A:$ZZ, MATCH(AY$2, 'Daily 크랙 raw'!$A:$A, 0), MATCH($B32, 'Daily 크랙 raw'!$1:$1, 0)), ""), IF(val=0, "", val))</f>
        <v>63084</v>
      </c>
      <c r="AZ32" s="44">
        <f t="array" ref="AZ32">LET(val, IFERROR(INDEX('Daily 크랙 raw'!$A:$ZZ, MATCH(AZ$2, 'Daily 크랙 raw'!$A:$A, 0), MATCH($B32, 'Daily 크랙 raw'!$1:$1, 0)), ""), IF(val=0, "", val))</f>
        <v>66301</v>
      </c>
      <c r="BA32" s="44">
        <f t="array" ref="BA32">LET(val, IFERROR(INDEX('Daily 크랙 raw'!$A:$ZZ, MATCH(BA$2, 'Daily 크랙 raw'!$A:$A, 0), MATCH($B32, 'Daily 크랙 raw'!$1:$1, 0)), ""), IF(val=0, "", val))</f>
        <v>64762</v>
      </c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</row>
    <row r="33">
      <c r="A33" s="30"/>
      <c r="B33" s="16" t="s">
        <v>53</v>
      </c>
      <c r="C33" s="17" t="s">
        <v>47</v>
      </c>
      <c r="D33" s="44">
        <f t="array" ref="D33">LET(val, IFERROR(INDEX('Daily 크랙 raw'!$A:$ZZ, MATCH(D$2, 'Daily 크랙 raw'!$A:$A, 0), MATCH($B33, 'Daily 크랙 raw'!$1:$1, 0)), ""), IF(val=0, "", val))</f>
        <v>58519</v>
      </c>
      <c r="E33" s="44">
        <f t="array" ref="E33">LET(val, IFERROR(INDEX('Daily 크랙 raw'!$A:$ZZ, MATCH(E$2, 'Daily 크랙 raw'!$A:$A, 0), MATCH($B33, 'Daily 크랙 raw'!$1:$1, 0)), ""), IF(val=0, "", val))</f>
        <v>61747</v>
      </c>
      <c r="F33" s="44">
        <f t="array" ref="F33">LET(val, IFERROR(INDEX('Daily 크랙 raw'!$A:$ZZ, MATCH(F$2, 'Daily 크랙 raw'!$A:$A, 0), MATCH($B33, 'Daily 크랙 raw'!$1:$1, 0)), ""), IF(val=0, "", val))</f>
        <v>61804</v>
      </c>
      <c r="G33" s="44">
        <f t="array" ref="G33">LET(val, IFERROR(INDEX('Daily 크랙 raw'!$A:$ZZ, MATCH(G$2, 'Daily 크랙 raw'!$A:$A, 0), MATCH($B33, 'Daily 크랙 raw'!$1:$1, 0)), ""), IF(val=0, "", val))</f>
        <v>63183</v>
      </c>
      <c r="H33" s="44">
        <f t="array" ref="H33">LET(val, IFERROR(INDEX('Daily 크랙 raw'!$A:$ZZ, MATCH(H$2, 'Daily 크랙 raw'!$A:$A, 0), MATCH($B33, 'Daily 크랙 raw'!$1:$1, 0)), ""), IF(val=0, "", val))</f>
        <v>63187</v>
      </c>
      <c r="I33" s="44">
        <f t="array" ref="I33">LET(val, IFERROR(INDEX('Daily 크랙 raw'!$A:$ZZ, MATCH(I$2, 'Daily 크랙 raw'!$A:$A, 0), MATCH($B33, 'Daily 크랙 raw'!$1:$1, 0)), ""), IF(val=0, "", val))</f>
        <v>61856</v>
      </c>
      <c r="J33" s="44">
        <f t="array" ref="J33">LET(val, IFERROR(INDEX('Daily 크랙 raw'!$A:$ZZ, MATCH(J$2, 'Daily 크랙 raw'!$A:$A, 0), MATCH($B33, 'Daily 크랙 raw'!$1:$1, 0)), ""), IF(val=0, "", val))</f>
        <v>61851</v>
      </c>
      <c r="K33" s="44">
        <f t="array" ref="K33">LET(val, IFERROR(INDEX('Daily 크랙 raw'!$A:$ZZ, MATCH(K$2, 'Daily 크랙 raw'!$A:$A, 0), MATCH($B33, 'Daily 크랙 raw'!$1:$1, 0)), ""), IF(val=0, "", val))</f>
        <v>61425</v>
      </c>
      <c r="L33" s="44">
        <f t="array" ref="L33">LET(val, IFERROR(INDEX('Daily 크랙 raw'!$A:$ZZ, MATCH(L$2, 'Daily 크랙 raw'!$A:$A, 0), MATCH($B33, 'Daily 크랙 raw'!$1:$1, 0)), ""), IF(val=0, "", val))</f>
        <v>61411</v>
      </c>
      <c r="M33" s="44">
        <f t="array" ref="M33">LET(val, IFERROR(INDEX('Daily 크랙 raw'!$A:$ZZ, MATCH(M$2, 'Daily 크랙 raw'!$A:$A, 0), MATCH($B33, 'Daily 크랙 raw'!$1:$1, 0)), ""), IF(val=0, "", val))</f>
        <v>61768</v>
      </c>
      <c r="N33" s="44">
        <f t="array" ref="N33">LET(val, IFERROR(INDEX('Daily 크랙 raw'!$A:$ZZ, MATCH(N$2, 'Daily 크랙 raw'!$A:$A, 0), MATCH($B33, 'Daily 크랙 raw'!$1:$1, 0)), ""), IF(val=0, "", val))</f>
        <v>62544</v>
      </c>
      <c r="O33" s="44">
        <f t="array" ref="O33">LET(val, IFERROR(INDEX('Daily 크랙 raw'!$A:$ZZ, MATCH(O$2, 'Daily 크랙 raw'!$A:$A, 0), MATCH($B33, 'Daily 크랙 raw'!$1:$1, 0)), ""), IF(val=0, "", val))</f>
        <v>62346</v>
      </c>
      <c r="P33" s="44">
        <f t="array" ref="P33">LET(val, IFERROR(INDEX('Daily 크랙 raw'!$A:$ZZ, MATCH(P$2, 'Daily 크랙 raw'!$A:$A, 0), MATCH($B33, 'Daily 크랙 raw'!$1:$1, 0)), ""), IF(val=0, "", val))</f>
        <v>62213</v>
      </c>
      <c r="Q33" s="44">
        <f t="array" ref="Q33">LET(val, IFERROR(INDEX('Daily 크랙 raw'!$A:$ZZ, MATCH(Q$2, 'Daily 크랙 raw'!$A:$A, 0), MATCH($B33, 'Daily 크랙 raw'!$1:$1, 0)), ""), IF(val=0, "", val))</f>
        <v>62470</v>
      </c>
      <c r="R33" s="44">
        <f t="array" ref="R33">LET(val, IFERROR(INDEX('Daily 크랙 raw'!$A:$ZZ, MATCH(R$2, 'Daily 크랙 raw'!$A:$A, 0), MATCH($B33, 'Daily 크랙 raw'!$1:$1, 0)), ""), IF(val=0, "", val))</f>
        <v>62010</v>
      </c>
      <c r="S33" s="44">
        <f t="array" ref="S33">LET(val, IFERROR(INDEX('Daily 크랙 raw'!$A:$ZZ, MATCH(S$2, 'Daily 크랙 raw'!$A:$A, 0), MATCH($B33, 'Daily 크랙 raw'!$1:$1, 0)), ""), IF(val=0, "", val))</f>
        <v>61538</v>
      </c>
      <c r="T33" s="44">
        <f t="array" ref="T33">LET(val, IFERROR(INDEX('Daily 크랙 raw'!$A:$ZZ, MATCH(T$2, 'Daily 크랙 raw'!$A:$A, 0), MATCH($B33, 'Daily 크랙 raw'!$1:$1, 0)), ""), IF(val=0, "", val))</f>
        <v>62037</v>
      </c>
      <c r="U33" s="44">
        <f t="array" ref="U33">LET(val, IFERROR(INDEX('Daily 크랙 raw'!$A:$ZZ, MATCH(U$2, 'Daily 크랙 raw'!$A:$A, 0), MATCH($B33, 'Daily 크랙 raw'!$1:$1, 0)), ""), IF(val=0, "", val))</f>
        <v>63388</v>
      </c>
      <c r="V33" s="44">
        <f t="array" ref="V33">LET(val, IFERROR(INDEX('Daily 크랙 raw'!$A:$ZZ, MATCH(V$2, 'Daily 크랙 raw'!$A:$A, 0), MATCH($B33, 'Daily 크랙 raw'!$1:$1, 0)), ""), IF(val=0, "", val))</f>
        <v>63183</v>
      </c>
      <c r="W33" s="44">
        <f t="array" ref="W33">LET(val, IFERROR(INDEX('Daily 크랙 raw'!$A:$ZZ, MATCH(W$2, 'Daily 크랙 raw'!$A:$A, 0), MATCH($B33, 'Daily 크랙 raw'!$1:$1, 0)), ""), IF(val=0, "", val))</f>
        <v>63434</v>
      </c>
      <c r="X33" s="44">
        <f t="array" ref="X33">LET(val, IFERROR(INDEX('Daily 크랙 raw'!$A:$ZZ, MATCH(X$2, 'Daily 크랙 raw'!$A:$A, 0), MATCH($B33, 'Daily 크랙 raw'!$1:$1, 0)), ""), IF(val=0, "", val))</f>
        <v>63158</v>
      </c>
      <c r="Y33" s="44">
        <f t="array" ref="Y33">LET(val, IFERROR(INDEX('Daily 크랙 raw'!$A:$ZZ, MATCH(Y$2, 'Daily 크랙 raw'!$A:$A, 0), MATCH($B33, 'Daily 크랙 raw'!$1:$1, 0)), ""), IF(val=0, "", val))</f>
        <v>62584</v>
      </c>
      <c r="Z33" s="44">
        <f t="array" ref="Z33">LET(val, IFERROR(INDEX('Daily 크랙 raw'!$A:$ZZ, MATCH(Z$2, 'Daily 크랙 raw'!$A:$A, 0), MATCH($B33, 'Daily 크랙 raw'!$1:$1, 0)), ""), IF(val=0, "", val))</f>
        <v>62630</v>
      </c>
      <c r="AA33" s="44">
        <f t="array" ref="AA33">LET(val, IFERROR(INDEX('Daily 크랙 raw'!$A:$ZZ, MATCH(AA$2, 'Daily 크랙 raw'!$A:$A, 0), MATCH($B33, 'Daily 크랙 raw'!$1:$1, 0)), ""), IF(val=0, "", val))</f>
        <v>63664</v>
      </c>
      <c r="AB33" s="44">
        <f t="array" ref="AB33">LET(val, IFERROR(INDEX('Daily 크랙 raw'!$A:$ZZ, MATCH(AB$2, 'Daily 크랙 raw'!$A:$A, 0), MATCH($B33, 'Daily 크랙 raw'!$1:$1, 0)), ""), IF(val=0, "", val))</f>
        <v>65141</v>
      </c>
      <c r="AC33" s="44">
        <f t="array" ref="AC33">LET(val, IFERROR(INDEX('Daily 크랙 raw'!$A:$ZZ, MATCH(AC$2, 'Daily 크랙 raw'!$A:$A, 0), MATCH($B33, 'Daily 크랙 raw'!$1:$1, 0)), ""), IF(val=0, "", val))</f>
        <v>65059</v>
      </c>
      <c r="AD33" s="44">
        <f t="array" ref="AD33">LET(val, IFERROR(INDEX('Daily 크랙 raw'!$A:$ZZ, MATCH(AD$2, 'Daily 크랙 raw'!$A:$A, 0), MATCH($B33, 'Daily 크랙 raw'!$1:$1, 0)), ""), IF(val=0, "", val))</f>
        <v>64905</v>
      </c>
      <c r="AE33" s="44">
        <f t="array" ref="AE33">LET(val, IFERROR(INDEX('Daily 크랙 raw'!$A:$ZZ, MATCH(AE$2, 'Daily 크랙 raw'!$A:$A, 0), MATCH($B33, 'Daily 크랙 raw'!$1:$1, 0)), ""), IF(val=0, "", val))</f>
        <v>65312</v>
      </c>
      <c r="AF33" s="44">
        <f t="array" ref="AF33">LET(val, IFERROR(INDEX('Daily 크랙 raw'!$A:$ZZ, MATCH(AF$2, 'Daily 크랙 raw'!$A:$A, 0), MATCH($B33, 'Daily 크랙 raw'!$1:$1, 0)), ""), IF(val=0, "", val))</f>
        <v>64978</v>
      </c>
      <c r="AG33" s="44">
        <f t="array" ref="AG33">LET(val, IFERROR(INDEX('Daily 크랙 raw'!$A:$ZZ, MATCH(AG$2, 'Daily 크랙 raw'!$A:$A, 0), MATCH($B33, 'Daily 크랙 raw'!$1:$1, 0)), ""), IF(val=0, "", val))</f>
        <v>64387</v>
      </c>
      <c r="AH33" s="44">
        <f t="array" ref="AH33">LET(val, IFERROR(INDEX('Daily 크랙 raw'!$A:$ZZ, MATCH(AH$2, 'Daily 크랙 raw'!$A:$A, 0), MATCH($B33, 'Daily 크랙 raw'!$1:$1, 0)), ""), IF(val=0, "", val))</f>
        <v>64396</v>
      </c>
      <c r="AI33" s="44">
        <f t="array" ref="AI33">LET(val, IFERROR(INDEX('Daily 크랙 raw'!$A:$ZZ, MATCH(AI$2, 'Daily 크랙 raw'!$A:$A, 0), MATCH($B33, 'Daily 크랙 raw'!$1:$1, 0)), ""), IF(val=0, "", val))</f>
        <v>65470</v>
      </c>
      <c r="AJ33" s="44">
        <f t="array" ref="AJ33">LET(val, IFERROR(INDEX('Daily 크랙 raw'!$A:$ZZ, MATCH(AJ$2, 'Daily 크랙 raw'!$A:$A, 0), MATCH($B33, 'Daily 크랙 raw'!$1:$1, 0)), ""), IF(val=0, "", val))</f>
        <v>65461</v>
      </c>
      <c r="AK33" s="44">
        <f t="array" ref="AK33">LET(val, IFERROR(INDEX('Daily 크랙 raw'!$A:$ZZ, MATCH(AK$2, 'Daily 크랙 raw'!$A:$A, 0), MATCH($B33, 'Daily 크랙 raw'!$1:$1, 0)), ""), IF(val=0, "", val))</f>
        <v>65124</v>
      </c>
      <c r="AL33" s="44">
        <f t="array" ref="AL33">LET(val, IFERROR(INDEX('Daily 크랙 raw'!$A:$ZZ, MATCH(AL$2, 'Daily 크랙 raw'!$A:$A, 0), MATCH($B33, 'Daily 크랙 raw'!$1:$1, 0)), ""), IF(val=0, "", val))</f>
        <v>64946</v>
      </c>
      <c r="AM33" s="44">
        <f t="array" ref="AM33">LET(val, IFERROR(INDEX('Daily 크랙 raw'!$A:$ZZ, MATCH(AM$2, 'Daily 크랙 raw'!$A:$A, 0), MATCH($B33, 'Daily 크랙 raw'!$1:$1, 0)), ""), IF(val=0, "", val))</f>
        <v>64759</v>
      </c>
      <c r="AN33" s="44">
        <f t="array" ref="AN33">LET(val, IFERROR(INDEX('Daily 크랙 raw'!$A:$ZZ, MATCH(AN$2, 'Daily 크랙 raw'!$A:$A, 0), MATCH($B33, 'Daily 크랙 raw'!$1:$1, 0)), ""), IF(val=0, "", val))</f>
        <v>64792</v>
      </c>
      <c r="AO33" s="44">
        <f t="array" ref="AO33">LET(val, IFERROR(INDEX('Daily 크랙 raw'!$A:$ZZ, MATCH(AO$2, 'Daily 크랙 raw'!$A:$A, 0), MATCH($B33, 'Daily 크랙 raw'!$1:$1, 0)), ""), IF(val=0, "", val))</f>
        <v>65177</v>
      </c>
      <c r="AP33" s="44">
        <f t="array" ref="AP33">LET(val, IFERROR(INDEX('Daily 크랙 raw'!$A:$ZZ, MATCH(AP$2, 'Daily 크랙 raw'!$A:$A, 0), MATCH($B33, 'Daily 크랙 raw'!$1:$1, 0)), ""), IF(val=0, "", val))</f>
        <v>66150</v>
      </c>
      <c r="AQ33" s="44">
        <f t="array" ref="AQ33">LET(val, IFERROR(INDEX('Daily 크랙 raw'!$A:$ZZ, MATCH(AQ$2, 'Daily 크랙 raw'!$A:$A, 0), MATCH($B33, 'Daily 크랙 raw'!$1:$1, 0)), ""), IF(val=0, "", val))</f>
        <v>66202</v>
      </c>
      <c r="AR33" s="44">
        <f t="array" ref="AR33">LET(val, IFERROR(INDEX('Daily 크랙 raw'!$A:$ZZ, MATCH(AR$2, 'Daily 크랙 raw'!$A:$A, 0), MATCH($B33, 'Daily 크랙 raw'!$1:$1, 0)), ""), IF(val=0, "", val))</f>
        <v>66357</v>
      </c>
      <c r="AS33" s="44">
        <f t="array" ref="AS33">LET(val, IFERROR(INDEX('Daily 크랙 raw'!$A:$ZZ, MATCH(AS$2, 'Daily 크랙 raw'!$A:$A, 0), MATCH($B33, 'Daily 크랙 raw'!$1:$1, 0)), ""), IF(val=0, "", val))</f>
        <v>66225</v>
      </c>
      <c r="AT33" s="44">
        <f t="array" ref="AT33">LET(val, IFERROR(INDEX('Daily 크랙 raw'!$A:$ZZ, MATCH(AT$2, 'Daily 크랙 raw'!$A:$A, 0), MATCH($B33, 'Daily 크랙 raw'!$1:$1, 0)), ""), IF(val=0, "", val))</f>
        <v>66183</v>
      </c>
      <c r="AU33" s="44">
        <f t="array" ref="AU33">LET(val, IFERROR(INDEX('Daily 크랙 raw'!$A:$ZZ, MATCH(AU$2, 'Daily 크랙 raw'!$A:$A, 0), MATCH($B33, 'Daily 크랙 raw'!$1:$1, 0)), ""), IF(val=0, "", val))</f>
        <v>66045</v>
      </c>
      <c r="AV33" s="44">
        <f t="array" ref="AV33">LET(val, IFERROR(INDEX('Daily 크랙 raw'!$A:$ZZ, MATCH(AV$2, 'Daily 크랙 raw'!$A:$A, 0), MATCH($B33, 'Daily 크랙 raw'!$1:$1, 0)), ""), IF(val=0, "", val))</f>
        <v>69644</v>
      </c>
      <c r="AW33" s="44">
        <f t="array" ref="AW33">LET(val, IFERROR(INDEX('Daily 크랙 raw'!$A:$ZZ, MATCH(AW$2, 'Daily 크랙 raw'!$A:$A, 0), MATCH($B33, 'Daily 크랙 raw'!$1:$1, 0)), ""), IF(val=0, "", val))</f>
        <v>71491</v>
      </c>
      <c r="AX33" s="44">
        <f t="array" ref="AX33">LET(val, IFERROR(INDEX('Daily 크랙 raw'!$A:$ZZ, MATCH(AX$2, 'Daily 크랙 raw'!$A:$A, 0), MATCH($B33, 'Daily 크랙 raw'!$1:$1, 0)), ""), IF(val=0, "", val))</f>
        <v>73208</v>
      </c>
      <c r="AY33" s="44">
        <f t="array" ref="AY33">LET(val, IFERROR(INDEX('Daily 크랙 raw'!$A:$ZZ, MATCH(AY$2, 'Daily 크랙 raw'!$A:$A, 0), MATCH($B33, 'Daily 크랙 raw'!$1:$1, 0)), ""), IF(val=0, "", val))</f>
        <v>73786</v>
      </c>
      <c r="AZ33" s="44">
        <f t="array" ref="AZ33">LET(val, IFERROR(INDEX('Daily 크랙 raw'!$A:$ZZ, MATCH(AZ$2, 'Daily 크랙 raw'!$A:$A, 0), MATCH($B33, 'Daily 크랙 raw'!$1:$1, 0)), ""), IF(val=0, "", val))</f>
        <v>75061</v>
      </c>
      <c r="BA33" s="44">
        <f t="array" ref="BA33">LET(val, IFERROR(INDEX('Daily 크랙 raw'!$A:$ZZ, MATCH(BA$2, 'Daily 크랙 raw'!$A:$A, 0), MATCH($B33, 'Daily 크랙 raw'!$1:$1, 0)), ""), IF(val=0, "", val))</f>
        <v>75719</v>
      </c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</row>
    <row r="34">
      <c r="A34" s="30"/>
      <c r="B34" s="16" t="s">
        <v>54</v>
      </c>
      <c r="C34" s="17" t="s">
        <v>20</v>
      </c>
      <c r="D34" s="44">
        <f t="array" ref="D34">LET(val, IFERROR(INDEX('Daily 크랙 raw'!$A:$ZZ, MATCH(D$2, 'Daily 크랙 raw'!$A:$A, 0), MATCH($B34, 'Daily 크랙 raw'!$1:$1, 0)), ""), IF(val=0, "", val))</f>
        <v>9671</v>
      </c>
      <c r="E34" s="44">
        <f t="array" ref="E34">LET(val, IFERROR(INDEX('Daily 크랙 raw'!$A:$ZZ, MATCH(E$2, 'Daily 크랙 raw'!$A:$A, 0), MATCH($B34, 'Daily 크랙 raw'!$1:$1, 0)), ""), IF(val=0, "", val))</f>
        <v>9061</v>
      </c>
      <c r="F34" s="44">
        <f t="array" ref="F34">LET(val, IFERROR(INDEX('Daily 크랙 raw'!$A:$ZZ, MATCH(F$2, 'Daily 크랙 raw'!$A:$A, 0), MATCH($B34, 'Daily 크랙 raw'!$1:$1, 0)), ""), IF(val=0, "", val))</f>
        <v>9404</v>
      </c>
      <c r="G34" s="44">
        <f t="array" ref="G34">LET(val, IFERROR(INDEX('Daily 크랙 raw'!$A:$ZZ, MATCH(G$2, 'Daily 크랙 raw'!$A:$A, 0), MATCH($B34, 'Daily 크랙 raw'!$1:$1, 0)), ""), IF(val=0, "", val))</f>
        <v>10168</v>
      </c>
      <c r="H34" s="44">
        <f t="array" ref="H34">LET(val, IFERROR(INDEX('Daily 크랙 raw'!$A:$ZZ, MATCH(H$2, 'Daily 크랙 raw'!$A:$A, 0), MATCH($B34, 'Daily 크랙 raw'!$1:$1, 0)), ""), IF(val=0, "", val))</f>
        <v>10207</v>
      </c>
      <c r="I34" s="44">
        <f t="array" ref="I34">LET(val, IFERROR(INDEX('Daily 크랙 raw'!$A:$ZZ, MATCH(I$2, 'Daily 크랙 raw'!$A:$A, 0), MATCH($B34, 'Daily 크랙 raw'!$1:$1, 0)), ""), IF(val=0, "", val))</f>
        <v>8760</v>
      </c>
      <c r="J34" s="44">
        <f t="array" ref="J34">LET(val, IFERROR(INDEX('Daily 크랙 raw'!$A:$ZZ, MATCH(J$2, 'Daily 크랙 raw'!$A:$A, 0), MATCH($B34, 'Daily 크랙 raw'!$1:$1, 0)), ""), IF(val=0, "", val))</f>
        <v>8995</v>
      </c>
      <c r="K34" s="44">
        <f t="array" ref="K34">LET(val, IFERROR(INDEX('Daily 크랙 raw'!$A:$ZZ, MATCH(K$2, 'Daily 크랙 raw'!$A:$A, 0), MATCH($B34, 'Daily 크랙 raw'!$1:$1, 0)), ""), IF(val=0, "", val))</f>
        <v>9033</v>
      </c>
      <c r="L34" s="44">
        <f t="array" ref="L34">LET(val, IFERROR(INDEX('Daily 크랙 raw'!$A:$ZZ, MATCH(L$2, 'Daily 크랙 raw'!$A:$A, 0), MATCH($B34, 'Daily 크랙 raw'!$1:$1, 0)), ""), IF(val=0, "", val))</f>
        <v>9615</v>
      </c>
      <c r="M34" s="44">
        <f t="array" ref="M34">LET(val, IFERROR(INDEX('Daily 크랙 raw'!$A:$ZZ, MATCH(M$2, 'Daily 크랙 raw'!$A:$A, 0), MATCH($B34, 'Daily 크랙 raw'!$1:$1, 0)), ""), IF(val=0, "", val))</f>
        <v>10143</v>
      </c>
      <c r="N34" s="44">
        <f t="array" ref="N34">LET(val, IFERROR(INDEX('Daily 크랙 raw'!$A:$ZZ, MATCH(N$2, 'Daily 크랙 raw'!$A:$A, 0), MATCH($B34, 'Daily 크랙 raw'!$1:$1, 0)), ""), IF(val=0, "", val))</f>
        <v>10864</v>
      </c>
      <c r="O34" s="44">
        <f t="array" ref="O34">LET(val, IFERROR(INDEX('Daily 크랙 raw'!$A:$ZZ, MATCH(O$2, 'Daily 크랙 raw'!$A:$A, 0), MATCH($B34, 'Daily 크랙 raw'!$1:$1, 0)), ""), IF(val=0, "", val))</f>
        <v>10433</v>
      </c>
      <c r="P34" s="44">
        <f t="array" ref="P34">LET(val, IFERROR(INDEX('Daily 크랙 raw'!$A:$ZZ, MATCH(P$2, 'Daily 크랙 raw'!$A:$A, 0), MATCH($B34, 'Daily 크랙 raw'!$1:$1, 0)), ""), IF(val=0, "", val))</f>
        <v>10136</v>
      </c>
      <c r="Q34" s="44">
        <f t="array" ref="Q34">LET(val, IFERROR(INDEX('Daily 크랙 raw'!$A:$ZZ, MATCH(Q$2, 'Daily 크랙 raw'!$A:$A, 0), MATCH($B34, 'Daily 크랙 raw'!$1:$1, 0)), ""), IF(val=0, "", val))</f>
        <v>9987</v>
      </c>
      <c r="R34" s="44">
        <f t="array" ref="R34">LET(val, IFERROR(INDEX('Daily 크랙 raw'!$A:$ZZ, MATCH(R$2, 'Daily 크랙 raw'!$A:$A, 0), MATCH($B34, 'Daily 크랙 raw'!$1:$1, 0)), ""), IF(val=0, "", val))</f>
        <v>9822</v>
      </c>
      <c r="S34" s="44">
        <f t="array" ref="S34">LET(val, IFERROR(INDEX('Daily 크랙 raw'!$A:$ZZ, MATCH(S$2, 'Daily 크랙 raw'!$A:$A, 0), MATCH($B34, 'Daily 크랙 raw'!$1:$1, 0)), ""), IF(val=0, "", val))</f>
        <v>9979</v>
      </c>
      <c r="T34" s="44">
        <f t="array" ref="T34">LET(val, IFERROR(INDEX('Daily 크랙 raw'!$A:$ZZ, MATCH(T$2, 'Daily 크랙 raw'!$A:$A, 0), MATCH($B34, 'Daily 크랙 raw'!$1:$1, 0)), ""), IF(val=0, "", val))</f>
        <v>10285</v>
      </c>
      <c r="U34" s="44">
        <f t="array" ref="U34">LET(val, IFERROR(INDEX('Daily 크랙 raw'!$A:$ZZ, MATCH(U$2, 'Daily 크랙 raw'!$A:$A, 0), MATCH($B34, 'Daily 크랙 raw'!$1:$1, 0)), ""), IF(val=0, "", val))</f>
        <v>10989</v>
      </c>
      <c r="V34" s="44">
        <f t="array" ref="V34">LET(val, IFERROR(INDEX('Daily 크랙 raw'!$A:$ZZ, MATCH(V$2, 'Daily 크랙 raw'!$A:$A, 0), MATCH($B34, 'Daily 크랙 raw'!$1:$1, 0)), ""), IF(val=0, "", val))</f>
        <v>10765</v>
      </c>
      <c r="W34" s="44">
        <f t="array" ref="W34">LET(val, IFERROR(INDEX('Daily 크랙 raw'!$A:$ZZ, MATCH(W$2, 'Daily 크랙 raw'!$A:$A, 0), MATCH($B34, 'Daily 크랙 raw'!$1:$1, 0)), ""), IF(val=0, "", val))</f>
        <v>10430</v>
      </c>
      <c r="X34" s="44">
        <f t="array" ref="X34">LET(val, IFERROR(INDEX('Daily 크랙 raw'!$A:$ZZ, MATCH(X$2, 'Daily 크랙 raw'!$A:$A, 0), MATCH($B34, 'Daily 크랙 raw'!$1:$1, 0)), ""), IF(val=0, "", val))</f>
        <v>10231</v>
      </c>
      <c r="Y34" s="44">
        <f t="array" ref="Y34">LET(val, IFERROR(INDEX('Daily 크랙 raw'!$A:$ZZ, MATCH(Y$2, 'Daily 크랙 raw'!$A:$A, 0), MATCH($B34, 'Daily 크랙 raw'!$1:$1, 0)), ""), IF(val=0, "", val))</f>
        <v>9856</v>
      </c>
      <c r="Z34" s="44">
        <f t="array" ref="Z34">LET(val, IFERROR(INDEX('Daily 크랙 raw'!$A:$ZZ, MATCH(Z$2, 'Daily 크랙 raw'!$A:$A, 0), MATCH($B34, 'Daily 크랙 raw'!$1:$1, 0)), ""), IF(val=0, "", val))</f>
        <v>10165</v>
      </c>
      <c r="AA34" s="44">
        <f t="array" ref="AA34">LET(val, IFERROR(INDEX('Daily 크랙 raw'!$A:$ZZ, MATCH(AA$2, 'Daily 크랙 raw'!$A:$A, 0), MATCH($B34, 'Daily 크랙 raw'!$1:$1, 0)), ""), IF(val=0, "", val))</f>
        <v>10452</v>
      </c>
      <c r="AB34" s="44">
        <f t="array" ref="AB34">LET(val, IFERROR(INDEX('Daily 크랙 raw'!$A:$ZZ, MATCH(AB$2, 'Daily 크랙 raw'!$A:$A, 0), MATCH($B34, 'Daily 크랙 raw'!$1:$1, 0)), ""), IF(val=0, "", val))</f>
        <v>11354</v>
      </c>
      <c r="AC34" s="44">
        <f t="array" ref="AC34">LET(val, IFERROR(INDEX('Daily 크랙 raw'!$A:$ZZ, MATCH(AC$2, 'Daily 크랙 raw'!$A:$A, 0), MATCH($B34, 'Daily 크랙 raw'!$1:$1, 0)), ""), IF(val=0, "", val))</f>
        <v>11071</v>
      </c>
      <c r="AD34" s="44">
        <f t="array" ref="AD34">LET(val, IFERROR(INDEX('Daily 크랙 raw'!$A:$ZZ, MATCH(AD$2, 'Daily 크랙 raw'!$A:$A, 0), MATCH($B34, 'Daily 크랙 raw'!$1:$1, 0)), ""), IF(val=0, "", val))</f>
        <v>10559</v>
      </c>
      <c r="AE34" s="44">
        <f t="array" ref="AE34">LET(val, IFERROR(INDEX('Daily 크랙 raw'!$A:$ZZ, MATCH(AE$2, 'Daily 크랙 raw'!$A:$A, 0), MATCH($B34, 'Daily 크랙 raw'!$1:$1, 0)), ""), IF(val=0, "", val))</f>
        <v>10382</v>
      </c>
      <c r="AF34" s="44">
        <f t="array" ref="AF34">LET(val, IFERROR(INDEX('Daily 크랙 raw'!$A:$ZZ, MATCH(AF$2, 'Daily 크랙 raw'!$A:$A, 0), MATCH($B34, 'Daily 크랙 raw'!$1:$1, 0)), ""), IF(val=0, "", val))</f>
        <v>10390</v>
      </c>
      <c r="AG34" s="44">
        <f t="array" ref="AG34">LET(val, IFERROR(INDEX('Daily 크랙 raw'!$A:$ZZ, MATCH(AG$2, 'Daily 크랙 raw'!$A:$A, 0), MATCH($B34, 'Daily 크랙 raw'!$1:$1, 0)), ""), IF(val=0, "", val))</f>
        <v>10383</v>
      </c>
      <c r="AH34" s="44">
        <f t="array" ref="AH34">LET(val, IFERROR(INDEX('Daily 크랙 raw'!$A:$ZZ, MATCH(AH$2, 'Daily 크랙 raw'!$A:$A, 0), MATCH($B34, 'Daily 크랙 raw'!$1:$1, 0)), ""), IF(val=0, "", val))</f>
        <v>10709</v>
      </c>
      <c r="AI34" s="44">
        <f t="array" ref="AI34">LET(val, IFERROR(INDEX('Daily 크랙 raw'!$A:$ZZ, MATCH(AI$2, 'Daily 크랙 raw'!$A:$A, 0), MATCH($B34, 'Daily 크랙 raw'!$1:$1, 0)), ""), IF(val=0, "", val))</f>
        <v>12042</v>
      </c>
      <c r="AJ34" s="44">
        <f t="array" ref="AJ34">LET(val, IFERROR(INDEX('Daily 크랙 raw'!$A:$ZZ, MATCH(AJ$2, 'Daily 크랙 raw'!$A:$A, 0), MATCH($B34, 'Daily 크랙 raw'!$1:$1, 0)), ""), IF(val=0, "", val))</f>
        <v>11106</v>
      </c>
      <c r="AK34" s="44">
        <f t="array" ref="AK34">LET(val, IFERROR(INDEX('Daily 크랙 raw'!$A:$ZZ, MATCH(AK$2, 'Daily 크랙 raw'!$A:$A, 0), MATCH($B34, 'Daily 크랙 raw'!$1:$1, 0)), ""), IF(val=0, "", val))</f>
        <v>10491</v>
      </c>
      <c r="AL34" s="44">
        <f t="array" ref="AL34">LET(val, IFERROR(INDEX('Daily 크랙 raw'!$A:$ZZ, MATCH(AL$2, 'Daily 크랙 raw'!$A:$A, 0), MATCH($B34, 'Daily 크랙 raw'!$1:$1, 0)), ""), IF(val=0, "", val))</f>
        <v>10440</v>
      </c>
      <c r="AM34" s="44">
        <f t="array" ref="AM34">LET(val, IFERROR(INDEX('Daily 크랙 raw'!$A:$ZZ, MATCH(AM$2, 'Daily 크랙 raw'!$A:$A, 0), MATCH($B34, 'Daily 크랙 raw'!$1:$1, 0)), ""), IF(val=0, "", val))</f>
        <v>10451</v>
      </c>
      <c r="AN34" s="44">
        <f t="array" ref="AN34">LET(val, IFERROR(INDEX('Daily 크랙 raw'!$A:$ZZ, MATCH(AN$2, 'Daily 크랙 raw'!$A:$A, 0), MATCH($B34, 'Daily 크랙 raw'!$1:$1, 0)), ""), IF(val=0, "", val))</f>
        <v>10176</v>
      </c>
      <c r="AO34" s="44">
        <f t="array" ref="AO34">LET(val, IFERROR(INDEX('Daily 크랙 raw'!$A:$ZZ, MATCH(AO$2, 'Daily 크랙 raw'!$A:$A, 0), MATCH($B34, 'Daily 크랙 raw'!$1:$1, 0)), ""), IF(val=0, "", val))</f>
        <v>10420</v>
      </c>
      <c r="AP34" s="44">
        <f t="array" ref="AP34">LET(val, IFERROR(INDEX('Daily 크랙 raw'!$A:$ZZ, MATCH(AP$2, 'Daily 크랙 raw'!$A:$A, 0), MATCH($B34, 'Daily 크랙 raw'!$1:$1, 0)), ""), IF(val=0, "", val))</f>
        <v>10923</v>
      </c>
      <c r="AQ34" s="44">
        <f t="array" ref="AQ34">LET(val, IFERROR(INDEX('Daily 크랙 raw'!$A:$ZZ, MATCH(AQ$2, 'Daily 크랙 raw'!$A:$A, 0), MATCH($B34, 'Daily 크랙 raw'!$1:$1, 0)), ""), IF(val=0, "", val))</f>
        <v>11060</v>
      </c>
      <c r="AR34" s="44">
        <f t="array" ref="AR34">LET(val, IFERROR(INDEX('Daily 크랙 raw'!$A:$ZZ, MATCH(AR$2, 'Daily 크랙 raw'!$A:$A, 0), MATCH($B34, 'Daily 크랙 raw'!$1:$1, 0)), ""), IF(val=0, "", val))</f>
        <v>11130</v>
      </c>
      <c r="AS34" s="44">
        <f t="array" ref="AS34">LET(val, IFERROR(INDEX('Daily 크랙 raw'!$A:$ZZ, MATCH(AS$2, 'Daily 크랙 raw'!$A:$A, 0), MATCH($B34, 'Daily 크랙 raw'!$1:$1, 0)), ""), IF(val=0, "", val))</f>
        <v>10705</v>
      </c>
      <c r="AT34" s="44">
        <f t="array" ref="AT34">LET(val, IFERROR(INDEX('Daily 크랙 raw'!$A:$ZZ, MATCH(AT$2, 'Daily 크랙 raw'!$A:$A, 0), MATCH($B34, 'Daily 크랙 raw'!$1:$1, 0)), ""), IF(val=0, "", val))</f>
        <v>10353</v>
      </c>
      <c r="AU34" s="44">
        <f t="array" ref="AU34">LET(val, IFERROR(INDEX('Daily 크랙 raw'!$A:$ZZ, MATCH(AU$2, 'Daily 크랙 raw'!$A:$A, 0), MATCH($B34, 'Daily 크랙 raw'!$1:$1, 0)), ""), IF(val=0, "", val))</f>
        <v>10736</v>
      </c>
      <c r="AV34" s="44">
        <f t="array" ref="AV34">LET(val, IFERROR(INDEX('Daily 크랙 raw'!$A:$ZZ, MATCH(AV$2, 'Daily 크랙 raw'!$A:$A, 0), MATCH($B34, 'Daily 크랙 raw'!$1:$1, 0)), ""), IF(val=0, "", val))</f>
        <v>10886</v>
      </c>
      <c r="AW34" s="44">
        <f t="array" ref="AW34">LET(val, IFERROR(INDEX('Daily 크랙 raw'!$A:$ZZ, MATCH(AW$2, 'Daily 크랙 raw'!$A:$A, 0), MATCH($B34, 'Daily 크랙 raw'!$1:$1, 0)), ""), IF(val=0, "", val))</f>
        <v>11207</v>
      </c>
      <c r="AX34" s="44">
        <f t="array" ref="AX34">LET(val, IFERROR(INDEX('Daily 크랙 raw'!$A:$ZZ, MATCH(AX$2, 'Daily 크랙 raw'!$A:$A, 0), MATCH($B34, 'Daily 크랙 raw'!$1:$1, 0)), ""), IF(val=0, "", val))</f>
        <v>11606</v>
      </c>
      <c r="AY34" s="44">
        <f t="array" ref="AY34">LET(val, IFERROR(INDEX('Daily 크랙 raw'!$A:$ZZ, MATCH(AY$2, 'Daily 크랙 raw'!$A:$A, 0), MATCH($B34, 'Daily 크랙 raw'!$1:$1, 0)), ""), IF(val=0, "", val))</f>
        <v>12364</v>
      </c>
      <c r="AZ34" s="44">
        <f t="array" ref="AZ34">LET(val, IFERROR(INDEX('Daily 크랙 raw'!$A:$ZZ, MATCH(AZ$2, 'Daily 크랙 raw'!$A:$A, 0), MATCH($B34, 'Daily 크랙 raw'!$1:$1, 0)), ""), IF(val=0, "", val))</f>
        <v>13133</v>
      </c>
      <c r="BA34" s="44">
        <f t="array" ref="BA34">LET(val, IFERROR(INDEX('Daily 크랙 raw'!$A:$ZZ, MATCH(BA$2, 'Daily 크랙 raw'!$A:$A, 0), MATCH($B34, 'Daily 크랙 raw'!$1:$1, 0)), ""), IF(val=0, "", val))</f>
        <v>12091</v>
      </c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</row>
  </sheetData>
  <conditionalFormatting sqref="D1:CO1">
    <cfRule type="containsText" dxfId="2" priority="1" operator="containsText" text="토">
      <formula>NOT(ISERROR(SEARCH(("토"),(D1))))</formula>
    </cfRule>
  </conditionalFormatting>
  <conditionalFormatting sqref="D1:CO1">
    <cfRule type="containsText" dxfId="2" priority="2" operator="containsText" text="일">
      <formula>NOT(ISERROR(SEARCH(("일"),(D1))))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25"/>
    <col customWidth="1" hidden="1" min="2" max="2" width="46.13"/>
    <col customWidth="1" min="3" max="3" width="46.13"/>
    <col customWidth="1" min="4" max="17" width="11.5"/>
    <col customWidth="1" min="18" max="93" width="6.38"/>
  </cols>
  <sheetData>
    <row r="1">
      <c r="A1" s="1"/>
      <c r="B1" s="1"/>
      <c r="C1" s="1"/>
      <c r="D1" s="36" t="s">
        <v>95</v>
      </c>
      <c r="E1" s="36" t="s">
        <v>96</v>
      </c>
      <c r="F1" s="36" t="s">
        <v>97</v>
      </c>
      <c r="G1" s="36" t="s">
        <v>97</v>
      </c>
      <c r="H1" s="36" t="s">
        <v>98</v>
      </c>
      <c r="I1" s="36" t="s">
        <v>99</v>
      </c>
      <c r="J1" s="36" t="s">
        <v>100</v>
      </c>
      <c r="K1" s="36" t="s">
        <v>101</v>
      </c>
      <c r="L1" s="36" t="s">
        <v>102</v>
      </c>
      <c r="M1" s="36" t="s">
        <v>103</v>
      </c>
      <c r="N1" s="36" t="s">
        <v>104</v>
      </c>
      <c r="O1" s="36" t="s">
        <v>105</v>
      </c>
      <c r="P1" s="36" t="s">
        <v>106</v>
      </c>
      <c r="Q1" s="36" t="s">
        <v>107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</row>
    <row r="2" ht="22.5" customHeight="1">
      <c r="A2" s="123"/>
      <c r="B2" s="7" t="s">
        <v>3</v>
      </c>
      <c r="C2" s="35" t="s">
        <v>61</v>
      </c>
      <c r="D2" s="40">
        <v>46020.0</v>
      </c>
      <c r="E2" s="40">
        <f t="shared" ref="E2:Q2" si="1">D2+7</f>
        <v>46027</v>
      </c>
      <c r="F2" s="40">
        <f t="shared" si="1"/>
        <v>46034</v>
      </c>
      <c r="G2" s="40">
        <f t="shared" si="1"/>
        <v>46041</v>
      </c>
      <c r="H2" s="40">
        <f t="shared" si="1"/>
        <v>46048</v>
      </c>
      <c r="I2" s="40">
        <f t="shared" si="1"/>
        <v>46055</v>
      </c>
      <c r="J2" s="40">
        <f t="shared" si="1"/>
        <v>46062</v>
      </c>
      <c r="K2" s="40">
        <f t="shared" si="1"/>
        <v>46069</v>
      </c>
      <c r="L2" s="40">
        <f t="shared" si="1"/>
        <v>46076</v>
      </c>
      <c r="M2" s="40">
        <f t="shared" si="1"/>
        <v>46083</v>
      </c>
      <c r="N2" s="40">
        <f t="shared" si="1"/>
        <v>46090</v>
      </c>
      <c r="O2" s="40">
        <f t="shared" si="1"/>
        <v>46097</v>
      </c>
      <c r="P2" s="40">
        <f t="shared" si="1"/>
        <v>46104</v>
      </c>
      <c r="Q2" s="40">
        <f t="shared" si="1"/>
        <v>46111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</row>
    <row r="3" ht="18.75" customHeight="1">
      <c r="A3" s="124"/>
      <c r="B3" s="11" t="s">
        <v>10</v>
      </c>
      <c r="C3" s="12" t="s">
        <v>139</v>
      </c>
      <c r="D3" s="91">
        <f t="array" ref="D3">IFERROR(INDEX('Weekly 크랙 raw'!$A:$ZZ, MATCH(D$2, 'Weekly 크랙 raw'!$A:$A, 0), MATCH($B3, 'Weekly 크랙 raw'!$1:$1, 0)), 0)</f>
        <v>0.7861721612</v>
      </c>
      <c r="E3" s="91">
        <f t="array" ref="E3">IFERROR(INDEX('Weekly 크랙 raw'!$A:$ZZ, MATCH(E$2, 'Weekly 크랙 raw'!$A:$A, 0), MATCH($B3, 'Weekly 크랙 raw'!$1:$1, 0)), 0)</f>
        <v>0.8076190476</v>
      </c>
      <c r="F3" s="91">
        <f t="array" ref="F3">IFERROR(INDEX('Weekly 크랙 raw'!$A:$ZZ, MATCH(F$2, 'Weekly 크랙 raw'!$A:$A, 0), MATCH($B3, 'Weekly 크랙 raw'!$1:$1, 0)), 0)</f>
        <v>0.7989220564</v>
      </c>
      <c r="G3" s="91">
        <f t="array" ref="G3">IFERROR(INDEX('Weekly 크랙 raw'!$A:$ZZ, MATCH(G$2, 'Weekly 크랙 raw'!$A:$A, 0), MATCH($B3, 'Weekly 크랙 raw'!$1:$1, 0)), 0)</f>
        <v>0.7852372583</v>
      </c>
      <c r="H3" s="91">
        <f t="array" ref="H3">IFERROR(INDEX('Weekly 크랙 raw'!$A:$ZZ, MATCH(H$2, 'Weekly 크랙 raw'!$A:$A, 0), MATCH($B3, 'Weekly 크랙 raw'!$1:$1, 0)), 0)</f>
        <v>0.789010989</v>
      </c>
      <c r="I3" s="91">
        <f t="array" ref="I3">IFERROR(INDEX('Weekly 크랙 raw'!$A:$ZZ, MATCH(I$2, 'Weekly 크랙 raw'!$A:$A, 0), MATCH($B3, 'Weekly 크랙 raw'!$1:$1, 0)), 0)</f>
        <v>0.7877305231</v>
      </c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</row>
    <row r="4" ht="18.75" customHeight="1">
      <c r="A4" s="135"/>
      <c r="B4" s="16" t="s">
        <v>12</v>
      </c>
      <c r="C4" s="136" t="s">
        <v>149</v>
      </c>
      <c r="D4" s="95">
        <f t="array" ref="D4">IFERROR(INDEX('Weekly 크랙 raw'!$A:$ZZ, MATCH(D$2, 'Weekly 크랙 raw'!$A:$A, 0), MATCH($B4, 'Weekly 크랙 raw'!$1:$1, 0)), 0)</f>
        <v>1717</v>
      </c>
      <c r="E4" s="95">
        <f t="array" ref="E4">IFERROR(INDEX('Weekly 크랙 raw'!$A:$ZZ, MATCH(E$2, 'Weekly 크랙 raw'!$A:$A, 0), MATCH($B4, 'Weekly 크랙 raw'!$1:$1, 0)), 0)</f>
        <v>1696</v>
      </c>
      <c r="F4" s="95">
        <f t="array" ref="F4">IFERROR(INDEX('Weekly 크랙 raw'!$A:$ZZ, MATCH(F$2, 'Weekly 크랙 raw'!$A:$A, 0), MATCH($B4, 'Weekly 크랙 raw'!$1:$1, 0)), 0)</f>
        <v>1927</v>
      </c>
      <c r="G4" s="95">
        <f t="array" ref="G4">IFERROR(INDEX('Weekly 크랙 raw'!$A:$ZZ, MATCH(G$2, 'Weekly 크랙 raw'!$A:$A, 0), MATCH($B4, 'Weekly 크랙 raw'!$1:$1, 0)), 0)</f>
        <v>2234</v>
      </c>
      <c r="H4" s="95">
        <f t="array" ref="H4">IFERROR(INDEX('Weekly 크랙 raw'!$A:$ZZ, MATCH(H$2, 'Weekly 크랙 raw'!$A:$A, 0), MATCH($B4, 'Weekly 크랙 raw'!$1:$1, 0)), 0)</f>
        <v>2154</v>
      </c>
      <c r="I4" s="95">
        <f t="array" ref="I4">IFERROR(INDEX('Weekly 크랙 raw'!$A:$ZZ, MATCH(I$2, 'Weekly 크랙 raw'!$A:$A, 0), MATCH($B4, 'Weekly 크랙 raw'!$1:$1, 0)), 0)</f>
        <v>2093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9"/>
    </row>
    <row r="5" ht="18.75" customHeight="1">
      <c r="A5" s="135"/>
      <c r="B5" s="16" t="s">
        <v>15</v>
      </c>
      <c r="C5" s="136" t="s">
        <v>150</v>
      </c>
      <c r="D5" s="95">
        <f t="array" ref="D5">IFERROR(INDEX('Weekly 크랙 raw'!$A:$ZZ, MATCH(D$2, 'Weekly 크랙 raw'!$A:$A, 0), MATCH($B5, 'Weekly 크랙 raw'!$1:$1, 0)), 0)</f>
        <v>2184</v>
      </c>
      <c r="E5" s="95">
        <f t="array" ref="E5">IFERROR(INDEX('Weekly 크랙 raw'!$A:$ZZ, MATCH(E$2, 'Weekly 크랙 raw'!$A:$A, 0), MATCH($B5, 'Weekly 크랙 raw'!$1:$1, 0)), 0)</f>
        <v>2100</v>
      </c>
      <c r="F5" s="95">
        <f t="array" ref="F5">IFERROR(INDEX('Weekly 크랙 raw'!$A:$ZZ, MATCH(F$2, 'Weekly 크랙 raw'!$A:$A, 0), MATCH($B5, 'Weekly 크랙 raw'!$1:$1, 0)), 0)</f>
        <v>2412</v>
      </c>
      <c r="G5" s="95">
        <f t="array" ref="G5">IFERROR(INDEX('Weekly 크랙 raw'!$A:$ZZ, MATCH(G$2, 'Weekly 크랙 raw'!$A:$A, 0), MATCH($B5, 'Weekly 크랙 raw'!$1:$1, 0)), 0)</f>
        <v>2845</v>
      </c>
      <c r="H5" s="95">
        <f t="array" ref="H5">IFERROR(INDEX('Weekly 크랙 raw'!$A:$ZZ, MATCH(H$2, 'Weekly 크랙 raw'!$A:$A, 0), MATCH($B5, 'Weekly 크랙 raw'!$1:$1, 0)), 0)</f>
        <v>2730</v>
      </c>
      <c r="I5" s="95">
        <f t="array" ref="I5">IFERROR(INDEX('Weekly 크랙 raw'!$A:$ZZ, MATCH(I$2, 'Weekly 크랙 raw'!$A:$A, 0), MATCH($B5, 'Weekly 크랙 raw'!$1:$1, 0)), 0)</f>
        <v>2657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29"/>
      <c r="CC5" s="129"/>
      <c r="CD5" s="129"/>
      <c r="CE5" s="129"/>
      <c r="CF5" s="129"/>
      <c r="CG5" s="129"/>
      <c r="CH5" s="129"/>
      <c r="CI5" s="129"/>
      <c r="CJ5" s="129"/>
      <c r="CK5" s="129"/>
      <c r="CL5" s="129"/>
      <c r="CM5" s="129"/>
      <c r="CN5" s="129"/>
      <c r="CO5" s="129"/>
    </row>
    <row r="6" ht="18.75" customHeight="1">
      <c r="A6" s="1"/>
      <c r="B6" s="11" t="s">
        <v>18</v>
      </c>
      <c r="C6" s="1" t="s">
        <v>18</v>
      </c>
      <c r="D6" s="96">
        <f t="array" ref="D6">IFERROR(INDEX('Weekly 크랙 raw'!$A:$ZZ, MATCH(D$2, 'Weekly 크랙 raw'!$A:$A, 0), MATCH($B6, 'Weekly 크랙 raw'!$1:$1, 0)), 0)</f>
        <v>0.2564933425</v>
      </c>
      <c r="E6" s="96">
        <f t="array" ref="E6">IFERROR(INDEX('Weekly 크랙 raw'!$A:$ZZ, MATCH(E$2, 'Weekly 크랙 raw'!$A:$A, 0), MATCH($B6, 'Weekly 크랙 raw'!$1:$1, 0)), 0)</f>
        <v>0.2930867459</v>
      </c>
      <c r="F6" s="96">
        <f t="array" ref="F6">IFERROR(INDEX('Weekly 크랙 raw'!$A:$ZZ, MATCH(F$2, 'Weekly 크랙 raw'!$A:$A, 0), MATCH($B6, 'Weekly 크랙 raw'!$1:$1, 0)), 0)</f>
        <v>0.2503300958</v>
      </c>
      <c r="G6" s="96">
        <f t="array" ref="G6">IFERROR(INDEX('Weekly 크랙 raw'!$A:$ZZ, MATCH(G$2, 'Weekly 크랙 raw'!$A:$A, 0), MATCH($B6, 'Weekly 크랙 raw'!$1:$1, 0)), 0)</f>
        <v>0.2640823843</v>
      </c>
      <c r="H6" s="96">
        <f t="array" ref="H6">IFERROR(INDEX('Weekly 크랙 raw'!$A:$ZZ, MATCH(H$2, 'Weekly 크랙 raw'!$A:$A, 0), MATCH($B6, 'Weekly 크랙 raw'!$1:$1, 0)), 0)</f>
        <v>0.2816416472</v>
      </c>
      <c r="I6" s="96">
        <f t="array" ref="I6">IFERROR(INDEX('Weekly 크랙 raw'!$A:$ZZ, MATCH(I$2, 'Weekly 크랙 raw'!$A:$A, 0), MATCH($B6, 'Weekly 크랙 raw'!$1:$1, 0)), 0)</f>
        <v>0.2859215751</v>
      </c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  <c r="CK6" s="130"/>
      <c r="CL6" s="130"/>
      <c r="CM6" s="130"/>
      <c r="CN6" s="130"/>
      <c r="CO6" s="130"/>
    </row>
    <row r="7" ht="18.75" customHeight="1">
      <c r="A7" s="135"/>
      <c r="B7" s="23" t="s">
        <v>19</v>
      </c>
      <c r="C7" s="136" t="s">
        <v>20</v>
      </c>
      <c r="D7" s="95">
        <f t="array" ref="D7">IFERROR(INDEX('Weekly 크랙 raw'!$A:$ZZ, MATCH(D$2, 'Weekly 크랙 raw'!$A:$A, 0), MATCH($B7, 'Weekly 크랙 raw'!$1:$1, 0)), 0)</f>
        <v>30475</v>
      </c>
      <c r="E7" s="95">
        <f t="array" ref="E7">IFERROR(INDEX('Weekly 크랙 raw'!$A:$ZZ, MATCH(E$2, 'Weekly 크랙 raw'!$A:$A, 0), MATCH($B7, 'Weekly 크랙 raw'!$1:$1, 0)), 0)</f>
        <v>29952</v>
      </c>
      <c r="F7" s="95">
        <f t="array" ref="F7">IFERROR(INDEX('Weekly 크랙 raw'!$A:$ZZ, MATCH(F$2, 'Weekly 크랙 raw'!$A:$A, 0), MATCH($B7, 'Weekly 크랙 raw'!$1:$1, 0)), 0)</f>
        <v>30903</v>
      </c>
      <c r="G7" s="95">
        <f t="array" ref="G7">IFERROR(INDEX('Weekly 크랙 raw'!$A:$ZZ, MATCH(G$2, 'Weekly 크랙 raw'!$A:$A, 0), MATCH($B7, 'Weekly 크랙 raw'!$1:$1, 0)), 0)</f>
        <v>31978</v>
      </c>
      <c r="H7" s="95">
        <f t="array" ref="H7">IFERROR(INDEX('Weekly 크랙 raw'!$A:$ZZ, MATCH(H$2, 'Weekly 크랙 raw'!$A:$A, 0), MATCH($B7, 'Weekly 크랙 raw'!$1:$1, 0)), 0)</f>
        <v>32720</v>
      </c>
      <c r="I7" s="95">
        <f t="array" ref="I7">IFERROR(INDEX('Weekly 크랙 raw'!$A:$ZZ, MATCH(I$2, 'Weekly 크랙 raw'!$A:$A, 0), MATCH($B7, 'Weekly 크랙 raw'!$1:$1, 0)), 0)</f>
        <v>32907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</row>
    <row r="8" ht="18.75" customHeight="1">
      <c r="A8" s="136"/>
      <c r="B8" s="23" t="s">
        <v>21</v>
      </c>
      <c r="C8" s="136" t="s">
        <v>22</v>
      </c>
      <c r="D8" s="95">
        <f t="array" ref="D8">LET(val, IFERROR(INDEX('Weekly 크랙 raw'!$A:$ZZ, MATCH(D$2, 'Weekly 크랙 raw'!$A:$A, 0), MATCH($B8, 'Weekly 크랙 raw'!$1:$1, 0)), ""), IF(val=0, "", val))</f>
        <v>118814</v>
      </c>
      <c r="E8" s="95">
        <f t="array" ref="E8">LET(val, IFERROR(INDEX('Weekly 크랙 raw'!$A:$ZZ, MATCH(E$2, 'Weekly 크랙 raw'!$A:$A, 0), MATCH($B8, 'Weekly 크랙 raw'!$1:$1, 0)), ""), IF(val=0, "", val))</f>
        <v>102195</v>
      </c>
      <c r="F8" s="95">
        <f t="array" ref="F8">LET(val, IFERROR(INDEX('Weekly 크랙 raw'!$A:$ZZ, MATCH(F$2, 'Weekly 크랙 raw'!$A:$A, 0), MATCH($B8, 'Weekly 크랙 raw'!$1:$1, 0)), ""), IF(val=0, "", val))</f>
        <v>123449</v>
      </c>
      <c r="G8" s="95">
        <f t="array" ref="G8">LET(val, IFERROR(INDEX('Weekly 크랙 raw'!$A:$ZZ, MATCH(G$2, 'Weekly 크랙 raw'!$A:$A, 0), MATCH($B8, 'Weekly 크랙 raw'!$1:$1, 0)), ""), IF(val=0, "", val))</f>
        <v>121091</v>
      </c>
      <c r="H8" s="95">
        <f t="array" ref="H8">LET(val, IFERROR(INDEX('Weekly 크랙 raw'!$A:$ZZ, MATCH(H$2, 'Weekly 크랙 raw'!$A:$A, 0), MATCH($B8, 'Weekly 크랙 raw'!$1:$1, 0)), ""), IF(val=0, "", val))</f>
        <v>116176</v>
      </c>
      <c r="I8" s="95">
        <f t="array" ref="I8">LET(val, IFERROR(INDEX('Weekly 크랙 raw'!$A:$ZZ, MATCH(I$2, 'Weekly 크랙 raw'!$A:$A, 0), MATCH($B8, 'Weekly 크랙 raw'!$1:$1, 0)), ""), IF(val=0, "", val))</f>
        <v>115091</v>
      </c>
      <c r="J8" s="95">
        <f t="array" ref="J8">LET(val, IFERROR(INDEX('Weekly 크랙 raw'!$A:$ZZ, MATCH(J$2, 'Weekly 크랙 raw'!$A:$A, 0), MATCH($B8, 'Weekly 크랙 raw'!$1:$1, 0)), ""), IF(val=0, "", val))</f>
        <v>124132</v>
      </c>
      <c r="K8" s="95">
        <f t="array" ref="K8">LET(val, IFERROR(INDEX('Weekly 크랙 raw'!$A:$ZZ, MATCH(K$2, 'Weekly 크랙 raw'!$A:$A, 0), MATCH($B8, 'Weekly 크랙 raw'!$1:$1, 0)), ""), IF(val=0, "", val))</f>
        <v>138598</v>
      </c>
      <c r="L8" s="95">
        <f t="array" ref="L8">LET(val, IFERROR(INDEX('Weekly 크랙 raw'!$A:$ZZ, MATCH(L$2, 'Weekly 크랙 raw'!$A:$A, 0), MATCH($B8, 'Weekly 크랙 raw'!$1:$1, 0)), ""), IF(val=0, "", val))</f>
        <v>6861</v>
      </c>
      <c r="M8" s="95" t="str">
        <f t="array" ref="M8">LET(val, IFERROR(INDEX('Weekly 크랙 raw'!$A:$ZZ, MATCH(M$2, 'Weekly 크랙 raw'!$A:$A, 0), MATCH($B8, 'Weekly 크랙 raw'!$1:$1, 0)), ""), IF(val=0, "", val))</f>
        <v/>
      </c>
      <c r="N8" s="95" t="str">
        <f t="array" ref="N8">LET(val, IFERROR(INDEX('Weekly 크랙 raw'!$A:$ZZ, MATCH(N$2, 'Weekly 크랙 raw'!$A:$A, 0), MATCH($B8, 'Weekly 크랙 raw'!$1:$1, 0)), ""), IF(val=0, "", val))</f>
        <v/>
      </c>
      <c r="O8" s="58"/>
      <c r="P8" s="58"/>
      <c r="Q8" s="58"/>
      <c r="R8" s="58"/>
      <c r="S8" s="58"/>
      <c r="T8" s="58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</row>
    <row r="9" ht="18.75" customHeight="1">
      <c r="A9" s="136"/>
      <c r="B9" s="23" t="s">
        <v>23</v>
      </c>
      <c r="C9" s="136" t="s">
        <v>24</v>
      </c>
      <c r="D9" s="95">
        <f t="array" ref="D9">LET(val, IFERROR(INDEX('Weekly 크랙 raw'!$A:$ZZ, MATCH(D$2, 'Weekly 크랙 raw'!$A:$A, 0), MATCH($B9, 'Weekly 크랙 raw'!$1:$1, 0)), ""), IF(val=0, "", val))</f>
        <v>53944768</v>
      </c>
      <c r="E9" s="95">
        <f t="array" ref="E9">LET(val, IFERROR(INDEX('Weekly 크랙 raw'!$A:$ZZ, MATCH(E$2, 'Weekly 크랙 raw'!$A:$A, 0), MATCH($B9, 'Weekly 크랙 raw'!$1:$1, 0)), ""), IF(val=0, "", val))</f>
        <v>51803139</v>
      </c>
      <c r="F9" s="95">
        <f t="array" ref="F9">LET(val, IFERROR(INDEX('Weekly 크랙 raw'!$A:$ZZ, MATCH(F$2, 'Weekly 크랙 raw'!$A:$A, 0), MATCH($B9, 'Weekly 크랙 raw'!$1:$1, 0)), ""), IF(val=0, "", val))</f>
        <v>54010776</v>
      </c>
      <c r="G9" s="95">
        <f t="array" ref="G9">LET(val, IFERROR(INDEX('Weekly 크랙 raw'!$A:$ZZ, MATCH(G$2, 'Weekly 크랙 raw'!$A:$A, 0), MATCH($B9, 'Weekly 크랙 raw'!$1:$1, 0)), ""), IF(val=0, "", val))</f>
        <v>54711907</v>
      </c>
      <c r="H9" s="95">
        <f t="array" ref="H9">LET(val, IFERROR(INDEX('Weekly 크랙 raw'!$A:$ZZ, MATCH(H$2, 'Weekly 크랙 raw'!$A:$A, 0), MATCH($B9, 'Weekly 크랙 raw'!$1:$1, 0)), ""), IF(val=0, "", val))</f>
        <v>55925598</v>
      </c>
      <c r="I9" s="95">
        <f t="array" ref="I9">LET(val, IFERROR(INDEX('Weekly 크랙 raw'!$A:$ZZ, MATCH(I$2, 'Weekly 크랙 raw'!$A:$A, 0), MATCH($B9, 'Weekly 크랙 raw'!$1:$1, 0)), ""), IF(val=0, "", val))</f>
        <v>54034973</v>
      </c>
      <c r="J9" s="95">
        <f t="array" ref="J9">LET(val, IFERROR(INDEX('Weekly 크랙 raw'!$A:$ZZ, MATCH(J$2, 'Weekly 크랙 raw'!$A:$A, 0), MATCH($B9, 'Weekly 크랙 raw'!$1:$1, 0)), ""), IF(val=0, "", val))</f>
        <v>52866427</v>
      </c>
      <c r="K9" s="95">
        <f t="array" ref="K9">LET(val, IFERROR(INDEX('Weekly 크랙 raw'!$A:$ZZ, MATCH(K$2, 'Weekly 크랙 raw'!$A:$A, 0), MATCH($B9, 'Weekly 크랙 raw'!$1:$1, 0)), ""), IF(val=0, "", val))</f>
        <v>61295648</v>
      </c>
      <c r="L9" s="95">
        <f t="array" ref="L9">LET(val, IFERROR(INDEX('Weekly 크랙 raw'!$A:$ZZ, MATCH(L$2, 'Weekly 크랙 raw'!$A:$A, 0), MATCH($B9, 'Weekly 크랙 raw'!$1:$1, 0)), ""), IF(val=0, "", val))</f>
        <v>1614760</v>
      </c>
      <c r="M9" s="95" t="str">
        <f t="array" ref="M9">LET(val, IFERROR(INDEX('Weekly 크랙 raw'!$A:$ZZ, MATCH(M$2, 'Weekly 크랙 raw'!$A:$A, 0), MATCH($B9, 'Weekly 크랙 raw'!$1:$1, 0)), ""), IF(val=0, "", val))</f>
        <v/>
      </c>
      <c r="N9" s="95" t="str">
        <f t="array" ref="N9">LET(val, IFERROR(INDEX('Weekly 크랙 raw'!$A:$ZZ, MATCH(N$2, 'Weekly 크랙 raw'!$A:$A, 0), MATCH($B9, 'Weekly 크랙 raw'!$1:$1, 0)), ""), IF(val=0, "", val))</f>
        <v/>
      </c>
      <c r="O9" s="58"/>
      <c r="P9" s="58"/>
      <c r="Q9" s="58"/>
      <c r="R9" s="58"/>
      <c r="S9" s="58"/>
      <c r="T9" s="58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</row>
    <row r="10" ht="18.75" customHeight="1">
      <c r="A10" s="141"/>
      <c r="B10" s="23" t="s">
        <v>25</v>
      </c>
      <c r="C10" s="141" t="s">
        <v>25</v>
      </c>
      <c r="D10" s="103">
        <f t="array" ref="D10">LET(val, IFERROR(INDEX('Weekly 크랙 raw'!$A:$ZZ, MATCH(D$2, 'Weekly 크랙 raw'!$A:$A, 0), MATCH($B10, 'Weekly 크랙 raw'!$1:$1, 0)), ""), IF(val=0, "", val))</f>
        <v>52722.82855</v>
      </c>
      <c r="E10" s="103">
        <f t="array" ref="E10">LET(val, IFERROR(INDEX('Weekly 크랙 raw'!$A:$ZZ, MATCH(E$2, 'Weekly 크랙 raw'!$A:$A, 0), MATCH($B10, 'Weekly 크랙 raw'!$1:$1, 0)), ""), IF(val=0, "", val))</f>
        <v>52536.21461</v>
      </c>
      <c r="F10" s="103">
        <f t="array" ref="F10">LET(val, IFERROR(INDEX('Weekly 크랙 raw'!$A:$ZZ, MATCH(F$2, 'Weekly 크랙 raw'!$A:$A, 0), MATCH($B10, 'Weekly 크랙 raw'!$1:$1, 0)), ""), IF(val=0, "", val))</f>
        <v>52792.4085</v>
      </c>
      <c r="G10" s="103">
        <f t="array" ref="G10">LET(val, IFERROR(INDEX('Weekly 크랙 raw'!$A:$ZZ, MATCH(G$2, 'Weekly 크랙 raw'!$A:$A, 0), MATCH($B10, 'Weekly 크랙 raw'!$1:$1, 0)), ""), IF(val=0, "", val))</f>
        <v>53043.32666</v>
      </c>
      <c r="H10" s="103">
        <f t="array" ref="H10">LET(val, IFERROR(INDEX('Weekly 크랙 raw'!$A:$ZZ, MATCH(H$2, 'Weekly 크랙 raw'!$A:$A, 0), MATCH($B10, 'Weekly 크랙 raw'!$1:$1, 0)), ""), IF(val=0, "", val))</f>
        <v>54189.88998</v>
      </c>
      <c r="I10" s="103">
        <f t="array" ref="I10">LET(val, IFERROR(INDEX('Weekly 크랙 raw'!$A:$ZZ, MATCH(I$2, 'Weekly 크랙 raw'!$A:$A, 0), MATCH($B10, 'Weekly 크랙 raw'!$1:$1, 0)), ""), IF(val=0, "", val))</f>
        <v>52032.46118</v>
      </c>
      <c r="J10" s="103">
        <f t="array" ref="J10">LET(val, IFERROR(INDEX('Weekly 크랙 raw'!$A:$ZZ, MATCH(J$2, 'Weekly 크랙 raw'!$A:$A, 0), MATCH($B10, 'Weekly 크랙 raw'!$1:$1, 0)), ""), IF(val=0, "", val))</f>
        <v>52455.67326</v>
      </c>
      <c r="K10" s="103">
        <f t="array" ref="K10">LET(val, IFERROR(INDEX('Weekly 크랙 raw'!$A:$ZZ, MATCH(K$2, 'Weekly 크랙 raw'!$A:$A, 0), MATCH($B10, 'Weekly 크랙 raw'!$1:$1, 0)), ""), IF(val=0, "", val))</f>
        <v>57915.20346</v>
      </c>
      <c r="L10" s="103">
        <f t="array" ref="L10">LET(val, IFERROR(INDEX('Weekly 크랙 raw'!$A:$ZZ, MATCH(L$2, 'Weekly 크랙 raw'!$A:$A, 0), MATCH($B10, 'Weekly 크랙 raw'!$1:$1, 0)), ""), IF(val=0, "", val))</f>
        <v>17433.85404</v>
      </c>
      <c r="M10" s="103" t="str">
        <f t="array" ref="M10">LET(val, IFERROR(INDEX('Weekly 크랙 raw'!$A:$ZZ, MATCH(M$2, 'Weekly 크랙 raw'!$A:$A, 0), MATCH($B10, 'Weekly 크랙 raw'!$1:$1, 0)), ""), IF(val=0, "", val))</f>
        <v/>
      </c>
      <c r="N10" s="103" t="str">
        <f t="array" ref="N10">LET(val, IFERROR(INDEX('Weekly 크랙 raw'!$A:$ZZ, MATCH(N$2, 'Weekly 크랙 raw'!$A:$A, 0), MATCH($B10, 'Weekly 크랙 raw'!$1:$1, 0)), ""), IF(val=0, "", val))</f>
        <v/>
      </c>
      <c r="O10" s="58"/>
      <c r="P10" s="58"/>
      <c r="Q10" s="58"/>
      <c r="R10" s="58"/>
      <c r="S10" s="58"/>
      <c r="T10" s="58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</row>
    <row r="11" ht="18.75" customHeight="1">
      <c r="A11" s="135"/>
      <c r="B11" s="23" t="s">
        <v>26</v>
      </c>
      <c r="C11" s="135" t="s">
        <v>27</v>
      </c>
      <c r="D11" s="103">
        <f t="array" ref="D11">LET(val, IFERROR(INDEX('Weekly 크랙 raw'!$A:$ZZ, MATCH(D$2, 'Weekly 크랙 raw'!$A:$A, 0), MATCH($B11, 'Weekly 크랙 raw'!$1:$1, 0)), ""), IF(val=0, "", val))</f>
        <v>1606728200</v>
      </c>
      <c r="E11" s="103">
        <f t="array" ref="E11">LET(val, IFERROR(INDEX('Weekly 크랙 raw'!$A:$ZZ, MATCH(E$2, 'Weekly 크랙 raw'!$A:$A, 0), MATCH($B11, 'Weekly 크랙 raw'!$1:$1, 0)), ""), IF(val=0, "", val))</f>
        <v>1573564700</v>
      </c>
      <c r="F11" s="103">
        <f t="array" ref="F11">LET(val, IFERROR(INDEX('Weekly 크랙 raw'!$A:$ZZ, MATCH(F$2, 'Weekly 크랙 raw'!$A:$A, 0), MATCH($B11, 'Weekly 크랙 raw'!$1:$1, 0)), ""), IF(val=0, "", val))</f>
        <v>1631443800</v>
      </c>
      <c r="G11" s="103">
        <f t="array" ref="G11">LET(val, IFERROR(INDEX('Weekly 크랙 raw'!$A:$ZZ, MATCH(G$2, 'Weekly 크랙 raw'!$A:$A, 0), MATCH($B11, 'Weekly 크랙 raw'!$1:$1, 0)), ""), IF(val=0, "", val))</f>
        <v>1696219500</v>
      </c>
      <c r="H11" s="103">
        <f t="array" ref="H11">LET(val, IFERROR(INDEX('Weekly 크랙 raw'!$A:$ZZ, MATCH(H$2, 'Weekly 크랙 raw'!$A:$A, 0), MATCH($B11, 'Weekly 크랙 raw'!$1:$1, 0)), ""), IF(val=0, "", val))</f>
        <v>1773093200</v>
      </c>
      <c r="I11" s="103">
        <f t="array" ref="I11">LET(val, IFERROR(INDEX('Weekly 크랙 raw'!$A:$ZZ, MATCH(I$2, 'Weekly 크랙 raw'!$A:$A, 0), MATCH($B11, 'Weekly 크랙 raw'!$1:$1, 0)), ""), IF(val=0, "", val))</f>
        <v>1712232200</v>
      </c>
      <c r="J11" s="103">
        <f t="array" ref="J11">LET(val, IFERROR(INDEX('Weekly 크랙 raw'!$A:$ZZ, MATCH(J$2, 'Weekly 크랙 raw'!$A:$A, 0), MATCH($B11, 'Weekly 크랙 raw'!$1:$1, 0)), ""), IF(val=0, "", val))</f>
        <v>1797446100</v>
      </c>
      <c r="K11" s="103">
        <f t="array" ref="K11">LET(val, IFERROR(INDEX('Weekly 크랙 raw'!$A:$ZZ, MATCH(K$2, 'Weekly 크랙 raw'!$A:$A, 0), MATCH($B11, 'Weekly 크랙 raw'!$1:$1, 0)), ""), IF(val=0, "", val))</f>
        <v>2196086600</v>
      </c>
      <c r="L11" s="103">
        <f t="array" ref="L11">LET(val, IFERROR(INDEX('Weekly 크랙 raw'!$A:$ZZ, MATCH(L$2, 'Weekly 크랙 raw'!$A:$A, 0), MATCH($B11, 'Weekly 크랙 raw'!$1:$1, 0)), ""), IF(val=0, "", val))</f>
        <v>71426500</v>
      </c>
      <c r="M11" s="103" t="str">
        <f t="array" ref="M11">LET(val, IFERROR(INDEX('Weekly 크랙 raw'!$A:$ZZ, MATCH(M$2, 'Weekly 크랙 raw'!$A:$A, 0), MATCH($B11, 'Weekly 크랙 raw'!$1:$1, 0)), ""), IF(val=0, "", val))</f>
        <v/>
      </c>
      <c r="N11" s="103" t="str">
        <f t="array" ref="N11">LET(val, IFERROR(INDEX('Weekly 크랙 raw'!$A:$ZZ, MATCH(N$2, 'Weekly 크랙 raw'!$A:$A, 0), MATCH($B11, 'Weekly 크랙 raw'!$1:$1, 0)), ""), IF(val=0, "", val))</f>
        <v/>
      </c>
      <c r="O11" s="58"/>
      <c r="P11" s="58"/>
      <c r="Q11" s="58"/>
      <c r="R11" s="58"/>
      <c r="S11" s="58"/>
      <c r="T11" s="58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</row>
    <row r="12" ht="18.75" customHeight="1">
      <c r="A12" s="135"/>
      <c r="B12" s="23" t="s">
        <v>28</v>
      </c>
      <c r="C12" s="136" t="s">
        <v>20</v>
      </c>
      <c r="D12" s="95">
        <f t="array" ref="D12">LET(val, IFERROR(INDEX('Weekly 크랙 raw'!$A:$ZZ, MATCH(D$2, 'Weekly 크랙 raw'!$A:$A, 0), MATCH($B12, 'Weekly 크랙 raw'!$1:$1, 0)), ""), IF(val=0, "", val))</f>
        <v>30475</v>
      </c>
      <c r="E12" s="95">
        <f t="array" ref="E12">LET(val, IFERROR(INDEX('Weekly 크랙 raw'!$A:$ZZ, MATCH(E$2, 'Weekly 크랙 raw'!$A:$A, 0), MATCH($B12, 'Weekly 크랙 raw'!$1:$1, 0)), ""), IF(val=0, "", val))</f>
        <v>29952</v>
      </c>
      <c r="F12" s="95">
        <f t="array" ref="F12">LET(val, IFERROR(INDEX('Weekly 크랙 raw'!$A:$ZZ, MATCH(F$2, 'Weekly 크랙 raw'!$A:$A, 0), MATCH($B12, 'Weekly 크랙 raw'!$1:$1, 0)), ""), IF(val=0, "", val))</f>
        <v>30903</v>
      </c>
      <c r="G12" s="95">
        <f t="array" ref="G12">LET(val, IFERROR(INDEX('Weekly 크랙 raw'!$A:$ZZ, MATCH(G$2, 'Weekly 크랙 raw'!$A:$A, 0), MATCH($B12, 'Weekly 크랙 raw'!$1:$1, 0)), ""), IF(val=0, "", val))</f>
        <v>31978</v>
      </c>
      <c r="H12" s="95">
        <f t="array" ref="H12">LET(val, IFERROR(INDEX('Weekly 크랙 raw'!$A:$ZZ, MATCH(H$2, 'Weekly 크랙 raw'!$A:$A, 0), MATCH($B12, 'Weekly 크랙 raw'!$1:$1, 0)), ""), IF(val=0, "", val))</f>
        <v>32720</v>
      </c>
      <c r="I12" s="95">
        <f t="array" ref="I12">LET(val, IFERROR(INDEX('Weekly 크랙 raw'!$A:$ZZ, MATCH(I$2, 'Weekly 크랙 raw'!$A:$A, 0), MATCH($B12, 'Weekly 크랙 raw'!$1:$1, 0)), ""), IF(val=0, "", val))</f>
        <v>32907</v>
      </c>
      <c r="J12" s="95">
        <f t="array" ref="J12">LET(val, IFERROR(INDEX('Weekly 크랙 raw'!$A:$ZZ, MATCH(J$2, 'Weekly 크랙 raw'!$A:$A, 0), MATCH($B12, 'Weekly 크랙 raw'!$1:$1, 0)), ""), IF(val=0, "", val))</f>
        <v>34266</v>
      </c>
      <c r="K12" s="95">
        <f t="array" ref="K12">LET(val, IFERROR(INDEX('Weekly 크랙 raw'!$A:$ZZ, MATCH(K$2, 'Weekly 크랙 raw'!$A:$A, 0), MATCH($B12, 'Weekly 크랙 raw'!$1:$1, 0)), ""), IF(val=0, "", val))</f>
        <v>37919</v>
      </c>
      <c r="L12" s="95">
        <f t="array" ref="L12">LET(val, IFERROR(INDEX('Weekly 크랙 raw'!$A:$ZZ, MATCH(L$2, 'Weekly 크랙 raw'!$A:$A, 0), MATCH($B12, 'Weekly 크랙 raw'!$1:$1, 0)), ""), IF(val=0, "", val))</f>
        <v>4097</v>
      </c>
      <c r="M12" s="95" t="str">
        <f t="array" ref="M12">LET(val, IFERROR(INDEX('Weekly 크랙 raw'!$A:$ZZ, MATCH(M$2, 'Weekly 크랙 raw'!$A:$A, 0), MATCH($B12, 'Weekly 크랙 raw'!$1:$1, 0)), ""), IF(val=0, "", val))</f>
        <v/>
      </c>
      <c r="N12" s="95" t="str">
        <f t="array" ref="N12">LET(val, IFERROR(INDEX('Weekly 크랙 raw'!$A:$ZZ, MATCH(N$2, 'Weekly 크랙 raw'!$A:$A, 0), MATCH($B12, 'Weekly 크랙 raw'!$1:$1, 0)), ""), IF(val=0, "", val))</f>
        <v/>
      </c>
      <c r="O12" s="58"/>
      <c r="P12" s="58"/>
      <c r="Q12" s="58"/>
      <c r="R12" s="58"/>
      <c r="S12" s="58"/>
      <c r="T12" s="58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</row>
    <row r="13" ht="18.75" customHeight="1">
      <c r="A13" s="136"/>
      <c r="B13" s="23" t="s">
        <v>29</v>
      </c>
      <c r="C13" s="136" t="s">
        <v>30</v>
      </c>
      <c r="D13" s="95">
        <f t="array" ref="D13">LET(val, IFERROR(INDEX('Weekly 크랙 raw'!$A:$ZZ, MATCH(D$2, 'Weekly 크랙 raw'!$A:$A, 0), MATCH($B13, 'Weekly 크랙 raw'!$1:$1, 0)), ""), IF(val=0, "", val))</f>
        <v>104844</v>
      </c>
      <c r="E13" s="95">
        <f t="array" ref="E13">LET(val, IFERROR(INDEX('Weekly 크랙 raw'!$A:$ZZ, MATCH(E$2, 'Weekly 크랙 raw'!$A:$A, 0), MATCH($B13, 'Weekly 크랙 raw'!$1:$1, 0)), ""), IF(val=0, "", val))</f>
        <v>106829</v>
      </c>
      <c r="F13" s="95">
        <f t="array" ref="F13">LET(val, IFERROR(INDEX('Weekly 크랙 raw'!$A:$ZZ, MATCH(F$2, 'Weekly 크랙 raw'!$A:$A, 0), MATCH($B13, 'Weekly 크랙 raw'!$1:$1, 0)), ""), IF(val=0, "", val))</f>
        <v>113572</v>
      </c>
      <c r="G13" s="95">
        <f t="array" ref="G13">LET(val, IFERROR(INDEX('Weekly 크랙 raw'!$A:$ZZ, MATCH(G$2, 'Weekly 크랙 raw'!$A:$A, 0), MATCH($B13, 'Weekly 크랙 raw'!$1:$1, 0)), ""), IF(val=0, "", val))</f>
        <v>117414</v>
      </c>
      <c r="H13" s="95">
        <f t="array" ref="H13">LET(val, IFERROR(INDEX('Weekly 크랙 raw'!$A:$ZZ, MATCH(H$2, 'Weekly 크랙 raw'!$A:$A, 0), MATCH($B13, 'Weekly 크랙 raw'!$1:$1, 0)), ""), IF(val=0, "", val))</f>
        <v>120228</v>
      </c>
      <c r="I13" s="95">
        <f t="array" ref="I13">LET(val, IFERROR(INDEX('Weekly 크랙 raw'!$A:$ZZ, MATCH(I$2, 'Weekly 크랙 raw'!$A:$A, 0), MATCH($B13, 'Weekly 크랙 raw'!$1:$1, 0)), ""), IF(val=0, "", val))</f>
        <v>116001</v>
      </c>
      <c r="J13" s="95">
        <f t="array" ref="J13">LET(val, IFERROR(INDEX('Weekly 크랙 raw'!$A:$ZZ, MATCH(J$2, 'Weekly 크랙 raw'!$A:$A, 0), MATCH($B13, 'Weekly 크랙 raw'!$1:$1, 0)), ""), IF(val=0, "", val))</f>
        <v>118579</v>
      </c>
      <c r="K13" s="95">
        <f t="array" ref="K13">LET(val, IFERROR(INDEX('Weekly 크랙 raw'!$A:$ZZ, MATCH(K$2, 'Weekly 크랙 raw'!$A:$A, 0), MATCH($B13, 'Weekly 크랙 raw'!$1:$1, 0)), ""), IF(val=0, "", val))</f>
        <v>139226</v>
      </c>
      <c r="L13" s="95">
        <f t="array" ref="L13">LET(val, IFERROR(INDEX('Weekly 크랙 raw'!$A:$ZZ, MATCH(L$2, 'Weekly 크랙 raw'!$A:$A, 0), MATCH($B13, 'Weekly 크랙 raw'!$1:$1, 0)), ""), IF(val=0, "", val))</f>
        <v>4941</v>
      </c>
      <c r="M13" s="95" t="str">
        <f t="array" ref="M13">LET(val, IFERROR(INDEX('Weekly 크랙 raw'!$A:$ZZ, MATCH(M$2, 'Weekly 크랙 raw'!$A:$A, 0), MATCH($B13, 'Weekly 크랙 raw'!$1:$1, 0)), ""), IF(val=0, "", val))</f>
        <v/>
      </c>
      <c r="N13" s="95" t="str">
        <f t="array" ref="N13">LET(val, IFERROR(INDEX('Weekly 크랙 raw'!$A:$ZZ, MATCH(N$2, 'Weekly 크랙 raw'!$A:$A, 0), MATCH($B13, 'Weekly 크랙 raw'!$1:$1, 0)), ""), IF(val=0, "", val))</f>
        <v/>
      </c>
      <c r="O13" s="58"/>
      <c r="P13" s="58"/>
      <c r="Q13" s="58"/>
      <c r="R13" s="58"/>
      <c r="S13" s="58"/>
      <c r="T13" s="58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</row>
    <row r="14" ht="18.75" customHeight="1">
      <c r="A14" s="1"/>
      <c r="B14" s="11" t="s">
        <v>31</v>
      </c>
      <c r="C14" s="1" t="s">
        <v>32</v>
      </c>
      <c r="D14" s="96">
        <f t="array" ref="D14">LET(val, IFERROR(INDEX('Weekly 크랙 raw'!$A:$ZZ, MATCH(D$2, 'Weekly 크랙 raw'!$A:$A, 0), MATCH($B14, 'Weekly 크랙 raw'!$1:$1, 0)), ""), IF(val=0, "", val))</f>
        <v>0.3072324931</v>
      </c>
      <c r="E14" s="96">
        <f t="array" ref="E14">LET(val, IFERROR(INDEX('Weekly 크랙 raw'!$A:$ZZ, MATCH(E$2, 'Weekly 크랙 raw'!$A:$A, 0), MATCH($B14, 'Weekly 크랙 raw'!$1:$1, 0)), ""), IF(val=0, "", val))</f>
        <v>0.2809724696</v>
      </c>
      <c r="F14" s="96">
        <f t="array" ref="F14">LET(val, IFERROR(INDEX('Weekly 크랙 raw'!$A:$ZZ, MATCH(F$2, 'Weekly 크랙 raw'!$A:$A, 0), MATCH($B14, 'Weekly 크랙 raw'!$1:$1, 0)), ""), IF(val=0, "", val))</f>
        <v>0.2912059655</v>
      </c>
      <c r="G14" s="96">
        <f t="array" ref="G14">LET(val, IFERROR(INDEX('Weekly 크랙 raw'!$A:$ZZ, MATCH(G$2, 'Weekly 크랙 raw'!$A:$A, 0), MATCH($B14, 'Weekly 크랙 raw'!$1:$1, 0)), ""), IF(val=0, "", val))</f>
        <v>0.3069080828</v>
      </c>
      <c r="H14" s="96">
        <f t="array" ref="H14">LET(val, IFERROR(INDEX('Weekly 크랙 raw'!$A:$ZZ, MATCH(H$2, 'Weekly 크랙 raw'!$A:$A, 0), MATCH($B14, 'Weekly 크랙 raw'!$1:$1, 0)), ""), IF(val=0, "", val))</f>
        <v>0.3230406188</v>
      </c>
      <c r="I14" s="96">
        <f t="array" ref="I14">LET(val, IFERROR(INDEX('Weekly 크랙 raw'!$A:$ZZ, MATCH(I$2, 'Weekly 크랙 raw'!$A:$A, 0), MATCH($B14, 'Weekly 크랙 raw'!$1:$1, 0)), ""), IF(val=0, "", val))</f>
        <v>0.3088545268</v>
      </c>
      <c r="J14" s="96">
        <f t="array" ref="J14">LET(val, IFERROR(INDEX('Weekly 크랙 raw'!$A:$ZZ, MATCH(J$2, 'Weekly 크랙 raw'!$A:$A, 0), MATCH($B14, 'Weekly 크랙 raw'!$1:$1, 0)), ""), IF(val=0, "", val))</f>
        <v>0.6039562052</v>
      </c>
      <c r="K14" s="96" t="str">
        <f t="array" ref="K14">LET(val, IFERROR(INDEX('Weekly 크랙 raw'!$A:$ZZ, MATCH(K$2, 'Weekly 크랙 raw'!$A:$A, 0), MATCH($B14, 'Weekly 크랙 raw'!$1:$1, 0)), ""), IF(val=0, "", val))</f>
        <v/>
      </c>
      <c r="L14" s="96" t="str">
        <f t="array" ref="L14">LET(val, IFERROR(INDEX('Weekly 크랙 raw'!$A:$ZZ, MATCH(L$2, 'Weekly 크랙 raw'!$A:$A, 0), MATCH($B14, 'Weekly 크랙 raw'!$1:$1, 0)), ""), IF(val=0, "", val))</f>
        <v/>
      </c>
      <c r="M14" s="96" t="str">
        <f t="array" ref="M14">LET(val, IFERROR(INDEX('Weekly 크랙 raw'!$A:$ZZ, MATCH(M$2, 'Weekly 크랙 raw'!$A:$A, 0), MATCH($B14, 'Weekly 크랙 raw'!$1:$1, 0)), ""), IF(val=0, "", val))</f>
        <v/>
      </c>
      <c r="N14" s="96" t="str">
        <f t="array" ref="N14">LET(val, IFERROR(INDEX('Weekly 크랙 raw'!$A:$ZZ, MATCH(N$2, 'Weekly 크랙 raw'!$A:$A, 0), MATCH($B14, 'Weekly 크랙 raw'!$1:$1, 0)), ""), IF(val=0, "", val))</f>
        <v/>
      </c>
      <c r="O14" s="92"/>
      <c r="P14" s="92"/>
      <c r="Q14" s="92"/>
      <c r="R14" s="92"/>
      <c r="S14" s="92"/>
      <c r="T14" s="92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  <c r="CK14" s="130"/>
      <c r="CL14" s="130"/>
      <c r="CM14" s="130"/>
      <c r="CN14" s="130"/>
      <c r="CO14" s="130"/>
    </row>
    <row r="15" ht="18.75" customHeight="1">
      <c r="A15" s="28"/>
      <c r="B15" s="23" t="s">
        <v>33</v>
      </c>
      <c r="C15" s="136" t="s">
        <v>34</v>
      </c>
      <c r="D15" s="107">
        <f t="array" ref="D15">LET(val, IFERROR(INDEX('Weekly 크랙 raw'!$A:$ZZ, MATCH(D$2, 'Weekly 크랙 raw'!$A:$A, 0), MATCH($B15, 'Weekly 크랙 raw'!$1:$1, 0)), ""), IF(val=0, "", val))</f>
        <v>1113089089</v>
      </c>
      <c r="E15" s="107">
        <f t="array" ref="E15">LET(val, IFERROR(INDEX('Weekly 크랙 raw'!$A:$ZZ, MATCH(E$2, 'Weekly 크랙 raw'!$A:$A, 0), MATCH($B15, 'Weekly 크랙 raw'!$1:$1, 0)), ""), IF(val=0, "", val))</f>
        <v>1131436340</v>
      </c>
      <c r="F15" s="107">
        <f t="array" ref="F15">LET(val, IFERROR(INDEX('Weekly 크랙 raw'!$A:$ZZ, MATCH(F$2, 'Weekly 크랙 raw'!$A:$A, 0), MATCH($B15, 'Weekly 크랙 raw'!$1:$1, 0)), ""), IF(val=0, "", val))</f>
        <v>1156357633</v>
      </c>
      <c r="G15" s="107">
        <f t="array" ref="G15">LET(val, IFERROR(INDEX('Weekly 크랙 raw'!$A:$ZZ, MATCH(G$2, 'Weekly 크랙 raw'!$A:$A, 0), MATCH($B15, 'Weekly 크랙 raw'!$1:$1, 0)), ""), IF(val=0, "", val))</f>
        <v>1175636025</v>
      </c>
      <c r="H15" s="107">
        <f t="array" ref="H15">LET(val, IFERROR(INDEX('Weekly 크랙 raw'!$A:$ZZ, MATCH(H$2, 'Weekly 크랙 raw'!$A:$A, 0), MATCH($B15, 'Weekly 크랙 raw'!$1:$1, 0)), ""), IF(val=0, "", val))</f>
        <v>1200312075</v>
      </c>
      <c r="I15" s="107">
        <f t="array" ref="I15">LET(val, IFERROR(INDEX('Weekly 크랙 raw'!$A:$ZZ, MATCH(I$2, 'Weekly 크랙 raw'!$A:$A, 0), MATCH($B15, 'Weekly 크랙 raw'!$1:$1, 0)), ""), IF(val=0, "", val))</f>
        <v>1183401534</v>
      </c>
      <c r="J15" s="107">
        <f t="array" ref="J15">LET(val, IFERROR(INDEX('Weekly 크랙 raw'!$A:$ZZ, MATCH(J$2, 'Weekly 크랙 raw'!$A:$A, 0), MATCH($B15, 'Weekly 크랙 raw'!$1:$1, 0)), ""), IF(val=0, "", val))</f>
        <v>711867374.4</v>
      </c>
      <c r="K15" s="107" t="str">
        <f t="array" ref="K15">LET(val, IFERROR(INDEX('Weekly 크랙 raw'!$A:$ZZ, MATCH(K$2, 'Weekly 크랙 raw'!$A:$A, 0), MATCH($B15, 'Weekly 크랙 raw'!$1:$1, 0)), ""), IF(val=0, "", val))</f>
        <v/>
      </c>
      <c r="L15" s="107" t="str">
        <f t="array" ref="L15">LET(val, IFERROR(INDEX('Weekly 크랙 raw'!$A:$ZZ, MATCH(L$2, 'Weekly 크랙 raw'!$A:$A, 0), MATCH($B15, 'Weekly 크랙 raw'!$1:$1, 0)), ""), IF(val=0, "", val))</f>
        <v/>
      </c>
      <c r="M15" s="107" t="str">
        <f t="array" ref="M15">LET(val, IFERROR(INDEX('Weekly 크랙 raw'!$A:$ZZ, MATCH(M$2, 'Weekly 크랙 raw'!$A:$A, 0), MATCH($B15, 'Weekly 크랙 raw'!$1:$1, 0)), ""), IF(val=0, "", val))</f>
        <v/>
      </c>
      <c r="N15" s="107" t="str">
        <f t="array" ref="N15">LET(val, IFERROR(INDEX('Weekly 크랙 raw'!$A:$ZZ, MATCH(N$2, 'Weekly 크랙 raw'!$A:$A, 0), MATCH($B15, 'Weekly 크랙 raw'!$1:$1, 0)), ""), IF(val=0, "", val))</f>
        <v/>
      </c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2"/>
      <c r="CK15" s="132"/>
      <c r="CL15" s="132"/>
      <c r="CM15" s="132"/>
      <c r="CN15" s="132"/>
      <c r="CO15" s="132"/>
    </row>
    <row r="16" ht="18.75" customHeight="1">
      <c r="A16" s="28"/>
      <c r="B16" s="23" t="s">
        <v>35</v>
      </c>
      <c r="C16" s="136" t="s">
        <v>27</v>
      </c>
      <c r="D16" s="107">
        <f t="array" ref="D16">LET(val, IFERROR(INDEX('Weekly 크랙 raw'!$A:$ZZ, MATCH(D$2, 'Weekly 크랙 raw'!$A:$A, 0), MATCH($B16, 'Weekly 크랙 raw'!$1:$1, 0)), ""), IF(val=0, "", val))</f>
        <v>1606728200</v>
      </c>
      <c r="E16" s="107">
        <f t="array" ref="E16">LET(val, IFERROR(INDEX('Weekly 크랙 raw'!$A:$ZZ, MATCH(E$2, 'Weekly 크랙 raw'!$A:$A, 0), MATCH($B16, 'Weekly 크랙 raw'!$1:$1, 0)), ""), IF(val=0, "", val))</f>
        <v>1573564700</v>
      </c>
      <c r="F16" s="107">
        <f t="array" ref="F16">LET(val, IFERROR(INDEX('Weekly 크랙 raw'!$A:$ZZ, MATCH(F$2, 'Weekly 크랙 raw'!$A:$A, 0), MATCH($B16, 'Weekly 크랙 raw'!$1:$1, 0)), ""), IF(val=0, "", val))</f>
        <v>1631443800</v>
      </c>
      <c r="G16" s="107">
        <f t="array" ref="G16">LET(val, IFERROR(INDEX('Weekly 크랙 raw'!$A:$ZZ, MATCH(G$2, 'Weekly 크랙 raw'!$A:$A, 0), MATCH($B16, 'Weekly 크랙 raw'!$1:$1, 0)), ""), IF(val=0, "", val))</f>
        <v>1696219500</v>
      </c>
      <c r="H16" s="107">
        <f t="array" ref="H16">LET(val, IFERROR(INDEX('Weekly 크랙 raw'!$A:$ZZ, MATCH(H$2, 'Weekly 크랙 raw'!$A:$A, 0), MATCH($B16, 'Weekly 크랙 raw'!$1:$1, 0)), ""), IF(val=0, "", val))</f>
        <v>1773093200</v>
      </c>
      <c r="I16" s="107">
        <f t="array" ref="I16">LET(val, IFERROR(INDEX('Weekly 크랙 raw'!$A:$ZZ, MATCH(I$2, 'Weekly 크랙 raw'!$A:$A, 0), MATCH($B16, 'Weekly 크랙 raw'!$1:$1, 0)), ""), IF(val=0, "", val))</f>
        <v>1712232200</v>
      </c>
      <c r="J16" s="107">
        <f t="array" ref="J16">LET(val, IFERROR(INDEX('Weekly 크랙 raw'!$A:$ZZ, MATCH(J$2, 'Weekly 크랙 raw'!$A:$A, 0), MATCH($B16, 'Weekly 크랙 raw'!$1:$1, 0)), ""), IF(val=0, "", val))</f>
        <v>1797446100</v>
      </c>
      <c r="K16" s="107">
        <f t="array" ref="K16">LET(val, IFERROR(INDEX('Weekly 크랙 raw'!$A:$ZZ, MATCH(K$2, 'Weekly 크랙 raw'!$A:$A, 0), MATCH($B16, 'Weekly 크랙 raw'!$1:$1, 0)), ""), IF(val=0, "", val))</f>
        <v>2196086600</v>
      </c>
      <c r="L16" s="107">
        <f t="array" ref="L16">LET(val, IFERROR(INDEX('Weekly 크랙 raw'!$A:$ZZ, MATCH(L$2, 'Weekly 크랙 raw'!$A:$A, 0), MATCH($B16, 'Weekly 크랙 raw'!$1:$1, 0)), ""), IF(val=0, "", val))</f>
        <v>71426500</v>
      </c>
      <c r="M16" s="107" t="str">
        <f t="array" ref="M16">LET(val, IFERROR(INDEX('Weekly 크랙 raw'!$A:$ZZ, MATCH(M$2, 'Weekly 크랙 raw'!$A:$A, 0), MATCH($B16, 'Weekly 크랙 raw'!$1:$1, 0)), ""), IF(val=0, "", val))</f>
        <v/>
      </c>
      <c r="N16" s="107" t="str">
        <f t="array" ref="N16">LET(val, IFERROR(INDEX('Weekly 크랙 raw'!$A:$ZZ, MATCH(N$2, 'Weekly 크랙 raw'!$A:$A, 0), MATCH($B16, 'Weekly 크랙 raw'!$1:$1, 0)), ""), IF(val=0, "", val))</f>
        <v/>
      </c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</row>
    <row r="17" ht="18.75" hidden="1" customHeight="1">
      <c r="A17" s="1"/>
      <c r="B17" s="1"/>
      <c r="C17" s="1" t="s">
        <v>115</v>
      </c>
      <c r="D17" s="58">
        <f t="array" ref="D17">IFERROR(INDEX('Weekly 크랙 raw'!$A:$ZZ, MATCH(D$2, 'Weekly 크랙 raw'!$A:$A, 0), MATCH($B17, 'Weekly 크랙 raw'!$1:$1, 0)), 0)</f>
        <v>0</v>
      </c>
      <c r="E17" s="58">
        <f t="array" ref="E17">IFERROR(INDEX('Weekly 크랙 raw'!$A:$ZZ, MATCH(E$2, 'Weekly 크랙 raw'!$A:$A, 0), MATCH($B17, 'Weekly 크랙 raw'!$1:$1, 0)), 0)</f>
        <v>0</v>
      </c>
      <c r="F17" s="58">
        <f t="array" ref="F17">IFERROR(INDEX('Weekly 크랙 raw'!$A:$ZZ, MATCH(F$2, 'Weekly 크랙 raw'!$A:$A, 0), MATCH($B17, 'Weekly 크랙 raw'!$1:$1, 0)), 0)</f>
        <v>0</v>
      </c>
      <c r="G17" s="58">
        <f t="array" ref="G17">IFERROR(INDEX('Weekly 크랙 raw'!$A:$ZZ, MATCH(G$2, 'Weekly 크랙 raw'!$A:$A, 0), MATCH($B17, 'Weekly 크랙 raw'!$1:$1, 0)), 0)</f>
        <v>0</v>
      </c>
      <c r="H17" s="58">
        <f t="array" ref="H17">IFERROR(INDEX('Weekly 크랙 raw'!$A:$ZZ, MATCH(H$2, 'Weekly 크랙 raw'!$A:$A, 0), MATCH($B17, 'Weekly 크랙 raw'!$1:$1, 0)), 0)</f>
        <v>0</v>
      </c>
      <c r="I17" s="58">
        <f t="array" ref="I17">IFERROR(INDEX('Weekly 크랙 raw'!$A:$ZZ, MATCH(I$2, 'Weekly 크랙 raw'!$A:$A, 0), MATCH($B17, 'Weekly 크랙 raw'!$1:$1, 0)), 0)</f>
        <v>0</v>
      </c>
      <c r="J17" s="58">
        <f t="array" ref="J17">IFERROR(INDEX('Weekly 크랙 raw'!$A:$ZZ, MATCH(J$2, 'Weekly 크랙 raw'!$A:$A, 0), MATCH($B17, 'Weekly 크랙 raw'!$1:$1, 0)), 0)</f>
        <v>0</v>
      </c>
      <c r="K17" s="58">
        <f t="array" ref="K17">IFERROR(INDEX('Weekly 크랙 raw'!$A:$ZZ, MATCH(K$2, 'Weekly 크랙 raw'!$A:$A, 0), MATCH($B17, 'Weekly 크랙 raw'!$1:$1, 0)), 0)</f>
        <v>0</v>
      </c>
      <c r="L17" s="58">
        <f t="array" ref="L17">IFERROR(INDEX('Weekly 크랙 raw'!$A:$ZZ, MATCH(L$2, 'Weekly 크랙 raw'!$A:$A, 0), MATCH($B17, 'Weekly 크랙 raw'!$1:$1, 0)), 0)</f>
        <v>0</v>
      </c>
      <c r="M17" s="58">
        <f t="array" ref="M17">IFERROR(INDEX('Weekly 크랙 raw'!$A:$ZZ, MATCH(M$2, 'Weekly 크랙 raw'!$A:$A, 0), MATCH($B17, 'Weekly 크랙 raw'!$1:$1, 0)), 0)</f>
        <v>0</v>
      </c>
      <c r="N17" s="58">
        <f t="array" ref="N17">IFERROR(INDEX('Weekly 크랙 raw'!$A:$ZZ, MATCH(N$2, 'Weekly 크랙 raw'!$A:$A, 0), MATCH($B17, 'Weekly 크랙 raw'!$1:$1, 0)), 0)</f>
        <v>0</v>
      </c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3"/>
      <c r="CG17" s="133"/>
      <c r="CH17" s="133"/>
      <c r="CI17" s="133"/>
      <c r="CJ17" s="133"/>
      <c r="CK17" s="133"/>
      <c r="CL17" s="133"/>
      <c r="CM17" s="133"/>
      <c r="CN17" s="133"/>
      <c r="CO17" s="133"/>
    </row>
    <row r="18" ht="18.75" hidden="1" customHeight="1">
      <c r="A18" s="1"/>
      <c r="B18" s="1"/>
      <c r="C18" s="17" t="s">
        <v>116</v>
      </c>
      <c r="D18" s="58">
        <f t="array" ref="D18">IFERROR(INDEX('Weekly 크랙 raw'!$A:$ZZ, MATCH(D$2, 'Weekly 크랙 raw'!$A:$A, 0), MATCH($B18, 'Weekly 크랙 raw'!$1:$1, 0)), 0)</f>
        <v>0</v>
      </c>
      <c r="E18" s="58">
        <f t="array" ref="E18">IFERROR(INDEX('Weekly 크랙 raw'!$A:$ZZ, MATCH(E$2, 'Weekly 크랙 raw'!$A:$A, 0), MATCH($B18, 'Weekly 크랙 raw'!$1:$1, 0)), 0)</f>
        <v>0</v>
      </c>
      <c r="F18" s="58">
        <f t="array" ref="F18">IFERROR(INDEX('Weekly 크랙 raw'!$A:$ZZ, MATCH(F$2, 'Weekly 크랙 raw'!$A:$A, 0), MATCH($B18, 'Weekly 크랙 raw'!$1:$1, 0)), 0)</f>
        <v>0</v>
      </c>
      <c r="G18" s="58">
        <f t="array" ref="G18">IFERROR(INDEX('Weekly 크랙 raw'!$A:$ZZ, MATCH(G$2, 'Weekly 크랙 raw'!$A:$A, 0), MATCH($B18, 'Weekly 크랙 raw'!$1:$1, 0)), 0)</f>
        <v>0</v>
      </c>
      <c r="H18" s="58">
        <f t="array" ref="H18">IFERROR(INDEX('Weekly 크랙 raw'!$A:$ZZ, MATCH(H$2, 'Weekly 크랙 raw'!$A:$A, 0), MATCH($B18, 'Weekly 크랙 raw'!$1:$1, 0)), 0)</f>
        <v>0</v>
      </c>
      <c r="I18" s="58">
        <f t="array" ref="I18">IFERROR(INDEX('Weekly 크랙 raw'!$A:$ZZ, MATCH(I$2, 'Weekly 크랙 raw'!$A:$A, 0), MATCH($B18, 'Weekly 크랙 raw'!$1:$1, 0)), 0)</f>
        <v>0</v>
      </c>
      <c r="J18" s="58">
        <f t="array" ref="J18">IFERROR(INDEX('Weekly 크랙 raw'!$A:$ZZ, MATCH(J$2, 'Weekly 크랙 raw'!$A:$A, 0), MATCH($B18, 'Weekly 크랙 raw'!$1:$1, 0)), 0)</f>
        <v>0</v>
      </c>
      <c r="K18" s="58">
        <f t="array" ref="K18">IFERROR(INDEX('Weekly 크랙 raw'!$A:$ZZ, MATCH(K$2, 'Weekly 크랙 raw'!$A:$A, 0), MATCH($B18, 'Weekly 크랙 raw'!$1:$1, 0)), 0)</f>
        <v>0</v>
      </c>
      <c r="L18" s="58">
        <f t="array" ref="L18">IFERROR(INDEX('Weekly 크랙 raw'!$A:$ZZ, MATCH(L$2, 'Weekly 크랙 raw'!$A:$A, 0), MATCH($B18, 'Weekly 크랙 raw'!$1:$1, 0)), 0)</f>
        <v>0</v>
      </c>
      <c r="M18" s="58">
        <f t="array" ref="M18">IFERROR(INDEX('Weekly 크랙 raw'!$A:$ZZ, MATCH(M$2, 'Weekly 크랙 raw'!$A:$A, 0), MATCH($B18, 'Weekly 크랙 raw'!$1:$1, 0)), 0)</f>
        <v>0</v>
      </c>
      <c r="N18" s="58">
        <f t="array" ref="N18">IFERROR(INDEX('Weekly 크랙 raw'!$A:$ZZ, MATCH(N$2, 'Weekly 크랙 raw'!$A:$A, 0), MATCH($B18, 'Weekly 크랙 raw'!$1:$1, 0)), 0)</f>
        <v>0</v>
      </c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3"/>
      <c r="CG18" s="133"/>
      <c r="CH18" s="133"/>
      <c r="CI18" s="133"/>
      <c r="CJ18" s="133"/>
      <c r="CK18" s="133"/>
      <c r="CL18" s="133"/>
      <c r="CM18" s="133"/>
      <c r="CN18" s="133"/>
      <c r="CO18" s="133"/>
    </row>
    <row r="19" ht="18.75" hidden="1" customHeight="1">
      <c r="A19" s="1"/>
      <c r="B19" s="1"/>
      <c r="C19" s="17" t="s">
        <v>117</v>
      </c>
      <c r="D19" s="58">
        <f t="array" ref="D19">IFERROR(INDEX('Weekly 크랙 raw'!$A:$ZZ, MATCH(D$2, 'Weekly 크랙 raw'!$A:$A, 0), MATCH($B19, 'Weekly 크랙 raw'!$1:$1, 0)), 0)</f>
        <v>0</v>
      </c>
      <c r="E19" s="58">
        <f t="array" ref="E19">IFERROR(INDEX('Weekly 크랙 raw'!$A:$ZZ, MATCH(E$2, 'Weekly 크랙 raw'!$A:$A, 0), MATCH($B19, 'Weekly 크랙 raw'!$1:$1, 0)), 0)</f>
        <v>0</v>
      </c>
      <c r="F19" s="58">
        <f t="array" ref="F19">IFERROR(INDEX('Weekly 크랙 raw'!$A:$ZZ, MATCH(F$2, 'Weekly 크랙 raw'!$A:$A, 0), MATCH($B19, 'Weekly 크랙 raw'!$1:$1, 0)), 0)</f>
        <v>0</v>
      </c>
      <c r="G19" s="58">
        <f t="array" ref="G19">IFERROR(INDEX('Weekly 크랙 raw'!$A:$ZZ, MATCH(G$2, 'Weekly 크랙 raw'!$A:$A, 0), MATCH($B19, 'Weekly 크랙 raw'!$1:$1, 0)), 0)</f>
        <v>0</v>
      </c>
      <c r="H19" s="58">
        <f t="array" ref="H19">IFERROR(INDEX('Weekly 크랙 raw'!$A:$ZZ, MATCH(H$2, 'Weekly 크랙 raw'!$A:$A, 0), MATCH($B19, 'Weekly 크랙 raw'!$1:$1, 0)), 0)</f>
        <v>0</v>
      </c>
      <c r="I19" s="58">
        <f t="array" ref="I19">IFERROR(INDEX('Weekly 크랙 raw'!$A:$ZZ, MATCH(I$2, 'Weekly 크랙 raw'!$A:$A, 0), MATCH($B19, 'Weekly 크랙 raw'!$1:$1, 0)), 0)</f>
        <v>0</v>
      </c>
      <c r="J19" s="58">
        <f t="array" ref="J19">IFERROR(INDEX('Weekly 크랙 raw'!$A:$ZZ, MATCH(J$2, 'Weekly 크랙 raw'!$A:$A, 0), MATCH($B19, 'Weekly 크랙 raw'!$1:$1, 0)), 0)</f>
        <v>0</v>
      </c>
      <c r="K19" s="58">
        <f t="array" ref="K19">IFERROR(INDEX('Weekly 크랙 raw'!$A:$ZZ, MATCH(K$2, 'Weekly 크랙 raw'!$A:$A, 0), MATCH($B19, 'Weekly 크랙 raw'!$1:$1, 0)), 0)</f>
        <v>0</v>
      </c>
      <c r="L19" s="58">
        <f t="array" ref="L19">IFERROR(INDEX('Weekly 크랙 raw'!$A:$ZZ, MATCH(L$2, 'Weekly 크랙 raw'!$A:$A, 0), MATCH($B19, 'Weekly 크랙 raw'!$1:$1, 0)), 0)</f>
        <v>0</v>
      </c>
      <c r="M19" s="58">
        <f t="array" ref="M19">IFERROR(INDEX('Weekly 크랙 raw'!$A:$ZZ, MATCH(M$2, 'Weekly 크랙 raw'!$A:$A, 0), MATCH($B19, 'Weekly 크랙 raw'!$1:$1, 0)), 0)</f>
        <v>0</v>
      </c>
      <c r="N19" s="58">
        <f t="array" ref="N19">IFERROR(INDEX('Weekly 크랙 raw'!$A:$ZZ, MATCH(N$2, 'Weekly 크랙 raw'!$A:$A, 0), MATCH($B19, 'Weekly 크랙 raw'!$1:$1, 0)), 0)</f>
        <v>0</v>
      </c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</row>
    <row r="20" ht="18.75" hidden="1" customHeight="1">
      <c r="A20" s="1"/>
      <c r="B20" s="1"/>
      <c r="C20" s="17" t="s">
        <v>118</v>
      </c>
      <c r="D20" s="58">
        <f t="array" ref="D20">IFERROR(INDEX('Weekly 크랙 raw'!$A:$ZZ, MATCH(D$2, 'Weekly 크랙 raw'!$A:$A, 0), MATCH($B20, 'Weekly 크랙 raw'!$1:$1, 0)), 0)</f>
        <v>0</v>
      </c>
      <c r="E20" s="58">
        <f t="array" ref="E20">IFERROR(INDEX('Weekly 크랙 raw'!$A:$ZZ, MATCH(E$2, 'Weekly 크랙 raw'!$A:$A, 0), MATCH($B20, 'Weekly 크랙 raw'!$1:$1, 0)), 0)</f>
        <v>0</v>
      </c>
      <c r="F20" s="58">
        <f t="array" ref="F20">IFERROR(INDEX('Weekly 크랙 raw'!$A:$ZZ, MATCH(F$2, 'Weekly 크랙 raw'!$A:$A, 0), MATCH($B20, 'Weekly 크랙 raw'!$1:$1, 0)), 0)</f>
        <v>0</v>
      </c>
      <c r="G20" s="58">
        <f t="array" ref="G20">IFERROR(INDEX('Weekly 크랙 raw'!$A:$ZZ, MATCH(G$2, 'Weekly 크랙 raw'!$A:$A, 0), MATCH($B20, 'Weekly 크랙 raw'!$1:$1, 0)), 0)</f>
        <v>0</v>
      </c>
      <c r="H20" s="58">
        <f t="array" ref="H20">IFERROR(INDEX('Weekly 크랙 raw'!$A:$ZZ, MATCH(H$2, 'Weekly 크랙 raw'!$A:$A, 0), MATCH($B20, 'Weekly 크랙 raw'!$1:$1, 0)), 0)</f>
        <v>0</v>
      </c>
      <c r="I20" s="58">
        <f t="array" ref="I20">IFERROR(INDEX('Weekly 크랙 raw'!$A:$ZZ, MATCH(I$2, 'Weekly 크랙 raw'!$A:$A, 0), MATCH($B20, 'Weekly 크랙 raw'!$1:$1, 0)), 0)</f>
        <v>0</v>
      </c>
      <c r="J20" s="58">
        <f t="array" ref="J20">IFERROR(INDEX('Weekly 크랙 raw'!$A:$ZZ, MATCH(J$2, 'Weekly 크랙 raw'!$A:$A, 0), MATCH($B20, 'Weekly 크랙 raw'!$1:$1, 0)), 0)</f>
        <v>0</v>
      </c>
      <c r="K20" s="58">
        <f t="array" ref="K20">IFERROR(INDEX('Weekly 크랙 raw'!$A:$ZZ, MATCH(K$2, 'Weekly 크랙 raw'!$A:$A, 0), MATCH($B20, 'Weekly 크랙 raw'!$1:$1, 0)), 0)</f>
        <v>0</v>
      </c>
      <c r="L20" s="58">
        <f t="array" ref="L20">IFERROR(INDEX('Weekly 크랙 raw'!$A:$ZZ, MATCH(L$2, 'Weekly 크랙 raw'!$A:$A, 0), MATCH($B20, 'Weekly 크랙 raw'!$1:$1, 0)), 0)</f>
        <v>0</v>
      </c>
      <c r="M20" s="58">
        <f t="array" ref="M20">IFERROR(INDEX('Weekly 크랙 raw'!$A:$ZZ, MATCH(M$2, 'Weekly 크랙 raw'!$A:$A, 0), MATCH($B20, 'Weekly 크랙 raw'!$1:$1, 0)), 0)</f>
        <v>0</v>
      </c>
      <c r="N20" s="58">
        <f t="array" ref="N20">IFERROR(INDEX('Weekly 크랙 raw'!$A:$ZZ, MATCH(N$2, 'Weekly 크랙 raw'!$A:$A, 0), MATCH($B20, 'Weekly 크랙 raw'!$1:$1, 0)), 0)</f>
        <v>0</v>
      </c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3"/>
      <c r="CG20" s="133"/>
      <c r="CH20" s="133"/>
      <c r="CI20" s="133"/>
      <c r="CJ20" s="133"/>
      <c r="CK20" s="133"/>
      <c r="CL20" s="133"/>
      <c r="CM20" s="133"/>
      <c r="CN20" s="133"/>
      <c r="CO20" s="133"/>
    </row>
    <row r="21" ht="18.75" customHeight="1">
      <c r="A21" s="30"/>
      <c r="B21" s="16"/>
      <c r="C21" s="30" t="s">
        <v>36</v>
      </c>
      <c r="D21" s="58" t="str">
        <f t="array" ref="D21">LET(val, IFERROR(INDEX('Weekly 크랙 raw'!$A:$ZZ, MATCH(D$2, 'Weekly 크랙 raw'!$A:$A, 0), MATCH($B21, 'Weekly 크랙 raw'!$1:$1, 0)), ""), IF(val=0, "", val))</f>
        <v/>
      </c>
      <c r="E21" s="58" t="str">
        <f t="array" ref="E21">LET(val, IFERROR(INDEX('Weekly 크랙 raw'!$A:$ZZ, MATCH(E$2, 'Weekly 크랙 raw'!$A:$A, 0), MATCH($B21, 'Weekly 크랙 raw'!$1:$1, 0)), ""), IF(val=0, "", val))</f>
        <v/>
      </c>
      <c r="F21" s="58" t="str">
        <f t="array" ref="F21">LET(val, IFERROR(INDEX('Weekly 크랙 raw'!$A:$ZZ, MATCH(F$2, 'Weekly 크랙 raw'!$A:$A, 0), MATCH($B21, 'Weekly 크랙 raw'!$1:$1, 0)), ""), IF(val=0, "", val))</f>
        <v/>
      </c>
      <c r="G21" s="58" t="str">
        <f t="array" ref="G21">LET(val, IFERROR(INDEX('Weekly 크랙 raw'!$A:$ZZ, MATCH(G$2, 'Weekly 크랙 raw'!$A:$A, 0), MATCH($B21, 'Weekly 크랙 raw'!$1:$1, 0)), ""), IF(val=0, "", val))</f>
        <v/>
      </c>
      <c r="H21" s="58" t="str">
        <f t="array" ref="H21">LET(val, IFERROR(INDEX('Weekly 크랙 raw'!$A:$ZZ, MATCH(H$2, 'Weekly 크랙 raw'!$A:$A, 0), MATCH($B21, 'Weekly 크랙 raw'!$1:$1, 0)), ""), IF(val=0, "", val))</f>
        <v/>
      </c>
      <c r="I21" s="58" t="str">
        <f t="array" ref="I21">LET(val, IFERROR(INDEX('Weekly 크랙 raw'!$A:$ZZ, MATCH(I$2, 'Weekly 크랙 raw'!$A:$A, 0), MATCH($B21, 'Weekly 크랙 raw'!$1:$1, 0)), ""), IF(val=0, "", val))</f>
        <v/>
      </c>
      <c r="J21" s="58" t="str">
        <f t="array" ref="J21">LET(val, IFERROR(INDEX('Weekly 크랙 raw'!$A:$ZZ, MATCH(J$2, 'Weekly 크랙 raw'!$A:$A, 0), MATCH($B21, 'Weekly 크랙 raw'!$1:$1, 0)), ""), IF(val=0, "", val))</f>
        <v/>
      </c>
      <c r="K21" s="58" t="str">
        <f t="array" ref="K21">LET(val, IFERROR(INDEX('Weekly 크랙 raw'!$A:$ZZ, MATCH(K$2, 'Weekly 크랙 raw'!$A:$A, 0), MATCH($B21, 'Weekly 크랙 raw'!$1:$1, 0)), ""), IF(val=0, "", val))</f>
        <v/>
      </c>
      <c r="L21" s="58" t="str">
        <f t="array" ref="L21">LET(val, IFERROR(INDEX('Weekly 크랙 raw'!$A:$ZZ, MATCH(L$2, 'Weekly 크랙 raw'!$A:$A, 0), MATCH($B21, 'Weekly 크랙 raw'!$1:$1, 0)), ""), IF(val=0, "", val))</f>
        <v/>
      </c>
      <c r="M21" s="58" t="str">
        <f t="array" ref="M21">LET(val, IFERROR(INDEX('Weekly 크랙 raw'!$A:$ZZ, MATCH(M$2, 'Weekly 크랙 raw'!$A:$A, 0), MATCH($B21, 'Weekly 크랙 raw'!$1:$1, 0)), ""), IF(val=0, "", val))</f>
        <v/>
      </c>
      <c r="N21" s="58" t="str">
        <f t="array" ref="N21">LET(val, IFERROR(INDEX('Weekly 크랙 raw'!$A:$ZZ, MATCH(N$2, 'Weekly 크랙 raw'!$A:$A, 0), MATCH($B21, 'Weekly 크랙 raw'!$1:$1, 0)), ""), IF(val=0, "", val))</f>
        <v/>
      </c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</row>
    <row r="22" ht="18.75" customHeight="1">
      <c r="A22" s="17"/>
      <c r="B22" s="16" t="s">
        <v>37</v>
      </c>
      <c r="C22" s="17" t="s">
        <v>38</v>
      </c>
      <c r="D22" s="58" t="str">
        <f t="array" ref="D22">LET(val, IFERROR(INDEX('Weekly 크랙 raw'!$A:$ZZ, MATCH(D$2, 'Weekly 크랙 raw'!$A:$A, 0), MATCH($B22, 'Weekly 크랙 raw'!$1:$1, 0)), ""), IF(val=0, "", val))</f>
        <v/>
      </c>
      <c r="E22" s="58" t="str">
        <f t="array" ref="E22">LET(val, IFERROR(INDEX('Weekly 크랙 raw'!$A:$ZZ, MATCH(E$2, 'Weekly 크랙 raw'!$A:$A, 0), MATCH($B22, 'Weekly 크랙 raw'!$1:$1, 0)), ""), IF(val=0, "", val))</f>
        <v/>
      </c>
      <c r="F22" s="58" t="str">
        <f t="array" ref="F22">LET(val, IFERROR(INDEX('Weekly 크랙 raw'!$A:$ZZ, MATCH(F$2, 'Weekly 크랙 raw'!$A:$A, 0), MATCH($B22, 'Weekly 크랙 raw'!$1:$1, 0)), ""), IF(val=0, "", val))</f>
        <v/>
      </c>
      <c r="G22" s="58" t="str">
        <f t="array" ref="G22">LET(val, IFERROR(INDEX('Weekly 크랙 raw'!$A:$ZZ, MATCH(G$2, 'Weekly 크랙 raw'!$A:$A, 0), MATCH($B22, 'Weekly 크랙 raw'!$1:$1, 0)), ""), IF(val=0, "", val))</f>
        <v/>
      </c>
      <c r="H22" s="58" t="str">
        <f t="array" ref="H22">LET(val, IFERROR(INDEX('Weekly 크랙 raw'!$A:$ZZ, MATCH(H$2, 'Weekly 크랙 raw'!$A:$A, 0), MATCH($B22, 'Weekly 크랙 raw'!$1:$1, 0)), ""), IF(val=0, "", val))</f>
        <v/>
      </c>
      <c r="I22" s="58" t="str">
        <f t="array" ref="I22">LET(val, IFERROR(INDEX('Weekly 크랙 raw'!$A:$ZZ, MATCH(I$2, 'Weekly 크랙 raw'!$A:$A, 0), MATCH($B22, 'Weekly 크랙 raw'!$1:$1, 0)), ""), IF(val=0, "", val))</f>
        <v/>
      </c>
      <c r="J22" s="58" t="str">
        <f t="array" ref="J22">LET(val, IFERROR(INDEX('Weekly 크랙 raw'!$A:$ZZ, MATCH(J$2, 'Weekly 크랙 raw'!$A:$A, 0), MATCH($B22, 'Weekly 크랙 raw'!$1:$1, 0)), ""), IF(val=0, "", val))</f>
        <v/>
      </c>
      <c r="K22" s="58" t="str">
        <f t="array" ref="K22">LET(val, IFERROR(INDEX('Weekly 크랙 raw'!$A:$ZZ, MATCH(K$2, 'Weekly 크랙 raw'!$A:$A, 0), MATCH($B22, 'Weekly 크랙 raw'!$1:$1, 0)), ""), IF(val=0, "", val))</f>
        <v/>
      </c>
      <c r="L22" s="58" t="str">
        <f t="array" ref="L22">LET(val, IFERROR(INDEX('Weekly 크랙 raw'!$A:$ZZ, MATCH(L$2, 'Weekly 크랙 raw'!$A:$A, 0), MATCH($B22, 'Weekly 크랙 raw'!$1:$1, 0)), ""), IF(val=0, "", val))</f>
        <v/>
      </c>
      <c r="M22" s="58" t="str">
        <f t="array" ref="M22">LET(val, IFERROR(INDEX('Weekly 크랙 raw'!$A:$ZZ, MATCH(M$2, 'Weekly 크랙 raw'!$A:$A, 0), MATCH($B22, 'Weekly 크랙 raw'!$1:$1, 0)), ""), IF(val=0, "", val))</f>
        <v/>
      </c>
      <c r="N22" s="58" t="str">
        <f t="array" ref="N22">LET(val, IFERROR(INDEX('Weekly 크랙 raw'!$A:$ZZ, MATCH(N$2, 'Weekly 크랙 raw'!$A:$A, 0), MATCH($B22, 'Weekly 크랙 raw'!$1:$1, 0)), ""), IF(val=0, "", val))</f>
        <v/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</row>
    <row r="23" ht="18.75" customHeight="1">
      <c r="A23" s="17"/>
      <c r="B23" s="16" t="s">
        <v>39</v>
      </c>
      <c r="C23" s="17" t="s">
        <v>40</v>
      </c>
      <c r="D23" s="58" t="str">
        <f t="array" ref="D23">LET(val, IFERROR(INDEX('Weekly 크랙 raw'!$A:$ZZ, MATCH(D$2, 'Weekly 크랙 raw'!$A:$A, 0), MATCH($B23, 'Weekly 크랙 raw'!$1:$1, 0)), ""), IF(val=0, "", val))</f>
        <v/>
      </c>
      <c r="E23" s="58" t="str">
        <f t="array" ref="E23">LET(val, IFERROR(INDEX('Weekly 크랙 raw'!$A:$ZZ, MATCH(E$2, 'Weekly 크랙 raw'!$A:$A, 0), MATCH($B23, 'Weekly 크랙 raw'!$1:$1, 0)), ""), IF(val=0, "", val))</f>
        <v/>
      </c>
      <c r="F23" s="58" t="str">
        <f t="array" ref="F23">LET(val, IFERROR(INDEX('Weekly 크랙 raw'!$A:$ZZ, MATCH(F$2, 'Weekly 크랙 raw'!$A:$A, 0), MATCH($B23, 'Weekly 크랙 raw'!$1:$1, 0)), ""), IF(val=0, "", val))</f>
        <v/>
      </c>
      <c r="G23" s="58" t="str">
        <f t="array" ref="G23">LET(val, IFERROR(INDEX('Weekly 크랙 raw'!$A:$ZZ, MATCH(G$2, 'Weekly 크랙 raw'!$A:$A, 0), MATCH($B23, 'Weekly 크랙 raw'!$1:$1, 0)), ""), IF(val=0, "", val))</f>
        <v/>
      </c>
      <c r="H23" s="58" t="str">
        <f t="array" ref="H23">LET(val, IFERROR(INDEX('Weekly 크랙 raw'!$A:$ZZ, MATCH(H$2, 'Weekly 크랙 raw'!$A:$A, 0), MATCH($B23, 'Weekly 크랙 raw'!$1:$1, 0)), ""), IF(val=0, "", val))</f>
        <v/>
      </c>
      <c r="I23" s="58" t="str">
        <f t="array" ref="I23">LET(val, IFERROR(INDEX('Weekly 크랙 raw'!$A:$ZZ, MATCH(I$2, 'Weekly 크랙 raw'!$A:$A, 0), MATCH($B23, 'Weekly 크랙 raw'!$1:$1, 0)), ""), IF(val=0, "", val))</f>
        <v/>
      </c>
      <c r="J23" s="58" t="str">
        <f t="array" ref="J23">LET(val, IFERROR(INDEX('Weekly 크랙 raw'!$A:$ZZ, MATCH(J$2, 'Weekly 크랙 raw'!$A:$A, 0), MATCH($B23, 'Weekly 크랙 raw'!$1:$1, 0)), ""), IF(val=0, "", val))</f>
        <v/>
      </c>
      <c r="K23" s="58" t="str">
        <f t="array" ref="K23">LET(val, IFERROR(INDEX('Weekly 크랙 raw'!$A:$ZZ, MATCH(K$2, 'Weekly 크랙 raw'!$A:$A, 0), MATCH($B23, 'Weekly 크랙 raw'!$1:$1, 0)), ""), IF(val=0, "", val))</f>
        <v/>
      </c>
      <c r="L23" s="58" t="str">
        <f t="array" ref="L23">LET(val, IFERROR(INDEX('Weekly 크랙 raw'!$A:$ZZ, MATCH(L$2, 'Weekly 크랙 raw'!$A:$A, 0), MATCH($B23, 'Weekly 크랙 raw'!$1:$1, 0)), ""), IF(val=0, "", val))</f>
        <v/>
      </c>
      <c r="M23" s="58" t="str">
        <f t="array" ref="M23">LET(val, IFERROR(INDEX('Weekly 크랙 raw'!$A:$ZZ, MATCH(M$2, 'Weekly 크랙 raw'!$A:$A, 0), MATCH($B23, 'Weekly 크랙 raw'!$1:$1, 0)), ""), IF(val=0, "", val))</f>
        <v/>
      </c>
      <c r="N23" s="58" t="str">
        <f t="array" ref="N23">LET(val, IFERROR(INDEX('Weekly 크랙 raw'!$A:$ZZ, MATCH(N$2, 'Weekly 크랙 raw'!$A:$A, 0), MATCH($B23, 'Weekly 크랙 raw'!$1:$1, 0)), ""), IF(val=0, "", val))</f>
        <v/>
      </c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</row>
    <row r="24" ht="18.75" customHeight="1">
      <c r="A24" s="17"/>
      <c r="B24" s="16" t="s">
        <v>41</v>
      </c>
      <c r="C24" s="17" t="s">
        <v>42</v>
      </c>
      <c r="D24" s="58">
        <f t="array" ref="D24">LET(val, IFERROR(INDEX('Weekly 크랙 raw'!$A:$ZZ, MATCH(D$2, 'Weekly 크랙 raw'!$A:$A, 0), MATCH($B24, 'Weekly 크랙 raw'!$1:$1, 0)), ""), IF(val=0, "", val))</f>
        <v>21860</v>
      </c>
      <c r="E24" s="58">
        <f t="array" ref="E24">LET(val, IFERROR(INDEX('Weekly 크랙 raw'!$A:$ZZ, MATCH(E$2, 'Weekly 크랙 raw'!$A:$A, 0), MATCH($B24, 'Weekly 크랙 raw'!$1:$1, 0)), ""), IF(val=0, "", val))</f>
        <v>16187</v>
      </c>
      <c r="F24" s="58">
        <f t="array" ref="F24">LET(val, IFERROR(INDEX('Weekly 크랙 raw'!$A:$ZZ, MATCH(F$2, 'Weekly 크랙 raw'!$A:$A, 0), MATCH($B24, 'Weekly 크랙 raw'!$1:$1, 0)), ""), IF(val=0, "", val))</f>
        <v>18834</v>
      </c>
      <c r="G24" s="58">
        <f t="array" ref="G24">LET(val, IFERROR(INDEX('Weekly 크랙 raw'!$A:$ZZ, MATCH(G$2, 'Weekly 크랙 raw'!$A:$A, 0), MATCH($B24, 'Weekly 크랙 raw'!$1:$1, 0)), ""), IF(val=0, "", val))</f>
        <v>21597</v>
      </c>
      <c r="H24" s="58">
        <f t="array" ref="H24">LET(val, IFERROR(INDEX('Weekly 크랙 raw'!$A:$ZZ, MATCH(H$2, 'Weekly 크랙 raw'!$A:$A, 0), MATCH($B24, 'Weekly 크랙 raw'!$1:$1, 0)), ""), IF(val=0, "", val))</f>
        <v>20217</v>
      </c>
      <c r="I24" s="58">
        <f t="array" ref="I24">LET(val, IFERROR(INDEX('Weekly 크랙 raw'!$A:$ZZ, MATCH(I$2, 'Weekly 크랙 raw'!$A:$A, 0), MATCH($B24, 'Weekly 크랙 raw'!$1:$1, 0)), ""), IF(val=0, "", val))</f>
        <v>22793</v>
      </c>
      <c r="J24" s="58">
        <f t="array" ref="J24">LET(val, IFERROR(INDEX('Weekly 크랙 raw'!$A:$ZZ, MATCH(J$2, 'Weekly 크랙 raw'!$A:$A, 0), MATCH($B24, 'Weekly 크랙 raw'!$1:$1, 0)), ""), IF(val=0, "", val))</f>
        <v>29151</v>
      </c>
      <c r="K24" s="58">
        <f t="array" ref="K24">LET(val, IFERROR(INDEX('Weekly 크랙 raw'!$A:$ZZ, MATCH(K$2, 'Weekly 크랙 raw'!$A:$A, 0), MATCH($B24, 'Weekly 크랙 raw'!$1:$1, 0)), ""), IF(val=0, "", val))</f>
        <v>34803</v>
      </c>
      <c r="L24" s="58" t="str">
        <f t="array" ref="L24">LET(val, IFERROR(INDEX('Weekly 크랙 raw'!$A:$ZZ, MATCH(L$2, 'Weekly 크랙 raw'!$A:$A, 0), MATCH($B24, 'Weekly 크랙 raw'!$1:$1, 0)), ""), IF(val=0, "", val))</f>
        <v/>
      </c>
      <c r="M24" s="58" t="str">
        <f t="array" ref="M24">LET(val, IFERROR(INDEX('Weekly 크랙 raw'!$A:$ZZ, MATCH(M$2, 'Weekly 크랙 raw'!$A:$A, 0), MATCH($B24, 'Weekly 크랙 raw'!$1:$1, 0)), ""), IF(val=0, "", val))</f>
        <v/>
      </c>
      <c r="N24" s="58" t="str">
        <f t="array" ref="N24">LET(val, IFERROR(INDEX('Weekly 크랙 raw'!$A:$ZZ, MATCH(N$2, 'Weekly 크랙 raw'!$A:$A, 0), MATCH($B24, 'Weekly 크랙 raw'!$1:$1, 0)), ""), IF(val=0, "", val))</f>
        <v/>
      </c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</row>
    <row r="25" ht="18.75" customHeight="1">
      <c r="A25" s="17"/>
      <c r="B25" s="16" t="s">
        <v>43</v>
      </c>
      <c r="C25" s="17" t="s">
        <v>44</v>
      </c>
      <c r="D25" s="58">
        <f t="array" ref="D25">LET(val, IFERROR(INDEX('Weekly 크랙 raw'!$A:$ZZ, MATCH(D$2, 'Weekly 크랙 raw'!$A:$A, 0), MATCH($B25, 'Weekly 크랙 raw'!$1:$1, 0)), ""), IF(val=0, "", val))</f>
        <v>17739</v>
      </c>
      <c r="E25" s="58">
        <f t="array" ref="E25">LET(val, IFERROR(INDEX('Weekly 크랙 raw'!$A:$ZZ, MATCH(E$2, 'Weekly 크랙 raw'!$A:$A, 0), MATCH($B25, 'Weekly 크랙 raw'!$1:$1, 0)), ""), IF(val=0, "", val))</f>
        <v>13172</v>
      </c>
      <c r="F25" s="58">
        <f t="array" ref="F25">LET(val, IFERROR(INDEX('Weekly 크랙 raw'!$A:$ZZ, MATCH(F$2, 'Weekly 크랙 raw'!$A:$A, 0), MATCH($B25, 'Weekly 크랙 raw'!$1:$1, 0)), ""), IF(val=0, "", val))</f>
        <v>15651</v>
      </c>
      <c r="G25" s="58">
        <f t="array" ref="G25">LET(val, IFERROR(INDEX('Weekly 크랙 raw'!$A:$ZZ, MATCH(G$2, 'Weekly 크랙 raw'!$A:$A, 0), MATCH($B25, 'Weekly 크랙 raw'!$1:$1, 0)), ""), IF(val=0, "", val))</f>
        <v>17874</v>
      </c>
      <c r="H25" s="58">
        <f t="array" ref="H25">LET(val, IFERROR(INDEX('Weekly 크랙 raw'!$A:$ZZ, MATCH(H$2, 'Weekly 크랙 raw'!$A:$A, 0), MATCH($B25, 'Weekly 크랙 raw'!$1:$1, 0)), ""), IF(val=0, "", val))</f>
        <v>16744</v>
      </c>
      <c r="I25" s="58">
        <f t="array" ref="I25">LET(val, IFERROR(INDEX('Weekly 크랙 raw'!$A:$ZZ, MATCH(I$2, 'Weekly 크랙 raw'!$A:$A, 0), MATCH($B25, 'Weekly 크랙 raw'!$1:$1, 0)), ""), IF(val=0, "", val))</f>
        <v>18718</v>
      </c>
      <c r="J25" s="58">
        <f t="array" ref="J25">LET(val, IFERROR(INDEX('Weekly 크랙 raw'!$A:$ZZ, MATCH(J$2, 'Weekly 크랙 raw'!$A:$A, 0), MATCH($B25, 'Weekly 크랙 raw'!$1:$1, 0)), ""), IF(val=0, "", val))</f>
        <v>23664</v>
      </c>
      <c r="K25" s="58">
        <f t="array" ref="K25">LET(val, IFERROR(INDEX('Weekly 크랙 raw'!$A:$ZZ, MATCH(K$2, 'Weekly 크랙 raw'!$A:$A, 0), MATCH($B25, 'Weekly 크랙 raw'!$1:$1, 0)), ""), IF(val=0, "", val))</f>
        <v>28288</v>
      </c>
      <c r="L25" s="58" t="str">
        <f t="array" ref="L25">LET(val, IFERROR(INDEX('Weekly 크랙 raw'!$A:$ZZ, MATCH(L$2, 'Weekly 크랙 raw'!$A:$A, 0), MATCH($B25, 'Weekly 크랙 raw'!$1:$1, 0)), ""), IF(val=0, "", val))</f>
        <v/>
      </c>
      <c r="M25" s="58" t="str">
        <f t="array" ref="M25">LET(val, IFERROR(INDEX('Weekly 크랙 raw'!$A:$ZZ, MATCH(M$2, 'Weekly 크랙 raw'!$A:$A, 0), MATCH($B25, 'Weekly 크랙 raw'!$1:$1, 0)), ""), IF(val=0, "", val))</f>
        <v/>
      </c>
      <c r="N25" s="58" t="str">
        <f t="array" ref="N25">LET(val, IFERROR(INDEX('Weekly 크랙 raw'!$A:$ZZ, MATCH(N$2, 'Weekly 크랙 raw'!$A:$A, 0), MATCH($B25, 'Weekly 크랙 raw'!$1:$1, 0)), ""), IF(val=0, "", val))</f>
        <v/>
      </c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</row>
    <row r="26" ht="18.75" customHeight="1">
      <c r="A26" s="17"/>
      <c r="B26" s="16" t="s">
        <v>45</v>
      </c>
      <c r="C26" s="17" t="s">
        <v>22</v>
      </c>
      <c r="D26" s="58">
        <f t="array" ref="D26">LET(val, IFERROR(INDEX('Weekly 크랙 raw'!$A:$ZZ, MATCH(D$2, 'Weekly 크랙 raw'!$A:$A, 0), MATCH($B26, 'Weekly 크랙 raw'!$1:$1, 0)), ""), IF(val=0, "", val))</f>
        <v>17013</v>
      </c>
      <c r="E26" s="58">
        <f t="array" ref="E26">LET(val, IFERROR(INDEX('Weekly 크랙 raw'!$A:$ZZ, MATCH(E$2, 'Weekly 크랙 raw'!$A:$A, 0), MATCH($B26, 'Weekly 크랙 raw'!$1:$1, 0)), ""), IF(val=0, "", val))</f>
        <v>12583</v>
      </c>
      <c r="F26" s="58">
        <f t="array" ref="F26">LET(val, IFERROR(INDEX('Weekly 크랙 raw'!$A:$ZZ, MATCH(F$2, 'Weekly 크랙 raw'!$A:$A, 0), MATCH($B26, 'Weekly 크랙 raw'!$1:$1, 0)), ""), IF(val=0, "", val))</f>
        <v>15305</v>
      </c>
      <c r="G26" s="58">
        <f t="array" ref="G26">LET(val, IFERROR(INDEX('Weekly 크랙 raw'!$A:$ZZ, MATCH(G$2, 'Weekly 크랙 raw'!$A:$A, 0), MATCH($B26, 'Weekly 크랙 raw'!$1:$1, 0)), ""), IF(val=0, "", val))</f>
        <v>17361</v>
      </c>
      <c r="H26" s="58">
        <f t="array" ref="H26">LET(val, IFERROR(INDEX('Weekly 크랙 raw'!$A:$ZZ, MATCH(H$2, 'Weekly 크랙 raw'!$A:$A, 0), MATCH($B26, 'Weekly 크랙 raw'!$1:$1, 0)), ""), IF(val=0, "", val))</f>
        <v>16186</v>
      </c>
      <c r="I26" s="58">
        <f t="array" ref="I26">LET(val, IFERROR(INDEX('Weekly 크랙 raw'!$A:$ZZ, MATCH(I$2, 'Weekly 크랙 raw'!$A:$A, 0), MATCH($B26, 'Weekly 크랙 raw'!$1:$1, 0)), ""), IF(val=0, "", val))</f>
        <v>18585</v>
      </c>
      <c r="J26" s="58">
        <f t="array" ref="J26">LET(val, IFERROR(INDEX('Weekly 크랙 raw'!$A:$ZZ, MATCH(J$2, 'Weekly 크랙 raw'!$A:$A, 0), MATCH($B26, 'Weekly 크랙 raw'!$1:$1, 0)), ""), IF(val=0, "", val))</f>
        <v>23791</v>
      </c>
      <c r="K26" s="58">
        <f t="array" ref="K26">LET(val, IFERROR(INDEX('Weekly 크랙 raw'!$A:$ZZ, MATCH(K$2, 'Weekly 크랙 raw'!$A:$A, 0), MATCH($B26, 'Weekly 크랙 raw'!$1:$1, 0)), ""), IF(val=0, "", val))</f>
        <v>28884</v>
      </c>
      <c r="L26" s="58" t="str">
        <f t="array" ref="L26">LET(val, IFERROR(INDEX('Weekly 크랙 raw'!$A:$ZZ, MATCH(L$2, 'Weekly 크랙 raw'!$A:$A, 0), MATCH($B26, 'Weekly 크랙 raw'!$1:$1, 0)), ""), IF(val=0, "", val))</f>
        <v/>
      </c>
      <c r="M26" s="58" t="str">
        <f t="array" ref="M26">LET(val, IFERROR(INDEX('Weekly 크랙 raw'!$A:$ZZ, MATCH(M$2, 'Weekly 크랙 raw'!$A:$A, 0), MATCH($B26, 'Weekly 크랙 raw'!$1:$1, 0)), ""), IF(val=0, "", val))</f>
        <v/>
      </c>
      <c r="N26" s="58" t="str">
        <f t="array" ref="N26">LET(val, IFERROR(INDEX('Weekly 크랙 raw'!$A:$ZZ, MATCH(N$2, 'Weekly 크랙 raw'!$A:$A, 0), MATCH($B26, 'Weekly 크랙 raw'!$1:$1, 0)), ""), IF(val=0, "", val))</f>
        <v/>
      </c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</row>
    <row r="27" ht="18.75" customHeight="1">
      <c r="A27" s="17"/>
      <c r="B27" s="16" t="s">
        <v>46</v>
      </c>
      <c r="C27" s="17" t="s">
        <v>47</v>
      </c>
      <c r="D27" s="58">
        <f t="array" ref="D27">LET(val, IFERROR(INDEX('Weekly 크랙 raw'!$A:$ZZ, MATCH(D$2, 'Weekly 크랙 raw'!$A:$A, 0), MATCH($B27, 'Weekly 크랙 raw'!$1:$1, 0)), ""), IF(val=0, "", val))</f>
        <v>11860</v>
      </c>
      <c r="E27" s="58">
        <f t="array" ref="E27">LET(val, IFERROR(INDEX('Weekly 크랙 raw'!$A:$ZZ, MATCH(E$2, 'Weekly 크랙 raw'!$A:$A, 0), MATCH($B27, 'Weekly 크랙 raw'!$1:$1, 0)), ""), IF(val=0, "", val))</f>
        <v>8828</v>
      </c>
      <c r="F27" s="58">
        <f t="array" ref="F27">LET(val, IFERROR(INDEX('Weekly 크랙 raw'!$A:$ZZ, MATCH(F$2, 'Weekly 크랙 raw'!$A:$A, 0), MATCH($B27, 'Weekly 크랙 raw'!$1:$1, 0)), ""), IF(val=0, "", val))</f>
        <v>10811</v>
      </c>
      <c r="G27" s="58">
        <f t="array" ref="G27">LET(val, IFERROR(INDEX('Weekly 크랙 raw'!$A:$ZZ, MATCH(G$2, 'Weekly 크랙 raw'!$A:$A, 0), MATCH($B27, 'Weekly 크랙 raw'!$1:$1, 0)), ""), IF(val=0, "", val))</f>
        <v>12991</v>
      </c>
      <c r="H27" s="58">
        <f t="array" ref="H27">LET(val, IFERROR(INDEX('Weekly 크랙 raw'!$A:$ZZ, MATCH(H$2, 'Weekly 크랙 raw'!$A:$A, 0), MATCH($B27, 'Weekly 크랙 raw'!$1:$1, 0)), ""), IF(val=0, "", val))</f>
        <v>12254</v>
      </c>
      <c r="I27" s="58">
        <f t="array" ref="I27">LET(val, IFERROR(INDEX('Weekly 크랙 raw'!$A:$ZZ, MATCH(I$2, 'Weekly 크랙 raw'!$A:$A, 0), MATCH($B27, 'Weekly 크랙 raw'!$1:$1, 0)), ""), IF(val=0, "", val))</f>
        <v>13171</v>
      </c>
      <c r="J27" s="58">
        <f t="array" ref="J27">LET(val, IFERROR(INDEX('Weekly 크랙 raw'!$A:$ZZ, MATCH(J$2, 'Weekly 크랙 raw'!$A:$A, 0), MATCH($B27, 'Weekly 크랙 raw'!$1:$1, 0)), ""), IF(val=0, "", val))</f>
        <v>16741</v>
      </c>
      <c r="K27" s="58">
        <f t="array" ref="K27">LET(val, IFERROR(INDEX('Weekly 크랙 raw'!$A:$ZZ, MATCH(K$2, 'Weekly 크랙 raw'!$A:$A, 0), MATCH($B27, 'Weekly 크랙 raw'!$1:$1, 0)), ""), IF(val=0, "", val))</f>
        <v>20662</v>
      </c>
      <c r="L27" s="58" t="str">
        <f t="array" ref="L27">LET(val, IFERROR(INDEX('Weekly 크랙 raw'!$A:$ZZ, MATCH(L$2, 'Weekly 크랙 raw'!$A:$A, 0), MATCH($B27, 'Weekly 크랙 raw'!$1:$1, 0)), ""), IF(val=0, "", val))</f>
        <v/>
      </c>
      <c r="M27" s="58" t="str">
        <f t="array" ref="M27">LET(val, IFERROR(INDEX('Weekly 크랙 raw'!$A:$ZZ, MATCH(M$2, 'Weekly 크랙 raw'!$A:$A, 0), MATCH($B27, 'Weekly 크랙 raw'!$1:$1, 0)), ""), IF(val=0, "", val))</f>
        <v/>
      </c>
      <c r="N27" s="58" t="str">
        <f t="array" ref="N27">LET(val, IFERROR(INDEX('Weekly 크랙 raw'!$A:$ZZ, MATCH(N$2, 'Weekly 크랙 raw'!$A:$A, 0), MATCH($B27, 'Weekly 크랙 raw'!$1:$1, 0)), ""), IF(val=0, "", val))</f>
        <v/>
      </c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</row>
    <row r="28" ht="18.75" customHeight="1">
      <c r="A28" s="17"/>
      <c r="B28" s="16" t="s">
        <v>48</v>
      </c>
      <c r="C28" s="17" t="s">
        <v>20</v>
      </c>
      <c r="D28" s="58">
        <f t="array" ref="D28">LET(val, IFERROR(INDEX('Weekly 크랙 raw'!$A:$ZZ, MATCH(D$2, 'Weekly 크랙 raw'!$A:$A, 0), MATCH($B28, 'Weekly 크랙 raw'!$1:$1, 0)), ""), IF(val=0, "", val))</f>
        <v>1134</v>
      </c>
      <c r="E28" s="58">
        <f t="array" ref="E28">LET(val, IFERROR(INDEX('Weekly 크랙 raw'!$A:$ZZ, MATCH(E$2, 'Weekly 크랙 raw'!$A:$A, 0), MATCH($B28, 'Weekly 크랙 raw'!$1:$1, 0)), ""), IF(val=0, "", val))</f>
        <v>1077</v>
      </c>
      <c r="F28" s="58">
        <f t="array" ref="F28">LET(val, IFERROR(INDEX('Weekly 크랙 raw'!$A:$ZZ, MATCH(F$2, 'Weekly 크랙 raw'!$A:$A, 0), MATCH($B28, 'Weekly 크랙 raw'!$1:$1, 0)), ""), IF(val=0, "", val))</f>
        <v>1298</v>
      </c>
      <c r="G28" s="58">
        <f t="array" ref="G28">LET(val, IFERROR(INDEX('Weekly 크랙 raw'!$A:$ZZ, MATCH(G$2, 'Weekly 크랙 raw'!$A:$A, 0), MATCH($B28, 'Weekly 크랙 raw'!$1:$1, 0)), ""), IF(val=0, "", val))</f>
        <v>1649</v>
      </c>
      <c r="H28" s="58">
        <f t="array" ref="H28">LET(val, IFERROR(INDEX('Weekly 크랙 raw'!$A:$ZZ, MATCH(H$2, 'Weekly 크랙 raw'!$A:$A, 0), MATCH($B28, 'Weekly 크랙 raw'!$1:$1, 0)), ""), IF(val=0, "", val))</f>
        <v>1435</v>
      </c>
      <c r="I28" s="58">
        <f t="array" ref="I28">LET(val, IFERROR(INDEX('Weekly 크랙 raw'!$A:$ZZ, MATCH(I$2, 'Weekly 크랙 raw'!$A:$A, 0), MATCH($B28, 'Weekly 크랙 raw'!$1:$1, 0)), ""), IF(val=0, "", val))</f>
        <v>1472</v>
      </c>
      <c r="J28" s="58">
        <f t="array" ref="J28">LET(val, IFERROR(INDEX('Weekly 크랙 raw'!$A:$ZZ, MATCH(J$2, 'Weekly 크랙 raw'!$A:$A, 0), MATCH($B28, 'Weekly 크랙 raw'!$1:$1, 0)), ""), IF(val=0, "", val))</f>
        <v>1782</v>
      </c>
      <c r="K28" s="58">
        <f t="array" ref="K28">LET(val, IFERROR(INDEX('Weekly 크랙 raw'!$A:$ZZ, MATCH(K$2, 'Weekly 크랙 raw'!$A:$A, 0), MATCH($B28, 'Weekly 크랙 raw'!$1:$1, 0)), ""), IF(val=0, "", val))</f>
        <v>2722</v>
      </c>
      <c r="L28" s="58" t="str">
        <f t="array" ref="L28">LET(val, IFERROR(INDEX('Weekly 크랙 raw'!$A:$ZZ, MATCH(L$2, 'Weekly 크랙 raw'!$A:$A, 0), MATCH($B28, 'Weekly 크랙 raw'!$1:$1, 0)), ""), IF(val=0, "", val))</f>
        <v/>
      </c>
      <c r="M28" s="58" t="str">
        <f t="array" ref="M28">LET(val, IFERROR(INDEX('Weekly 크랙 raw'!$A:$ZZ, MATCH(M$2, 'Weekly 크랙 raw'!$A:$A, 0), MATCH($B28, 'Weekly 크랙 raw'!$1:$1, 0)), ""), IF(val=0, "", val))</f>
        <v/>
      </c>
      <c r="N28" s="58" t="str">
        <f t="array" ref="N28">LET(val, IFERROR(INDEX('Weekly 크랙 raw'!$A:$ZZ, MATCH(N$2, 'Weekly 크랙 raw'!$A:$A, 0), MATCH($B28, 'Weekly 크랙 raw'!$1:$1, 0)), ""), IF(val=0, "", val))</f>
        <v/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</row>
    <row r="29">
      <c r="A29" s="30"/>
      <c r="B29" s="16"/>
      <c r="C29" s="30" t="s">
        <v>49</v>
      </c>
      <c r="D29" s="58" t="str">
        <f t="array" ref="D29">LET(val, IFERROR(INDEX('Weekly 크랙 raw'!$A:$ZZ, MATCH(D$2, 'Weekly 크랙 raw'!$A:$A, 0), MATCH($B29, 'Weekly 크랙 raw'!$1:$1, 0)), ""), IF(val=0, "", val))</f>
        <v/>
      </c>
      <c r="E29" s="58" t="str">
        <f t="array" ref="E29">LET(val, IFERROR(INDEX('Weekly 크랙 raw'!$A:$ZZ, MATCH(E$2, 'Weekly 크랙 raw'!$A:$A, 0), MATCH($B29, 'Weekly 크랙 raw'!$1:$1, 0)), ""), IF(val=0, "", val))</f>
        <v/>
      </c>
      <c r="F29" s="58" t="str">
        <f t="array" ref="F29">LET(val, IFERROR(INDEX('Weekly 크랙 raw'!$A:$ZZ, MATCH(F$2, 'Weekly 크랙 raw'!$A:$A, 0), MATCH($B29, 'Weekly 크랙 raw'!$1:$1, 0)), ""), IF(val=0, "", val))</f>
        <v/>
      </c>
      <c r="G29" s="58" t="str">
        <f t="array" ref="G29">LET(val, IFERROR(INDEX('Weekly 크랙 raw'!$A:$ZZ, MATCH(G$2, 'Weekly 크랙 raw'!$A:$A, 0), MATCH($B29, 'Weekly 크랙 raw'!$1:$1, 0)), ""), IF(val=0, "", val))</f>
        <v/>
      </c>
      <c r="H29" s="58" t="str">
        <f t="array" ref="H29">LET(val, IFERROR(INDEX('Weekly 크랙 raw'!$A:$ZZ, MATCH(H$2, 'Weekly 크랙 raw'!$A:$A, 0), MATCH($B29, 'Weekly 크랙 raw'!$1:$1, 0)), ""), IF(val=0, "", val))</f>
        <v/>
      </c>
      <c r="I29" s="58" t="str">
        <f t="array" ref="I29">LET(val, IFERROR(INDEX('Weekly 크랙 raw'!$A:$ZZ, MATCH(I$2, 'Weekly 크랙 raw'!$A:$A, 0), MATCH($B29, 'Weekly 크랙 raw'!$1:$1, 0)), ""), IF(val=0, "", val))</f>
        <v/>
      </c>
      <c r="J29" s="58" t="str">
        <f t="array" ref="J29">LET(val, IFERROR(INDEX('Weekly 크랙 raw'!$A:$ZZ, MATCH(J$2, 'Weekly 크랙 raw'!$A:$A, 0), MATCH($B29, 'Weekly 크랙 raw'!$1:$1, 0)), ""), IF(val=0, "", val))</f>
        <v/>
      </c>
      <c r="K29" s="58" t="str">
        <f t="array" ref="K29">LET(val, IFERROR(INDEX('Weekly 크랙 raw'!$A:$ZZ, MATCH(K$2, 'Weekly 크랙 raw'!$A:$A, 0), MATCH($B29, 'Weekly 크랙 raw'!$1:$1, 0)), ""), IF(val=0, "", val))</f>
        <v/>
      </c>
      <c r="L29" s="58" t="str">
        <f t="array" ref="L29">LET(val, IFERROR(INDEX('Weekly 크랙 raw'!$A:$ZZ, MATCH(L$2, 'Weekly 크랙 raw'!$A:$A, 0), MATCH($B29, 'Weekly 크랙 raw'!$1:$1, 0)), ""), IF(val=0, "", val))</f>
        <v/>
      </c>
      <c r="M29" s="58" t="str">
        <f t="array" ref="M29">LET(val, IFERROR(INDEX('Weekly 크랙 raw'!$A:$ZZ, MATCH(M$2, 'Weekly 크랙 raw'!$A:$A, 0), MATCH($B29, 'Weekly 크랙 raw'!$1:$1, 0)), ""), IF(val=0, "", val))</f>
        <v/>
      </c>
      <c r="N29" s="58" t="str">
        <f t="array" ref="N29">LET(val, IFERROR(INDEX('Weekly 크랙 raw'!$A:$ZZ, MATCH(N$2, 'Weekly 크랙 raw'!$A:$A, 0), MATCH($B29, 'Weekly 크랙 raw'!$1:$1, 0)), ""), IF(val=0, "", val))</f>
        <v/>
      </c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</row>
    <row r="30">
      <c r="A30" s="30"/>
      <c r="B30" s="16" t="s">
        <v>50</v>
      </c>
      <c r="C30" s="17" t="s">
        <v>42</v>
      </c>
      <c r="D30" s="58">
        <f t="array" ref="D30">LET(val, IFERROR(INDEX('Weekly 크랙 raw'!$A:$ZZ, MATCH(D$2, 'Weekly 크랙 raw'!$A:$A, 0), MATCH($B30, 'Weekly 크랙 raw'!$1:$1, 0)), ""), IF(val=0, "", val))</f>
        <v>142857</v>
      </c>
      <c r="E30" s="58">
        <f t="array" ref="E30">LET(val, IFERROR(INDEX('Weekly 크랙 raw'!$A:$ZZ, MATCH(E$2, 'Weekly 크랙 raw'!$A:$A, 0), MATCH($B30, 'Weekly 크랙 raw'!$1:$1, 0)), ""), IF(val=0, "", val))</f>
        <v>145167</v>
      </c>
      <c r="F30" s="58">
        <f t="array" ref="F30">LET(val, IFERROR(INDEX('Weekly 크랙 raw'!$A:$ZZ, MATCH(F$2, 'Weekly 크랙 raw'!$A:$A, 0), MATCH($B30, 'Weekly 크랙 raw'!$1:$1, 0)), ""), IF(val=0, "", val))</f>
        <v>147137</v>
      </c>
      <c r="G30" s="58">
        <f t="array" ref="G30">LET(val, IFERROR(INDEX('Weekly 크랙 raw'!$A:$ZZ, MATCH(G$2, 'Weekly 크랙 raw'!$A:$A, 0), MATCH($B30, 'Weekly 크랙 raw'!$1:$1, 0)), ""), IF(val=0, "", val))</f>
        <v>148266</v>
      </c>
      <c r="H30" s="58">
        <f t="array" ref="H30">LET(val, IFERROR(INDEX('Weekly 크랙 raw'!$A:$ZZ, MATCH(H$2, 'Weekly 크랙 raw'!$A:$A, 0), MATCH($B30, 'Weekly 크랙 raw'!$1:$1, 0)), ""), IF(val=0, "", val))</f>
        <v>150872</v>
      </c>
      <c r="I30" s="58">
        <f t="array" ref="I30">LET(val, IFERROR(INDEX('Weekly 크랙 raw'!$A:$ZZ, MATCH(I$2, 'Weekly 크랙 raw'!$A:$A, 0), MATCH($B30, 'Weekly 크랙 raw'!$1:$1, 0)), ""), IF(val=0, "", val))</f>
        <v>153541</v>
      </c>
      <c r="J30" s="58">
        <f t="array" ref="J30">LET(val, IFERROR(INDEX('Weekly 크랙 raw'!$A:$ZZ, MATCH(J$2, 'Weekly 크랙 raw'!$A:$A, 0), MATCH($B30, 'Weekly 크랙 raw'!$1:$1, 0)), ""), IF(val=0, "", val))</f>
        <v>164082</v>
      </c>
      <c r="K30" s="58">
        <f t="array" ref="K30">LET(val, IFERROR(INDEX('Weekly 크랙 raw'!$A:$ZZ, MATCH(K$2, 'Weekly 크랙 raw'!$A:$A, 0), MATCH($B30, 'Weekly 크랙 raw'!$1:$1, 0)), ""), IF(val=0, "", val))</f>
        <v>175256</v>
      </c>
      <c r="L30" s="58" t="str">
        <f t="array" ref="L30">LET(val, IFERROR(INDEX('Weekly 크랙 raw'!$A:$ZZ, MATCH(L$2, 'Weekly 크랙 raw'!$A:$A, 0), MATCH($B30, 'Weekly 크랙 raw'!$1:$1, 0)), ""), IF(val=0, "", val))</f>
        <v/>
      </c>
      <c r="M30" s="58" t="str">
        <f t="array" ref="M30">LET(val, IFERROR(INDEX('Weekly 크랙 raw'!$A:$ZZ, MATCH(M$2, 'Weekly 크랙 raw'!$A:$A, 0), MATCH($B30, 'Weekly 크랙 raw'!$1:$1, 0)), ""), IF(val=0, "", val))</f>
        <v/>
      </c>
      <c r="N30" s="58" t="str">
        <f t="array" ref="N30">LET(val, IFERROR(INDEX('Weekly 크랙 raw'!$A:$ZZ, MATCH(N$2, 'Weekly 크랙 raw'!$A:$A, 0), MATCH($B30, 'Weekly 크랙 raw'!$1:$1, 0)), ""), IF(val=0, "", val))</f>
        <v/>
      </c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</row>
    <row r="31">
      <c r="A31" s="30"/>
      <c r="B31" s="16" t="s">
        <v>51</v>
      </c>
      <c r="C31" s="17" t="s">
        <v>44</v>
      </c>
      <c r="D31" s="58">
        <f t="array" ref="D31">LET(val, IFERROR(INDEX('Weekly 크랙 raw'!$A:$ZZ, MATCH(D$2, 'Weekly 크랙 raw'!$A:$A, 0), MATCH($B31, 'Weekly 크랙 raw'!$1:$1, 0)), ""), IF(val=0, "", val))</f>
        <v>91010</v>
      </c>
      <c r="E31" s="58">
        <f t="array" ref="E31">LET(val, IFERROR(INDEX('Weekly 크랙 raw'!$A:$ZZ, MATCH(E$2, 'Weekly 크랙 raw'!$A:$A, 0), MATCH($B31, 'Weekly 크랙 raw'!$1:$1, 0)), ""), IF(val=0, "", val))</f>
        <v>91388</v>
      </c>
      <c r="F31" s="58">
        <f t="array" ref="F31">LET(val, IFERROR(INDEX('Weekly 크랙 raw'!$A:$ZZ, MATCH(F$2, 'Weekly 크랙 raw'!$A:$A, 0), MATCH($B31, 'Weekly 크랙 raw'!$1:$1, 0)), ""), IF(val=0, "", val))</f>
        <v>93050</v>
      </c>
      <c r="G31" s="58">
        <f t="array" ref="G31">LET(val, IFERROR(INDEX('Weekly 크랙 raw'!$A:$ZZ, MATCH(G$2, 'Weekly 크랙 raw'!$A:$A, 0), MATCH($B31, 'Weekly 크랙 raw'!$1:$1, 0)), ""), IF(val=0, "", val))</f>
        <v>95329</v>
      </c>
      <c r="H31" s="58">
        <f t="array" ref="H31">LET(val, IFERROR(INDEX('Weekly 크랙 raw'!$A:$ZZ, MATCH(H$2, 'Weekly 크랙 raw'!$A:$A, 0), MATCH($B31, 'Weekly 크랙 raw'!$1:$1, 0)), ""), IF(val=0, "", val))</f>
        <v>97087</v>
      </c>
      <c r="I31" s="58">
        <f t="array" ref="I31">LET(val, IFERROR(INDEX('Weekly 크랙 raw'!$A:$ZZ, MATCH(I$2, 'Weekly 크랙 raw'!$A:$A, 0), MATCH($B31, 'Weekly 크랙 raw'!$1:$1, 0)), ""), IF(val=0, "", val))</f>
        <v>98770</v>
      </c>
      <c r="J31" s="58">
        <f t="array" ref="J31">LET(val, IFERROR(INDEX('Weekly 크랙 raw'!$A:$ZZ, MATCH(J$2, 'Weekly 크랙 raw'!$A:$A, 0), MATCH($B31, 'Weekly 크랙 raw'!$1:$1, 0)), ""), IF(val=0, "", val))</f>
        <v>102430</v>
      </c>
      <c r="K31" s="58">
        <f t="array" ref="K31">LET(val, IFERROR(INDEX('Weekly 크랙 raw'!$A:$ZZ, MATCH(K$2, 'Weekly 크랙 raw'!$A:$A, 0), MATCH($B31, 'Weekly 크랙 raw'!$1:$1, 0)), ""), IF(val=0, "", val))</f>
        <v>111632</v>
      </c>
      <c r="L31" s="58" t="str">
        <f t="array" ref="L31">LET(val, IFERROR(INDEX('Weekly 크랙 raw'!$A:$ZZ, MATCH(L$2, 'Weekly 크랙 raw'!$A:$A, 0), MATCH($B31, 'Weekly 크랙 raw'!$1:$1, 0)), ""), IF(val=0, "", val))</f>
        <v/>
      </c>
      <c r="M31" s="58" t="str">
        <f t="array" ref="M31">LET(val, IFERROR(INDEX('Weekly 크랙 raw'!$A:$ZZ, MATCH(M$2, 'Weekly 크랙 raw'!$A:$A, 0), MATCH($B31, 'Weekly 크랙 raw'!$1:$1, 0)), ""), IF(val=0, "", val))</f>
        <v/>
      </c>
      <c r="N31" s="58" t="str">
        <f t="array" ref="N31">LET(val, IFERROR(INDEX('Weekly 크랙 raw'!$A:$ZZ, MATCH(N$2, 'Weekly 크랙 raw'!$A:$A, 0), MATCH($B31, 'Weekly 크랙 raw'!$1:$1, 0)), ""), IF(val=0, "", val))</f>
        <v/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</row>
    <row r="32">
      <c r="A32" s="30"/>
      <c r="B32" s="16" t="s">
        <v>52</v>
      </c>
      <c r="C32" s="17" t="s">
        <v>22</v>
      </c>
      <c r="D32" s="58">
        <f t="array" ref="D32">LET(val, IFERROR(INDEX('Weekly 크랙 raw'!$A:$ZZ, MATCH(D$2, 'Weekly 크랙 raw'!$A:$A, 0), MATCH($B32, 'Weekly 크랙 raw'!$1:$1, 0)), ""), IF(val=0, "", val))</f>
        <v>101801</v>
      </c>
      <c r="E32" s="58">
        <f t="array" ref="E32">LET(val, IFERROR(INDEX('Weekly 크랙 raw'!$A:$ZZ, MATCH(E$2, 'Weekly 크랙 raw'!$A:$A, 0), MATCH($B32, 'Weekly 크랙 raw'!$1:$1, 0)), ""), IF(val=0, "", val))</f>
        <v>89612</v>
      </c>
      <c r="F32" s="58">
        <f t="array" ref="F32">LET(val, IFERROR(INDEX('Weekly 크랙 raw'!$A:$ZZ, MATCH(F$2, 'Weekly 크랙 raw'!$A:$A, 0), MATCH($B32, 'Weekly 크랙 raw'!$1:$1, 0)), ""), IF(val=0, "", val))</f>
        <v>108144</v>
      </c>
      <c r="G32" s="58">
        <f t="array" ref="G32">LET(val, IFERROR(INDEX('Weekly 크랙 raw'!$A:$ZZ, MATCH(G$2, 'Weekly 크랙 raw'!$A:$A, 0), MATCH($B32, 'Weekly 크랙 raw'!$1:$1, 0)), ""), IF(val=0, "", val))</f>
        <v>103730</v>
      </c>
      <c r="H32" s="58">
        <f t="array" ref="H32">LET(val, IFERROR(INDEX('Weekly 크랙 raw'!$A:$ZZ, MATCH(H$2, 'Weekly 크랙 raw'!$A:$A, 0), MATCH($B32, 'Weekly 크랙 raw'!$1:$1, 0)), ""), IF(val=0, "", val))</f>
        <v>99990</v>
      </c>
      <c r="I32" s="58">
        <f t="array" ref="I32">LET(val, IFERROR(INDEX('Weekly 크랙 raw'!$A:$ZZ, MATCH(I$2, 'Weekly 크랙 raw'!$A:$A, 0), MATCH($B32, 'Weekly 크랙 raw'!$1:$1, 0)), ""), IF(val=0, "", val))</f>
        <v>96506</v>
      </c>
      <c r="J32" s="58">
        <f t="array" ref="J32">LET(val, IFERROR(INDEX('Weekly 크랙 raw'!$A:$ZZ, MATCH(J$2, 'Weekly 크랙 raw'!$A:$A, 0), MATCH($B32, 'Weekly 크랙 raw'!$1:$1, 0)), ""), IF(val=0, "", val))</f>
        <v>100341</v>
      </c>
      <c r="K32" s="58">
        <f t="array" ref="K32">LET(val, IFERROR(INDEX('Weekly 크랙 raw'!$A:$ZZ, MATCH(K$2, 'Weekly 크랙 raw'!$A:$A, 0), MATCH($B32, 'Weekly 크랙 raw'!$1:$1, 0)), ""), IF(val=0, "", val))</f>
        <v>109714</v>
      </c>
      <c r="L32" s="58">
        <f t="array" ref="L32">LET(val, IFERROR(INDEX('Weekly 크랙 raw'!$A:$ZZ, MATCH(L$2, 'Weekly 크랙 raw'!$A:$A, 0), MATCH($B32, 'Weekly 크랙 raw'!$1:$1, 0)), ""), IF(val=0, "", val))</f>
        <v>6861</v>
      </c>
      <c r="M32" s="58" t="str">
        <f t="array" ref="M32">LET(val, IFERROR(INDEX('Weekly 크랙 raw'!$A:$ZZ, MATCH(M$2, 'Weekly 크랙 raw'!$A:$A, 0), MATCH($B32, 'Weekly 크랙 raw'!$1:$1, 0)), ""), IF(val=0, "", val))</f>
        <v/>
      </c>
      <c r="N32" s="58" t="str">
        <f t="array" ref="N32">LET(val, IFERROR(INDEX('Weekly 크랙 raw'!$A:$ZZ, MATCH(N$2, 'Weekly 크랙 raw'!$A:$A, 0), MATCH($B32, 'Weekly 크랙 raw'!$1:$1, 0)), ""), IF(val=0, "", val))</f>
        <v/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</row>
    <row r="33">
      <c r="A33" s="30"/>
      <c r="B33" s="16" t="s">
        <v>53</v>
      </c>
      <c r="C33" s="17" t="s">
        <v>47</v>
      </c>
      <c r="D33" s="58">
        <f t="array" ref="D33">LET(val, IFERROR(INDEX('Weekly 크랙 raw'!$A:$ZZ, MATCH(D$2, 'Weekly 크랙 raw'!$A:$A, 0), MATCH($B33, 'Weekly 크랙 raw'!$1:$1, 0)), ""), IF(val=0, "", val))</f>
        <v>89502</v>
      </c>
      <c r="E33" s="58">
        <f t="array" ref="E33">LET(val, IFERROR(INDEX('Weekly 크랙 raw'!$A:$ZZ, MATCH(E$2, 'Weekly 크랙 raw'!$A:$A, 0), MATCH($B33, 'Weekly 크랙 raw'!$1:$1, 0)), ""), IF(val=0, "", val))</f>
        <v>89866</v>
      </c>
      <c r="F33" s="58">
        <f t="array" ref="F33">LET(val, IFERROR(INDEX('Weekly 크랙 raw'!$A:$ZZ, MATCH(F$2, 'Weekly 크랙 raw'!$A:$A, 0), MATCH($B33, 'Weekly 크랙 raw'!$1:$1, 0)), ""), IF(val=0, "", val))</f>
        <v>90891</v>
      </c>
      <c r="G33" s="58">
        <f t="array" ref="G33">LET(val, IFERROR(INDEX('Weekly 크랙 raw'!$A:$ZZ, MATCH(G$2, 'Weekly 크랙 raw'!$A:$A, 0), MATCH($B33, 'Weekly 크랙 raw'!$1:$1, 0)), ""), IF(val=0, "", val))</f>
        <v>93570</v>
      </c>
      <c r="H33" s="58">
        <f t="array" ref="H33">LET(val, IFERROR(INDEX('Weekly 크랙 raw'!$A:$ZZ, MATCH(H$2, 'Weekly 크랙 raw'!$A:$A, 0), MATCH($B33, 'Weekly 크랙 raw'!$1:$1, 0)), ""), IF(val=0, "", val))</f>
        <v>94907</v>
      </c>
      <c r="I33" s="58">
        <f t="array" ref="I33">LET(val, IFERROR(INDEX('Weekly 크랙 raw'!$A:$ZZ, MATCH(I$2, 'Weekly 크랙 raw'!$A:$A, 0), MATCH($B33, 'Weekly 크랙 raw'!$1:$1, 0)), ""), IF(val=0, "", val))</f>
        <v>95933</v>
      </c>
      <c r="J33" s="58">
        <f t="array" ref="J33">LET(val, IFERROR(INDEX('Weekly 크랙 raw'!$A:$ZZ, MATCH(J$2, 'Weekly 크랙 raw'!$A:$A, 0), MATCH($B33, 'Weekly 크랙 raw'!$1:$1, 0)), ""), IF(val=0, "", val))</f>
        <v>100474</v>
      </c>
      <c r="K33" s="58">
        <f t="array" ref="K33">LET(val, IFERROR(INDEX('Weekly 크랙 raw'!$A:$ZZ, MATCH(K$2, 'Weekly 크랙 raw'!$A:$A, 0), MATCH($B33, 'Weekly 크랙 raw'!$1:$1, 0)), ""), IF(val=0, "", val))</f>
        <v>109416</v>
      </c>
      <c r="L33" s="58" t="str">
        <f t="array" ref="L33">LET(val, IFERROR(INDEX('Weekly 크랙 raw'!$A:$ZZ, MATCH(L$2, 'Weekly 크랙 raw'!$A:$A, 0), MATCH($B33, 'Weekly 크랙 raw'!$1:$1, 0)), ""), IF(val=0, "", val))</f>
        <v/>
      </c>
      <c r="M33" s="58" t="str">
        <f t="array" ref="M33">LET(val, IFERROR(INDEX('Weekly 크랙 raw'!$A:$ZZ, MATCH(M$2, 'Weekly 크랙 raw'!$A:$A, 0), MATCH($B33, 'Weekly 크랙 raw'!$1:$1, 0)), ""), IF(val=0, "", val))</f>
        <v/>
      </c>
      <c r="N33" s="58" t="str">
        <f t="array" ref="N33">LET(val, IFERROR(INDEX('Weekly 크랙 raw'!$A:$ZZ, MATCH(N$2, 'Weekly 크랙 raw'!$A:$A, 0), MATCH($B33, 'Weekly 크랙 raw'!$1:$1, 0)), ""), IF(val=0, "", val))</f>
        <v/>
      </c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</row>
    <row r="34">
      <c r="A34" s="30"/>
      <c r="B34" s="16" t="s">
        <v>54</v>
      </c>
      <c r="C34" s="17" t="s">
        <v>20</v>
      </c>
      <c r="D34" s="58">
        <f t="array" ref="D34">LET(val, IFERROR(INDEX('Weekly 크랙 raw'!$A:$ZZ, MATCH(D$2, 'Weekly 크랙 raw'!$A:$A, 0), MATCH($B34, 'Weekly 크랙 raw'!$1:$1, 0)), ""), IF(val=0, "", val))</f>
        <v>29341</v>
      </c>
      <c r="E34" s="58">
        <f t="array" ref="E34">LET(val, IFERROR(INDEX('Weekly 크랙 raw'!$A:$ZZ, MATCH(E$2, 'Weekly 크랙 raw'!$A:$A, 0), MATCH($B34, 'Weekly 크랙 raw'!$1:$1, 0)), ""), IF(val=0, "", val))</f>
        <v>28875</v>
      </c>
      <c r="F34" s="58">
        <f t="array" ref="F34">LET(val, IFERROR(INDEX('Weekly 크랙 raw'!$A:$ZZ, MATCH(F$2, 'Weekly 크랙 raw'!$A:$A, 0), MATCH($B34, 'Weekly 크랙 raw'!$1:$1, 0)), ""), IF(val=0, "", val))</f>
        <v>29605</v>
      </c>
      <c r="G34" s="58">
        <f t="array" ref="G34">LET(val, IFERROR(INDEX('Weekly 크랙 raw'!$A:$ZZ, MATCH(G$2, 'Weekly 크랙 raw'!$A:$A, 0), MATCH($B34, 'Weekly 크랙 raw'!$1:$1, 0)), ""), IF(val=0, "", val))</f>
        <v>30329</v>
      </c>
      <c r="H34" s="58">
        <f t="array" ref="H34">LET(val, IFERROR(INDEX('Weekly 크랙 raw'!$A:$ZZ, MATCH(H$2, 'Weekly 크랙 raw'!$A:$A, 0), MATCH($B34, 'Weekly 크랙 raw'!$1:$1, 0)), ""), IF(val=0, "", val))</f>
        <v>31285</v>
      </c>
      <c r="I34" s="58">
        <f t="array" ref="I34">LET(val, IFERROR(INDEX('Weekly 크랙 raw'!$A:$ZZ, MATCH(I$2, 'Weekly 크랙 raw'!$A:$A, 0), MATCH($B34, 'Weekly 크랙 raw'!$1:$1, 0)), ""), IF(val=0, "", val))</f>
        <v>31435</v>
      </c>
      <c r="J34" s="58">
        <f t="array" ref="J34">LET(val, IFERROR(INDEX('Weekly 크랙 raw'!$A:$ZZ, MATCH(J$2, 'Weekly 크랙 raw'!$A:$A, 0), MATCH($B34, 'Weekly 크랙 raw'!$1:$1, 0)), ""), IF(val=0, "", val))</f>
        <v>32484</v>
      </c>
      <c r="K34" s="58">
        <f t="array" ref="K34">LET(val, IFERROR(INDEX('Weekly 크랙 raw'!$A:$ZZ, MATCH(K$2, 'Weekly 크랙 raw'!$A:$A, 0), MATCH($B34, 'Weekly 크랙 raw'!$1:$1, 0)), ""), IF(val=0, "", val))</f>
        <v>35197</v>
      </c>
      <c r="L34" s="58">
        <f t="array" ref="L34">LET(val, IFERROR(INDEX('Weekly 크랙 raw'!$A:$ZZ, MATCH(L$2, 'Weekly 크랙 raw'!$A:$A, 0), MATCH($B34, 'Weekly 크랙 raw'!$1:$1, 0)), ""), IF(val=0, "", val))</f>
        <v>4097</v>
      </c>
      <c r="M34" s="58" t="str">
        <f t="array" ref="M34">LET(val, IFERROR(INDEX('Weekly 크랙 raw'!$A:$ZZ, MATCH(M$2, 'Weekly 크랙 raw'!$A:$A, 0), MATCH($B34, 'Weekly 크랙 raw'!$1:$1, 0)), ""), IF(val=0, "", val))</f>
        <v/>
      </c>
      <c r="N34" s="58" t="str">
        <f t="array" ref="N34">LET(val, IFERROR(INDEX('Weekly 크랙 raw'!$A:$ZZ, MATCH(N$2, 'Weekly 크랙 raw'!$A:$A, 0), MATCH($B34, 'Weekly 크랙 raw'!$1:$1, 0)), ""), IF(val=0, "", val))</f>
        <v/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</row>
  </sheetData>
  <conditionalFormatting sqref="D1:CO1">
    <cfRule type="containsText" dxfId="2" priority="1" operator="containsText" text="토">
      <formula>NOT(ISERROR(SEARCH(("토"),(D1))))</formula>
    </cfRule>
  </conditionalFormatting>
  <conditionalFormatting sqref="D1:CO1">
    <cfRule type="containsText" dxfId="2" priority="2" operator="containsText" text="일">
      <formula>NOT(ISERROR(SEARCH(("일"),(D1))))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25"/>
    <col customWidth="1" hidden="1" min="2" max="2" width="46.13"/>
    <col customWidth="1" min="3" max="3" width="46.13"/>
    <col customWidth="1" min="4" max="9" width="18.88"/>
    <col customWidth="1" min="10" max="10" width="3.25"/>
  </cols>
  <sheetData>
    <row r="1">
      <c r="A1" s="1"/>
      <c r="B1" s="1"/>
      <c r="C1" s="1"/>
      <c r="D1" s="153"/>
      <c r="E1" s="153"/>
      <c r="F1" s="153"/>
      <c r="G1" s="153"/>
      <c r="H1" s="153"/>
      <c r="I1" s="153"/>
      <c r="J1" s="153"/>
    </row>
    <row r="2" ht="22.5" customHeight="1">
      <c r="A2" s="123"/>
      <c r="B2" s="7" t="s">
        <v>3</v>
      </c>
      <c r="C2" s="35" t="s">
        <v>61</v>
      </c>
      <c r="D2" s="7" t="s">
        <v>119</v>
      </c>
      <c r="E2" s="7" t="s">
        <v>132</v>
      </c>
      <c r="F2" s="89">
        <v>45992.0</v>
      </c>
      <c r="G2" s="89">
        <v>46023.0</v>
      </c>
      <c r="H2" s="89">
        <v>46054.0</v>
      </c>
      <c r="I2" s="89">
        <v>46082.0</v>
      </c>
      <c r="J2" s="118"/>
    </row>
    <row r="3" ht="18.75" customHeight="1">
      <c r="A3" s="124"/>
      <c r="B3" s="11" t="s">
        <v>10</v>
      </c>
      <c r="C3" s="12" t="s">
        <v>133</v>
      </c>
      <c r="D3" s="90">
        <v>0.75</v>
      </c>
      <c r="E3" s="91">
        <v>0.7563121652639633</v>
      </c>
      <c r="F3" s="90">
        <f t="array" ref="F3">IFERROR(INDEX('Monthly 크랙 raw'!$A:$ZZ, MATCH(F$2, 'Monthly 크랙 raw'!$A:$A, 0), MATCH($B3, 'Monthly 크랙 raw'!$1:$1, 0)), 0)</f>
        <v>0.773144606</v>
      </c>
      <c r="G3" s="90">
        <f t="array" ref="G3">IFERROR(INDEX('Monthly 크랙 raw'!$A:$ZZ, MATCH(G$2, 'Monthly 크랙 raw'!$A:$A, 0), MATCH($B3, 'Monthly 크랙 raw'!$1:$1, 0)), 0)</f>
        <v>0.7480922965</v>
      </c>
      <c r="H3" s="90">
        <f t="array" ref="H3">IFERROR(INDEX('Monthly 크랙 raw'!$A:$Z, MATCH(H$2, 'Monthly 크랙 raw'!$A:$A, 0), MATCH($B3, 'Monthly 크랙 raw'!$1:$1, 0)), 0)</f>
        <v>0</v>
      </c>
      <c r="I3" s="154"/>
      <c r="J3" s="154"/>
    </row>
    <row r="4" ht="18.75" customHeight="1">
      <c r="A4" s="28"/>
      <c r="B4" s="16" t="s">
        <v>13</v>
      </c>
      <c r="C4" s="17" t="s">
        <v>134</v>
      </c>
      <c r="D4" s="94"/>
      <c r="E4" s="95">
        <v>7908.0</v>
      </c>
      <c r="F4" s="137">
        <f t="array" ref="F4">IFERROR(INDEX('Monthly 크랙 raw'!$A:$ZZ, MATCH(F$2, 'Monthly 크랙 raw'!$A:$A, 0), MATCH($B4, 'Monthly 크랙 raw'!$1:$1, 0)), 0)</f>
        <v>8084</v>
      </c>
      <c r="G4" s="137">
        <f t="array" ref="G4">IFERROR(INDEX('Monthly 크랙 raw'!$A:$ZZ, MATCH(G$2, 'Monthly 크랙 raw'!$A:$A, 0), MATCH($B4, 'Monthly 크랙 raw'!$1:$1, 0)), 0)</f>
        <v>8235</v>
      </c>
      <c r="H4" s="137">
        <f t="array" ref="H4">IFERROR(INDEX('Monthly 크랙 raw'!$A:$Z, MATCH(H$2, 'Monthly 크랙 raw'!$A:$A, 0), MATCH($B4, 'Monthly 크랙 raw'!$1:$1, 0)), 0)</f>
        <v>0</v>
      </c>
      <c r="I4" s="137"/>
      <c r="J4" s="137"/>
    </row>
    <row r="5" ht="18.75" customHeight="1">
      <c r="A5" s="28"/>
      <c r="B5" s="16" t="s">
        <v>16</v>
      </c>
      <c r="C5" s="17" t="s">
        <v>135</v>
      </c>
      <c r="D5" s="94"/>
      <c r="E5" s="95">
        <v>10456.0</v>
      </c>
      <c r="F5" s="137">
        <f t="array" ref="F5">IFERROR(INDEX('Monthly 크랙 raw'!$A:$ZZ, MATCH(F$2, 'Monthly 크랙 raw'!$A:$A, 0), MATCH($B5, 'Monthly 크랙 raw'!$1:$1, 0)), 0)</f>
        <v>10456</v>
      </c>
      <c r="G5" s="137">
        <f t="array" ref="G5">IFERROR(INDEX('Monthly 크랙 raw'!$A:$ZZ, MATCH(G$2, 'Monthly 크랙 raw'!$A:$A, 0), MATCH($B5, 'Monthly 크랙 raw'!$1:$1, 0)), 0)</f>
        <v>11008</v>
      </c>
      <c r="H5" s="137">
        <f t="array" ref="H5">IFERROR(INDEX('Monthly 크랙 raw'!$A:$Z, MATCH(H$2, 'Monthly 크랙 raw'!$A:$A, 0), MATCH($B5, 'Monthly 크랙 raw'!$1:$1, 0)), 0)</f>
        <v>10927</v>
      </c>
      <c r="I5" s="137"/>
      <c r="J5" s="137"/>
    </row>
    <row r="6" ht="18.75" customHeight="1">
      <c r="A6" s="1"/>
      <c r="B6" s="11" t="s">
        <v>18</v>
      </c>
      <c r="C6" s="1" t="s">
        <v>18</v>
      </c>
      <c r="D6" s="90">
        <v>0.15</v>
      </c>
      <c r="E6" s="96">
        <v>0.2933182572307172</v>
      </c>
      <c r="F6" s="139">
        <f t="array" ref="F6">IFERROR(INDEX('Monthly 크랙 raw'!$A:$ZZ, MATCH(F$2, 'Monthly 크랙 raw'!$A:$A, 0), MATCH($B6, 'Monthly 크랙 raw'!$1:$1, 0)), 0)</f>
        <v>0.2933182572</v>
      </c>
      <c r="G6" s="139">
        <f t="array" ref="G6">IFERROR(INDEX('Monthly 크랙 raw'!$A:$ZZ, MATCH(G$2, 'Monthly 크랙 raw'!$A:$A, 0), MATCH($B6, 'Monthly 크랙 raw'!$1:$1, 0)), 0)</f>
        <v>0.2591823365</v>
      </c>
      <c r="H6" s="139">
        <f t="array" ref="H6">IFERROR(INDEX('Monthly 크랙 raw'!$A:$Z, MATCH(H$2, 'Monthly 크랙 raw'!$A:$A, 0), MATCH($B6, 'Monthly 크랙 raw'!$1:$1, 0)), 0)</f>
        <v>0.258255571</v>
      </c>
      <c r="I6" s="139"/>
      <c r="J6" s="139"/>
    </row>
    <row r="7" ht="18.75" customHeight="1">
      <c r="A7" s="28"/>
      <c r="B7" s="23" t="s">
        <v>19</v>
      </c>
      <c r="C7" s="17" t="s">
        <v>20</v>
      </c>
      <c r="D7" s="98"/>
      <c r="E7" s="95">
        <v>55514.0</v>
      </c>
      <c r="F7" s="137">
        <f t="array" ref="F7">IFERROR(INDEX('Monthly 크랙 raw'!$A:$ZZ, MATCH(F$2, 'Monthly 크랙 raw'!$A:$A, 0), MATCH($B7, 'Monthly 크랙 raw'!$1:$1, 0)), 0)</f>
        <v>55514</v>
      </c>
      <c r="G7" s="137">
        <f t="array" ref="G7">IFERROR(INDEX('Monthly 크랙 raw'!$A:$ZZ, MATCH(G$2, 'Monthly 크랙 raw'!$A:$A, 0), MATCH($B7, 'Monthly 크랙 raw'!$1:$1, 0)), 0)</f>
        <v>55782</v>
      </c>
      <c r="H7" s="137">
        <f t="array" ref="H7">IFERROR(INDEX('Monthly 크랙 raw'!$A:$Z, MATCH(H$2, 'Monthly 크랙 raw'!$A:$A, 0), MATCH($B7, 'Monthly 크랙 raw'!$1:$1, 0)), 0)</f>
        <v>55988</v>
      </c>
      <c r="I7" s="137"/>
      <c r="J7" s="137"/>
    </row>
    <row r="8" ht="18.75" customHeight="1">
      <c r="A8" s="17"/>
      <c r="B8" s="23" t="s">
        <v>21</v>
      </c>
      <c r="C8" s="17" t="s">
        <v>22</v>
      </c>
      <c r="D8" s="98"/>
      <c r="E8" s="95">
        <v>189262.0</v>
      </c>
      <c r="F8" s="137">
        <f t="array" ref="F8">IFERROR(INDEX('Monthly 크랙 raw'!$A:$ZZ, MATCH(F$2, 'Monthly 크랙 raw'!$A:$A, 0), MATCH($B8, 'Monthly 크랙 raw'!$1:$1, 0)), 0)</f>
        <v>189262</v>
      </c>
      <c r="G8" s="137">
        <f t="array" ref="G8">IFERROR(INDEX('Monthly 크랙 raw'!$A:$ZZ, MATCH(G$2, 'Monthly 크랙 raw'!$A:$A, 0), MATCH($B8, 'Monthly 크랙 raw'!$1:$1, 0)), 0)</f>
        <v>215223</v>
      </c>
      <c r="H8" s="137">
        <f t="array" ref="H8">IFERROR(INDEX('Monthly 크랙 raw'!$A:$Z, MATCH(H$2, 'Monthly 크랙 raw'!$A:$A, 0), MATCH($B8, 'Monthly 크랙 raw'!$1:$1, 0)), 0)</f>
        <v>216793</v>
      </c>
      <c r="I8" s="137"/>
      <c r="J8" s="137"/>
    </row>
    <row r="9" ht="18.75" customHeight="1">
      <c r="A9" s="17"/>
      <c r="B9" s="23" t="s">
        <v>23</v>
      </c>
      <c r="C9" s="17" t="s">
        <v>24</v>
      </c>
      <c r="D9" s="98"/>
      <c r="E9" s="95">
        <v>2.43060604E8</v>
      </c>
      <c r="F9" s="137">
        <f t="array" ref="F9">IFERROR(INDEX('Monthly 크랙 raw'!$A:$ZZ, MATCH(F$2, 'Monthly 크랙 raw'!$A:$A, 0), MATCH($B9, 'Monthly 크랙 raw'!$1:$1, 0)), 0)</f>
        <v>243060608</v>
      </c>
      <c r="G9" s="137">
        <f t="array" ref="G9">IFERROR(INDEX('Monthly 크랙 raw'!$A:$ZZ, MATCH(G$2, 'Monthly 크랙 raw'!$A:$A, 0), MATCH($B9, 'Monthly 크랙 raw'!$1:$1, 0)), 0)</f>
        <v>271445928</v>
      </c>
      <c r="H9" s="137">
        <f t="array" ref="H9">IFERROR(INDEX('Monthly 크랙 raw'!$A:$Z, MATCH(H$2, 'Monthly 크랙 raw'!$A:$A, 0), MATCH($B9, 'Monthly 크랙 raw'!$1:$1, 0)), 0)</f>
        <v>199615545</v>
      </c>
      <c r="I9" s="137"/>
      <c r="J9" s="137"/>
    </row>
    <row r="10" ht="18.75" customHeight="1">
      <c r="A10" s="1"/>
      <c r="B10" s="23" t="s">
        <v>25</v>
      </c>
      <c r="C10" s="1" t="s">
        <v>25</v>
      </c>
      <c r="D10" s="102">
        <v>28000.0</v>
      </c>
      <c r="E10" s="103">
        <v>142423.4625499874</v>
      </c>
      <c r="F10" s="102">
        <f t="array" ref="F10">IFERROR(INDEX('Monthly 크랙 raw'!$A:$ZZ, MATCH(F$2, 'Monthly 크랙 raw'!$A:$A, 0), MATCH($B10, 'Monthly 크랙 raw'!$1:$1, 0)), 0)</f>
        <v>142423.4625</v>
      </c>
      <c r="G10" s="102">
        <f t="array" ref="G10">IFERROR(INDEX('Monthly 크랙 raw'!$A:$ZZ, MATCH(G$2, 'Monthly 크랙 raw'!$A:$A, 0), MATCH($B10, 'Monthly 크랙 raw'!$1:$1, 0)), 0)</f>
        <v>131063.9561</v>
      </c>
      <c r="H10" s="102">
        <f t="array" ref="H10">IFERROR(INDEX('Monthly 크랙 raw'!$A:$Z, MATCH(H$2, 'Monthly 크랙 raw'!$A:$A, 0), MATCH($B10, 'Monthly 크랙 raw'!$1:$1, 0)), 0)</f>
        <v>109167.5716</v>
      </c>
      <c r="I10" s="102"/>
      <c r="J10" s="102"/>
    </row>
    <row r="11" ht="18.75" customHeight="1">
      <c r="A11" s="28"/>
      <c r="B11" s="23" t="s">
        <v>26</v>
      </c>
      <c r="C11" s="28" t="s">
        <v>27</v>
      </c>
      <c r="D11" s="106"/>
      <c r="E11" s="103">
        <v>7.9064961E9</v>
      </c>
      <c r="F11" s="102">
        <f t="array" ref="F11">IFERROR(INDEX('Monthly 크랙 raw'!$A:$ZZ, MATCH(F$2, 'Monthly 크랙 raw'!$A:$A, 0), MATCH($B11, 'Monthly 크랙 raw'!$1:$1, 0)), 0)</f>
        <v>7906496100</v>
      </c>
      <c r="G11" s="102">
        <f t="array" ref="G11">IFERROR(INDEX('Monthly 크랙 raw'!$A:$ZZ, MATCH(G$2, 'Monthly 크랙 raw'!$A:$A, 0), MATCH($B11, 'Monthly 크랙 raw'!$1:$1, 0)), 0)</f>
        <v>7311009600</v>
      </c>
      <c r="H11" s="102">
        <f t="array" ref="H11">IFERROR(INDEX('Monthly 크랙 raw'!$A:$Z, MATCH(H$2, 'Monthly 크랙 raw'!$A:$A, 0), MATCH($B11, 'Monthly 크랙 raw'!$1:$1, 0)), 0)</f>
        <v>6112074000</v>
      </c>
      <c r="I11" s="102"/>
      <c r="J11" s="102"/>
    </row>
    <row r="12" ht="18.75" customHeight="1">
      <c r="A12" s="28"/>
      <c r="B12" s="23" t="s">
        <v>28</v>
      </c>
      <c r="C12" s="17" t="s">
        <v>20</v>
      </c>
      <c r="D12" s="106"/>
      <c r="E12" s="95">
        <v>55514.0</v>
      </c>
      <c r="F12" s="137">
        <f t="array" ref="F12">IFERROR(INDEX('Monthly 크랙 raw'!$A:$ZZ, MATCH(F$2, 'Monthly 크랙 raw'!$A:$A, 0), MATCH($B12, 'Monthly 크랙 raw'!$1:$1, 0)), 0)</f>
        <v>55514</v>
      </c>
      <c r="G12" s="137">
        <f t="array" ref="G12">IFERROR(INDEX('Monthly 크랙 raw'!$A:$ZZ, MATCH(G$2, 'Monthly 크랙 raw'!$A:$A, 0), MATCH($B12, 'Monthly 크랙 raw'!$1:$1, 0)), 0)</f>
        <v>55782</v>
      </c>
      <c r="H12" s="137">
        <f t="array" ref="H12">IFERROR(INDEX('Monthly 크랙 raw'!$A:$Z, MATCH(H$2, 'Monthly 크랙 raw'!$A:$A, 0), MATCH($B12, 'Monthly 크랙 raw'!$1:$1, 0)), 0)</f>
        <v>55988</v>
      </c>
      <c r="I12" s="137"/>
      <c r="J12" s="137"/>
    </row>
    <row r="13" ht="18.75" customHeight="1">
      <c r="A13" s="17"/>
      <c r="B13" s="23" t="s">
        <v>29</v>
      </c>
      <c r="C13" s="17" t="s">
        <v>30</v>
      </c>
      <c r="D13" s="106"/>
      <c r="E13" s="95">
        <v>473916.0</v>
      </c>
      <c r="F13" s="137">
        <f t="array" ref="F13">IFERROR(INDEX('Monthly 크랙 raw'!$A:$ZZ, MATCH(F$2, 'Monthly 크랙 raw'!$A:$A, 0), MATCH($B13, 'Monthly 크랙 raw'!$1:$1, 0)), 0)</f>
        <v>473916</v>
      </c>
      <c r="G13" s="137">
        <f t="array" ref="G13">IFERROR(INDEX('Monthly 크랙 raw'!$A:$ZZ, MATCH(G$2, 'Monthly 크랙 raw'!$A:$A, 0), MATCH($B13, 'Monthly 크랙 raw'!$1:$1, 0)), 0)</f>
        <v>499313</v>
      </c>
      <c r="H13" s="137">
        <f t="array" ref="H13">IFERROR(INDEX('Monthly 크랙 raw'!$A:$Z, MATCH(H$2, 'Monthly 크랙 raw'!$A:$A, 0), MATCH($B13, 'Monthly 크랙 raw'!$1:$1, 0)), 0)</f>
        <v>397817</v>
      </c>
      <c r="I13" s="137"/>
      <c r="J13" s="137"/>
    </row>
    <row r="14" ht="18.75" customHeight="1">
      <c r="A14" s="1"/>
      <c r="B14" s="11" t="s">
        <v>31</v>
      </c>
      <c r="C14" s="1" t="s">
        <v>32</v>
      </c>
      <c r="D14" s="90">
        <v>0.3</v>
      </c>
      <c r="E14" s="96">
        <v>0.39254190561279756</v>
      </c>
      <c r="F14" s="139">
        <f t="array" ref="F14">IFERROR(INDEX('Monthly 크랙 raw'!$A:$ZZ, MATCH(F$2, 'Monthly 크랙 raw'!$A:$A, 0), MATCH($B14, 'Monthly 크랙 raw'!$1:$1, 0)), 0)</f>
        <v>0.3925419056</v>
      </c>
      <c r="G14" s="139">
        <f t="array" ref="G14">IFERROR(INDEX('Monthly 크랙 raw'!$A:$ZZ, MATCH(G$2, 'Monthly 크랙 raw'!$A:$A, 0), MATCH($B14, 'Monthly 크랙 raw'!$1:$1, 0)), 0)</f>
        <v>0.2980501565</v>
      </c>
      <c r="H14" s="139">
        <f t="array" ref="H14">IFERROR(INDEX('Monthly 크랙 raw'!$A:$Z, MATCH(H$2, 'Monthly 크랙 raw'!$A:$A, 0), MATCH($B14, 'Monthly 크랙 raw'!$1:$1, 0)), 0)</f>
        <v>0.5802613821</v>
      </c>
      <c r="I14" s="139"/>
      <c r="J14" s="139"/>
    </row>
    <row r="15" ht="18.75" customHeight="1">
      <c r="A15" s="28"/>
      <c r="B15" s="23" t="s">
        <v>33</v>
      </c>
      <c r="C15" s="136" t="s">
        <v>34</v>
      </c>
      <c r="D15" s="94"/>
      <c r="E15" s="107">
        <v>4.802865054185848E9</v>
      </c>
      <c r="F15" s="142">
        <f t="array" ref="F15">IFERROR(INDEX('Monthly 크랙 raw'!$A:$ZZ, MATCH(F$2, 'Monthly 크랙 raw'!$A:$A, 0), MATCH($B15, 'Monthly 크랙 raw'!$1:$1, 0)), 0)</f>
        <v>4802865054</v>
      </c>
      <c r="G15" s="142">
        <f t="array" ref="G15">IFERROR(INDEX('Monthly 크랙 raw'!$A:$ZZ, MATCH(G$2, 'Monthly 크랙 raw'!$A:$A, 0), MATCH($B15, 'Monthly 크랙 raw'!$1:$1, 0)), 0)</f>
        <v>5131962045</v>
      </c>
      <c r="H15" s="142">
        <f t="array" ref="H15">IFERROR(INDEX('Monthly 크랙 raw'!$A:$Z, MATCH(H$2, 'Monthly 크랙 raw'!$A:$A, 0), MATCH($B15, 'Monthly 크랙 raw'!$1:$1, 0)), 0)</f>
        <v>2565473493</v>
      </c>
      <c r="I15" s="142"/>
      <c r="J15" s="142"/>
    </row>
    <row r="16" ht="18.75" customHeight="1">
      <c r="A16" s="28"/>
      <c r="B16" s="23" t="s">
        <v>35</v>
      </c>
      <c r="C16" s="136" t="s">
        <v>27</v>
      </c>
      <c r="D16" s="94"/>
      <c r="E16" s="107">
        <v>7.9064961E9</v>
      </c>
      <c r="F16" s="142">
        <f t="array" ref="F16">IFERROR(INDEX('Monthly 크랙 raw'!$A:$ZZ, MATCH(F$2, 'Monthly 크랙 raw'!$A:$A, 0), MATCH($B16, 'Monthly 크랙 raw'!$1:$1, 0)), 0)</f>
        <v>7906496100</v>
      </c>
      <c r="G16" s="142">
        <f t="array" ref="G16">IFERROR(INDEX('Monthly 크랙 raw'!$A:$ZZ, MATCH(G$2, 'Monthly 크랙 raw'!$A:$A, 0), MATCH($B16, 'Monthly 크랙 raw'!$1:$1, 0)), 0)</f>
        <v>7311009600</v>
      </c>
      <c r="H16" s="142">
        <f t="array" ref="H16">IFERROR(INDEX('Monthly 크랙 raw'!$A:$Z, MATCH(H$2, 'Monthly 크랙 raw'!$A:$A, 0), MATCH($B16, 'Monthly 크랙 raw'!$1:$1, 0)), 0)</f>
        <v>6112074000</v>
      </c>
      <c r="I16" s="142"/>
      <c r="J16" s="142"/>
    </row>
    <row r="17" ht="18.75" customHeight="1">
      <c r="A17" s="1"/>
      <c r="B17" s="1"/>
      <c r="C17" s="1" t="s">
        <v>115</v>
      </c>
      <c r="D17" s="90">
        <v>0.4</v>
      </c>
      <c r="E17" s="155"/>
      <c r="F17" s="60">
        <f t="array" ref="F17">IFERROR(INDEX('Monthly 크랙 raw'!$A:$ZZ, MATCH(F$2, 'Monthly 크랙 raw'!$A:$A, 0), MATCH($B17, 'Monthly 크랙 raw'!$1:$1, 0)), 0)</f>
        <v>0</v>
      </c>
      <c r="G17" s="60">
        <f t="array" ref="G17">IFERROR(INDEX('Monthly 크랙 raw'!$A:$ZZ, MATCH(G$2, 'Monthly 크랙 raw'!$A:$A, 0), MATCH($B17, 'Monthly 크랙 raw'!$1:$1, 0)), 0)</f>
        <v>0</v>
      </c>
      <c r="H17" s="155"/>
      <c r="I17" s="155"/>
      <c r="J17" s="155"/>
    </row>
    <row r="18" ht="18.75" customHeight="1">
      <c r="A18" s="1"/>
      <c r="B18" s="1"/>
      <c r="C18" s="17" t="s">
        <v>116</v>
      </c>
      <c r="D18" s="90"/>
      <c r="E18" s="155"/>
      <c r="F18" s="60">
        <f t="array" ref="F18">IFERROR(INDEX('Monthly 크랙 raw'!$A:$ZZ, MATCH(F$2, 'Monthly 크랙 raw'!$A:$A, 0), MATCH($B18, 'Monthly 크랙 raw'!$1:$1, 0)), 0)</f>
        <v>0</v>
      </c>
      <c r="G18" s="60">
        <f t="array" ref="G18">IFERROR(INDEX('Monthly 크랙 raw'!$A:$ZZ, MATCH(G$2, 'Monthly 크랙 raw'!$A:$A, 0), MATCH($B18, 'Monthly 크랙 raw'!$1:$1, 0)), 0)</f>
        <v>0</v>
      </c>
      <c r="H18" s="155"/>
      <c r="I18" s="155"/>
      <c r="J18" s="155"/>
    </row>
    <row r="19" ht="18.75" customHeight="1">
      <c r="A19" s="1"/>
      <c r="B19" s="1"/>
      <c r="C19" s="17" t="s">
        <v>117</v>
      </c>
      <c r="D19" s="90"/>
      <c r="E19" s="155"/>
      <c r="F19" s="60">
        <f t="array" ref="F19">IFERROR(INDEX('Monthly 크랙 raw'!$A:$ZZ, MATCH(F$2, 'Monthly 크랙 raw'!$A:$A, 0), MATCH($B19, 'Monthly 크랙 raw'!$1:$1, 0)), 0)</f>
        <v>0</v>
      </c>
      <c r="G19" s="60">
        <f t="array" ref="G19">IFERROR(INDEX('Monthly 크랙 raw'!$A:$ZZ, MATCH(G$2, 'Monthly 크랙 raw'!$A:$A, 0), MATCH($B19, 'Monthly 크랙 raw'!$1:$1, 0)), 0)</f>
        <v>0</v>
      </c>
      <c r="H19" s="155"/>
      <c r="I19" s="155"/>
      <c r="J19" s="155"/>
    </row>
    <row r="20" ht="18.75" customHeight="1">
      <c r="A20" s="1"/>
      <c r="B20" s="1"/>
      <c r="C20" s="17" t="s">
        <v>118</v>
      </c>
      <c r="D20" s="90"/>
      <c r="E20" s="155"/>
      <c r="F20" s="60">
        <f t="array" ref="F20">IFERROR(INDEX('Monthly 크랙 raw'!$A:$ZZ, MATCH(F$2, 'Monthly 크랙 raw'!$A:$A, 0), MATCH($B20, 'Monthly 크랙 raw'!$1:$1, 0)), 0)</f>
        <v>0</v>
      </c>
      <c r="G20" s="60">
        <f t="array" ref="G20">IFERROR(INDEX('Monthly 크랙 raw'!$A:$ZZ, MATCH(G$2, 'Monthly 크랙 raw'!$A:$A, 0), MATCH($B20, 'Monthly 크랙 raw'!$1:$1, 0)), 0)</f>
        <v>0</v>
      </c>
      <c r="H20" s="155"/>
      <c r="I20" s="155"/>
      <c r="J20" s="155"/>
    </row>
    <row r="21" ht="18.75" customHeight="1">
      <c r="A21" s="30"/>
      <c r="B21" s="16"/>
      <c r="C21" s="30" t="s">
        <v>36</v>
      </c>
      <c r="F21" s="60">
        <f t="array" ref="F21">IFERROR(INDEX('Monthly 크랙 raw'!$A:$ZZ, MATCH(F$2, 'Monthly 크랙 raw'!$A:$A, 0), MATCH($B21, 'Monthly 크랙 raw'!$1:$1, 0)), 0)</f>
        <v>0</v>
      </c>
      <c r="G21" s="60">
        <f t="array" ref="G21">IFERROR(INDEX('Monthly 크랙 raw'!$A:$ZZ, MATCH(G$2, 'Monthly 크랙 raw'!$A:$A, 0), MATCH($B21, 'Monthly 크랙 raw'!$1:$1, 0)), 0)</f>
        <v>0</v>
      </c>
    </row>
    <row r="22" ht="18.75" customHeight="1">
      <c r="A22" s="17"/>
      <c r="B22" s="16" t="s">
        <v>37</v>
      </c>
      <c r="C22" s="17" t="s">
        <v>38</v>
      </c>
      <c r="F22" s="60">
        <f t="array" ref="F22">IFERROR(INDEX('Monthly 크랙 raw'!$A:$ZZ, MATCH(F$2, 'Monthly 크랙 raw'!$A:$A, 0), MATCH($B22, 'Monthly 크랙 raw'!$1:$1, 0)), 0)</f>
        <v>0</v>
      </c>
      <c r="G22" s="60">
        <f t="array" ref="G22">IFERROR(INDEX('Monthly 크랙 raw'!$A:$ZZ, MATCH(G$2, 'Monthly 크랙 raw'!$A:$A, 0), MATCH($B22, 'Monthly 크랙 raw'!$1:$1, 0)), 0)</f>
        <v>0</v>
      </c>
    </row>
    <row r="23" ht="18.75" customHeight="1">
      <c r="A23" s="17"/>
      <c r="B23" s="16" t="s">
        <v>39</v>
      </c>
      <c r="C23" s="17" t="s">
        <v>40</v>
      </c>
      <c r="F23" s="60">
        <f t="array" ref="F23">IFERROR(INDEX('Monthly 크랙 raw'!$A:$ZZ, MATCH(F$2, 'Monthly 크랙 raw'!$A:$A, 0), MATCH($B23, 'Monthly 크랙 raw'!$1:$1, 0)), 0)</f>
        <v>0</v>
      </c>
      <c r="G23" s="60">
        <f t="array" ref="G23">IFERROR(INDEX('Monthly 크랙 raw'!$A:$ZZ, MATCH(G$2, 'Monthly 크랙 raw'!$A:$A, 0), MATCH($B23, 'Monthly 크랙 raw'!$1:$1, 0)), 0)</f>
        <v>0</v>
      </c>
    </row>
    <row r="24" ht="18.75" customHeight="1">
      <c r="A24" s="17"/>
      <c r="B24" s="16" t="s">
        <v>41</v>
      </c>
      <c r="C24" s="17" t="s">
        <v>42</v>
      </c>
      <c r="F24" s="60">
        <f t="array" ref="F24">IFERROR(INDEX('Monthly 크랙 raw'!$A:$ZZ, MATCH(F$2, 'Monthly 크랙 raw'!$A:$A, 0), MATCH($B24, 'Monthly 크랙 raw'!$1:$1, 0)), 0)</f>
        <v>72292</v>
      </c>
      <c r="G24" s="60">
        <f t="array" ref="G24">IFERROR(INDEX('Monthly 크랙 raw'!$A:$ZZ, MATCH(G$2, 'Monthly 크랙 raw'!$A:$A, 0), MATCH($B24, 'Monthly 크랙 raw'!$1:$1, 0)), 0)</f>
        <v>87825</v>
      </c>
    </row>
    <row r="25" ht="18.75" customHeight="1">
      <c r="A25" s="17"/>
      <c r="B25" s="16" t="s">
        <v>43</v>
      </c>
      <c r="C25" s="17" t="s">
        <v>44</v>
      </c>
      <c r="F25" s="60">
        <f t="array" ref="F25">IFERROR(INDEX('Monthly 크랙 raw'!$A:$ZZ, MATCH(F$2, 'Monthly 크랙 raw'!$A:$A, 0), MATCH($B25, 'Monthly 크랙 raw'!$1:$1, 0)), 0)</f>
        <v>59955</v>
      </c>
      <c r="G25" s="60">
        <f t="array" ref="G25">IFERROR(INDEX('Monthly 크랙 raw'!$A:$ZZ, MATCH(G$2, 'Monthly 크랙 raw'!$A:$A, 0), MATCH($B25, 'Monthly 크랙 raw'!$1:$1, 0)), 0)</f>
        <v>73461</v>
      </c>
    </row>
    <row r="26" ht="18.75" customHeight="1">
      <c r="A26" s="17"/>
      <c r="B26" s="16" t="s">
        <v>45</v>
      </c>
      <c r="C26" s="17" t="s">
        <v>22</v>
      </c>
      <c r="F26" s="60">
        <f t="array" ref="F26">IFERROR(INDEX('Monthly 크랙 raw'!$A:$ZZ, MATCH(F$2, 'Monthly 크랙 raw'!$A:$A, 0), MATCH($B26, 'Monthly 크랙 raw'!$1:$1, 0)), 0)</f>
        <v>55262</v>
      </c>
      <c r="G26" s="60">
        <f t="array" ref="G26">IFERROR(INDEX('Monthly 크랙 raw'!$A:$ZZ, MATCH(G$2, 'Monthly 크랙 raw'!$A:$A, 0), MATCH($B26, 'Monthly 크랙 raw'!$1:$1, 0)), 0)</f>
        <v>71424</v>
      </c>
    </row>
    <row r="27" ht="18.75" customHeight="1">
      <c r="A27" s="17"/>
      <c r="B27" s="16" t="s">
        <v>46</v>
      </c>
      <c r="C27" s="17" t="s">
        <v>47</v>
      </c>
      <c r="F27" s="60">
        <f t="array" ref="F27">IFERROR(INDEX('Monthly 크랙 raw'!$A:$ZZ, MATCH(F$2, 'Monthly 크랙 raw'!$A:$A, 0), MATCH($B27, 'Monthly 크랙 raw'!$1:$1, 0)), 0)</f>
        <v>40850</v>
      </c>
      <c r="G27" s="60">
        <f t="array" ref="G27">IFERROR(INDEX('Monthly 크랙 raw'!$A:$ZZ, MATCH(G$2, 'Monthly 크랙 raw'!$A:$A, 0), MATCH($B27, 'Monthly 크랙 raw'!$1:$1, 0)), 0)</f>
        <v>52786</v>
      </c>
    </row>
    <row r="28" ht="18.75" customHeight="1">
      <c r="A28" s="17"/>
      <c r="B28" s="16" t="s">
        <v>48</v>
      </c>
      <c r="C28" s="17" t="s">
        <v>20</v>
      </c>
      <c r="F28" s="60">
        <f t="array" ref="F28">IFERROR(INDEX('Monthly 크랙 raw'!$A:$ZZ, MATCH(F$2, 'Monthly 크랙 raw'!$A:$A, 0), MATCH($B28, 'Monthly 크랙 raw'!$1:$1, 0)), 0)</f>
        <v>6214</v>
      </c>
      <c r="G28" s="60">
        <f t="array" ref="G28">IFERROR(INDEX('Monthly 크랙 raw'!$A:$ZZ, MATCH(G$2, 'Monthly 크랙 raw'!$A:$A, 0), MATCH($B28, 'Monthly 크랙 raw'!$1:$1, 0)), 0)</f>
        <v>6889</v>
      </c>
    </row>
    <row r="29">
      <c r="A29" s="30"/>
      <c r="B29" s="16"/>
      <c r="C29" s="30" t="s">
        <v>49</v>
      </c>
      <c r="F29" s="60">
        <f t="array" ref="F29">IFERROR(INDEX('Monthly 크랙 raw'!$A:$ZZ, MATCH(F$2, 'Monthly 크랙 raw'!$A:$A, 0), MATCH($B29, 'Monthly 크랙 raw'!$1:$1, 0)), 0)</f>
        <v>0</v>
      </c>
      <c r="G29" s="60">
        <f t="array" ref="G29">IFERROR(INDEX('Monthly 크랙 raw'!$A:$ZZ, MATCH(G$2, 'Monthly 크랙 raw'!$A:$A, 0), MATCH($B29, 'Monthly 크랙 raw'!$1:$1, 0)), 0)</f>
        <v>0</v>
      </c>
    </row>
    <row r="30">
      <c r="A30" s="30"/>
      <c r="B30" s="16" t="s">
        <v>50</v>
      </c>
      <c r="C30" s="17" t="s">
        <v>42</v>
      </c>
      <c r="F30" s="60">
        <f t="array" ref="F30">IFERROR(INDEX('Monthly 크랙 raw'!$A:$ZZ, MATCH(F$2, 'Monthly 크랙 raw'!$A:$A, 0), MATCH($B30, 'Monthly 크랙 raw'!$1:$1, 0)), 0)</f>
        <v>179998</v>
      </c>
      <c r="G30" s="60">
        <f t="array" ref="G30">IFERROR(INDEX('Monthly 크랙 raw'!$A:$ZZ, MATCH(G$2, 'Monthly 크랙 raw'!$A:$A, 0), MATCH($B30, 'Monthly 크랙 raw'!$1:$1, 0)), 0)</f>
        <v>204546</v>
      </c>
    </row>
    <row r="31">
      <c r="A31" s="30"/>
      <c r="B31" s="16" t="s">
        <v>51</v>
      </c>
      <c r="C31" s="17" t="s">
        <v>44</v>
      </c>
      <c r="F31" s="60">
        <f t="array" ref="F31">IFERROR(INDEX('Monthly 크랙 raw'!$A:$ZZ, MATCH(F$2, 'Monthly 크랙 raw'!$A:$A, 0), MATCH($B31, 'Monthly 크랙 raw'!$1:$1, 0)), 0)</f>
        <v>128849</v>
      </c>
      <c r="G31" s="60">
        <f t="array" ref="G31">IFERROR(INDEX('Monthly 크랙 raw'!$A:$ZZ, MATCH(G$2, 'Monthly 크랙 raw'!$A:$A, 0), MATCH($B31, 'Monthly 크랙 raw'!$1:$1, 0)), 0)</f>
        <v>142352</v>
      </c>
    </row>
    <row r="32">
      <c r="A32" s="30"/>
      <c r="B32" s="16" t="s">
        <v>52</v>
      </c>
      <c r="C32" s="17" t="s">
        <v>22</v>
      </c>
      <c r="F32" s="60">
        <f t="array" ref="F32">IFERROR(INDEX('Monthly 크랙 raw'!$A:$ZZ, MATCH(F$2, 'Monthly 크랙 raw'!$A:$A, 0), MATCH($B32, 'Monthly 크랙 raw'!$1:$1, 0)), 0)</f>
        <v>134000</v>
      </c>
      <c r="G32" s="60">
        <f t="array" ref="G32">IFERROR(INDEX('Monthly 크랙 raw'!$A:$ZZ, MATCH(G$2, 'Monthly 크랙 raw'!$A:$A, 0), MATCH($B32, 'Monthly 크랙 raw'!$1:$1, 0)), 0)</f>
        <v>143799</v>
      </c>
    </row>
    <row r="33">
      <c r="A33" s="30"/>
      <c r="B33" s="16" t="s">
        <v>53</v>
      </c>
      <c r="C33" s="17" t="s">
        <v>47</v>
      </c>
      <c r="F33" s="60">
        <f t="array" ref="F33">IFERROR(INDEX('Monthly 크랙 raw'!$A:$ZZ, MATCH(F$2, 'Monthly 크랙 raw'!$A:$A, 0), MATCH($B33, 'Monthly 크랙 raw'!$1:$1, 0)), 0)</f>
        <v>116381</v>
      </c>
      <c r="G33" s="60">
        <f t="array" ref="G33">IFERROR(INDEX('Monthly 크랙 raw'!$A:$ZZ, MATCH(G$2, 'Monthly 크랙 raw'!$A:$A, 0), MATCH($B33, 'Monthly 크랙 raw'!$1:$1, 0)), 0)</f>
        <v>127442</v>
      </c>
    </row>
    <row r="34">
      <c r="A34" s="30"/>
      <c r="B34" s="16" t="s">
        <v>54</v>
      </c>
      <c r="C34" s="17" t="s">
        <v>20</v>
      </c>
      <c r="F34" s="60">
        <f t="array" ref="F34">IFERROR(INDEX('Monthly 크랙 raw'!$A:$ZZ, MATCH(F$2, 'Monthly 크랙 raw'!$A:$A, 0), MATCH($B34, 'Monthly 크랙 raw'!$1:$1, 0)), 0)</f>
        <v>49300</v>
      </c>
      <c r="G34" s="60">
        <f t="array" ref="G34">IFERROR(INDEX('Monthly 크랙 raw'!$A:$ZZ, MATCH(G$2, 'Monthly 크랙 raw'!$A:$A, 0), MATCH($B34, 'Monthly 크랙 raw'!$1:$1, 0)), 0)</f>
        <v>48893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" width="15.13"/>
    <col customWidth="1" min="4" max="4" width="15.88"/>
    <col min="5" max="5" width="15.13"/>
    <col customWidth="1" min="6" max="6" width="21.0"/>
    <col min="7" max="33" width="15.13"/>
  </cols>
  <sheetData>
    <row r="1" ht="36.0">
      <c r="A1" s="112" t="s">
        <v>156</v>
      </c>
    </row>
    <row r="2">
      <c r="A2" s="113" t="s">
        <v>129</v>
      </c>
      <c r="B2" s="113" t="s">
        <v>10</v>
      </c>
      <c r="C2" s="113" t="s">
        <v>62</v>
      </c>
      <c r="D2" s="113" t="s">
        <v>64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46015.0</v>
      </c>
      <c r="B3" s="115">
        <v>1.0</v>
      </c>
      <c r="C3" s="115">
        <v>3.0</v>
      </c>
      <c r="D3" s="115">
        <v>3.0</v>
      </c>
      <c r="E3" s="115">
        <v>9.86842105263158E-4</v>
      </c>
      <c r="F3" s="115">
        <v>3.0</v>
      </c>
      <c r="G3" s="115">
        <v>3040.0</v>
      </c>
      <c r="H3" s="115">
        <v>33060.0</v>
      </c>
      <c r="I3" s="115">
        <v>129000.0</v>
      </c>
      <c r="J3" s="115">
        <v>387000.0</v>
      </c>
      <c r="K3" s="115">
        <v>3.0</v>
      </c>
      <c r="L3" s="115">
        <v>3.0</v>
      </c>
      <c r="M3" s="115">
        <v>0.5134657032573644</v>
      </c>
      <c r="N3" s="115">
        <v>188288.7728394</v>
      </c>
      <c r="O3" s="115">
        <v>387000.0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265.0</v>
      </c>
      <c r="X3" s="115">
        <v>88.0</v>
      </c>
      <c r="Y3" s="115">
        <v>78.0</v>
      </c>
      <c r="Z3" s="115">
        <v>45.0</v>
      </c>
      <c r="AA3" s="115">
        <v>0.0</v>
      </c>
      <c r="AB3" s="115"/>
      <c r="AC3" s="115">
        <v>5669.0</v>
      </c>
      <c r="AD3" s="115">
        <v>4183.0</v>
      </c>
      <c r="AE3" s="115">
        <v>3246.0</v>
      </c>
      <c r="AF3" s="115">
        <v>861.0</v>
      </c>
      <c r="AG3" s="115">
        <v>3.0</v>
      </c>
    </row>
    <row r="4">
      <c r="A4" s="116">
        <v>46016.0</v>
      </c>
      <c r="B4" s="117">
        <v>1.0</v>
      </c>
      <c r="C4" s="117">
        <v>1.0</v>
      </c>
      <c r="D4" s="117">
        <v>1.0</v>
      </c>
      <c r="E4" s="117">
        <v>4.7664442326024784E-4</v>
      </c>
      <c r="F4" s="117">
        <v>1.0</v>
      </c>
      <c r="G4" s="117">
        <v>2098.0</v>
      </c>
      <c r="H4" s="117">
        <v>26050.0</v>
      </c>
      <c r="I4" s="117">
        <v>129000.0</v>
      </c>
      <c r="J4" s="117">
        <v>129000.0</v>
      </c>
      <c r="K4" s="117">
        <v>1.0</v>
      </c>
      <c r="L4" s="117">
        <v>1.0</v>
      </c>
      <c r="M4" s="117">
        <v>0.25606967376124035</v>
      </c>
      <c r="N4" s="117">
        <v>95967.0120848</v>
      </c>
      <c r="O4" s="117">
        <v>129000.0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298.0</v>
      </c>
      <c r="X4" s="117">
        <v>112.0</v>
      </c>
      <c r="Y4" s="117">
        <v>106.0</v>
      </c>
      <c r="Z4" s="117">
        <v>50.0</v>
      </c>
      <c r="AA4" s="117">
        <v>0.0</v>
      </c>
      <c r="AB4" s="117"/>
      <c r="AC4" s="117">
        <v>4157.0</v>
      </c>
      <c r="AD4" s="117">
        <v>2902.0</v>
      </c>
      <c r="AE4" s="117">
        <v>2146.0</v>
      </c>
      <c r="AF4" s="117">
        <v>699.0</v>
      </c>
      <c r="AG4" s="117">
        <v>1.0</v>
      </c>
    </row>
    <row r="5">
      <c r="A5" s="114">
        <v>46017.0</v>
      </c>
      <c r="B5" s="115">
        <v>0.6666666666666666</v>
      </c>
      <c r="C5" s="115">
        <v>4.0</v>
      </c>
      <c r="D5" s="115">
        <v>6.0</v>
      </c>
      <c r="E5" s="115">
        <v>0.001949317738791423</v>
      </c>
      <c r="F5" s="115">
        <v>6.0</v>
      </c>
      <c r="G5" s="115">
        <v>3078.0</v>
      </c>
      <c r="H5" s="115">
        <v>34832.0</v>
      </c>
      <c r="I5" s="115">
        <v>79000.0</v>
      </c>
      <c r="J5" s="115">
        <v>474000.0</v>
      </c>
      <c r="K5" s="115">
        <v>6.0</v>
      </c>
      <c r="L5" s="115">
        <v>6.0</v>
      </c>
      <c r="M5" s="115">
        <v>0.5367691752957806</v>
      </c>
      <c r="N5" s="115">
        <v>219571.4109098</v>
      </c>
      <c r="O5" s="115">
        <v>474000.0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284.0</v>
      </c>
      <c r="X5" s="115">
        <v>77.0</v>
      </c>
      <c r="Y5" s="115">
        <v>73.0</v>
      </c>
      <c r="Z5" s="115">
        <v>54.0</v>
      </c>
      <c r="AA5" s="115">
        <v>0.0</v>
      </c>
      <c r="AB5" s="115"/>
      <c r="AC5" s="115">
        <v>5203.0</v>
      </c>
      <c r="AD5" s="115">
        <v>4248.0</v>
      </c>
      <c r="AE5" s="115">
        <v>3304.0</v>
      </c>
      <c r="AF5" s="115">
        <v>892.0</v>
      </c>
      <c r="AG5" s="115">
        <v>6.0</v>
      </c>
    </row>
    <row r="6">
      <c r="A6" s="116">
        <v>46018.0</v>
      </c>
      <c r="B6" s="117">
        <v>1.0</v>
      </c>
      <c r="C6" s="117">
        <v>2.0</v>
      </c>
      <c r="D6" s="117">
        <v>2.0</v>
      </c>
      <c r="E6" s="117">
        <v>9.186954524575103E-4</v>
      </c>
      <c r="F6" s="117">
        <v>2.0</v>
      </c>
      <c r="G6" s="117">
        <v>2177.0</v>
      </c>
      <c r="H6" s="117">
        <v>27496.0</v>
      </c>
      <c r="I6" s="117">
        <v>129000.0</v>
      </c>
      <c r="J6" s="117">
        <v>258000.0</v>
      </c>
      <c r="K6" s="117">
        <v>2.0</v>
      </c>
      <c r="L6" s="117">
        <v>2.0</v>
      </c>
      <c r="M6" s="117">
        <v>0.45741925336279066</v>
      </c>
      <c r="N6" s="117">
        <v>139985.8326324</v>
      </c>
      <c r="O6" s="117">
        <v>258000.0</v>
      </c>
      <c r="P6" s="117"/>
      <c r="Q6" s="117"/>
      <c r="R6" s="117"/>
      <c r="S6" s="117"/>
      <c r="T6" s="117"/>
      <c r="U6" s="117">
        <v>0.0</v>
      </c>
      <c r="V6" s="117">
        <v>0.0</v>
      </c>
      <c r="W6" s="117">
        <v>353.0</v>
      </c>
      <c r="X6" s="117">
        <v>127.0</v>
      </c>
      <c r="Y6" s="117">
        <v>116.0</v>
      </c>
      <c r="Z6" s="117">
        <v>49.0</v>
      </c>
      <c r="AA6" s="117">
        <v>1.0</v>
      </c>
      <c r="AB6" s="117"/>
      <c r="AC6" s="117">
        <v>3760.0</v>
      </c>
      <c r="AD6" s="117">
        <v>2821.0</v>
      </c>
      <c r="AE6" s="117">
        <v>2211.0</v>
      </c>
      <c r="AF6" s="117">
        <v>709.0</v>
      </c>
      <c r="AG6" s="117">
        <v>1.0</v>
      </c>
    </row>
    <row r="7">
      <c r="A7" s="114">
        <v>46019.0</v>
      </c>
      <c r="B7" s="115">
        <v>1.0</v>
      </c>
      <c r="C7" s="115">
        <v>3.0</v>
      </c>
      <c r="D7" s="115">
        <v>3.0</v>
      </c>
      <c r="E7" s="115">
        <v>0.0013568521031207597</v>
      </c>
      <c r="F7" s="115">
        <v>3.0</v>
      </c>
      <c r="G7" s="115">
        <v>2211.0</v>
      </c>
      <c r="H7" s="115">
        <v>30653.0</v>
      </c>
      <c r="I7" s="115">
        <v>52666.666666666664</v>
      </c>
      <c r="J7" s="115">
        <v>158000.0</v>
      </c>
      <c r="K7" s="115">
        <v>3.0</v>
      </c>
      <c r="L7" s="115">
        <v>3.0</v>
      </c>
      <c r="M7" s="115">
        <v>0.2642455971949367</v>
      </c>
      <c r="N7" s="115">
        <v>116249.1956432</v>
      </c>
      <c r="O7" s="115">
        <v>158000.0</v>
      </c>
      <c r="P7" s="115"/>
      <c r="Q7" s="115"/>
      <c r="R7" s="115"/>
      <c r="S7" s="115"/>
      <c r="T7" s="115"/>
      <c r="U7" s="115">
        <v>0.0</v>
      </c>
      <c r="V7" s="115">
        <v>0.0</v>
      </c>
      <c r="W7" s="115">
        <v>489.0</v>
      </c>
      <c r="X7" s="115">
        <v>170.0</v>
      </c>
      <c r="Y7" s="115">
        <v>154.0</v>
      </c>
      <c r="Z7" s="115">
        <v>89.0</v>
      </c>
      <c r="AA7" s="115">
        <v>0.0</v>
      </c>
      <c r="AB7" s="115"/>
      <c r="AC7" s="115">
        <v>3943.0</v>
      </c>
      <c r="AD7" s="115">
        <v>2714.0</v>
      </c>
      <c r="AE7" s="115">
        <v>2194.0</v>
      </c>
      <c r="AF7" s="115">
        <v>748.0</v>
      </c>
      <c r="AG7" s="115">
        <v>3.0</v>
      </c>
    </row>
    <row r="8">
      <c r="A8" s="116">
        <v>46020.0</v>
      </c>
      <c r="B8" s="117">
        <v>0.5714285714285714</v>
      </c>
      <c r="C8" s="117">
        <v>4.0</v>
      </c>
      <c r="D8" s="117">
        <v>7.0</v>
      </c>
      <c r="E8" s="117">
        <v>0.001966292134831461</v>
      </c>
      <c r="F8" s="117">
        <v>7.0</v>
      </c>
      <c r="G8" s="117">
        <v>3560.0</v>
      </c>
      <c r="H8" s="117">
        <v>34540.0</v>
      </c>
      <c r="I8" s="117">
        <v>110571.42857142857</v>
      </c>
      <c r="J8" s="117">
        <v>774000.0</v>
      </c>
      <c r="K8" s="117">
        <v>7.0</v>
      </c>
      <c r="L8" s="117">
        <v>7.0</v>
      </c>
      <c r="M8" s="117">
        <v>0.5997346120762275</v>
      </c>
      <c r="N8" s="117">
        <v>309805.410253</v>
      </c>
      <c r="O8" s="117">
        <v>774000.0</v>
      </c>
      <c r="P8" s="117"/>
      <c r="Q8" s="117"/>
      <c r="R8" s="117"/>
      <c r="S8" s="117"/>
      <c r="T8" s="117"/>
      <c r="U8" s="117">
        <v>0.0</v>
      </c>
      <c r="V8" s="117">
        <v>0.0</v>
      </c>
      <c r="W8" s="117">
        <v>403.0</v>
      </c>
      <c r="X8" s="117">
        <v>114.0</v>
      </c>
      <c r="Y8" s="117">
        <v>104.0</v>
      </c>
      <c r="Z8" s="117">
        <v>60.0</v>
      </c>
      <c r="AA8" s="117">
        <v>1.0</v>
      </c>
      <c r="AB8" s="117"/>
      <c r="AC8" s="117">
        <v>5716.0</v>
      </c>
      <c r="AD8" s="117">
        <v>4725.0</v>
      </c>
      <c r="AE8" s="117">
        <v>3649.0</v>
      </c>
      <c r="AF8" s="117">
        <v>1062.0</v>
      </c>
      <c r="AG8" s="117">
        <v>6.0</v>
      </c>
    </row>
    <row r="9">
      <c r="A9" s="114">
        <v>46021.0</v>
      </c>
      <c r="B9" s="115">
        <v>0.6363636363636364</v>
      </c>
      <c r="C9" s="115">
        <v>7.0</v>
      </c>
      <c r="D9" s="115">
        <v>11.0</v>
      </c>
      <c r="E9" s="115">
        <v>0.004968944099378882</v>
      </c>
      <c r="F9" s="115">
        <v>12.0</v>
      </c>
      <c r="G9" s="115">
        <v>2415.0</v>
      </c>
      <c r="H9" s="115">
        <v>22122.0</v>
      </c>
      <c r="I9" s="115">
        <v>49166.666666666664</v>
      </c>
      <c r="J9" s="115">
        <v>590000.0</v>
      </c>
      <c r="K9" s="115">
        <v>12.0</v>
      </c>
      <c r="L9" s="115">
        <v>12.0</v>
      </c>
      <c r="M9" s="115">
        <v>0.6105037708901695</v>
      </c>
      <c r="N9" s="115">
        <v>229802.77517480002</v>
      </c>
      <c r="O9" s="115">
        <v>590000.0</v>
      </c>
      <c r="P9" s="115"/>
      <c r="Q9" s="115"/>
      <c r="R9" s="115"/>
      <c r="S9" s="115"/>
      <c r="T9" s="115"/>
      <c r="U9" s="115">
        <v>0.0</v>
      </c>
      <c r="V9" s="115">
        <v>0.0</v>
      </c>
      <c r="W9" s="115">
        <v>391.0</v>
      </c>
      <c r="X9" s="115">
        <v>139.0</v>
      </c>
      <c r="Y9" s="115">
        <v>130.0</v>
      </c>
      <c r="Z9" s="115">
        <v>86.0</v>
      </c>
      <c r="AA9" s="115">
        <v>2.0</v>
      </c>
      <c r="AB9" s="115"/>
      <c r="AC9" s="115">
        <v>4340.0</v>
      </c>
      <c r="AD9" s="115">
        <v>3097.0</v>
      </c>
      <c r="AE9" s="115">
        <v>2402.0</v>
      </c>
      <c r="AF9" s="115">
        <v>916.0</v>
      </c>
      <c r="AG9" s="115">
        <v>10.0</v>
      </c>
    </row>
    <row r="10">
      <c r="A10" s="116">
        <v>46022.0</v>
      </c>
      <c r="B10" s="117">
        <v>0.8333333333333334</v>
      </c>
      <c r="C10" s="117">
        <v>5.0</v>
      </c>
      <c r="D10" s="117">
        <v>6.0</v>
      </c>
      <c r="E10" s="117">
        <v>0.001841620626151013</v>
      </c>
      <c r="F10" s="117">
        <v>6.0</v>
      </c>
      <c r="G10" s="117">
        <v>3258.0</v>
      </c>
      <c r="H10" s="117">
        <v>24355.0</v>
      </c>
      <c r="I10" s="117">
        <v>95666.66666666667</v>
      </c>
      <c r="J10" s="117">
        <v>574000.0</v>
      </c>
      <c r="K10" s="117">
        <v>6.0</v>
      </c>
      <c r="L10" s="117">
        <v>6.0</v>
      </c>
      <c r="M10" s="117">
        <v>0.5844281938560976</v>
      </c>
      <c r="N10" s="117">
        <v>238538.21672660002</v>
      </c>
      <c r="O10" s="117">
        <v>574000.0</v>
      </c>
      <c r="P10" s="117"/>
      <c r="Q10" s="117"/>
      <c r="R10" s="117"/>
      <c r="S10" s="117"/>
      <c r="T10" s="117"/>
      <c r="U10" s="117">
        <v>0.0</v>
      </c>
      <c r="V10" s="117">
        <v>0.0</v>
      </c>
      <c r="W10" s="117">
        <v>293.0</v>
      </c>
      <c r="X10" s="117">
        <v>131.0</v>
      </c>
      <c r="Y10" s="117">
        <v>118.0</v>
      </c>
      <c r="Z10" s="117">
        <v>85.0</v>
      </c>
      <c r="AA10" s="117">
        <v>1.0</v>
      </c>
      <c r="AB10" s="117"/>
      <c r="AC10" s="117">
        <v>8187.0</v>
      </c>
      <c r="AD10" s="117">
        <v>4438.0</v>
      </c>
      <c r="AE10" s="117">
        <v>3477.0</v>
      </c>
      <c r="AF10" s="117">
        <v>1024.0</v>
      </c>
      <c r="AG10" s="117">
        <v>5.0</v>
      </c>
    </row>
    <row r="11">
      <c r="A11" s="114">
        <v>46023.0</v>
      </c>
      <c r="B11" s="115">
        <v>0.5833333333333334</v>
      </c>
      <c r="C11" s="115">
        <v>7.0</v>
      </c>
      <c r="D11" s="115">
        <v>12.0</v>
      </c>
      <c r="E11" s="115">
        <v>0.002652519893899204</v>
      </c>
      <c r="F11" s="115">
        <v>12.0</v>
      </c>
      <c r="G11" s="115">
        <v>4524.0</v>
      </c>
      <c r="H11" s="115">
        <v>39532.0</v>
      </c>
      <c r="I11" s="115">
        <v>71750.0</v>
      </c>
      <c r="J11" s="115">
        <v>861000.0</v>
      </c>
      <c r="K11" s="115">
        <v>12.0</v>
      </c>
      <c r="L11" s="115">
        <v>12.0</v>
      </c>
      <c r="M11" s="115">
        <v>0.5784366487089431</v>
      </c>
      <c r="N11" s="115">
        <v>362966.0454616</v>
      </c>
      <c r="O11" s="115">
        <v>861000.0</v>
      </c>
      <c r="P11" s="115"/>
      <c r="Q11" s="115"/>
      <c r="R11" s="115"/>
      <c r="S11" s="115"/>
      <c r="T11" s="115"/>
      <c r="U11" s="115">
        <v>0.0</v>
      </c>
      <c r="V11" s="115">
        <v>0.0</v>
      </c>
      <c r="W11" s="115">
        <v>443.0</v>
      </c>
      <c r="X11" s="115">
        <v>196.0</v>
      </c>
      <c r="Y11" s="115">
        <v>175.0</v>
      </c>
      <c r="Z11" s="115">
        <v>122.0</v>
      </c>
      <c r="AA11" s="115">
        <v>0.0</v>
      </c>
      <c r="AB11" s="115"/>
      <c r="AC11" s="115">
        <v>13191.0</v>
      </c>
      <c r="AD11" s="115">
        <v>5918.0</v>
      </c>
      <c r="AE11" s="115">
        <v>4559.0</v>
      </c>
      <c r="AF11" s="115">
        <v>2406.0</v>
      </c>
      <c r="AG11" s="115">
        <v>12.0</v>
      </c>
    </row>
    <row r="12">
      <c r="A12" s="116">
        <v>46024.0</v>
      </c>
      <c r="B12" s="117">
        <v>0.631578947368421</v>
      </c>
      <c r="C12" s="117">
        <v>12.0</v>
      </c>
      <c r="D12" s="117">
        <v>19.0</v>
      </c>
      <c r="E12" s="117">
        <v>0.004300588501584427</v>
      </c>
      <c r="F12" s="117">
        <v>19.0</v>
      </c>
      <c r="G12" s="117">
        <v>4418.0</v>
      </c>
      <c r="H12" s="117">
        <v>37450.0</v>
      </c>
      <c r="I12" s="117">
        <v>97421.05263157895</v>
      </c>
      <c r="J12" s="117">
        <v>1851000.0</v>
      </c>
      <c r="K12" s="117">
        <v>19.0</v>
      </c>
      <c r="L12" s="117">
        <v>19.0</v>
      </c>
      <c r="M12" s="117">
        <v>0.6456543451384117</v>
      </c>
      <c r="N12" s="117">
        <v>655893.8071488</v>
      </c>
      <c r="O12" s="117">
        <v>1851000.0</v>
      </c>
      <c r="P12" s="117"/>
      <c r="Q12" s="117"/>
      <c r="R12" s="117"/>
      <c r="S12" s="117"/>
      <c r="T12" s="117"/>
      <c r="U12" s="117">
        <v>0.0</v>
      </c>
      <c r="V12" s="117">
        <v>0.0</v>
      </c>
      <c r="W12" s="117">
        <v>352.0</v>
      </c>
      <c r="X12" s="117">
        <v>169.0</v>
      </c>
      <c r="Y12" s="117">
        <v>151.0</v>
      </c>
      <c r="Z12" s="117">
        <v>113.0</v>
      </c>
      <c r="AA12" s="117">
        <v>1.0</v>
      </c>
      <c r="AB12" s="117"/>
      <c r="AC12" s="117">
        <v>8529.0</v>
      </c>
      <c r="AD12" s="117">
        <v>5693.0</v>
      </c>
      <c r="AE12" s="117">
        <v>4628.0</v>
      </c>
      <c r="AF12" s="117">
        <v>1551.0</v>
      </c>
      <c r="AG12" s="117">
        <v>18.0</v>
      </c>
    </row>
    <row r="13">
      <c r="A13" s="114">
        <v>46025.0</v>
      </c>
      <c r="B13" s="115">
        <v>0.6923076923076923</v>
      </c>
      <c r="C13" s="115">
        <v>9.0</v>
      </c>
      <c r="D13" s="115">
        <v>13.0</v>
      </c>
      <c r="E13" s="115">
        <v>0.004876219054763691</v>
      </c>
      <c r="F13" s="115">
        <v>13.0</v>
      </c>
      <c r="G13" s="115">
        <v>2666.0</v>
      </c>
      <c r="H13" s="115">
        <v>25738.0</v>
      </c>
      <c r="I13" s="115">
        <v>70692.30769230769</v>
      </c>
      <c r="J13" s="115">
        <v>919000.0</v>
      </c>
      <c r="K13" s="115">
        <v>13.0</v>
      </c>
      <c r="L13" s="115">
        <v>13.0</v>
      </c>
      <c r="M13" s="115">
        <v>0.6222612361373232</v>
      </c>
      <c r="N13" s="115">
        <v>347141.9239898</v>
      </c>
      <c r="O13" s="115">
        <v>919000.0</v>
      </c>
      <c r="P13" s="115"/>
      <c r="Q13" s="115"/>
      <c r="R13" s="115"/>
      <c r="S13" s="115"/>
      <c r="T13" s="115"/>
      <c r="U13" s="115">
        <v>0.0</v>
      </c>
      <c r="V13" s="115">
        <v>0.0</v>
      </c>
      <c r="W13" s="115">
        <v>373.0</v>
      </c>
      <c r="X13" s="115">
        <v>146.0</v>
      </c>
      <c r="Y13" s="115">
        <v>136.0</v>
      </c>
      <c r="Z13" s="115">
        <v>79.0</v>
      </c>
      <c r="AA13" s="115">
        <v>2.0</v>
      </c>
      <c r="AB13" s="115"/>
      <c r="AC13" s="115">
        <v>5049.0</v>
      </c>
      <c r="AD13" s="115">
        <v>3309.0</v>
      </c>
      <c r="AE13" s="115">
        <v>2699.0</v>
      </c>
      <c r="AF13" s="115">
        <v>1005.0</v>
      </c>
      <c r="AG13" s="115">
        <v>11.0</v>
      </c>
    </row>
    <row r="14">
      <c r="A14" s="116">
        <v>46026.0</v>
      </c>
      <c r="B14" s="117">
        <v>0.6</v>
      </c>
      <c r="C14" s="117">
        <v>3.0</v>
      </c>
      <c r="D14" s="117">
        <v>5.0</v>
      </c>
      <c r="E14" s="117">
        <v>0.002061855670103093</v>
      </c>
      <c r="F14" s="117">
        <v>5.0</v>
      </c>
      <c r="G14" s="117">
        <v>2425.0</v>
      </c>
      <c r="H14" s="117">
        <v>24604.0</v>
      </c>
      <c r="I14" s="117">
        <v>69000.0</v>
      </c>
      <c r="J14" s="117">
        <v>345000.0</v>
      </c>
      <c r="K14" s="117">
        <v>5.0</v>
      </c>
      <c r="L14" s="117">
        <v>5.0</v>
      </c>
      <c r="M14" s="117">
        <v>0.5051285718388405</v>
      </c>
      <c r="N14" s="117">
        <v>170730.6427156</v>
      </c>
      <c r="O14" s="117">
        <v>345000.0</v>
      </c>
      <c r="P14" s="117"/>
      <c r="Q14" s="117"/>
      <c r="R14" s="117"/>
      <c r="S14" s="117"/>
      <c r="T14" s="117"/>
      <c r="U14" s="117">
        <v>0.0</v>
      </c>
      <c r="V14" s="117">
        <v>0.0</v>
      </c>
      <c r="W14" s="117">
        <v>402.0</v>
      </c>
      <c r="X14" s="117">
        <v>153.0</v>
      </c>
      <c r="Y14" s="117">
        <v>137.0</v>
      </c>
      <c r="Z14" s="117">
        <v>82.0</v>
      </c>
      <c r="AA14" s="117">
        <v>0.0</v>
      </c>
      <c r="AB14" s="117"/>
      <c r="AC14" s="117">
        <v>4470.0</v>
      </c>
      <c r="AD14" s="117">
        <v>2996.0</v>
      </c>
      <c r="AE14" s="117">
        <v>2427.0</v>
      </c>
      <c r="AF14" s="117">
        <v>978.0</v>
      </c>
      <c r="AG14" s="117">
        <v>5.0</v>
      </c>
    </row>
    <row r="15">
      <c r="A15" s="114">
        <v>46027.0</v>
      </c>
      <c r="B15" s="115">
        <v>0.875</v>
      </c>
      <c r="C15" s="115">
        <v>7.0</v>
      </c>
      <c r="D15" s="115">
        <v>8.0</v>
      </c>
      <c r="E15" s="115">
        <v>0.0018535681186283596</v>
      </c>
      <c r="F15" s="115">
        <v>8.0</v>
      </c>
      <c r="G15" s="115">
        <v>4316.0</v>
      </c>
      <c r="H15" s="115">
        <v>38312.0</v>
      </c>
      <c r="I15" s="115">
        <v>37875.0</v>
      </c>
      <c r="J15" s="115">
        <v>303000.0</v>
      </c>
      <c r="K15" s="115">
        <v>8.0</v>
      </c>
      <c r="L15" s="115">
        <v>8.0</v>
      </c>
      <c r="M15" s="115">
        <v>0.35895210163894387</v>
      </c>
      <c r="N15" s="115">
        <v>194237.5132034</v>
      </c>
      <c r="O15" s="115">
        <v>303000.0</v>
      </c>
      <c r="P15" s="115"/>
      <c r="Q15" s="115"/>
      <c r="R15" s="115"/>
      <c r="S15" s="115"/>
      <c r="T15" s="115"/>
      <c r="U15" s="115">
        <v>0.0</v>
      </c>
      <c r="V15" s="115">
        <v>0.0</v>
      </c>
      <c r="W15" s="115">
        <v>299.0</v>
      </c>
      <c r="X15" s="115">
        <v>122.0</v>
      </c>
      <c r="Y15" s="115">
        <v>107.0</v>
      </c>
      <c r="Z15" s="115">
        <v>86.0</v>
      </c>
      <c r="AA15" s="115">
        <v>0.0</v>
      </c>
      <c r="AB15" s="115"/>
      <c r="AC15" s="115">
        <v>6764.0</v>
      </c>
      <c r="AD15" s="115">
        <v>5553.0</v>
      </c>
      <c r="AE15" s="115">
        <v>4534.0</v>
      </c>
      <c r="AF15" s="115">
        <v>1320.0</v>
      </c>
      <c r="AG15" s="115">
        <v>8.0</v>
      </c>
    </row>
    <row r="16">
      <c r="A16" s="116">
        <v>46028.0</v>
      </c>
      <c r="B16" s="117">
        <v>0.75</v>
      </c>
      <c r="C16" s="117">
        <v>3.0</v>
      </c>
      <c r="D16" s="117">
        <v>4.0</v>
      </c>
      <c r="E16" s="117">
        <v>0.0016545334215751159</v>
      </c>
      <c r="F16" s="117">
        <v>5.0</v>
      </c>
      <c r="G16" s="117">
        <v>3022.0</v>
      </c>
      <c r="H16" s="117">
        <v>31104.0</v>
      </c>
      <c r="I16" s="117">
        <v>129000.0</v>
      </c>
      <c r="J16" s="117">
        <v>645000.0</v>
      </c>
      <c r="K16" s="117">
        <v>5.0</v>
      </c>
      <c r="L16" s="117">
        <v>5.0</v>
      </c>
      <c r="M16" s="117">
        <v>0.5829892382989148</v>
      </c>
      <c r="N16" s="117">
        <v>268971.9412972</v>
      </c>
      <c r="O16" s="117">
        <v>645000.0</v>
      </c>
      <c r="P16" s="117"/>
      <c r="Q16" s="117"/>
      <c r="R16" s="117"/>
      <c r="S16" s="117"/>
      <c r="T16" s="117"/>
      <c r="U16" s="117">
        <v>0.0</v>
      </c>
      <c r="V16" s="117">
        <v>0.0</v>
      </c>
      <c r="W16" s="117">
        <v>333.0</v>
      </c>
      <c r="X16" s="117">
        <v>143.0</v>
      </c>
      <c r="Y16" s="117">
        <v>133.0</v>
      </c>
      <c r="Z16" s="117">
        <v>92.0</v>
      </c>
      <c r="AA16" s="117">
        <v>0.0</v>
      </c>
      <c r="AB16" s="117"/>
      <c r="AC16" s="117">
        <v>4777.0</v>
      </c>
      <c r="AD16" s="117">
        <v>3707.0</v>
      </c>
      <c r="AE16" s="117">
        <v>3038.0</v>
      </c>
      <c r="AF16" s="117">
        <v>1023.0</v>
      </c>
      <c r="AG16" s="117">
        <v>5.0</v>
      </c>
    </row>
    <row r="17">
      <c r="A17" s="114">
        <v>46029.0</v>
      </c>
      <c r="B17" s="115">
        <v>0.8888888888888888</v>
      </c>
      <c r="C17" s="115">
        <v>8.0</v>
      </c>
      <c r="D17" s="115">
        <v>9.0</v>
      </c>
      <c r="E17" s="115">
        <v>0.002142857142857143</v>
      </c>
      <c r="F17" s="115">
        <v>9.0</v>
      </c>
      <c r="G17" s="115">
        <v>4200.0</v>
      </c>
      <c r="H17" s="115">
        <v>38379.0</v>
      </c>
      <c r="I17" s="115">
        <v>95666.66666666667</v>
      </c>
      <c r="J17" s="115">
        <v>861000.0</v>
      </c>
      <c r="K17" s="115">
        <v>9.0</v>
      </c>
      <c r="L17" s="115">
        <v>9.0</v>
      </c>
      <c r="M17" s="115">
        <v>0.6112765426422764</v>
      </c>
      <c r="N17" s="115">
        <v>334690.896785</v>
      </c>
      <c r="O17" s="115">
        <v>861000.0</v>
      </c>
      <c r="P17" s="115"/>
      <c r="Q17" s="115"/>
      <c r="R17" s="115"/>
      <c r="S17" s="115"/>
      <c r="T17" s="115"/>
      <c r="U17" s="115">
        <v>0.0</v>
      </c>
      <c r="V17" s="115">
        <v>0.0</v>
      </c>
      <c r="W17" s="115">
        <v>389.0</v>
      </c>
      <c r="X17" s="115">
        <v>140.0</v>
      </c>
      <c r="Y17" s="115">
        <v>133.0</v>
      </c>
      <c r="Z17" s="115">
        <v>81.0</v>
      </c>
      <c r="AA17" s="115">
        <v>2.0</v>
      </c>
      <c r="AB17" s="115"/>
      <c r="AC17" s="115">
        <v>6344.0</v>
      </c>
      <c r="AD17" s="115">
        <v>5290.0</v>
      </c>
      <c r="AE17" s="115">
        <v>4375.0</v>
      </c>
      <c r="AF17" s="115">
        <v>1190.0</v>
      </c>
      <c r="AG17" s="115">
        <v>7.0</v>
      </c>
    </row>
    <row r="18">
      <c r="A18" s="116">
        <v>46030.0</v>
      </c>
      <c r="B18" s="117">
        <v>0.8333333333333334</v>
      </c>
      <c r="C18" s="117">
        <v>5.0</v>
      </c>
      <c r="D18" s="117">
        <v>6.0</v>
      </c>
      <c r="E18" s="117">
        <v>0.0024311183144246355</v>
      </c>
      <c r="F18" s="117">
        <v>6.0</v>
      </c>
      <c r="G18" s="117">
        <v>2468.0</v>
      </c>
      <c r="H18" s="117">
        <v>25989.0</v>
      </c>
      <c r="I18" s="117">
        <v>79000.0</v>
      </c>
      <c r="J18" s="117">
        <v>474000.0</v>
      </c>
      <c r="K18" s="117">
        <v>6.0</v>
      </c>
      <c r="L18" s="117">
        <v>6.0</v>
      </c>
      <c r="M18" s="117">
        <v>0.573629566214346</v>
      </c>
      <c r="N18" s="117">
        <v>202099.58561439998</v>
      </c>
      <c r="O18" s="117">
        <v>474000.0</v>
      </c>
      <c r="P18" s="117"/>
      <c r="Q18" s="117"/>
      <c r="R18" s="117"/>
      <c r="S18" s="117"/>
      <c r="T18" s="117"/>
      <c r="U18" s="117">
        <v>0.0</v>
      </c>
      <c r="V18" s="117">
        <v>0.0</v>
      </c>
      <c r="W18" s="117">
        <v>350.0</v>
      </c>
      <c r="X18" s="117">
        <v>128.0</v>
      </c>
      <c r="Y18" s="117">
        <v>115.0</v>
      </c>
      <c r="Z18" s="117">
        <v>78.0</v>
      </c>
      <c r="AA18" s="117">
        <v>1.0</v>
      </c>
      <c r="AB18" s="117"/>
      <c r="AC18" s="117">
        <v>3966.0</v>
      </c>
      <c r="AD18" s="117">
        <v>2866.0</v>
      </c>
      <c r="AE18" s="117">
        <v>2717.0</v>
      </c>
      <c r="AF18" s="117">
        <v>736.0</v>
      </c>
      <c r="AG18" s="117">
        <v>5.0</v>
      </c>
    </row>
    <row r="19">
      <c r="A19" s="114">
        <v>46031.0</v>
      </c>
      <c r="B19" s="115">
        <v>0.6</v>
      </c>
      <c r="C19" s="115">
        <v>3.0</v>
      </c>
      <c r="D19" s="115">
        <v>5.0</v>
      </c>
      <c r="E19" s="115">
        <v>0.001603592046183451</v>
      </c>
      <c r="F19" s="115">
        <v>5.0</v>
      </c>
      <c r="G19" s="115">
        <v>3118.0</v>
      </c>
      <c r="H19" s="115">
        <v>28036.0</v>
      </c>
      <c r="I19" s="115">
        <v>89000.0</v>
      </c>
      <c r="J19" s="115">
        <v>445000.0</v>
      </c>
      <c r="K19" s="115">
        <v>5.0</v>
      </c>
      <c r="L19" s="115">
        <v>5.0</v>
      </c>
      <c r="M19" s="115">
        <v>0.5302679858314607</v>
      </c>
      <c r="N19" s="115">
        <v>209030.74630499998</v>
      </c>
      <c r="O19" s="115">
        <v>445000.0</v>
      </c>
      <c r="P19" s="115"/>
      <c r="Q19" s="115"/>
      <c r="R19" s="115"/>
      <c r="S19" s="115"/>
      <c r="T19" s="115"/>
      <c r="U19" s="115">
        <v>0.0</v>
      </c>
      <c r="V19" s="115">
        <v>0.0</v>
      </c>
      <c r="W19" s="115">
        <v>267.0</v>
      </c>
      <c r="X19" s="115">
        <v>106.0</v>
      </c>
      <c r="Y19" s="115">
        <v>102.0</v>
      </c>
      <c r="Z19" s="115">
        <v>71.0</v>
      </c>
      <c r="AA19" s="115">
        <v>0.0</v>
      </c>
      <c r="AB19" s="115"/>
      <c r="AC19" s="115">
        <v>4815.0</v>
      </c>
      <c r="AD19" s="115">
        <v>3577.0</v>
      </c>
      <c r="AE19" s="115">
        <v>3930.0</v>
      </c>
      <c r="AF19" s="115">
        <v>728.0</v>
      </c>
      <c r="AG19" s="115">
        <v>5.0</v>
      </c>
    </row>
    <row r="20">
      <c r="A20" s="116">
        <v>46032.0</v>
      </c>
      <c r="B20" s="117">
        <v>0.3333333333333333</v>
      </c>
      <c r="C20" s="117">
        <v>1.0</v>
      </c>
      <c r="D20" s="117">
        <v>3.0</v>
      </c>
      <c r="E20" s="117">
        <v>0.0013921113689095127</v>
      </c>
      <c r="F20" s="117">
        <v>3.0</v>
      </c>
      <c r="G20" s="117">
        <v>2155.0</v>
      </c>
      <c r="H20" s="117">
        <v>20526.0</v>
      </c>
      <c r="I20" s="117">
        <v>129000.0</v>
      </c>
      <c r="J20" s="117">
        <v>387000.0</v>
      </c>
      <c r="K20" s="117">
        <v>3.0</v>
      </c>
      <c r="L20" s="117">
        <v>3.0</v>
      </c>
      <c r="M20" s="117">
        <v>0.5725299181271317</v>
      </c>
      <c r="N20" s="117">
        <v>165430.9216848</v>
      </c>
      <c r="O20" s="117">
        <v>387000.0</v>
      </c>
      <c r="P20" s="117"/>
      <c r="Q20" s="117"/>
      <c r="R20" s="117"/>
      <c r="S20" s="117"/>
      <c r="T20" s="117"/>
      <c r="U20" s="117">
        <v>0.0</v>
      </c>
      <c r="V20" s="117">
        <v>0.0</v>
      </c>
      <c r="W20" s="117">
        <v>286.0</v>
      </c>
      <c r="X20" s="117">
        <v>113.0</v>
      </c>
      <c r="Y20" s="117">
        <v>100.0</v>
      </c>
      <c r="Z20" s="117">
        <v>61.0</v>
      </c>
      <c r="AA20" s="117">
        <v>1.0</v>
      </c>
      <c r="AB20" s="117"/>
      <c r="AC20" s="117">
        <v>3630.0</v>
      </c>
      <c r="AD20" s="117">
        <v>2617.0</v>
      </c>
      <c r="AE20" s="117">
        <v>2366.0</v>
      </c>
      <c r="AF20" s="117">
        <v>673.0</v>
      </c>
      <c r="AG20" s="117">
        <v>2.0</v>
      </c>
    </row>
    <row r="21">
      <c r="A21" s="114">
        <v>46033.0</v>
      </c>
      <c r="B21" s="115">
        <v>0.5714285714285714</v>
      </c>
      <c r="C21" s="115">
        <v>4.0</v>
      </c>
      <c r="D21" s="115">
        <v>7.0</v>
      </c>
      <c r="E21" s="115">
        <v>0.003269500233535731</v>
      </c>
      <c r="F21" s="115">
        <v>7.0</v>
      </c>
      <c r="G21" s="115">
        <v>2141.0</v>
      </c>
      <c r="H21" s="115">
        <v>21386.0</v>
      </c>
      <c r="I21" s="115">
        <v>82000.0</v>
      </c>
      <c r="J21" s="115">
        <v>574000.0</v>
      </c>
      <c r="K21" s="115">
        <v>7.0</v>
      </c>
      <c r="L21" s="115">
        <v>7.0</v>
      </c>
      <c r="M21" s="115">
        <v>0.6244625686390244</v>
      </c>
      <c r="N21" s="115">
        <v>215558.4856012</v>
      </c>
      <c r="O21" s="115">
        <v>574000.0</v>
      </c>
      <c r="P21" s="115"/>
      <c r="Q21" s="115"/>
      <c r="R21" s="115"/>
      <c r="S21" s="115"/>
      <c r="T21" s="115"/>
      <c r="U21" s="115">
        <v>0.0</v>
      </c>
      <c r="V21" s="115">
        <v>0.0</v>
      </c>
      <c r="W21" s="115">
        <v>313.0</v>
      </c>
      <c r="X21" s="115">
        <v>127.0</v>
      </c>
      <c r="Y21" s="115">
        <v>117.0</v>
      </c>
      <c r="Z21" s="115">
        <v>75.0</v>
      </c>
      <c r="AA21" s="115">
        <v>1.0</v>
      </c>
      <c r="AB21" s="115"/>
      <c r="AC21" s="115">
        <v>3567.0</v>
      </c>
      <c r="AD21" s="115">
        <v>2594.0</v>
      </c>
      <c r="AE21" s="115">
        <v>2237.0</v>
      </c>
      <c r="AF21" s="115">
        <v>716.0</v>
      </c>
      <c r="AG21" s="115">
        <v>6.0</v>
      </c>
    </row>
    <row r="22">
      <c r="A22" s="116">
        <v>46034.0</v>
      </c>
      <c r="B22" s="117">
        <v>0.5</v>
      </c>
      <c r="C22" s="117">
        <v>4.0</v>
      </c>
      <c r="D22" s="117">
        <v>8.0</v>
      </c>
      <c r="E22" s="117">
        <v>0.002030972328002031</v>
      </c>
      <c r="F22" s="117">
        <v>8.0</v>
      </c>
      <c r="G22" s="117">
        <v>3939.0</v>
      </c>
      <c r="H22" s="117">
        <v>33991.0</v>
      </c>
      <c r="I22" s="117">
        <v>104000.0</v>
      </c>
      <c r="J22" s="117">
        <v>832000.0</v>
      </c>
      <c r="K22" s="117">
        <v>8.0</v>
      </c>
      <c r="L22" s="117">
        <v>8.0</v>
      </c>
      <c r="M22" s="117">
        <v>0.5848967002408654</v>
      </c>
      <c r="N22" s="117">
        <v>345365.94539959996</v>
      </c>
      <c r="O22" s="117">
        <v>832000.0</v>
      </c>
      <c r="P22" s="117"/>
      <c r="Q22" s="117"/>
      <c r="R22" s="117"/>
      <c r="S22" s="117"/>
      <c r="T22" s="117"/>
      <c r="U22" s="117">
        <v>0.0</v>
      </c>
      <c r="V22" s="117">
        <v>0.0</v>
      </c>
      <c r="W22" s="117">
        <v>432.0</v>
      </c>
      <c r="X22" s="117">
        <v>140.0</v>
      </c>
      <c r="Y22" s="117">
        <v>129.0</v>
      </c>
      <c r="Z22" s="117">
        <v>75.0</v>
      </c>
      <c r="AA22" s="117">
        <v>0.0</v>
      </c>
      <c r="AB22" s="117"/>
      <c r="AC22" s="117">
        <v>6372.0</v>
      </c>
      <c r="AD22" s="117">
        <v>4991.0</v>
      </c>
      <c r="AE22" s="117">
        <v>4268.0</v>
      </c>
      <c r="AF22" s="117">
        <v>1042.0</v>
      </c>
      <c r="AG22" s="117">
        <v>8.0</v>
      </c>
    </row>
    <row r="23">
      <c r="A23" s="114">
        <v>46035.0</v>
      </c>
      <c r="B23" s="115">
        <v>0.8333333333333334</v>
      </c>
      <c r="C23" s="115">
        <v>5.0</v>
      </c>
      <c r="D23" s="115">
        <v>6.0</v>
      </c>
      <c r="E23" s="115">
        <v>0.0023059185242121443</v>
      </c>
      <c r="F23" s="115">
        <v>6.0</v>
      </c>
      <c r="G23" s="115">
        <v>2602.0</v>
      </c>
      <c r="H23" s="115">
        <v>25926.0</v>
      </c>
      <c r="I23" s="115">
        <v>62333.333333333336</v>
      </c>
      <c r="J23" s="115">
        <v>374000.0</v>
      </c>
      <c r="K23" s="115">
        <v>6.0</v>
      </c>
      <c r="L23" s="115">
        <v>6.0</v>
      </c>
      <c r="M23" s="115">
        <v>0.4509561683941177</v>
      </c>
      <c r="N23" s="115">
        <v>205342.3930206</v>
      </c>
      <c r="O23" s="115">
        <v>374000.0</v>
      </c>
      <c r="P23" s="115"/>
      <c r="Q23" s="115"/>
      <c r="R23" s="115"/>
      <c r="S23" s="115"/>
      <c r="T23" s="115"/>
      <c r="U23" s="115">
        <v>0.0</v>
      </c>
      <c r="V23" s="115">
        <v>0.0</v>
      </c>
      <c r="W23" s="115">
        <v>431.0</v>
      </c>
      <c r="X23" s="115">
        <v>133.0</v>
      </c>
      <c r="Y23" s="115">
        <v>127.0</v>
      </c>
      <c r="Z23" s="115">
        <v>74.0</v>
      </c>
      <c r="AA23" s="115">
        <v>2.0</v>
      </c>
      <c r="AB23" s="115"/>
      <c r="AC23" s="115">
        <v>4808.0</v>
      </c>
      <c r="AD23" s="115">
        <v>3254.0</v>
      </c>
      <c r="AE23" s="115">
        <v>2676.0</v>
      </c>
      <c r="AF23" s="115">
        <v>803.0</v>
      </c>
      <c r="AG23" s="115">
        <v>4.0</v>
      </c>
    </row>
    <row r="24">
      <c r="A24" s="116">
        <v>46036.0</v>
      </c>
      <c r="B24" s="117">
        <v>0.75</v>
      </c>
      <c r="C24" s="117">
        <v>3.0</v>
      </c>
      <c r="D24" s="117">
        <v>4.0</v>
      </c>
      <c r="E24" s="117">
        <v>0.0011010184420589045</v>
      </c>
      <c r="F24" s="117">
        <v>4.0</v>
      </c>
      <c r="G24" s="117">
        <v>3633.0</v>
      </c>
      <c r="H24" s="117">
        <v>31421.0</v>
      </c>
      <c r="I24" s="117">
        <v>104000.0</v>
      </c>
      <c r="J24" s="117">
        <v>416000.0</v>
      </c>
      <c r="K24" s="117">
        <v>4.0</v>
      </c>
      <c r="L24" s="117">
        <v>4.0</v>
      </c>
      <c r="M24" s="117"/>
      <c r="N24" s="117"/>
      <c r="O24" s="117">
        <v>416000.0</v>
      </c>
      <c r="P24" s="117"/>
      <c r="Q24" s="117"/>
      <c r="R24" s="117"/>
      <c r="S24" s="117"/>
      <c r="T24" s="117"/>
      <c r="U24" s="117">
        <v>0.0</v>
      </c>
      <c r="V24" s="117">
        <v>0.0</v>
      </c>
      <c r="W24" s="117">
        <v>309.0</v>
      </c>
      <c r="X24" s="117">
        <v>108.0</v>
      </c>
      <c r="Y24" s="117">
        <v>96.0</v>
      </c>
      <c r="Z24" s="117">
        <v>65.0</v>
      </c>
      <c r="AA24" s="117">
        <v>0.0</v>
      </c>
      <c r="AB24" s="117"/>
      <c r="AC24" s="117">
        <v>5971.0</v>
      </c>
      <c r="AD24" s="117">
        <v>4707.0</v>
      </c>
      <c r="AE24" s="117">
        <v>3952.0</v>
      </c>
      <c r="AF24" s="117">
        <v>935.0</v>
      </c>
      <c r="AG24" s="117">
        <v>4.0</v>
      </c>
    </row>
    <row r="25">
      <c r="A25" s="114">
        <v>46037.0</v>
      </c>
      <c r="B25" s="115">
        <v>1.0</v>
      </c>
      <c r="C25" s="115">
        <v>2.0</v>
      </c>
      <c r="D25" s="115">
        <v>2.0</v>
      </c>
      <c r="E25" s="115">
        <v>7.763975155279503E-4</v>
      </c>
      <c r="F25" s="115">
        <v>2.0</v>
      </c>
      <c r="G25" s="115">
        <v>2576.0</v>
      </c>
      <c r="H25" s="115">
        <v>27115.0</v>
      </c>
      <c r="I25" s="115">
        <v>129000.0</v>
      </c>
      <c r="J25" s="115">
        <v>258000.0</v>
      </c>
      <c r="K25" s="115">
        <v>2.0</v>
      </c>
      <c r="L25" s="115">
        <v>2.0</v>
      </c>
      <c r="M25" s="115"/>
      <c r="N25" s="115"/>
      <c r="O25" s="115">
        <v>258000.0</v>
      </c>
      <c r="P25" s="115"/>
      <c r="Q25" s="115"/>
      <c r="R25" s="115"/>
      <c r="S25" s="115"/>
      <c r="T25" s="115"/>
      <c r="U25" s="115">
        <v>0.0</v>
      </c>
      <c r="V25" s="115">
        <v>0.0</v>
      </c>
      <c r="W25" s="115">
        <v>580.0</v>
      </c>
      <c r="X25" s="115">
        <v>160.0</v>
      </c>
      <c r="Y25" s="115">
        <v>151.0</v>
      </c>
      <c r="Z25" s="115">
        <v>83.0</v>
      </c>
      <c r="AA25" s="115">
        <v>0.0</v>
      </c>
      <c r="AB25" s="115"/>
      <c r="AC25" s="115">
        <v>4345.0</v>
      </c>
      <c r="AD25" s="115">
        <v>3115.0</v>
      </c>
      <c r="AE25" s="115">
        <v>2552.0</v>
      </c>
      <c r="AF25" s="115">
        <v>729.0</v>
      </c>
      <c r="AG25" s="115">
        <v>2.0</v>
      </c>
    </row>
    <row r="26">
      <c r="A26" s="116">
        <v>46038.0</v>
      </c>
      <c r="B26" s="117">
        <v>0.5</v>
      </c>
      <c r="C26" s="117">
        <v>5.0</v>
      </c>
      <c r="D26" s="117">
        <v>10.0</v>
      </c>
      <c r="E26" s="117">
        <v>0.002680246582685607</v>
      </c>
      <c r="F26" s="117">
        <v>10.0</v>
      </c>
      <c r="G26" s="117">
        <v>3731.0</v>
      </c>
      <c r="H26" s="117">
        <v>25317.0</v>
      </c>
      <c r="I26" s="117">
        <v>63200.0</v>
      </c>
      <c r="J26" s="117">
        <v>632000.0</v>
      </c>
      <c r="K26" s="117">
        <v>10.0</v>
      </c>
      <c r="L26" s="117">
        <v>10.0</v>
      </c>
      <c r="M26" s="117"/>
      <c r="N26" s="117"/>
      <c r="O26" s="117">
        <v>632000.0</v>
      </c>
      <c r="P26" s="117"/>
      <c r="Q26" s="117"/>
      <c r="R26" s="117"/>
      <c r="S26" s="117"/>
      <c r="T26" s="117"/>
      <c r="U26" s="117">
        <v>0.0</v>
      </c>
      <c r="V26" s="117">
        <v>0.0</v>
      </c>
      <c r="W26" s="117">
        <v>417.0</v>
      </c>
      <c r="X26" s="117">
        <v>146.0</v>
      </c>
      <c r="Y26" s="117">
        <v>133.0</v>
      </c>
      <c r="Z26" s="117">
        <v>83.0</v>
      </c>
      <c r="AA26" s="117">
        <v>2.0</v>
      </c>
      <c r="AB26" s="117"/>
      <c r="AC26" s="117">
        <v>5954.0</v>
      </c>
      <c r="AD26" s="117">
        <v>4480.0</v>
      </c>
      <c r="AE26" s="117">
        <v>3658.0</v>
      </c>
      <c r="AF26" s="117">
        <v>1050.0</v>
      </c>
      <c r="AG26" s="117">
        <v>8.0</v>
      </c>
    </row>
    <row r="27">
      <c r="A27" s="114">
        <v>46039.0</v>
      </c>
      <c r="B27" s="115">
        <v>0.6666666666666666</v>
      </c>
      <c r="C27" s="115">
        <v>4.0</v>
      </c>
      <c r="D27" s="115">
        <v>6.0</v>
      </c>
      <c r="E27" s="115">
        <v>0.0024086712163789645</v>
      </c>
      <c r="F27" s="115">
        <v>6.0</v>
      </c>
      <c r="G27" s="115">
        <v>2491.0</v>
      </c>
      <c r="H27" s="115">
        <v>18386.0</v>
      </c>
      <c r="I27" s="115">
        <v>90833.33333333333</v>
      </c>
      <c r="J27" s="115">
        <v>545000.0</v>
      </c>
      <c r="K27" s="115">
        <v>6.0</v>
      </c>
      <c r="L27" s="115">
        <v>6.0</v>
      </c>
      <c r="M27" s="115"/>
      <c r="N27" s="115"/>
      <c r="O27" s="115">
        <v>545000.0</v>
      </c>
      <c r="P27" s="115"/>
      <c r="Q27" s="115"/>
      <c r="R27" s="115"/>
      <c r="S27" s="115"/>
      <c r="T27" s="115"/>
      <c r="U27" s="115">
        <v>0.0</v>
      </c>
      <c r="V27" s="115">
        <v>0.0</v>
      </c>
      <c r="W27" s="115">
        <v>531.0</v>
      </c>
      <c r="X27" s="115">
        <v>162.0</v>
      </c>
      <c r="Y27" s="115">
        <v>151.0</v>
      </c>
      <c r="Z27" s="115">
        <v>95.0</v>
      </c>
      <c r="AA27" s="115">
        <v>1.0</v>
      </c>
      <c r="AB27" s="115"/>
      <c r="AC27" s="115">
        <v>4243.0</v>
      </c>
      <c r="AD27" s="115">
        <v>2889.0</v>
      </c>
      <c r="AE27" s="115">
        <v>2391.0</v>
      </c>
      <c r="AF27" s="115">
        <v>887.0</v>
      </c>
      <c r="AG27" s="115">
        <v>5.0</v>
      </c>
    </row>
    <row r="28">
      <c r="A28" s="116">
        <v>46040.0</v>
      </c>
      <c r="B28" s="117">
        <v>0.7142857142857143</v>
      </c>
      <c r="C28" s="117">
        <v>5.0</v>
      </c>
      <c r="D28" s="117">
        <v>7.0</v>
      </c>
      <c r="E28" s="117">
        <v>0.0032679738562091504</v>
      </c>
      <c r="F28" s="117">
        <v>7.0</v>
      </c>
      <c r="G28" s="117">
        <v>2142.0</v>
      </c>
      <c r="H28" s="117">
        <v>17560.0</v>
      </c>
      <c r="I28" s="117">
        <v>100428.57142857143</v>
      </c>
      <c r="J28" s="117">
        <v>703000.0</v>
      </c>
      <c r="K28" s="117">
        <v>7.0</v>
      </c>
      <c r="L28" s="117">
        <v>7.0</v>
      </c>
      <c r="M28" s="117"/>
      <c r="N28" s="117"/>
      <c r="O28" s="117">
        <v>703000.0</v>
      </c>
      <c r="P28" s="117"/>
      <c r="Q28" s="117"/>
      <c r="R28" s="117"/>
      <c r="S28" s="117"/>
      <c r="T28" s="117"/>
      <c r="U28" s="117">
        <v>0.0</v>
      </c>
      <c r="V28" s="117">
        <v>0.0</v>
      </c>
      <c r="W28" s="117">
        <v>722.0</v>
      </c>
      <c r="X28" s="117">
        <v>149.0</v>
      </c>
      <c r="Y28" s="117">
        <v>131.0</v>
      </c>
      <c r="Z28" s="117">
        <v>83.0</v>
      </c>
      <c r="AA28" s="117">
        <v>1.0</v>
      </c>
      <c r="AB28" s="117"/>
      <c r="AC28" s="117">
        <v>3723.0</v>
      </c>
      <c r="AD28" s="117">
        <v>2519.0</v>
      </c>
      <c r="AE28" s="117">
        <v>2059.0</v>
      </c>
      <c r="AF28" s="117">
        <v>788.0</v>
      </c>
      <c r="AG28" s="117">
        <v>6.0</v>
      </c>
    </row>
    <row r="29">
      <c r="A29" s="114">
        <v>46041.0</v>
      </c>
      <c r="B29" s="115">
        <v>0.75</v>
      </c>
      <c r="C29" s="115">
        <v>6.0</v>
      </c>
      <c r="D29" s="115">
        <v>8.0</v>
      </c>
      <c r="E29" s="115">
        <v>0.0020768431983385254</v>
      </c>
      <c r="F29" s="115">
        <v>8.0</v>
      </c>
      <c r="G29" s="115">
        <v>3852.0</v>
      </c>
      <c r="H29" s="115">
        <v>23554.0</v>
      </c>
      <c r="I29" s="115">
        <v>87875.0</v>
      </c>
      <c r="J29" s="115">
        <v>703000.0</v>
      </c>
      <c r="K29" s="115">
        <v>8.0</v>
      </c>
      <c r="L29" s="115">
        <v>8.0</v>
      </c>
      <c r="M29" s="115"/>
      <c r="N29" s="115"/>
      <c r="O29" s="115">
        <v>703000.0</v>
      </c>
      <c r="P29" s="115"/>
      <c r="Q29" s="115"/>
      <c r="R29" s="115"/>
      <c r="S29" s="115"/>
      <c r="T29" s="115"/>
      <c r="U29" s="115">
        <v>0.0</v>
      </c>
      <c r="V29" s="115">
        <v>0.0</v>
      </c>
      <c r="W29" s="115">
        <v>334.0</v>
      </c>
      <c r="X29" s="115">
        <v>104.0</v>
      </c>
      <c r="Y29" s="115">
        <v>94.0</v>
      </c>
      <c r="Z29" s="115">
        <v>61.0</v>
      </c>
      <c r="AA29" s="115">
        <v>1.0</v>
      </c>
      <c r="AB29" s="115"/>
      <c r="AC29" s="115">
        <v>5931.0</v>
      </c>
      <c r="AD29" s="115">
        <v>4544.0</v>
      </c>
      <c r="AE29" s="115">
        <v>3844.0</v>
      </c>
      <c r="AF29" s="115">
        <v>1085.0</v>
      </c>
      <c r="AG29" s="115">
        <v>7.0</v>
      </c>
    </row>
    <row r="30">
      <c r="A30" s="116">
        <v>46042.0</v>
      </c>
      <c r="B30" s="117">
        <v>1.0</v>
      </c>
      <c r="C30" s="117">
        <v>9.0</v>
      </c>
      <c r="D30" s="117">
        <v>9.0</v>
      </c>
      <c r="E30" s="117">
        <v>0.0036452004860267314</v>
      </c>
      <c r="F30" s="117">
        <v>9.0</v>
      </c>
      <c r="G30" s="117">
        <v>2469.0</v>
      </c>
      <c r="H30" s="117">
        <v>19690.0</v>
      </c>
      <c r="I30" s="117">
        <v>62333.333333333336</v>
      </c>
      <c r="J30" s="117">
        <v>561000.0</v>
      </c>
      <c r="K30" s="117">
        <v>9.0</v>
      </c>
      <c r="L30" s="117">
        <v>9.0</v>
      </c>
      <c r="M30" s="117"/>
      <c r="N30" s="117"/>
      <c r="O30" s="117">
        <v>561000.0</v>
      </c>
      <c r="P30" s="117"/>
      <c r="Q30" s="117"/>
      <c r="R30" s="117"/>
      <c r="S30" s="117"/>
      <c r="T30" s="117"/>
      <c r="U30" s="117">
        <v>0.0</v>
      </c>
      <c r="V30" s="117">
        <v>0.0</v>
      </c>
      <c r="W30" s="117">
        <v>367.0</v>
      </c>
      <c r="X30" s="117">
        <v>123.0</v>
      </c>
      <c r="Y30" s="117">
        <v>114.0</v>
      </c>
      <c r="Z30" s="117">
        <v>72.0</v>
      </c>
      <c r="AA30" s="117">
        <v>1.0</v>
      </c>
      <c r="AB30" s="117"/>
      <c r="AC30" s="117">
        <v>4169.0</v>
      </c>
      <c r="AD30" s="117">
        <v>2929.0</v>
      </c>
      <c r="AE30" s="117">
        <v>2441.0</v>
      </c>
      <c r="AF30" s="117">
        <v>811.0</v>
      </c>
      <c r="AG30" s="117">
        <v>8.0</v>
      </c>
    </row>
    <row r="31">
      <c r="A31" s="114">
        <v>46043.0</v>
      </c>
      <c r="B31" s="115">
        <v>0.5</v>
      </c>
      <c r="C31" s="115">
        <v>2.0</v>
      </c>
      <c r="D31" s="115">
        <v>4.0</v>
      </c>
      <c r="E31" s="115">
        <v>0.0011022320198401765</v>
      </c>
      <c r="F31" s="115">
        <v>4.0</v>
      </c>
      <c r="G31" s="115">
        <v>3629.0</v>
      </c>
      <c r="H31" s="115">
        <v>22634.0</v>
      </c>
      <c r="I31" s="115">
        <v>79000.0</v>
      </c>
      <c r="J31" s="115">
        <v>316000.0</v>
      </c>
      <c r="K31" s="115">
        <v>4.0</v>
      </c>
      <c r="L31" s="115">
        <v>4.0</v>
      </c>
      <c r="M31" s="115"/>
      <c r="N31" s="115"/>
      <c r="O31" s="115">
        <v>316000.0</v>
      </c>
      <c r="P31" s="115"/>
      <c r="Q31" s="115"/>
      <c r="R31" s="115"/>
      <c r="S31" s="115"/>
      <c r="T31" s="115"/>
      <c r="U31" s="115">
        <v>0.0</v>
      </c>
      <c r="V31" s="115">
        <v>0.0</v>
      </c>
      <c r="W31" s="115">
        <v>396.0</v>
      </c>
      <c r="X31" s="115">
        <v>150.0</v>
      </c>
      <c r="Y31" s="115">
        <v>139.0</v>
      </c>
      <c r="Z31" s="115">
        <v>78.0</v>
      </c>
      <c r="AA31" s="115">
        <v>0.0</v>
      </c>
      <c r="AB31" s="115"/>
      <c r="AC31" s="115">
        <v>5615.0</v>
      </c>
      <c r="AD31" s="115">
        <v>4084.0</v>
      </c>
      <c r="AE31" s="115">
        <v>3616.0</v>
      </c>
      <c r="AF31" s="115">
        <v>989.0</v>
      </c>
      <c r="AG31" s="115">
        <v>4.0</v>
      </c>
    </row>
    <row r="32">
      <c r="A32" s="116">
        <v>46044.0</v>
      </c>
      <c r="B32" s="117">
        <v>1.0</v>
      </c>
      <c r="C32" s="117">
        <v>6.0</v>
      </c>
      <c r="D32" s="117">
        <v>6.0</v>
      </c>
      <c r="E32" s="117">
        <v>0.0025391451544646637</v>
      </c>
      <c r="F32" s="117">
        <v>6.0</v>
      </c>
      <c r="G32" s="117">
        <v>2363.0</v>
      </c>
      <c r="H32" s="117">
        <v>20784.0</v>
      </c>
      <c r="I32" s="117">
        <v>74166.66666666667</v>
      </c>
      <c r="J32" s="117">
        <v>445000.0</v>
      </c>
      <c r="K32" s="117">
        <v>6.0</v>
      </c>
      <c r="L32" s="117">
        <v>6.0</v>
      </c>
      <c r="M32" s="117"/>
      <c r="N32" s="117"/>
      <c r="O32" s="117">
        <v>445000.0</v>
      </c>
      <c r="P32" s="117"/>
      <c r="Q32" s="117"/>
      <c r="R32" s="117"/>
      <c r="S32" s="117"/>
      <c r="T32" s="117"/>
      <c r="U32" s="117">
        <v>0.0</v>
      </c>
      <c r="V32" s="117">
        <v>0.0</v>
      </c>
      <c r="W32" s="117">
        <v>431.0</v>
      </c>
      <c r="X32" s="117">
        <v>135.0</v>
      </c>
      <c r="Y32" s="117">
        <v>120.0</v>
      </c>
      <c r="Z32" s="117">
        <v>81.0</v>
      </c>
      <c r="AA32" s="117">
        <v>2.0</v>
      </c>
      <c r="AB32" s="117"/>
      <c r="AC32" s="117">
        <v>3803.0</v>
      </c>
      <c r="AD32" s="117">
        <v>2684.0</v>
      </c>
      <c r="AE32" s="117">
        <v>2313.0</v>
      </c>
      <c r="AF32" s="117">
        <v>747.0</v>
      </c>
      <c r="AG32" s="117">
        <v>4.0</v>
      </c>
    </row>
    <row r="33">
      <c r="A33" s="114">
        <v>46045.0</v>
      </c>
      <c r="B33" s="115">
        <v>0.6</v>
      </c>
      <c r="C33" s="115">
        <v>3.0</v>
      </c>
      <c r="D33" s="115">
        <v>5.0</v>
      </c>
      <c r="E33" s="115">
        <v>0.001492982979994028</v>
      </c>
      <c r="F33" s="115">
        <v>5.0</v>
      </c>
      <c r="G33" s="115">
        <v>3349.0</v>
      </c>
      <c r="H33" s="115">
        <v>22703.0</v>
      </c>
      <c r="I33" s="115">
        <v>69000.0</v>
      </c>
      <c r="J33" s="115">
        <v>345000.0</v>
      </c>
      <c r="K33" s="115">
        <v>5.0</v>
      </c>
      <c r="L33" s="115">
        <v>5.0</v>
      </c>
      <c r="M33" s="115"/>
      <c r="N33" s="115"/>
      <c r="O33" s="115">
        <v>345000.0</v>
      </c>
      <c r="P33" s="115"/>
      <c r="Q33" s="115"/>
      <c r="R33" s="115"/>
      <c r="S33" s="115"/>
      <c r="T33" s="115"/>
      <c r="U33" s="115">
        <v>0.0</v>
      </c>
      <c r="V33" s="115">
        <v>0.0</v>
      </c>
      <c r="W33" s="115">
        <v>439.0</v>
      </c>
      <c r="X33" s="115">
        <v>130.0</v>
      </c>
      <c r="Y33" s="115">
        <v>115.0</v>
      </c>
      <c r="Z33" s="115">
        <v>81.0</v>
      </c>
      <c r="AA33" s="115">
        <v>2.0</v>
      </c>
      <c r="AB33" s="115"/>
      <c r="AC33" s="115">
        <v>4757.0</v>
      </c>
      <c r="AD33" s="115">
        <v>3541.0</v>
      </c>
      <c r="AE33" s="115">
        <v>3332.0</v>
      </c>
      <c r="AF33" s="115">
        <v>850.0</v>
      </c>
      <c r="AG33" s="115">
        <v>3.0</v>
      </c>
    </row>
    <row r="34">
      <c r="A34" s="116">
        <v>46046.0</v>
      </c>
      <c r="B34" s="117">
        <v>0.6666666666666666</v>
      </c>
      <c r="C34" s="117">
        <v>4.0</v>
      </c>
      <c r="D34" s="117">
        <v>6.0</v>
      </c>
      <c r="E34" s="117">
        <v>0.0029225523623964927</v>
      </c>
      <c r="F34" s="117">
        <v>6.0</v>
      </c>
      <c r="G34" s="117">
        <v>2053.0</v>
      </c>
      <c r="H34" s="117">
        <v>16346.0</v>
      </c>
      <c r="I34" s="117">
        <v>112333.33333333333</v>
      </c>
      <c r="J34" s="117">
        <v>674000.0</v>
      </c>
      <c r="K34" s="117">
        <v>6.0</v>
      </c>
      <c r="L34" s="117">
        <v>6.0</v>
      </c>
      <c r="M34" s="117"/>
      <c r="N34" s="117"/>
      <c r="O34" s="117">
        <v>674000.0</v>
      </c>
      <c r="P34" s="117"/>
      <c r="Q34" s="117"/>
      <c r="R34" s="117"/>
      <c r="S34" s="117"/>
      <c r="T34" s="117"/>
      <c r="U34" s="117">
        <v>0.0</v>
      </c>
      <c r="V34" s="117">
        <v>0.0</v>
      </c>
      <c r="W34" s="117">
        <v>369.0</v>
      </c>
      <c r="X34" s="117">
        <v>102.0</v>
      </c>
      <c r="Y34" s="117">
        <v>93.0</v>
      </c>
      <c r="Z34" s="117">
        <v>54.0</v>
      </c>
      <c r="AA34" s="117">
        <v>0.0</v>
      </c>
      <c r="AB34" s="117"/>
      <c r="AC34" s="117">
        <v>3350.0</v>
      </c>
      <c r="AD34" s="117">
        <v>2258.0</v>
      </c>
      <c r="AE34" s="117">
        <v>2023.0</v>
      </c>
      <c r="AF34" s="117">
        <v>656.0</v>
      </c>
      <c r="AG34" s="117">
        <v>6.0</v>
      </c>
    </row>
    <row r="35">
      <c r="A35" s="114">
        <v>46047.0</v>
      </c>
      <c r="B35" s="115">
        <v>0.8</v>
      </c>
      <c r="C35" s="115">
        <v>4.0</v>
      </c>
      <c r="D35" s="115">
        <v>5.0</v>
      </c>
      <c r="E35" s="115">
        <v>0.002620545073375262</v>
      </c>
      <c r="F35" s="115">
        <v>5.0</v>
      </c>
      <c r="G35" s="115">
        <v>1908.0</v>
      </c>
      <c r="H35" s="115">
        <v>15934.0</v>
      </c>
      <c r="I35" s="115">
        <v>109000.0</v>
      </c>
      <c r="J35" s="115">
        <v>545000.0</v>
      </c>
      <c r="K35" s="115">
        <v>5.0</v>
      </c>
      <c r="L35" s="115">
        <v>5.0</v>
      </c>
      <c r="M35" s="115"/>
      <c r="N35" s="115"/>
      <c r="O35" s="115">
        <v>545000.0</v>
      </c>
      <c r="P35" s="115"/>
      <c r="Q35" s="115"/>
      <c r="R35" s="115"/>
      <c r="S35" s="115"/>
      <c r="T35" s="115"/>
      <c r="U35" s="115">
        <v>0.0</v>
      </c>
      <c r="V35" s="115">
        <v>0.0</v>
      </c>
      <c r="W35" s="115">
        <v>408.0</v>
      </c>
      <c r="X35" s="115">
        <v>132.0</v>
      </c>
      <c r="Y35" s="115">
        <v>117.0</v>
      </c>
      <c r="Z35" s="115">
        <v>69.0</v>
      </c>
      <c r="AA35" s="115">
        <v>1.0</v>
      </c>
      <c r="AB35" s="115"/>
      <c r="AC35" s="115">
        <v>3194.0</v>
      </c>
      <c r="AD35" s="115">
        <v>2111.0</v>
      </c>
      <c r="AE35" s="115">
        <v>1827.0</v>
      </c>
      <c r="AF35" s="115">
        <v>666.0</v>
      </c>
      <c r="AG35" s="115">
        <v>4.0</v>
      </c>
    </row>
    <row r="36">
      <c r="A36" s="116">
        <v>46048.0</v>
      </c>
      <c r="B36" s="117">
        <v>1.0</v>
      </c>
      <c r="C36" s="117">
        <v>3.0</v>
      </c>
      <c r="D36" s="117">
        <v>3.0</v>
      </c>
      <c r="E36" s="117">
        <v>0.0013157894736842105</v>
      </c>
      <c r="F36" s="117">
        <v>4.0</v>
      </c>
      <c r="G36" s="117">
        <v>3040.0</v>
      </c>
      <c r="H36" s="117">
        <v>26656.0</v>
      </c>
      <c r="I36" s="117">
        <v>54000.0</v>
      </c>
      <c r="J36" s="117">
        <v>216000.0</v>
      </c>
      <c r="K36" s="117">
        <v>4.0</v>
      </c>
      <c r="L36" s="117">
        <v>4.0</v>
      </c>
      <c r="M36" s="117"/>
      <c r="N36" s="117"/>
      <c r="O36" s="117">
        <v>216000.0</v>
      </c>
      <c r="P36" s="117"/>
      <c r="Q36" s="117"/>
      <c r="R36" s="117"/>
      <c r="S36" s="117"/>
      <c r="T36" s="117"/>
      <c r="U36" s="117">
        <v>0.0</v>
      </c>
      <c r="V36" s="117">
        <v>0.0</v>
      </c>
      <c r="W36" s="117">
        <v>572.0</v>
      </c>
      <c r="X36" s="117">
        <v>165.0</v>
      </c>
      <c r="Y36" s="117">
        <v>152.0</v>
      </c>
      <c r="Z36" s="117">
        <v>87.0</v>
      </c>
      <c r="AA36" s="117">
        <v>0.0</v>
      </c>
      <c r="AB36" s="117"/>
      <c r="AC36" s="117">
        <v>4815.0</v>
      </c>
      <c r="AD36" s="117">
        <v>3446.0</v>
      </c>
      <c r="AE36" s="117">
        <v>3523.0</v>
      </c>
      <c r="AF36" s="117">
        <v>957.0</v>
      </c>
      <c r="AG36" s="117">
        <v>4.0</v>
      </c>
    </row>
    <row r="37">
      <c r="A37" s="114">
        <v>46049.0</v>
      </c>
      <c r="B37" s="115">
        <v>0.5</v>
      </c>
      <c r="C37" s="115">
        <v>2.0</v>
      </c>
      <c r="D37" s="115">
        <v>4.0</v>
      </c>
      <c r="E37" s="115">
        <v>0.001851851851851852</v>
      </c>
      <c r="F37" s="115">
        <v>4.0</v>
      </c>
      <c r="G37" s="115">
        <v>2160.0</v>
      </c>
      <c r="H37" s="115">
        <v>23523.0</v>
      </c>
      <c r="I37" s="115">
        <v>14500.0</v>
      </c>
      <c r="J37" s="115">
        <v>58000.0</v>
      </c>
      <c r="K37" s="115">
        <v>4.0</v>
      </c>
      <c r="L37" s="115">
        <v>4.0</v>
      </c>
      <c r="M37" s="115"/>
      <c r="N37" s="115"/>
      <c r="O37" s="115">
        <v>58000.0</v>
      </c>
      <c r="P37" s="115"/>
      <c r="Q37" s="115"/>
      <c r="R37" s="115"/>
      <c r="S37" s="115"/>
      <c r="T37" s="115"/>
      <c r="U37" s="115">
        <v>0.0</v>
      </c>
      <c r="V37" s="115">
        <v>0.0</v>
      </c>
      <c r="W37" s="115">
        <v>513.0</v>
      </c>
      <c r="X37" s="115">
        <v>146.0</v>
      </c>
      <c r="Y37" s="115">
        <v>132.0</v>
      </c>
      <c r="Z37" s="115">
        <v>82.0</v>
      </c>
      <c r="AA37" s="115">
        <v>1.0</v>
      </c>
      <c r="AB37" s="115"/>
      <c r="AC37" s="115">
        <v>3623.0</v>
      </c>
      <c r="AD37" s="115">
        <v>2253.0</v>
      </c>
      <c r="AE37" s="115">
        <v>2253.0</v>
      </c>
      <c r="AF37" s="115">
        <v>720.0</v>
      </c>
      <c r="AG37" s="115">
        <v>3.0</v>
      </c>
    </row>
    <row r="38">
      <c r="A38" s="116">
        <v>46050.0</v>
      </c>
      <c r="B38" s="117">
        <v>0.25</v>
      </c>
      <c r="C38" s="117">
        <v>1.0</v>
      </c>
      <c r="D38" s="117">
        <v>4.0</v>
      </c>
      <c r="E38" s="117">
        <v>0.001105888858169754</v>
      </c>
      <c r="F38" s="117">
        <v>4.0</v>
      </c>
      <c r="G38" s="117">
        <v>3617.0</v>
      </c>
      <c r="H38" s="117">
        <v>29111.0</v>
      </c>
      <c r="I38" s="117">
        <v>79000.0</v>
      </c>
      <c r="J38" s="117">
        <v>316000.0</v>
      </c>
      <c r="K38" s="117">
        <v>4.0</v>
      </c>
      <c r="L38" s="117">
        <v>4.0</v>
      </c>
      <c r="M38" s="117"/>
      <c r="N38" s="117"/>
      <c r="O38" s="117">
        <v>316000.0</v>
      </c>
      <c r="P38" s="117"/>
      <c r="Q38" s="117"/>
      <c r="R38" s="117"/>
      <c r="S38" s="117"/>
      <c r="T38" s="117"/>
      <c r="U38" s="117">
        <v>0.0</v>
      </c>
      <c r="V38" s="117">
        <v>0.0</v>
      </c>
      <c r="W38" s="117">
        <v>687.0</v>
      </c>
      <c r="X38" s="117">
        <v>194.0</v>
      </c>
      <c r="Y38" s="117">
        <v>166.0</v>
      </c>
      <c r="Z38" s="117">
        <v>107.0</v>
      </c>
      <c r="AA38" s="117">
        <v>1.0</v>
      </c>
      <c r="AB38" s="117"/>
      <c r="AC38" s="117">
        <v>5077.0</v>
      </c>
      <c r="AD38" s="117">
        <v>3366.0</v>
      </c>
      <c r="AE38" s="117">
        <v>3452.0</v>
      </c>
      <c r="AF38" s="117">
        <v>913.0</v>
      </c>
      <c r="AG38" s="117">
        <v>3.0</v>
      </c>
    </row>
    <row r="39">
      <c r="A39" s="114">
        <v>46051.0</v>
      </c>
      <c r="B39" s="115">
        <v>0.5</v>
      </c>
      <c r="C39" s="115">
        <v>3.0</v>
      </c>
      <c r="D39" s="115">
        <v>6.0</v>
      </c>
      <c r="E39" s="115">
        <v>0.002589555459646094</v>
      </c>
      <c r="F39" s="115">
        <v>6.0</v>
      </c>
      <c r="G39" s="115">
        <v>2317.0</v>
      </c>
      <c r="H39" s="115">
        <v>22153.0</v>
      </c>
      <c r="I39" s="115">
        <v>52666.666666666664</v>
      </c>
      <c r="J39" s="115">
        <v>316000.0</v>
      </c>
      <c r="K39" s="115">
        <v>6.0</v>
      </c>
      <c r="L39" s="115">
        <v>6.0</v>
      </c>
      <c r="M39" s="115"/>
      <c r="N39" s="115"/>
      <c r="O39" s="115">
        <v>316000.0</v>
      </c>
      <c r="P39" s="115"/>
      <c r="Q39" s="115"/>
      <c r="R39" s="115"/>
      <c r="S39" s="115"/>
      <c r="T39" s="115"/>
      <c r="U39" s="115">
        <v>0.0</v>
      </c>
      <c r="V39" s="115">
        <v>0.0</v>
      </c>
      <c r="W39" s="115">
        <v>628.0</v>
      </c>
      <c r="X39" s="115">
        <v>176.0</v>
      </c>
      <c r="Y39" s="115">
        <v>162.0</v>
      </c>
      <c r="Z39" s="115">
        <v>93.0</v>
      </c>
      <c r="AA39" s="115">
        <v>2.0</v>
      </c>
      <c r="AB39" s="115"/>
      <c r="AC39" s="115">
        <v>3551.0</v>
      </c>
      <c r="AD39" s="115">
        <v>2229.0</v>
      </c>
      <c r="AE39" s="115">
        <v>2157.0</v>
      </c>
      <c r="AF39" s="115">
        <v>741.0</v>
      </c>
      <c r="AG39" s="115">
        <v>4.0</v>
      </c>
    </row>
    <row r="40">
      <c r="A40" s="116">
        <v>46052.0</v>
      </c>
      <c r="B40" s="117">
        <v>0.6</v>
      </c>
      <c r="C40" s="117">
        <v>3.0</v>
      </c>
      <c r="D40" s="117">
        <v>5.0</v>
      </c>
      <c r="E40" s="117">
        <v>0.0027305825242718447</v>
      </c>
      <c r="F40" s="117">
        <v>9.0</v>
      </c>
      <c r="G40" s="117">
        <v>3296.0</v>
      </c>
      <c r="H40" s="117">
        <v>21859.0</v>
      </c>
      <c r="I40" s="117">
        <v>48000.0</v>
      </c>
      <c r="J40" s="117">
        <v>432000.0</v>
      </c>
      <c r="K40" s="117">
        <v>9.0</v>
      </c>
      <c r="L40" s="117">
        <v>9.0</v>
      </c>
      <c r="M40" s="117"/>
      <c r="N40" s="117"/>
      <c r="O40" s="117">
        <v>432000.0</v>
      </c>
      <c r="P40" s="117"/>
      <c r="Q40" s="117"/>
      <c r="R40" s="117"/>
      <c r="S40" s="117"/>
      <c r="T40" s="117"/>
      <c r="U40" s="117">
        <v>0.0</v>
      </c>
      <c r="V40" s="117">
        <v>0.0</v>
      </c>
      <c r="W40" s="117">
        <v>600.0</v>
      </c>
      <c r="X40" s="117">
        <v>183.0</v>
      </c>
      <c r="Y40" s="117">
        <v>165.0</v>
      </c>
      <c r="Z40" s="117">
        <v>101.0</v>
      </c>
      <c r="AA40" s="117">
        <v>0.0</v>
      </c>
      <c r="AB40" s="117"/>
      <c r="AC40" s="117">
        <v>4698.0</v>
      </c>
      <c r="AD40" s="117">
        <v>2892.0</v>
      </c>
      <c r="AE40" s="117">
        <v>3133.0</v>
      </c>
      <c r="AF40" s="117">
        <v>797.0</v>
      </c>
      <c r="AG40" s="117">
        <v>9.0</v>
      </c>
    </row>
    <row r="41">
      <c r="A41" s="114">
        <v>46053.0</v>
      </c>
      <c r="B41" s="115"/>
      <c r="C41" s="115">
        <v>0.0</v>
      </c>
      <c r="D41" s="115">
        <v>0.0</v>
      </c>
      <c r="E41" s="115">
        <v>4.768717215069146E-4</v>
      </c>
      <c r="F41" s="115">
        <v>1.0</v>
      </c>
      <c r="G41" s="115">
        <v>2097.0</v>
      </c>
      <c r="H41" s="115">
        <v>15882.0</v>
      </c>
      <c r="I41" s="115">
        <v>29000.0</v>
      </c>
      <c r="J41" s="115">
        <v>29000.0</v>
      </c>
      <c r="K41" s="115">
        <v>1.0</v>
      </c>
      <c r="L41" s="115">
        <v>1.0</v>
      </c>
      <c r="M41" s="115"/>
      <c r="N41" s="115"/>
      <c r="O41" s="115">
        <v>29000.0</v>
      </c>
      <c r="P41" s="115"/>
      <c r="Q41" s="115"/>
      <c r="R41" s="115"/>
      <c r="S41" s="115"/>
      <c r="T41" s="115"/>
      <c r="U41" s="115">
        <v>0.0</v>
      </c>
      <c r="V41" s="115">
        <v>0.0</v>
      </c>
      <c r="W41" s="115">
        <v>495.0</v>
      </c>
      <c r="X41" s="115">
        <v>154.0</v>
      </c>
      <c r="Y41" s="115">
        <v>146.0</v>
      </c>
      <c r="Z41" s="115">
        <v>88.0</v>
      </c>
      <c r="AA41" s="115">
        <v>0.0</v>
      </c>
      <c r="AB41" s="115"/>
      <c r="AC41" s="115">
        <v>3400.0</v>
      </c>
      <c r="AD41" s="115">
        <v>1975.0</v>
      </c>
      <c r="AE41" s="115">
        <v>1951.0</v>
      </c>
      <c r="AF41" s="115">
        <v>620.0</v>
      </c>
      <c r="AG41" s="115">
        <v>1.0</v>
      </c>
    </row>
    <row r="42">
      <c r="A42" s="116">
        <v>46054.0</v>
      </c>
      <c r="B42" s="117">
        <v>1.0</v>
      </c>
      <c r="C42" s="117">
        <v>1.0</v>
      </c>
      <c r="D42" s="117">
        <v>1.0</v>
      </c>
      <c r="E42" s="117">
        <v>0.0021019442984760903</v>
      </c>
      <c r="F42" s="117">
        <v>4.0</v>
      </c>
      <c r="G42" s="117">
        <v>1903.0</v>
      </c>
      <c r="H42" s="117">
        <v>14503.0</v>
      </c>
      <c r="I42" s="117">
        <v>79000.0</v>
      </c>
      <c r="J42" s="117">
        <v>316000.0</v>
      </c>
      <c r="K42" s="117">
        <v>4.0</v>
      </c>
      <c r="L42" s="117">
        <v>4.0</v>
      </c>
      <c r="M42" s="117"/>
      <c r="N42" s="117"/>
      <c r="O42" s="117">
        <v>316000.0</v>
      </c>
      <c r="P42" s="117"/>
      <c r="Q42" s="117"/>
      <c r="R42" s="117"/>
      <c r="S42" s="117"/>
      <c r="T42" s="117"/>
      <c r="U42" s="117">
        <v>0.0</v>
      </c>
      <c r="V42" s="117">
        <v>0.0</v>
      </c>
      <c r="W42" s="117">
        <v>690.0</v>
      </c>
      <c r="X42" s="117">
        <v>166.0</v>
      </c>
      <c r="Y42" s="117">
        <v>155.0</v>
      </c>
      <c r="Z42" s="117">
        <v>79.0</v>
      </c>
      <c r="AA42" s="117">
        <v>0.0</v>
      </c>
      <c r="AB42" s="117"/>
      <c r="AC42" s="117">
        <v>3151.0</v>
      </c>
      <c r="AD42" s="117">
        <v>1830.0</v>
      </c>
      <c r="AE42" s="117">
        <v>1748.0</v>
      </c>
      <c r="AF42" s="117">
        <v>588.0</v>
      </c>
      <c r="AG42" s="117">
        <v>4.0</v>
      </c>
    </row>
    <row r="43">
      <c r="A43" s="114">
        <v>46055.0</v>
      </c>
      <c r="B43" s="115">
        <v>0.6666666666666666</v>
      </c>
      <c r="C43" s="115">
        <v>4.0</v>
      </c>
      <c r="D43" s="115">
        <v>6.0</v>
      </c>
      <c r="E43" s="115">
        <v>0.0023619722468261</v>
      </c>
      <c r="F43" s="115">
        <v>8.0</v>
      </c>
      <c r="G43" s="115">
        <v>3387.0</v>
      </c>
      <c r="H43" s="115">
        <v>22506.0</v>
      </c>
      <c r="I43" s="115">
        <v>75375.0</v>
      </c>
      <c r="J43" s="115">
        <v>603000.0</v>
      </c>
      <c r="K43" s="115">
        <v>8.0</v>
      </c>
      <c r="L43" s="115">
        <v>8.0</v>
      </c>
      <c r="M43" s="115"/>
      <c r="N43" s="115"/>
      <c r="O43" s="115">
        <v>603000.0</v>
      </c>
      <c r="P43" s="115"/>
      <c r="Q43" s="115"/>
      <c r="R43" s="115"/>
      <c r="S43" s="115"/>
      <c r="T43" s="115"/>
      <c r="U43" s="115">
        <v>0.0</v>
      </c>
      <c r="V43" s="115">
        <v>0.0</v>
      </c>
      <c r="W43" s="115">
        <v>519.0</v>
      </c>
      <c r="X43" s="115">
        <v>161.0</v>
      </c>
      <c r="Y43" s="115">
        <v>148.0</v>
      </c>
      <c r="Z43" s="115">
        <v>90.0</v>
      </c>
      <c r="AA43" s="115">
        <v>0.0</v>
      </c>
      <c r="AB43" s="115"/>
      <c r="AC43" s="115">
        <v>4925.0</v>
      </c>
      <c r="AD43" s="115">
        <v>2963.0</v>
      </c>
      <c r="AE43" s="115">
        <v>3240.0</v>
      </c>
      <c r="AF43" s="115">
        <v>897.0</v>
      </c>
      <c r="AG43" s="115">
        <v>8.0</v>
      </c>
    </row>
    <row r="44">
      <c r="A44" s="116">
        <v>46056.0</v>
      </c>
      <c r="B44" s="117">
        <v>1.0</v>
      </c>
      <c r="C44" s="117">
        <v>3.0</v>
      </c>
      <c r="D44" s="117">
        <v>3.0</v>
      </c>
      <c r="E44" s="117">
        <v>0.0040650406504065045</v>
      </c>
      <c r="F44" s="117">
        <v>8.0</v>
      </c>
      <c r="G44" s="117">
        <v>1968.0</v>
      </c>
      <c r="H44" s="117">
        <v>23996.0</v>
      </c>
      <c r="I44" s="117">
        <v>46750.0</v>
      </c>
      <c r="J44" s="117">
        <v>374000.0</v>
      </c>
      <c r="K44" s="117">
        <v>8.0</v>
      </c>
      <c r="L44" s="117">
        <v>8.0</v>
      </c>
      <c r="M44" s="117"/>
      <c r="N44" s="117"/>
      <c r="O44" s="117">
        <v>374000.0</v>
      </c>
      <c r="P44" s="117"/>
      <c r="Q44" s="117"/>
      <c r="R44" s="117"/>
      <c r="S44" s="117"/>
      <c r="T44" s="117"/>
      <c r="U44" s="117">
        <v>0.0</v>
      </c>
      <c r="V44" s="117">
        <v>0.0</v>
      </c>
      <c r="W44" s="117">
        <v>638.0</v>
      </c>
      <c r="X44" s="117">
        <v>154.0</v>
      </c>
      <c r="Y44" s="117">
        <v>136.0</v>
      </c>
      <c r="Z44" s="117">
        <v>89.0</v>
      </c>
      <c r="AA44" s="117">
        <v>0.0</v>
      </c>
      <c r="AB44" s="117"/>
      <c r="AC44" s="117">
        <v>3301.0</v>
      </c>
      <c r="AD44" s="117">
        <v>2180.0</v>
      </c>
      <c r="AE44" s="117">
        <v>2191.0</v>
      </c>
      <c r="AF44" s="117">
        <v>651.0</v>
      </c>
      <c r="AG44" s="117">
        <v>8.0</v>
      </c>
    </row>
    <row r="45">
      <c r="A45" s="114">
        <v>46057.0</v>
      </c>
      <c r="B45" s="115">
        <v>0.75</v>
      </c>
      <c r="C45" s="115">
        <v>3.0</v>
      </c>
      <c r="D45" s="115">
        <v>4.0</v>
      </c>
      <c r="E45" s="115">
        <v>0.001816860465116279</v>
      </c>
      <c r="F45" s="115">
        <v>5.0</v>
      </c>
      <c r="G45" s="115">
        <v>2752.0</v>
      </c>
      <c r="H45" s="115">
        <v>16768.0</v>
      </c>
      <c r="I45" s="115">
        <v>89000.0</v>
      </c>
      <c r="J45" s="115">
        <v>445000.0</v>
      </c>
      <c r="K45" s="115">
        <v>5.0</v>
      </c>
      <c r="L45" s="115">
        <v>5.0</v>
      </c>
      <c r="M45" s="115"/>
      <c r="N45" s="115"/>
      <c r="O45" s="115">
        <v>445000.0</v>
      </c>
      <c r="P45" s="115"/>
      <c r="Q45" s="115"/>
      <c r="R45" s="115"/>
      <c r="S45" s="115"/>
      <c r="T45" s="115"/>
      <c r="U45" s="115">
        <v>0.0</v>
      </c>
      <c r="V45" s="115">
        <v>0.0</v>
      </c>
      <c r="W45" s="115">
        <v>568.0</v>
      </c>
      <c r="X45" s="115">
        <v>136.0</v>
      </c>
      <c r="Y45" s="115">
        <v>127.0</v>
      </c>
      <c r="Z45" s="115">
        <v>75.0</v>
      </c>
      <c r="AA45" s="115">
        <v>0.0</v>
      </c>
      <c r="AB45" s="115"/>
      <c r="AC45" s="115">
        <v>4104.0</v>
      </c>
      <c r="AD45" s="115">
        <v>3152.0</v>
      </c>
      <c r="AE45" s="115">
        <v>3202.0</v>
      </c>
      <c r="AF45" s="115">
        <v>989.0</v>
      </c>
      <c r="AG45" s="115">
        <v>5.0</v>
      </c>
    </row>
    <row r="46">
      <c r="A46" s="116">
        <v>46058.0</v>
      </c>
      <c r="B46" s="117">
        <v>0.8</v>
      </c>
      <c r="C46" s="117">
        <v>4.0</v>
      </c>
      <c r="D46" s="117">
        <v>5.0</v>
      </c>
      <c r="E46" s="117">
        <v>0.0046130189646335215</v>
      </c>
      <c r="F46" s="117">
        <v>9.0</v>
      </c>
      <c r="G46" s="117">
        <v>1951.0</v>
      </c>
      <c r="H46" s="117">
        <v>13258.0</v>
      </c>
      <c r="I46" s="117">
        <v>59111.11111111111</v>
      </c>
      <c r="J46" s="117">
        <v>532000.0</v>
      </c>
      <c r="K46" s="117">
        <v>9.0</v>
      </c>
      <c r="L46" s="117">
        <v>9.0</v>
      </c>
      <c r="M46" s="117"/>
      <c r="N46" s="117"/>
      <c r="O46" s="117">
        <v>532000.0</v>
      </c>
      <c r="P46" s="117"/>
      <c r="Q46" s="117"/>
      <c r="R46" s="117"/>
      <c r="S46" s="117"/>
      <c r="T46" s="117"/>
      <c r="U46" s="117">
        <v>0.0</v>
      </c>
      <c r="V46" s="117">
        <v>0.0</v>
      </c>
      <c r="W46" s="117">
        <v>614.0</v>
      </c>
      <c r="X46" s="117">
        <v>159.0</v>
      </c>
      <c r="Y46" s="117">
        <v>145.0</v>
      </c>
      <c r="Z46" s="117">
        <v>87.0</v>
      </c>
      <c r="AA46" s="117">
        <v>1.0</v>
      </c>
      <c r="AB46" s="117"/>
      <c r="AC46" s="117">
        <v>3097.0</v>
      </c>
      <c r="AD46" s="117">
        <v>2183.0</v>
      </c>
      <c r="AE46" s="117">
        <v>2035.0</v>
      </c>
      <c r="AF46" s="117">
        <v>768.0</v>
      </c>
      <c r="AG46" s="117">
        <v>8.0</v>
      </c>
    </row>
    <row r="47">
      <c r="A47" s="114">
        <v>46059.0</v>
      </c>
      <c r="B47" s="115">
        <v>0.8333333333333334</v>
      </c>
      <c r="C47" s="115">
        <v>5.0</v>
      </c>
      <c r="D47" s="115">
        <v>6.0</v>
      </c>
      <c r="E47" s="115">
        <v>0.002259036144578313</v>
      </c>
      <c r="F47" s="115">
        <v>6.0</v>
      </c>
      <c r="G47" s="115">
        <v>2656.0</v>
      </c>
      <c r="H47" s="115">
        <v>15394.0</v>
      </c>
      <c r="I47" s="115">
        <v>95666.66666666667</v>
      </c>
      <c r="J47" s="115">
        <v>574000.0</v>
      </c>
      <c r="K47" s="115">
        <v>6.0</v>
      </c>
      <c r="L47" s="115">
        <v>6.0</v>
      </c>
      <c r="M47" s="115"/>
      <c r="N47" s="115"/>
      <c r="O47" s="115">
        <v>574000.0</v>
      </c>
      <c r="P47" s="115"/>
      <c r="Q47" s="115"/>
      <c r="R47" s="115"/>
      <c r="S47" s="115"/>
      <c r="T47" s="115"/>
      <c r="U47" s="115">
        <v>0.0</v>
      </c>
      <c r="V47" s="115">
        <v>0.0</v>
      </c>
      <c r="W47" s="115">
        <v>402.0</v>
      </c>
      <c r="X47" s="115">
        <v>117.0</v>
      </c>
      <c r="Y47" s="115">
        <v>110.0</v>
      </c>
      <c r="Z47" s="115">
        <v>58.0</v>
      </c>
      <c r="AA47" s="115">
        <v>1.0</v>
      </c>
      <c r="AB47" s="115"/>
      <c r="AC47" s="115">
        <v>3952.0</v>
      </c>
      <c r="AD47" s="115">
        <v>3123.0</v>
      </c>
      <c r="AE47" s="115">
        <v>3024.0</v>
      </c>
      <c r="AF47" s="115">
        <v>836.0</v>
      </c>
      <c r="AG47" s="115">
        <v>5.0</v>
      </c>
    </row>
    <row r="48">
      <c r="A48" s="116">
        <v>46060.0</v>
      </c>
      <c r="B48" s="117">
        <v>0.6</v>
      </c>
      <c r="C48" s="117">
        <v>3.0</v>
      </c>
      <c r="D48" s="117">
        <v>5.0</v>
      </c>
      <c r="E48" s="117">
        <v>0.003500583430571762</v>
      </c>
      <c r="F48" s="117">
        <v>6.0</v>
      </c>
      <c r="G48" s="117">
        <v>1714.0</v>
      </c>
      <c r="H48" s="117">
        <v>11289.0</v>
      </c>
      <c r="I48" s="117">
        <v>112333.33333333333</v>
      </c>
      <c r="J48" s="117">
        <v>674000.0</v>
      </c>
      <c r="K48" s="117">
        <v>6.0</v>
      </c>
      <c r="L48" s="117">
        <v>6.0</v>
      </c>
      <c r="M48" s="117"/>
      <c r="N48" s="117"/>
      <c r="O48" s="117">
        <v>674000.0</v>
      </c>
      <c r="P48" s="117"/>
      <c r="Q48" s="117"/>
      <c r="R48" s="117"/>
      <c r="S48" s="117"/>
      <c r="T48" s="117"/>
      <c r="U48" s="117">
        <v>0.0</v>
      </c>
      <c r="V48" s="117">
        <v>0.0</v>
      </c>
      <c r="W48" s="117">
        <v>556.0</v>
      </c>
      <c r="X48" s="117">
        <v>134.0</v>
      </c>
      <c r="Y48" s="117">
        <v>121.0</v>
      </c>
      <c r="Z48" s="117">
        <v>79.0</v>
      </c>
      <c r="AA48" s="117">
        <v>0.0</v>
      </c>
      <c r="AB48" s="117"/>
      <c r="AC48" s="117">
        <v>2871.0</v>
      </c>
      <c r="AD48" s="117">
        <v>1960.0</v>
      </c>
      <c r="AE48" s="117">
        <v>1856.0</v>
      </c>
      <c r="AF48" s="117">
        <v>620.0</v>
      </c>
      <c r="AG48" s="117">
        <v>6.0</v>
      </c>
    </row>
    <row r="49">
      <c r="A49" s="114">
        <v>46061.0</v>
      </c>
      <c r="B49" s="115">
        <v>0.875</v>
      </c>
      <c r="C49" s="115">
        <v>7.0</v>
      </c>
      <c r="D49" s="115">
        <v>8.0</v>
      </c>
      <c r="E49" s="115">
        <v>0.006658595641646489</v>
      </c>
      <c r="F49" s="115">
        <v>11.0</v>
      </c>
      <c r="G49" s="115">
        <v>1652.0</v>
      </c>
      <c r="H49" s="115">
        <v>11816.0</v>
      </c>
      <c r="I49" s="115">
        <v>78272.72727272728</v>
      </c>
      <c r="J49" s="115">
        <v>861000.0</v>
      </c>
      <c r="K49" s="115">
        <v>11.0</v>
      </c>
      <c r="L49" s="115">
        <v>11.0</v>
      </c>
      <c r="M49" s="115"/>
      <c r="N49" s="115"/>
      <c r="O49" s="115">
        <v>861000.0</v>
      </c>
      <c r="P49" s="115"/>
      <c r="Q49" s="115"/>
      <c r="R49" s="115"/>
      <c r="S49" s="115"/>
      <c r="T49" s="115"/>
      <c r="U49" s="115">
        <v>0.0</v>
      </c>
      <c r="V49" s="115">
        <v>0.0</v>
      </c>
      <c r="W49" s="115">
        <v>810.0</v>
      </c>
      <c r="X49" s="115">
        <v>210.0</v>
      </c>
      <c r="Y49" s="115">
        <v>188.0</v>
      </c>
      <c r="Z49" s="115">
        <v>104.0</v>
      </c>
      <c r="AA49" s="115">
        <v>2.0</v>
      </c>
      <c r="AB49" s="115"/>
      <c r="AC49" s="115">
        <v>2833.0</v>
      </c>
      <c r="AD49" s="115">
        <v>1814.0</v>
      </c>
      <c r="AE49" s="115">
        <v>1671.0</v>
      </c>
      <c r="AF49" s="115">
        <v>610.0</v>
      </c>
      <c r="AG49" s="115">
        <v>9.0</v>
      </c>
    </row>
    <row r="50">
      <c r="A50" s="116">
        <v>46062.0</v>
      </c>
      <c r="B50" s="117">
        <v>0.5</v>
      </c>
      <c r="C50" s="117">
        <v>2.0</v>
      </c>
      <c r="D50" s="117">
        <v>4.0</v>
      </c>
      <c r="E50" s="117">
        <v>0.001718213058419244</v>
      </c>
      <c r="F50" s="117">
        <v>5.0</v>
      </c>
      <c r="G50" s="117">
        <v>2910.0</v>
      </c>
      <c r="H50" s="117">
        <v>17432.0</v>
      </c>
      <c r="I50" s="117">
        <v>49000.0</v>
      </c>
      <c r="J50" s="117">
        <v>245000.0</v>
      </c>
      <c r="K50" s="117">
        <v>5.0</v>
      </c>
      <c r="L50" s="117">
        <v>5.0</v>
      </c>
      <c r="M50" s="117"/>
      <c r="N50" s="117"/>
      <c r="O50" s="117">
        <v>245000.0</v>
      </c>
      <c r="P50" s="117"/>
      <c r="Q50" s="117"/>
      <c r="R50" s="117"/>
      <c r="S50" s="117"/>
      <c r="T50" s="117"/>
      <c r="U50" s="117">
        <v>0.0</v>
      </c>
      <c r="V50" s="117">
        <v>0.0</v>
      </c>
      <c r="W50" s="117">
        <v>714.0</v>
      </c>
      <c r="X50" s="117">
        <v>178.0</v>
      </c>
      <c r="Y50" s="117">
        <v>162.0</v>
      </c>
      <c r="Z50" s="117">
        <v>101.0</v>
      </c>
      <c r="AA50" s="117">
        <v>0.0</v>
      </c>
      <c r="AB50" s="117"/>
      <c r="AC50" s="117">
        <v>4352.0</v>
      </c>
      <c r="AD50" s="117">
        <v>3346.0</v>
      </c>
      <c r="AE50" s="117">
        <v>3191.0</v>
      </c>
      <c r="AF50" s="117">
        <v>912.0</v>
      </c>
      <c r="AG50" s="117">
        <v>5.0</v>
      </c>
    </row>
    <row r="51">
      <c r="A51" s="114">
        <v>46063.0</v>
      </c>
      <c r="B51" s="115">
        <v>1.0</v>
      </c>
      <c r="C51" s="115">
        <v>1.0</v>
      </c>
      <c r="D51" s="115">
        <v>1.0</v>
      </c>
      <c r="E51" s="115">
        <v>5.205622071837585E-4</v>
      </c>
      <c r="F51" s="115">
        <v>1.0</v>
      </c>
      <c r="G51" s="115">
        <v>1921.0</v>
      </c>
      <c r="H51" s="115">
        <v>13037.0</v>
      </c>
      <c r="I51" s="115">
        <v>129000.0</v>
      </c>
      <c r="J51" s="115">
        <v>129000.0</v>
      </c>
      <c r="K51" s="115">
        <v>1.0</v>
      </c>
      <c r="L51" s="115">
        <v>1.0</v>
      </c>
      <c r="M51" s="115"/>
      <c r="N51" s="115"/>
      <c r="O51" s="115">
        <v>129000.0</v>
      </c>
      <c r="P51" s="115"/>
      <c r="Q51" s="115"/>
      <c r="R51" s="115"/>
      <c r="S51" s="115"/>
      <c r="T51" s="115"/>
      <c r="U51" s="115">
        <v>0.0</v>
      </c>
      <c r="V51" s="115">
        <v>0.0</v>
      </c>
      <c r="W51" s="115">
        <v>595.0</v>
      </c>
      <c r="X51" s="115">
        <v>123.0</v>
      </c>
      <c r="Y51" s="115">
        <v>114.0</v>
      </c>
      <c r="Z51" s="115">
        <v>51.0</v>
      </c>
      <c r="AA51" s="115">
        <v>0.0</v>
      </c>
      <c r="AB51" s="115"/>
      <c r="AC51" s="115">
        <v>3150.0</v>
      </c>
      <c r="AD51" s="115">
        <v>2212.0</v>
      </c>
      <c r="AE51" s="115">
        <v>2026.0</v>
      </c>
      <c r="AF51" s="115">
        <v>703.0</v>
      </c>
      <c r="AG51" s="115">
        <v>1.0</v>
      </c>
    </row>
    <row r="52">
      <c r="A52" s="116">
        <v>46064.0</v>
      </c>
      <c r="B52" s="117">
        <v>0.75</v>
      </c>
      <c r="C52" s="117">
        <v>3.0</v>
      </c>
      <c r="D52" s="117">
        <v>4.0</v>
      </c>
      <c r="E52" s="117">
        <v>0.001832172957127153</v>
      </c>
      <c r="F52" s="117">
        <v>5.0</v>
      </c>
      <c r="G52" s="117">
        <v>2729.0</v>
      </c>
      <c r="H52" s="117">
        <v>16350.0</v>
      </c>
      <c r="I52" s="117">
        <v>69000.0</v>
      </c>
      <c r="J52" s="117">
        <v>345000.0</v>
      </c>
      <c r="K52" s="117">
        <v>5.0</v>
      </c>
      <c r="L52" s="117">
        <v>5.0</v>
      </c>
      <c r="M52" s="117"/>
      <c r="N52" s="117"/>
      <c r="O52" s="117">
        <v>345000.0</v>
      </c>
      <c r="P52" s="117"/>
      <c r="Q52" s="117"/>
      <c r="R52" s="117"/>
      <c r="S52" s="117"/>
      <c r="T52" s="117"/>
      <c r="U52" s="117">
        <v>0.0</v>
      </c>
      <c r="V52" s="117">
        <v>0.0</v>
      </c>
      <c r="W52" s="117">
        <v>707.0</v>
      </c>
      <c r="X52" s="117">
        <v>192.0</v>
      </c>
      <c r="Y52" s="117">
        <v>180.0</v>
      </c>
      <c r="Z52" s="117">
        <v>106.0</v>
      </c>
      <c r="AA52" s="117">
        <v>0.0</v>
      </c>
      <c r="AB52" s="117"/>
      <c r="AC52" s="117">
        <v>4055.0</v>
      </c>
      <c r="AD52" s="117">
        <v>3101.0</v>
      </c>
      <c r="AE52" s="117">
        <v>2898.0</v>
      </c>
      <c r="AF52" s="117">
        <v>799.0</v>
      </c>
      <c r="AG52" s="117">
        <v>5.0</v>
      </c>
    </row>
    <row r="53">
      <c r="A53" s="114">
        <v>46065.0</v>
      </c>
      <c r="B53" s="115">
        <v>0.5</v>
      </c>
      <c r="C53" s="115">
        <v>1.0</v>
      </c>
      <c r="D53" s="115">
        <v>2.0</v>
      </c>
      <c r="E53" s="115">
        <v>0.0034602076124567475</v>
      </c>
      <c r="F53" s="115">
        <v>6.0</v>
      </c>
      <c r="G53" s="115">
        <v>1734.0</v>
      </c>
      <c r="H53" s="115">
        <v>11237.0</v>
      </c>
      <c r="I53" s="115">
        <v>45666.666666666664</v>
      </c>
      <c r="J53" s="115">
        <v>274000.0</v>
      </c>
      <c r="K53" s="115">
        <v>6.0</v>
      </c>
      <c r="L53" s="115">
        <v>6.0</v>
      </c>
      <c r="M53" s="115"/>
      <c r="N53" s="115"/>
      <c r="O53" s="115">
        <v>274000.0</v>
      </c>
      <c r="P53" s="115"/>
      <c r="Q53" s="115"/>
      <c r="R53" s="115"/>
      <c r="S53" s="115"/>
      <c r="T53" s="115"/>
      <c r="U53" s="115">
        <v>0.0</v>
      </c>
      <c r="V53" s="115">
        <v>0.0</v>
      </c>
      <c r="W53" s="115">
        <v>404.0</v>
      </c>
      <c r="X53" s="115">
        <v>112.0</v>
      </c>
      <c r="Y53" s="115">
        <v>101.0</v>
      </c>
      <c r="Z53" s="115">
        <v>63.0</v>
      </c>
      <c r="AA53" s="115">
        <v>0.0</v>
      </c>
      <c r="AB53" s="115"/>
      <c r="AC53" s="115">
        <v>2944.0</v>
      </c>
      <c r="AD53" s="115">
        <v>2031.0</v>
      </c>
      <c r="AE53" s="115">
        <v>1805.0</v>
      </c>
      <c r="AF53" s="115">
        <v>561.0</v>
      </c>
      <c r="AG53" s="115">
        <v>6.0</v>
      </c>
    </row>
    <row r="54">
      <c r="A54" s="116">
        <v>46066.0</v>
      </c>
      <c r="B54" s="117">
        <v>0.75</v>
      </c>
      <c r="C54" s="117">
        <v>3.0</v>
      </c>
      <c r="D54" s="117">
        <v>4.0</v>
      </c>
      <c r="E54" s="117">
        <v>0.0027752081406105457</v>
      </c>
      <c r="F54" s="117">
        <v>6.0</v>
      </c>
      <c r="G54" s="117">
        <v>2162.0</v>
      </c>
      <c r="H54" s="117">
        <v>12935.0</v>
      </c>
      <c r="I54" s="117">
        <v>40833.333333333336</v>
      </c>
      <c r="J54" s="117">
        <v>245000.0</v>
      </c>
      <c r="K54" s="117">
        <v>6.0</v>
      </c>
      <c r="L54" s="117">
        <v>6.0</v>
      </c>
      <c r="M54" s="117"/>
      <c r="N54" s="117"/>
      <c r="O54" s="117">
        <v>245000.0</v>
      </c>
      <c r="P54" s="117"/>
      <c r="Q54" s="117"/>
      <c r="R54" s="117"/>
      <c r="S54" s="117"/>
      <c r="T54" s="117"/>
      <c r="U54" s="117">
        <v>0.0</v>
      </c>
      <c r="V54" s="117">
        <v>0.0</v>
      </c>
      <c r="W54" s="117">
        <v>296.0</v>
      </c>
      <c r="X54" s="117">
        <v>77.0</v>
      </c>
      <c r="Y54" s="117">
        <v>74.0</v>
      </c>
      <c r="Z54" s="117">
        <v>50.0</v>
      </c>
      <c r="AA54" s="117">
        <v>1.0</v>
      </c>
      <c r="AB54" s="117"/>
      <c r="AC54" s="117">
        <v>3464.0</v>
      </c>
      <c r="AD54" s="117">
        <v>2584.0</v>
      </c>
      <c r="AE54" s="117">
        <v>2728.0</v>
      </c>
      <c r="AF54" s="117">
        <v>649.0</v>
      </c>
      <c r="AG54" s="117">
        <v>5.0</v>
      </c>
    </row>
    <row r="55">
      <c r="A55" s="114">
        <v>46067.0</v>
      </c>
      <c r="B55" s="115">
        <v>0.6666666666666666</v>
      </c>
      <c r="C55" s="115">
        <v>2.0</v>
      </c>
      <c r="D55" s="115">
        <v>3.0</v>
      </c>
      <c r="E55" s="115">
        <v>0.0030349013657056147</v>
      </c>
      <c r="F55" s="115">
        <v>4.0</v>
      </c>
      <c r="G55" s="115">
        <v>1318.0</v>
      </c>
      <c r="H55" s="115">
        <v>8955.0</v>
      </c>
      <c r="I55" s="115">
        <v>79000.0</v>
      </c>
      <c r="J55" s="115">
        <v>316000.0</v>
      </c>
      <c r="K55" s="115">
        <v>4.0</v>
      </c>
      <c r="L55" s="115">
        <v>4.0</v>
      </c>
      <c r="M55" s="115"/>
      <c r="N55" s="115"/>
      <c r="O55" s="115">
        <v>316000.0</v>
      </c>
      <c r="P55" s="115"/>
      <c r="Q55" s="115"/>
      <c r="R55" s="115"/>
      <c r="S55" s="115"/>
      <c r="T55" s="115"/>
      <c r="U55" s="115">
        <v>0.0</v>
      </c>
      <c r="V55" s="115">
        <v>0.0</v>
      </c>
      <c r="W55" s="115">
        <v>241.0</v>
      </c>
      <c r="X55" s="115">
        <v>73.0</v>
      </c>
      <c r="Y55" s="115">
        <v>69.0</v>
      </c>
      <c r="Z55" s="115">
        <v>40.0</v>
      </c>
      <c r="AA55" s="115">
        <v>0.0</v>
      </c>
      <c r="AB55" s="115"/>
      <c r="AC55" s="115">
        <v>2513.0</v>
      </c>
      <c r="AD55" s="115">
        <v>1552.0</v>
      </c>
      <c r="AE55" s="115">
        <v>1648.0</v>
      </c>
      <c r="AF55" s="115">
        <v>467.0</v>
      </c>
      <c r="AG55" s="115">
        <v>4.0</v>
      </c>
    </row>
    <row r="56">
      <c r="A56" s="116">
        <v>46068.0</v>
      </c>
      <c r="B56" s="117">
        <v>0.0</v>
      </c>
      <c r="C56" s="117">
        <v>0.0</v>
      </c>
      <c r="D56" s="117">
        <v>2.0</v>
      </c>
      <c r="E56" s="117">
        <v>0.0017809439002671415</v>
      </c>
      <c r="F56" s="117">
        <v>2.0</v>
      </c>
      <c r="G56" s="117">
        <v>1123.0</v>
      </c>
      <c r="H56" s="117">
        <v>8124.0</v>
      </c>
      <c r="I56" s="117">
        <v>79000.0</v>
      </c>
      <c r="J56" s="117">
        <v>158000.0</v>
      </c>
      <c r="K56" s="117">
        <v>2.0</v>
      </c>
      <c r="L56" s="117">
        <v>2.0</v>
      </c>
      <c r="M56" s="117"/>
      <c r="N56" s="117"/>
      <c r="O56" s="117">
        <v>158000.0</v>
      </c>
      <c r="P56" s="117"/>
      <c r="Q56" s="117"/>
      <c r="R56" s="117"/>
      <c r="S56" s="117"/>
      <c r="T56" s="117"/>
      <c r="U56" s="117">
        <v>0.0</v>
      </c>
      <c r="V56" s="117">
        <v>0.0</v>
      </c>
      <c r="W56" s="117">
        <v>231.0</v>
      </c>
      <c r="X56" s="117">
        <v>73.0</v>
      </c>
      <c r="Y56" s="117">
        <v>65.0</v>
      </c>
      <c r="Z56" s="117">
        <v>54.0</v>
      </c>
      <c r="AA56" s="117">
        <v>1.0</v>
      </c>
      <c r="AB56" s="117"/>
      <c r="AC56" s="117">
        <v>2271.0</v>
      </c>
      <c r="AD56" s="117">
        <v>1363.0</v>
      </c>
      <c r="AE56" s="117">
        <v>1370.0</v>
      </c>
      <c r="AF56" s="117">
        <v>380.0</v>
      </c>
      <c r="AG56" s="117">
        <v>1.0</v>
      </c>
    </row>
    <row r="57">
      <c r="A57" s="114">
        <v>46069.0</v>
      </c>
      <c r="B57" s="115">
        <v>0.6666666666666666</v>
      </c>
      <c r="C57" s="115">
        <v>2.0</v>
      </c>
      <c r="D57" s="115">
        <v>3.0</v>
      </c>
      <c r="E57" s="115">
        <v>0.0014822134387351778</v>
      </c>
      <c r="F57" s="115">
        <v>3.0</v>
      </c>
      <c r="G57" s="115">
        <v>2024.0</v>
      </c>
      <c r="H57" s="115">
        <v>10485.0</v>
      </c>
      <c r="I57" s="115">
        <v>129000.0</v>
      </c>
      <c r="J57" s="115">
        <v>387000.0</v>
      </c>
      <c r="K57" s="115">
        <v>3.0</v>
      </c>
      <c r="L57" s="115">
        <v>3.0</v>
      </c>
      <c r="M57" s="115"/>
      <c r="N57" s="115"/>
      <c r="O57" s="115">
        <v>387000.0</v>
      </c>
      <c r="P57" s="115"/>
      <c r="Q57" s="115"/>
      <c r="R57" s="115"/>
      <c r="S57" s="115"/>
      <c r="T57" s="115"/>
      <c r="U57" s="115">
        <v>0.0</v>
      </c>
      <c r="V57" s="115">
        <v>0.0</v>
      </c>
      <c r="W57" s="115">
        <v>226.0</v>
      </c>
      <c r="X57" s="115">
        <v>59.0</v>
      </c>
      <c r="Y57" s="115">
        <v>51.0</v>
      </c>
      <c r="Z57" s="115">
        <v>33.0</v>
      </c>
      <c r="AA57" s="115">
        <v>1.0</v>
      </c>
      <c r="AB57" s="115"/>
      <c r="AC57" s="115">
        <v>3328.0</v>
      </c>
      <c r="AD57" s="115">
        <v>2524.0</v>
      </c>
      <c r="AE57" s="115">
        <v>2667.0</v>
      </c>
      <c r="AF57" s="115">
        <v>565.0</v>
      </c>
      <c r="AG57" s="115">
        <v>2.0</v>
      </c>
    </row>
    <row r="58">
      <c r="A58" s="116">
        <v>46070.0</v>
      </c>
      <c r="B58" s="117">
        <v>0.5</v>
      </c>
      <c r="C58" s="117">
        <v>1.0</v>
      </c>
      <c r="D58" s="117">
        <v>2.0</v>
      </c>
      <c r="E58" s="117">
        <v>0.0015384615384615385</v>
      </c>
      <c r="F58" s="117">
        <v>2.0</v>
      </c>
      <c r="G58" s="117">
        <v>1300.0</v>
      </c>
      <c r="H58" s="117">
        <v>7643.0</v>
      </c>
      <c r="I58" s="117">
        <v>129000.0</v>
      </c>
      <c r="J58" s="117">
        <v>258000.0</v>
      </c>
      <c r="K58" s="117">
        <v>2.0</v>
      </c>
      <c r="L58" s="117">
        <v>2.0</v>
      </c>
      <c r="M58" s="117"/>
      <c r="N58" s="117"/>
      <c r="O58" s="117">
        <v>258000.0</v>
      </c>
      <c r="P58" s="117"/>
      <c r="Q58" s="117"/>
      <c r="R58" s="117"/>
      <c r="S58" s="117"/>
      <c r="T58" s="117"/>
      <c r="U58" s="117">
        <v>0.0</v>
      </c>
      <c r="V58" s="117">
        <v>0.0</v>
      </c>
      <c r="W58" s="117">
        <v>209.0</v>
      </c>
      <c r="X58" s="117">
        <v>65.0</v>
      </c>
      <c r="Y58" s="117">
        <v>62.0</v>
      </c>
      <c r="Z58" s="117">
        <v>45.0</v>
      </c>
      <c r="AA58" s="117">
        <v>1.0</v>
      </c>
      <c r="AB58" s="117"/>
      <c r="AC58" s="117">
        <v>2412.0</v>
      </c>
      <c r="AD58" s="117">
        <v>1662.0</v>
      </c>
      <c r="AE58" s="117">
        <v>1518.0</v>
      </c>
      <c r="AF58" s="117">
        <v>423.0</v>
      </c>
      <c r="AG58" s="117">
        <v>1.0</v>
      </c>
    </row>
    <row r="59">
      <c r="A59" s="114">
        <v>46071.0</v>
      </c>
      <c r="B59" s="115">
        <v>0.25</v>
      </c>
      <c r="C59" s="115">
        <v>1.0</v>
      </c>
      <c r="D59" s="115">
        <v>4.0</v>
      </c>
      <c r="E59" s="115">
        <v>0.002824858757062147</v>
      </c>
      <c r="F59" s="115">
        <v>6.0</v>
      </c>
      <c r="G59" s="115">
        <v>2124.0</v>
      </c>
      <c r="H59" s="115">
        <v>11375.0</v>
      </c>
      <c r="I59" s="115">
        <v>62333.333333333336</v>
      </c>
      <c r="J59" s="115">
        <v>374000.0</v>
      </c>
      <c r="K59" s="115">
        <v>6.0</v>
      </c>
      <c r="L59" s="115">
        <v>6.0</v>
      </c>
      <c r="M59" s="115"/>
      <c r="N59" s="115"/>
      <c r="O59" s="115">
        <v>374000.0</v>
      </c>
      <c r="P59" s="115"/>
      <c r="Q59" s="115"/>
      <c r="R59" s="115"/>
      <c r="S59" s="115"/>
      <c r="T59" s="115"/>
      <c r="U59" s="115">
        <v>0.0</v>
      </c>
      <c r="V59" s="115">
        <v>0.0</v>
      </c>
      <c r="W59" s="115">
        <v>179.0</v>
      </c>
      <c r="X59" s="115">
        <v>65.0</v>
      </c>
      <c r="Y59" s="115">
        <v>56.0</v>
      </c>
      <c r="Z59" s="115">
        <v>44.0</v>
      </c>
      <c r="AA59" s="115">
        <v>0.0</v>
      </c>
      <c r="AB59" s="115"/>
      <c r="AC59" s="115">
        <v>3441.0</v>
      </c>
      <c r="AD59" s="115">
        <v>2668.0</v>
      </c>
      <c r="AE59" s="115">
        <v>2553.0</v>
      </c>
      <c r="AF59" s="115">
        <v>669.0</v>
      </c>
      <c r="AG59" s="115">
        <v>6.0</v>
      </c>
    </row>
    <row r="60">
      <c r="A60" s="116">
        <v>46072.0</v>
      </c>
      <c r="B60" s="117">
        <v>0.5</v>
      </c>
      <c r="C60" s="117">
        <v>2.0</v>
      </c>
      <c r="D60" s="117">
        <v>4.0</v>
      </c>
      <c r="E60" s="117">
        <v>0.0034129692832764505</v>
      </c>
      <c r="F60" s="117">
        <v>5.0</v>
      </c>
      <c r="G60" s="117">
        <v>1465.0</v>
      </c>
      <c r="H60" s="117">
        <v>9852.0</v>
      </c>
      <c r="I60" s="117">
        <v>49000.0</v>
      </c>
      <c r="J60" s="117">
        <v>245000.0</v>
      </c>
      <c r="K60" s="117">
        <v>5.0</v>
      </c>
      <c r="L60" s="117">
        <v>5.0</v>
      </c>
      <c r="M60" s="117"/>
      <c r="N60" s="117"/>
      <c r="O60" s="117">
        <v>245000.0</v>
      </c>
      <c r="P60" s="117"/>
      <c r="Q60" s="117"/>
      <c r="R60" s="117"/>
      <c r="S60" s="117"/>
      <c r="T60" s="117"/>
      <c r="U60" s="117">
        <v>0.0</v>
      </c>
      <c r="V60" s="117">
        <v>0.0</v>
      </c>
      <c r="W60" s="117">
        <v>203.0</v>
      </c>
      <c r="X60" s="117">
        <v>77.0</v>
      </c>
      <c r="Y60" s="117">
        <v>71.0</v>
      </c>
      <c r="Z60" s="117">
        <v>48.0</v>
      </c>
      <c r="AA60" s="117">
        <v>0.0</v>
      </c>
      <c r="AB60" s="117"/>
      <c r="AC60" s="117">
        <v>2427.0</v>
      </c>
      <c r="AD60" s="117">
        <v>1767.0</v>
      </c>
      <c r="AE60" s="117">
        <v>1639.0</v>
      </c>
      <c r="AF60" s="117">
        <v>524.0</v>
      </c>
      <c r="AG60" s="117">
        <v>5.0</v>
      </c>
    </row>
    <row r="61">
      <c r="A61" s="114">
        <v>46073.0</v>
      </c>
      <c r="B61" s="115">
        <v>0.5</v>
      </c>
      <c r="C61" s="115">
        <v>1.0</v>
      </c>
      <c r="D61" s="115">
        <v>2.0</v>
      </c>
      <c r="E61" s="115">
        <v>0.001869158878504673</v>
      </c>
      <c r="F61" s="115">
        <v>4.0</v>
      </c>
      <c r="G61" s="115">
        <v>2140.0</v>
      </c>
      <c r="H61" s="115">
        <v>11671.0</v>
      </c>
      <c r="I61" s="115">
        <v>21750.0</v>
      </c>
      <c r="J61" s="115">
        <v>87000.0</v>
      </c>
      <c r="K61" s="115">
        <v>4.0</v>
      </c>
      <c r="L61" s="115">
        <v>4.0</v>
      </c>
      <c r="M61" s="115"/>
      <c r="N61" s="115"/>
      <c r="O61" s="115">
        <v>87000.0</v>
      </c>
      <c r="P61" s="115"/>
      <c r="Q61" s="115"/>
      <c r="R61" s="115"/>
      <c r="S61" s="115"/>
      <c r="T61" s="115"/>
      <c r="U61" s="115">
        <v>0.0</v>
      </c>
      <c r="V61" s="115">
        <v>0.0</v>
      </c>
      <c r="W61" s="115">
        <v>175.0</v>
      </c>
      <c r="X61" s="115">
        <v>65.0</v>
      </c>
      <c r="Y61" s="115">
        <v>57.0</v>
      </c>
      <c r="Z61" s="115">
        <v>47.0</v>
      </c>
      <c r="AA61" s="115">
        <v>0.0</v>
      </c>
      <c r="AB61" s="115"/>
      <c r="AC61" s="115">
        <v>3272.0</v>
      </c>
      <c r="AD61" s="115">
        <v>2594.0</v>
      </c>
      <c r="AE61" s="115">
        <v>2559.0</v>
      </c>
      <c r="AF61" s="115">
        <v>622.0</v>
      </c>
      <c r="AG61" s="115">
        <v>4.0</v>
      </c>
    </row>
    <row r="62">
      <c r="A62" s="116">
        <v>46074.0</v>
      </c>
      <c r="B62" s="117">
        <v>0.6666666666666666</v>
      </c>
      <c r="C62" s="117">
        <v>2.0</v>
      </c>
      <c r="D62" s="117">
        <v>3.0</v>
      </c>
      <c r="E62" s="117">
        <v>0.003028009084027252</v>
      </c>
      <c r="F62" s="117">
        <v>4.0</v>
      </c>
      <c r="G62" s="117">
        <v>1321.0</v>
      </c>
      <c r="H62" s="117">
        <v>7764.0</v>
      </c>
      <c r="I62" s="117">
        <v>104000.0</v>
      </c>
      <c r="J62" s="117">
        <v>416000.0</v>
      </c>
      <c r="K62" s="117">
        <v>4.0</v>
      </c>
      <c r="L62" s="117">
        <v>4.0</v>
      </c>
      <c r="M62" s="117"/>
      <c r="N62" s="117"/>
      <c r="O62" s="117">
        <v>416000.0</v>
      </c>
      <c r="P62" s="117"/>
      <c r="Q62" s="117"/>
      <c r="R62" s="117"/>
      <c r="S62" s="117"/>
      <c r="T62" s="117"/>
      <c r="U62" s="117">
        <v>0.0</v>
      </c>
      <c r="V62" s="117">
        <v>0.0</v>
      </c>
      <c r="W62" s="117">
        <v>168.0</v>
      </c>
      <c r="X62" s="117">
        <v>58.0</v>
      </c>
      <c r="Y62" s="117">
        <v>51.0</v>
      </c>
      <c r="Z62" s="117">
        <v>32.0</v>
      </c>
      <c r="AA62" s="117">
        <v>0.0</v>
      </c>
      <c r="AB62" s="117"/>
      <c r="AC62" s="117">
        <v>2257.0</v>
      </c>
      <c r="AD62" s="117">
        <v>1609.0</v>
      </c>
      <c r="AE62" s="117">
        <v>1472.0</v>
      </c>
      <c r="AF62" s="117">
        <v>446.0</v>
      </c>
      <c r="AG62" s="117">
        <v>4.0</v>
      </c>
    </row>
    <row r="63">
      <c r="A63" s="114">
        <v>46075.0</v>
      </c>
      <c r="B63" s="115">
        <v>0.0</v>
      </c>
      <c r="C63" s="115">
        <v>0.0</v>
      </c>
      <c r="D63" s="115">
        <v>5.0</v>
      </c>
      <c r="E63" s="115">
        <v>0.0042158516020236085</v>
      </c>
      <c r="F63" s="115">
        <v>5.0</v>
      </c>
      <c r="G63" s="115">
        <v>1186.0</v>
      </c>
      <c r="H63" s="115">
        <v>7915.0</v>
      </c>
      <c r="I63" s="115">
        <v>89000.0</v>
      </c>
      <c r="J63" s="115">
        <v>445000.0</v>
      </c>
      <c r="K63" s="115">
        <v>5.0</v>
      </c>
      <c r="L63" s="115">
        <v>5.0</v>
      </c>
      <c r="M63" s="115"/>
      <c r="N63" s="115"/>
      <c r="O63" s="115">
        <v>445000.0</v>
      </c>
      <c r="P63" s="115"/>
      <c r="Q63" s="115"/>
      <c r="R63" s="115"/>
      <c r="S63" s="115"/>
      <c r="T63" s="115"/>
      <c r="U63" s="115">
        <v>0.0</v>
      </c>
      <c r="V63" s="115">
        <v>0.0</v>
      </c>
      <c r="W63" s="115">
        <v>196.0</v>
      </c>
      <c r="X63" s="115">
        <v>63.0</v>
      </c>
      <c r="Y63" s="115">
        <v>63.0</v>
      </c>
      <c r="Z63" s="115">
        <v>44.0</v>
      </c>
      <c r="AA63" s="115">
        <v>0.0</v>
      </c>
      <c r="AB63" s="115"/>
      <c r="AC63" s="115">
        <v>2031.0</v>
      </c>
      <c r="AD63" s="115">
        <v>1396.0</v>
      </c>
      <c r="AE63" s="115">
        <v>1345.0</v>
      </c>
      <c r="AF63" s="115">
        <v>417.0</v>
      </c>
      <c r="AG63" s="115">
        <v>5.0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62</v>
      </c>
      <c r="D1" s="125" t="s">
        <v>64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46015.0</v>
      </c>
      <c r="B2" s="127">
        <v>1.0</v>
      </c>
      <c r="C2" s="127">
        <v>3.0</v>
      </c>
      <c r="D2" s="127">
        <v>3.0</v>
      </c>
      <c r="E2" s="127">
        <v>9.86842105263158E-4</v>
      </c>
      <c r="F2" s="127">
        <v>3.0</v>
      </c>
      <c r="G2" s="127">
        <v>3040.0</v>
      </c>
      <c r="H2" s="127">
        <v>33060.0</v>
      </c>
      <c r="I2" s="127">
        <v>129000.0</v>
      </c>
      <c r="J2" s="127">
        <v>387000.0</v>
      </c>
      <c r="K2" s="127">
        <v>3.0</v>
      </c>
      <c r="L2" s="127">
        <v>3.0</v>
      </c>
      <c r="M2" s="127">
        <v>0.5134657032573644</v>
      </c>
      <c r="N2" s="127">
        <v>188288.7728394</v>
      </c>
      <c r="O2" s="127">
        <v>387000.0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265.0</v>
      </c>
      <c r="X2" s="127">
        <v>88.0</v>
      </c>
      <c r="Y2" s="127">
        <v>78.0</v>
      </c>
      <c r="Z2" s="127">
        <v>45.0</v>
      </c>
      <c r="AA2" s="127">
        <v>0.0</v>
      </c>
      <c r="AB2" s="127"/>
      <c r="AC2" s="127">
        <v>5669.0</v>
      </c>
      <c r="AD2" s="127">
        <v>4183.0</v>
      </c>
      <c r="AE2" s="127">
        <v>3246.0</v>
      </c>
      <c r="AF2" s="127">
        <v>861.0</v>
      </c>
      <c r="AG2" s="127">
        <v>3.0</v>
      </c>
    </row>
    <row r="3">
      <c r="A3" s="126">
        <v>46016.0</v>
      </c>
      <c r="B3" s="127">
        <v>1.0</v>
      </c>
      <c r="C3" s="127">
        <v>1.0</v>
      </c>
      <c r="D3" s="127">
        <v>1.0</v>
      </c>
      <c r="E3" s="127">
        <v>4.7664442326024784E-4</v>
      </c>
      <c r="F3" s="127">
        <v>1.0</v>
      </c>
      <c r="G3" s="127">
        <v>2098.0</v>
      </c>
      <c r="H3" s="127">
        <v>26050.0</v>
      </c>
      <c r="I3" s="127">
        <v>129000.0</v>
      </c>
      <c r="J3" s="127">
        <v>129000.0</v>
      </c>
      <c r="K3" s="127">
        <v>1.0</v>
      </c>
      <c r="L3" s="127">
        <v>1.0</v>
      </c>
      <c r="M3" s="127">
        <v>0.25606967376124035</v>
      </c>
      <c r="N3" s="127">
        <v>95967.0120848</v>
      </c>
      <c r="O3" s="127">
        <v>129000.0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298.0</v>
      </c>
      <c r="X3" s="127">
        <v>112.0</v>
      </c>
      <c r="Y3" s="127">
        <v>106.0</v>
      </c>
      <c r="Z3" s="127">
        <v>50.0</v>
      </c>
      <c r="AA3" s="127">
        <v>0.0</v>
      </c>
      <c r="AB3" s="127"/>
      <c r="AC3" s="127">
        <v>4157.0</v>
      </c>
      <c r="AD3" s="127">
        <v>2902.0</v>
      </c>
      <c r="AE3" s="127">
        <v>2146.0</v>
      </c>
      <c r="AF3" s="127">
        <v>699.0</v>
      </c>
      <c r="AG3" s="127">
        <v>1.0</v>
      </c>
    </row>
    <row r="4">
      <c r="A4" s="126">
        <v>46017.0</v>
      </c>
      <c r="B4" s="127">
        <v>0.6666666666666666</v>
      </c>
      <c r="C4" s="127">
        <v>4.0</v>
      </c>
      <c r="D4" s="127">
        <v>6.0</v>
      </c>
      <c r="E4" s="127">
        <v>0.001949317738791423</v>
      </c>
      <c r="F4" s="127">
        <v>6.0</v>
      </c>
      <c r="G4" s="127">
        <v>3078.0</v>
      </c>
      <c r="H4" s="127">
        <v>34832.0</v>
      </c>
      <c r="I4" s="127">
        <v>79000.0</v>
      </c>
      <c r="J4" s="127">
        <v>474000.0</v>
      </c>
      <c r="K4" s="127">
        <v>6.0</v>
      </c>
      <c r="L4" s="127">
        <v>6.0</v>
      </c>
      <c r="M4" s="127">
        <v>0.5367691752957806</v>
      </c>
      <c r="N4" s="127">
        <v>219571.4109098</v>
      </c>
      <c r="O4" s="127">
        <v>474000.0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284.0</v>
      </c>
      <c r="X4" s="127">
        <v>77.0</v>
      </c>
      <c r="Y4" s="127">
        <v>73.0</v>
      </c>
      <c r="Z4" s="127">
        <v>54.0</v>
      </c>
      <c r="AA4" s="127">
        <v>0.0</v>
      </c>
      <c r="AB4" s="127"/>
      <c r="AC4" s="127">
        <v>5203.0</v>
      </c>
      <c r="AD4" s="127">
        <v>4248.0</v>
      </c>
      <c r="AE4" s="127">
        <v>3304.0</v>
      </c>
      <c r="AF4" s="127">
        <v>892.0</v>
      </c>
      <c r="AG4" s="127">
        <v>6.0</v>
      </c>
    </row>
    <row r="5">
      <c r="A5" s="126">
        <v>46018.0</v>
      </c>
      <c r="B5" s="127">
        <v>1.0</v>
      </c>
      <c r="C5" s="127">
        <v>2.0</v>
      </c>
      <c r="D5" s="127">
        <v>2.0</v>
      </c>
      <c r="E5" s="127">
        <v>9.186954524575103E-4</v>
      </c>
      <c r="F5" s="127">
        <v>2.0</v>
      </c>
      <c r="G5" s="127">
        <v>2177.0</v>
      </c>
      <c r="H5" s="127">
        <v>27496.0</v>
      </c>
      <c r="I5" s="127">
        <v>129000.0</v>
      </c>
      <c r="J5" s="127">
        <v>258000.0</v>
      </c>
      <c r="K5" s="127">
        <v>2.0</v>
      </c>
      <c r="L5" s="127">
        <v>2.0</v>
      </c>
      <c r="M5" s="127">
        <v>0.45741925336279066</v>
      </c>
      <c r="N5" s="127">
        <v>139985.8326324</v>
      </c>
      <c r="O5" s="127">
        <v>258000.0</v>
      </c>
      <c r="P5" s="127"/>
      <c r="Q5" s="127"/>
      <c r="R5" s="127"/>
      <c r="S5" s="127"/>
      <c r="T5" s="127"/>
      <c r="U5" s="127">
        <v>0.0</v>
      </c>
      <c r="V5" s="127">
        <v>0.0</v>
      </c>
      <c r="W5" s="127">
        <v>353.0</v>
      </c>
      <c r="X5" s="127">
        <v>127.0</v>
      </c>
      <c r="Y5" s="127">
        <v>116.0</v>
      </c>
      <c r="Z5" s="127">
        <v>49.0</v>
      </c>
      <c r="AA5" s="127">
        <v>1.0</v>
      </c>
      <c r="AB5" s="127"/>
      <c r="AC5" s="127">
        <v>3760.0</v>
      </c>
      <c r="AD5" s="127">
        <v>2821.0</v>
      </c>
      <c r="AE5" s="127">
        <v>2211.0</v>
      </c>
      <c r="AF5" s="127">
        <v>709.0</v>
      </c>
      <c r="AG5" s="127">
        <v>1.0</v>
      </c>
    </row>
    <row r="6">
      <c r="A6" s="126">
        <v>46019.0</v>
      </c>
      <c r="B6" s="127">
        <v>1.0</v>
      </c>
      <c r="C6" s="127">
        <v>3.0</v>
      </c>
      <c r="D6" s="127">
        <v>3.0</v>
      </c>
      <c r="E6" s="127">
        <v>0.0013568521031207597</v>
      </c>
      <c r="F6" s="127">
        <v>3.0</v>
      </c>
      <c r="G6" s="127">
        <v>2211.0</v>
      </c>
      <c r="H6" s="127">
        <v>30653.0</v>
      </c>
      <c r="I6" s="127">
        <v>52666.666666666664</v>
      </c>
      <c r="J6" s="127">
        <v>158000.0</v>
      </c>
      <c r="K6" s="127">
        <v>3.0</v>
      </c>
      <c r="L6" s="127">
        <v>3.0</v>
      </c>
      <c r="M6" s="127">
        <v>0.2642455971949367</v>
      </c>
      <c r="N6" s="127">
        <v>116249.1956432</v>
      </c>
      <c r="O6" s="127">
        <v>158000.0</v>
      </c>
      <c r="P6" s="127"/>
      <c r="Q6" s="127"/>
      <c r="R6" s="127"/>
      <c r="S6" s="127"/>
      <c r="T6" s="127"/>
      <c r="U6" s="127">
        <v>0.0</v>
      </c>
      <c r="V6" s="127">
        <v>0.0</v>
      </c>
      <c r="W6" s="127">
        <v>489.0</v>
      </c>
      <c r="X6" s="127">
        <v>170.0</v>
      </c>
      <c r="Y6" s="127">
        <v>154.0</v>
      </c>
      <c r="Z6" s="127">
        <v>89.0</v>
      </c>
      <c r="AA6" s="127">
        <v>0.0</v>
      </c>
      <c r="AB6" s="127"/>
      <c r="AC6" s="127">
        <v>3943.0</v>
      </c>
      <c r="AD6" s="127">
        <v>2714.0</v>
      </c>
      <c r="AE6" s="127">
        <v>2194.0</v>
      </c>
      <c r="AF6" s="127">
        <v>748.0</v>
      </c>
      <c r="AG6" s="127">
        <v>3.0</v>
      </c>
    </row>
    <row r="7">
      <c r="A7" s="126">
        <v>46020.0</v>
      </c>
      <c r="B7" s="127">
        <v>0.5714285714285714</v>
      </c>
      <c r="C7" s="127">
        <v>4.0</v>
      </c>
      <c r="D7" s="127">
        <v>7.0</v>
      </c>
      <c r="E7" s="127">
        <v>0.001966292134831461</v>
      </c>
      <c r="F7" s="127">
        <v>7.0</v>
      </c>
      <c r="G7" s="127">
        <v>3560.0</v>
      </c>
      <c r="H7" s="127">
        <v>34540.0</v>
      </c>
      <c r="I7" s="127">
        <v>110571.42857142857</v>
      </c>
      <c r="J7" s="127">
        <v>774000.0</v>
      </c>
      <c r="K7" s="127">
        <v>7.0</v>
      </c>
      <c r="L7" s="127">
        <v>7.0</v>
      </c>
      <c r="M7" s="127">
        <v>0.5997346120762275</v>
      </c>
      <c r="N7" s="127">
        <v>309805.410253</v>
      </c>
      <c r="O7" s="127">
        <v>774000.0</v>
      </c>
      <c r="P7" s="127"/>
      <c r="Q7" s="127"/>
      <c r="R7" s="127"/>
      <c r="S7" s="127"/>
      <c r="T7" s="127"/>
      <c r="U7" s="127">
        <v>0.0</v>
      </c>
      <c r="V7" s="127">
        <v>0.0</v>
      </c>
      <c r="W7" s="127">
        <v>403.0</v>
      </c>
      <c r="X7" s="127">
        <v>114.0</v>
      </c>
      <c r="Y7" s="127">
        <v>104.0</v>
      </c>
      <c r="Z7" s="127">
        <v>60.0</v>
      </c>
      <c r="AA7" s="127">
        <v>1.0</v>
      </c>
      <c r="AB7" s="127"/>
      <c r="AC7" s="127">
        <v>5716.0</v>
      </c>
      <c r="AD7" s="127">
        <v>4725.0</v>
      </c>
      <c r="AE7" s="127">
        <v>3649.0</v>
      </c>
      <c r="AF7" s="127">
        <v>1062.0</v>
      </c>
      <c r="AG7" s="127">
        <v>6.0</v>
      </c>
    </row>
    <row r="8">
      <c r="A8" s="126">
        <v>46021.0</v>
      </c>
      <c r="B8" s="127">
        <v>0.6363636363636364</v>
      </c>
      <c r="C8" s="127">
        <v>7.0</v>
      </c>
      <c r="D8" s="127">
        <v>11.0</v>
      </c>
      <c r="E8" s="127">
        <v>0.004968944099378882</v>
      </c>
      <c r="F8" s="127">
        <v>12.0</v>
      </c>
      <c r="G8" s="127">
        <v>2415.0</v>
      </c>
      <c r="H8" s="127">
        <v>22122.0</v>
      </c>
      <c r="I8" s="127">
        <v>49166.666666666664</v>
      </c>
      <c r="J8" s="127">
        <v>590000.0</v>
      </c>
      <c r="K8" s="127">
        <v>12.0</v>
      </c>
      <c r="L8" s="127">
        <v>12.0</v>
      </c>
      <c r="M8" s="127">
        <v>0.6105037708901695</v>
      </c>
      <c r="N8" s="127">
        <v>229802.77517480002</v>
      </c>
      <c r="O8" s="127">
        <v>590000.0</v>
      </c>
      <c r="P8" s="127"/>
      <c r="Q8" s="127"/>
      <c r="R8" s="127"/>
      <c r="S8" s="127"/>
      <c r="T8" s="127"/>
      <c r="U8" s="127">
        <v>0.0</v>
      </c>
      <c r="V8" s="127">
        <v>0.0</v>
      </c>
      <c r="W8" s="127">
        <v>391.0</v>
      </c>
      <c r="X8" s="127">
        <v>139.0</v>
      </c>
      <c r="Y8" s="127">
        <v>130.0</v>
      </c>
      <c r="Z8" s="127">
        <v>86.0</v>
      </c>
      <c r="AA8" s="127">
        <v>2.0</v>
      </c>
      <c r="AB8" s="127"/>
      <c r="AC8" s="127">
        <v>4340.0</v>
      </c>
      <c r="AD8" s="127">
        <v>3097.0</v>
      </c>
      <c r="AE8" s="127">
        <v>2402.0</v>
      </c>
      <c r="AF8" s="127">
        <v>916.0</v>
      </c>
      <c r="AG8" s="127">
        <v>10.0</v>
      </c>
    </row>
    <row r="9">
      <c r="A9" s="126">
        <v>46022.0</v>
      </c>
      <c r="B9" s="127">
        <v>0.8333333333333334</v>
      </c>
      <c r="C9" s="127">
        <v>5.0</v>
      </c>
      <c r="D9" s="127">
        <v>6.0</v>
      </c>
      <c r="E9" s="127">
        <v>0.001841620626151013</v>
      </c>
      <c r="F9" s="127">
        <v>6.0</v>
      </c>
      <c r="G9" s="127">
        <v>3258.0</v>
      </c>
      <c r="H9" s="127">
        <v>24355.0</v>
      </c>
      <c r="I9" s="127">
        <v>95666.66666666667</v>
      </c>
      <c r="J9" s="127">
        <v>574000.0</v>
      </c>
      <c r="K9" s="127">
        <v>6.0</v>
      </c>
      <c r="L9" s="127">
        <v>6.0</v>
      </c>
      <c r="M9" s="127">
        <v>0.5844281938560976</v>
      </c>
      <c r="N9" s="127">
        <v>238538.21672660002</v>
      </c>
      <c r="O9" s="127">
        <v>574000.0</v>
      </c>
      <c r="P9" s="127"/>
      <c r="Q9" s="127"/>
      <c r="R9" s="127"/>
      <c r="S9" s="127"/>
      <c r="T9" s="127"/>
      <c r="U9" s="127">
        <v>0.0</v>
      </c>
      <c r="V9" s="127">
        <v>0.0</v>
      </c>
      <c r="W9" s="127">
        <v>293.0</v>
      </c>
      <c r="X9" s="127">
        <v>131.0</v>
      </c>
      <c r="Y9" s="127">
        <v>118.0</v>
      </c>
      <c r="Z9" s="127">
        <v>85.0</v>
      </c>
      <c r="AA9" s="127">
        <v>1.0</v>
      </c>
      <c r="AB9" s="127"/>
      <c r="AC9" s="127">
        <v>8187.0</v>
      </c>
      <c r="AD9" s="127">
        <v>4438.0</v>
      </c>
      <c r="AE9" s="127">
        <v>3477.0</v>
      </c>
      <c r="AF9" s="127">
        <v>1024.0</v>
      </c>
      <c r="AG9" s="127">
        <v>5.0</v>
      </c>
    </row>
    <row r="10">
      <c r="A10" s="126">
        <v>46023.0</v>
      </c>
      <c r="B10" s="127">
        <v>0.5833333333333334</v>
      </c>
      <c r="C10" s="127">
        <v>7.0</v>
      </c>
      <c r="D10" s="127">
        <v>12.0</v>
      </c>
      <c r="E10" s="127">
        <v>0.002652519893899204</v>
      </c>
      <c r="F10" s="127">
        <v>12.0</v>
      </c>
      <c r="G10" s="127">
        <v>4524.0</v>
      </c>
      <c r="H10" s="127">
        <v>39532.0</v>
      </c>
      <c r="I10" s="127">
        <v>71750.0</v>
      </c>
      <c r="J10" s="127">
        <v>861000.0</v>
      </c>
      <c r="K10" s="127">
        <v>12.0</v>
      </c>
      <c r="L10" s="127">
        <v>12.0</v>
      </c>
      <c r="M10" s="127">
        <v>0.5784366487089431</v>
      </c>
      <c r="N10" s="127">
        <v>362966.0454616</v>
      </c>
      <c r="O10" s="127">
        <v>861000.0</v>
      </c>
      <c r="P10" s="127"/>
      <c r="Q10" s="127"/>
      <c r="R10" s="127"/>
      <c r="S10" s="127"/>
      <c r="T10" s="127"/>
      <c r="U10" s="127">
        <v>0.0</v>
      </c>
      <c r="V10" s="127">
        <v>0.0</v>
      </c>
      <c r="W10" s="127">
        <v>443.0</v>
      </c>
      <c r="X10" s="127">
        <v>196.0</v>
      </c>
      <c r="Y10" s="127">
        <v>175.0</v>
      </c>
      <c r="Z10" s="127">
        <v>122.0</v>
      </c>
      <c r="AA10" s="127">
        <v>0.0</v>
      </c>
      <c r="AB10" s="127"/>
      <c r="AC10" s="127">
        <v>13191.0</v>
      </c>
      <c r="AD10" s="127">
        <v>5918.0</v>
      </c>
      <c r="AE10" s="127">
        <v>4559.0</v>
      </c>
      <c r="AF10" s="127">
        <v>2406.0</v>
      </c>
      <c r="AG10" s="127">
        <v>12.0</v>
      </c>
    </row>
    <row r="11">
      <c r="A11" s="126">
        <v>46024.0</v>
      </c>
      <c r="B11" s="127">
        <v>0.631578947368421</v>
      </c>
      <c r="C11" s="127">
        <v>12.0</v>
      </c>
      <c r="D11" s="127">
        <v>19.0</v>
      </c>
      <c r="E11" s="127">
        <v>0.004300588501584427</v>
      </c>
      <c r="F11" s="127">
        <v>19.0</v>
      </c>
      <c r="G11" s="127">
        <v>4418.0</v>
      </c>
      <c r="H11" s="127">
        <v>37450.0</v>
      </c>
      <c r="I11" s="127">
        <v>97421.05263157895</v>
      </c>
      <c r="J11" s="127">
        <v>1851000.0</v>
      </c>
      <c r="K11" s="127">
        <v>19.0</v>
      </c>
      <c r="L11" s="127">
        <v>19.0</v>
      </c>
      <c r="M11" s="127">
        <v>0.6456543451384117</v>
      </c>
      <c r="N11" s="127">
        <v>655893.8071488</v>
      </c>
      <c r="O11" s="127">
        <v>1851000.0</v>
      </c>
      <c r="P11" s="127"/>
      <c r="Q11" s="127"/>
      <c r="R11" s="127"/>
      <c r="S11" s="127"/>
      <c r="T11" s="127"/>
      <c r="U11" s="127">
        <v>0.0</v>
      </c>
      <c r="V11" s="127">
        <v>0.0</v>
      </c>
      <c r="W11" s="127">
        <v>352.0</v>
      </c>
      <c r="X11" s="127">
        <v>169.0</v>
      </c>
      <c r="Y11" s="127">
        <v>151.0</v>
      </c>
      <c r="Z11" s="127">
        <v>113.0</v>
      </c>
      <c r="AA11" s="127">
        <v>1.0</v>
      </c>
      <c r="AB11" s="127"/>
      <c r="AC11" s="127">
        <v>8529.0</v>
      </c>
      <c r="AD11" s="127">
        <v>5693.0</v>
      </c>
      <c r="AE11" s="127">
        <v>4628.0</v>
      </c>
      <c r="AF11" s="127">
        <v>1551.0</v>
      </c>
      <c r="AG11" s="127">
        <v>18.0</v>
      </c>
    </row>
    <row r="12">
      <c r="A12" s="126">
        <v>46025.0</v>
      </c>
      <c r="B12" s="127">
        <v>0.6923076923076923</v>
      </c>
      <c r="C12" s="127">
        <v>9.0</v>
      </c>
      <c r="D12" s="127">
        <v>13.0</v>
      </c>
      <c r="E12" s="127">
        <v>0.004876219054763691</v>
      </c>
      <c r="F12" s="127">
        <v>13.0</v>
      </c>
      <c r="G12" s="127">
        <v>2666.0</v>
      </c>
      <c r="H12" s="127">
        <v>25738.0</v>
      </c>
      <c r="I12" s="127">
        <v>70692.30769230769</v>
      </c>
      <c r="J12" s="127">
        <v>919000.0</v>
      </c>
      <c r="K12" s="127">
        <v>13.0</v>
      </c>
      <c r="L12" s="127">
        <v>13.0</v>
      </c>
      <c r="M12" s="127">
        <v>0.6222612361373232</v>
      </c>
      <c r="N12" s="127">
        <v>347141.9239898</v>
      </c>
      <c r="O12" s="127">
        <v>919000.0</v>
      </c>
      <c r="P12" s="127"/>
      <c r="Q12" s="127"/>
      <c r="R12" s="127"/>
      <c r="S12" s="127"/>
      <c r="T12" s="127"/>
      <c r="U12" s="127">
        <v>0.0</v>
      </c>
      <c r="V12" s="127">
        <v>0.0</v>
      </c>
      <c r="W12" s="127">
        <v>373.0</v>
      </c>
      <c r="X12" s="127">
        <v>146.0</v>
      </c>
      <c r="Y12" s="127">
        <v>136.0</v>
      </c>
      <c r="Z12" s="127">
        <v>79.0</v>
      </c>
      <c r="AA12" s="127">
        <v>2.0</v>
      </c>
      <c r="AB12" s="127"/>
      <c r="AC12" s="127">
        <v>5049.0</v>
      </c>
      <c r="AD12" s="127">
        <v>3309.0</v>
      </c>
      <c r="AE12" s="127">
        <v>2699.0</v>
      </c>
      <c r="AF12" s="127">
        <v>1005.0</v>
      </c>
      <c r="AG12" s="127">
        <v>11.0</v>
      </c>
    </row>
    <row r="13">
      <c r="A13" s="126">
        <v>46026.0</v>
      </c>
      <c r="B13" s="127">
        <v>0.6</v>
      </c>
      <c r="C13" s="127">
        <v>3.0</v>
      </c>
      <c r="D13" s="127">
        <v>5.0</v>
      </c>
      <c r="E13" s="127">
        <v>0.002061855670103093</v>
      </c>
      <c r="F13" s="127">
        <v>5.0</v>
      </c>
      <c r="G13" s="127">
        <v>2425.0</v>
      </c>
      <c r="H13" s="127">
        <v>24604.0</v>
      </c>
      <c r="I13" s="127">
        <v>69000.0</v>
      </c>
      <c r="J13" s="127">
        <v>345000.0</v>
      </c>
      <c r="K13" s="127">
        <v>5.0</v>
      </c>
      <c r="L13" s="127">
        <v>5.0</v>
      </c>
      <c r="M13" s="127">
        <v>0.5051285718388405</v>
      </c>
      <c r="N13" s="127">
        <v>170730.6427156</v>
      </c>
      <c r="O13" s="127">
        <v>345000.0</v>
      </c>
      <c r="P13" s="127"/>
      <c r="Q13" s="127"/>
      <c r="R13" s="127"/>
      <c r="S13" s="127"/>
      <c r="T13" s="127"/>
      <c r="U13" s="127">
        <v>0.0</v>
      </c>
      <c r="V13" s="127">
        <v>0.0</v>
      </c>
      <c r="W13" s="127">
        <v>402.0</v>
      </c>
      <c r="X13" s="127">
        <v>153.0</v>
      </c>
      <c r="Y13" s="127">
        <v>137.0</v>
      </c>
      <c r="Z13" s="127">
        <v>82.0</v>
      </c>
      <c r="AA13" s="127">
        <v>0.0</v>
      </c>
      <c r="AB13" s="127"/>
      <c r="AC13" s="127">
        <v>4470.0</v>
      </c>
      <c r="AD13" s="127">
        <v>2996.0</v>
      </c>
      <c r="AE13" s="127">
        <v>2427.0</v>
      </c>
      <c r="AF13" s="127">
        <v>978.0</v>
      </c>
      <c r="AG13" s="127">
        <v>5.0</v>
      </c>
    </row>
    <row r="14">
      <c r="A14" s="126">
        <v>46027.0</v>
      </c>
      <c r="B14" s="127">
        <v>0.875</v>
      </c>
      <c r="C14" s="127">
        <v>7.0</v>
      </c>
      <c r="D14" s="127">
        <v>8.0</v>
      </c>
      <c r="E14" s="127">
        <v>0.0018535681186283596</v>
      </c>
      <c r="F14" s="127">
        <v>8.0</v>
      </c>
      <c r="G14" s="127">
        <v>4316.0</v>
      </c>
      <c r="H14" s="127">
        <v>38312.0</v>
      </c>
      <c r="I14" s="127">
        <v>37875.0</v>
      </c>
      <c r="J14" s="127">
        <v>303000.0</v>
      </c>
      <c r="K14" s="127">
        <v>8.0</v>
      </c>
      <c r="L14" s="127">
        <v>8.0</v>
      </c>
      <c r="M14" s="127">
        <v>0.35895210163894387</v>
      </c>
      <c r="N14" s="127">
        <v>194237.5132034</v>
      </c>
      <c r="O14" s="127">
        <v>303000.0</v>
      </c>
      <c r="P14" s="127"/>
      <c r="Q14" s="127"/>
      <c r="R14" s="127"/>
      <c r="S14" s="127"/>
      <c r="T14" s="127"/>
      <c r="U14" s="127">
        <v>0.0</v>
      </c>
      <c r="V14" s="127">
        <v>0.0</v>
      </c>
      <c r="W14" s="127">
        <v>299.0</v>
      </c>
      <c r="X14" s="127">
        <v>122.0</v>
      </c>
      <c r="Y14" s="127">
        <v>107.0</v>
      </c>
      <c r="Z14" s="127">
        <v>86.0</v>
      </c>
      <c r="AA14" s="127">
        <v>0.0</v>
      </c>
      <c r="AB14" s="127"/>
      <c r="AC14" s="127">
        <v>6764.0</v>
      </c>
      <c r="AD14" s="127">
        <v>5553.0</v>
      </c>
      <c r="AE14" s="127">
        <v>4534.0</v>
      </c>
      <c r="AF14" s="127">
        <v>1320.0</v>
      </c>
      <c r="AG14" s="127">
        <v>8.0</v>
      </c>
    </row>
    <row r="15">
      <c r="A15" s="126">
        <v>46028.0</v>
      </c>
      <c r="B15" s="127">
        <v>0.75</v>
      </c>
      <c r="C15" s="127">
        <v>3.0</v>
      </c>
      <c r="D15" s="127">
        <v>4.0</v>
      </c>
      <c r="E15" s="127">
        <v>0.0016545334215751159</v>
      </c>
      <c r="F15" s="127">
        <v>5.0</v>
      </c>
      <c r="G15" s="127">
        <v>3022.0</v>
      </c>
      <c r="H15" s="127">
        <v>31104.0</v>
      </c>
      <c r="I15" s="127">
        <v>129000.0</v>
      </c>
      <c r="J15" s="127">
        <v>645000.0</v>
      </c>
      <c r="K15" s="127">
        <v>5.0</v>
      </c>
      <c r="L15" s="127">
        <v>5.0</v>
      </c>
      <c r="M15" s="127">
        <v>0.5829892382989148</v>
      </c>
      <c r="N15" s="127">
        <v>268971.9412972</v>
      </c>
      <c r="O15" s="127">
        <v>645000.0</v>
      </c>
      <c r="P15" s="127"/>
      <c r="Q15" s="127"/>
      <c r="R15" s="127"/>
      <c r="S15" s="127"/>
      <c r="T15" s="127"/>
      <c r="U15" s="127">
        <v>0.0</v>
      </c>
      <c r="V15" s="127">
        <v>0.0</v>
      </c>
      <c r="W15" s="127">
        <v>333.0</v>
      </c>
      <c r="X15" s="127">
        <v>143.0</v>
      </c>
      <c r="Y15" s="127">
        <v>133.0</v>
      </c>
      <c r="Z15" s="127">
        <v>92.0</v>
      </c>
      <c r="AA15" s="127">
        <v>0.0</v>
      </c>
      <c r="AB15" s="127"/>
      <c r="AC15" s="127">
        <v>4777.0</v>
      </c>
      <c r="AD15" s="127">
        <v>3707.0</v>
      </c>
      <c r="AE15" s="127">
        <v>3038.0</v>
      </c>
      <c r="AF15" s="127">
        <v>1023.0</v>
      </c>
      <c r="AG15" s="127">
        <v>5.0</v>
      </c>
    </row>
    <row r="16">
      <c r="A16" s="126">
        <v>46029.0</v>
      </c>
      <c r="B16" s="127">
        <v>0.8888888888888888</v>
      </c>
      <c r="C16" s="127">
        <v>8.0</v>
      </c>
      <c r="D16" s="127">
        <v>9.0</v>
      </c>
      <c r="E16" s="127">
        <v>0.002142857142857143</v>
      </c>
      <c r="F16" s="127">
        <v>9.0</v>
      </c>
      <c r="G16" s="127">
        <v>4200.0</v>
      </c>
      <c r="H16" s="127">
        <v>38379.0</v>
      </c>
      <c r="I16" s="127">
        <v>95666.66666666667</v>
      </c>
      <c r="J16" s="127">
        <v>861000.0</v>
      </c>
      <c r="K16" s="127">
        <v>9.0</v>
      </c>
      <c r="L16" s="127">
        <v>9.0</v>
      </c>
      <c r="M16" s="127">
        <v>0.6112765426422764</v>
      </c>
      <c r="N16" s="127">
        <v>334690.896785</v>
      </c>
      <c r="O16" s="127">
        <v>861000.0</v>
      </c>
      <c r="P16" s="127"/>
      <c r="Q16" s="127"/>
      <c r="R16" s="127"/>
      <c r="S16" s="127"/>
      <c r="T16" s="127"/>
      <c r="U16" s="127">
        <v>0.0</v>
      </c>
      <c r="V16" s="127">
        <v>0.0</v>
      </c>
      <c r="W16" s="127">
        <v>389.0</v>
      </c>
      <c r="X16" s="127">
        <v>140.0</v>
      </c>
      <c r="Y16" s="127">
        <v>133.0</v>
      </c>
      <c r="Z16" s="127">
        <v>81.0</v>
      </c>
      <c r="AA16" s="127">
        <v>2.0</v>
      </c>
      <c r="AB16" s="127"/>
      <c r="AC16" s="127">
        <v>6344.0</v>
      </c>
      <c r="AD16" s="127">
        <v>5290.0</v>
      </c>
      <c r="AE16" s="127">
        <v>4375.0</v>
      </c>
      <c r="AF16" s="127">
        <v>1190.0</v>
      </c>
      <c r="AG16" s="127">
        <v>7.0</v>
      </c>
    </row>
    <row r="17">
      <c r="A17" s="126">
        <v>46030.0</v>
      </c>
      <c r="B17" s="127">
        <v>0.8333333333333334</v>
      </c>
      <c r="C17" s="127">
        <v>5.0</v>
      </c>
      <c r="D17" s="127">
        <v>6.0</v>
      </c>
      <c r="E17" s="127">
        <v>0.0024311183144246355</v>
      </c>
      <c r="F17" s="127">
        <v>6.0</v>
      </c>
      <c r="G17" s="127">
        <v>2468.0</v>
      </c>
      <c r="H17" s="127">
        <v>25989.0</v>
      </c>
      <c r="I17" s="127">
        <v>79000.0</v>
      </c>
      <c r="J17" s="127">
        <v>474000.0</v>
      </c>
      <c r="K17" s="127">
        <v>6.0</v>
      </c>
      <c r="L17" s="127">
        <v>6.0</v>
      </c>
      <c r="M17" s="127">
        <v>0.573629566214346</v>
      </c>
      <c r="N17" s="127">
        <v>202099.58561439998</v>
      </c>
      <c r="O17" s="127">
        <v>474000.0</v>
      </c>
      <c r="P17" s="127"/>
      <c r="Q17" s="127"/>
      <c r="R17" s="127"/>
      <c r="S17" s="127"/>
      <c r="T17" s="127"/>
      <c r="U17" s="127">
        <v>0.0</v>
      </c>
      <c r="V17" s="127">
        <v>0.0</v>
      </c>
      <c r="W17" s="127">
        <v>350.0</v>
      </c>
      <c r="X17" s="127">
        <v>128.0</v>
      </c>
      <c r="Y17" s="127">
        <v>115.0</v>
      </c>
      <c r="Z17" s="127">
        <v>78.0</v>
      </c>
      <c r="AA17" s="127">
        <v>1.0</v>
      </c>
      <c r="AB17" s="127"/>
      <c r="AC17" s="127">
        <v>3966.0</v>
      </c>
      <c r="AD17" s="127">
        <v>2866.0</v>
      </c>
      <c r="AE17" s="127">
        <v>2717.0</v>
      </c>
      <c r="AF17" s="127">
        <v>736.0</v>
      </c>
      <c r="AG17" s="127">
        <v>5.0</v>
      </c>
    </row>
    <row r="18">
      <c r="A18" s="126">
        <v>46031.0</v>
      </c>
      <c r="B18" s="127">
        <v>0.6</v>
      </c>
      <c r="C18" s="127">
        <v>3.0</v>
      </c>
      <c r="D18" s="127">
        <v>5.0</v>
      </c>
      <c r="E18" s="127">
        <v>0.001603592046183451</v>
      </c>
      <c r="F18" s="127">
        <v>5.0</v>
      </c>
      <c r="G18" s="127">
        <v>3118.0</v>
      </c>
      <c r="H18" s="127">
        <v>28036.0</v>
      </c>
      <c r="I18" s="127">
        <v>89000.0</v>
      </c>
      <c r="J18" s="127">
        <v>445000.0</v>
      </c>
      <c r="K18" s="127">
        <v>5.0</v>
      </c>
      <c r="L18" s="127">
        <v>5.0</v>
      </c>
      <c r="M18" s="127">
        <v>0.5302679858314607</v>
      </c>
      <c r="N18" s="127">
        <v>209030.74630499998</v>
      </c>
      <c r="O18" s="127">
        <v>445000.0</v>
      </c>
      <c r="P18" s="127"/>
      <c r="Q18" s="127"/>
      <c r="R18" s="127"/>
      <c r="S18" s="127"/>
      <c r="T18" s="127"/>
      <c r="U18" s="127">
        <v>0.0</v>
      </c>
      <c r="V18" s="127">
        <v>0.0</v>
      </c>
      <c r="W18" s="127">
        <v>267.0</v>
      </c>
      <c r="X18" s="127">
        <v>106.0</v>
      </c>
      <c r="Y18" s="127">
        <v>102.0</v>
      </c>
      <c r="Z18" s="127">
        <v>71.0</v>
      </c>
      <c r="AA18" s="127">
        <v>0.0</v>
      </c>
      <c r="AB18" s="127"/>
      <c r="AC18" s="127">
        <v>4815.0</v>
      </c>
      <c r="AD18" s="127">
        <v>3577.0</v>
      </c>
      <c r="AE18" s="127">
        <v>3930.0</v>
      </c>
      <c r="AF18" s="127">
        <v>728.0</v>
      </c>
      <c r="AG18" s="127">
        <v>5.0</v>
      </c>
    </row>
    <row r="19">
      <c r="A19" s="126">
        <v>46032.0</v>
      </c>
      <c r="B19" s="127">
        <v>0.3333333333333333</v>
      </c>
      <c r="C19" s="127">
        <v>1.0</v>
      </c>
      <c r="D19" s="127">
        <v>3.0</v>
      </c>
      <c r="E19" s="127">
        <v>0.0013921113689095127</v>
      </c>
      <c r="F19" s="127">
        <v>3.0</v>
      </c>
      <c r="G19" s="127">
        <v>2155.0</v>
      </c>
      <c r="H19" s="127">
        <v>20526.0</v>
      </c>
      <c r="I19" s="127">
        <v>129000.0</v>
      </c>
      <c r="J19" s="127">
        <v>387000.0</v>
      </c>
      <c r="K19" s="127">
        <v>3.0</v>
      </c>
      <c r="L19" s="127">
        <v>3.0</v>
      </c>
      <c r="M19" s="127">
        <v>0.5725299181271317</v>
      </c>
      <c r="N19" s="127">
        <v>165430.9216848</v>
      </c>
      <c r="O19" s="127">
        <v>387000.0</v>
      </c>
      <c r="P19" s="127"/>
      <c r="Q19" s="127"/>
      <c r="R19" s="127"/>
      <c r="S19" s="127"/>
      <c r="T19" s="127"/>
      <c r="U19" s="127">
        <v>0.0</v>
      </c>
      <c r="V19" s="127">
        <v>0.0</v>
      </c>
      <c r="W19" s="127">
        <v>286.0</v>
      </c>
      <c r="X19" s="127">
        <v>113.0</v>
      </c>
      <c r="Y19" s="127">
        <v>100.0</v>
      </c>
      <c r="Z19" s="127">
        <v>61.0</v>
      </c>
      <c r="AA19" s="127">
        <v>1.0</v>
      </c>
      <c r="AB19" s="127"/>
      <c r="AC19" s="127">
        <v>3630.0</v>
      </c>
      <c r="AD19" s="127">
        <v>2617.0</v>
      </c>
      <c r="AE19" s="127">
        <v>2366.0</v>
      </c>
      <c r="AF19" s="127">
        <v>673.0</v>
      </c>
      <c r="AG19" s="127">
        <v>2.0</v>
      </c>
    </row>
    <row r="20">
      <c r="A20" s="126">
        <v>46033.0</v>
      </c>
      <c r="B20" s="127">
        <v>0.5714285714285714</v>
      </c>
      <c r="C20" s="127">
        <v>4.0</v>
      </c>
      <c r="D20" s="127">
        <v>7.0</v>
      </c>
      <c r="E20" s="127">
        <v>0.003269500233535731</v>
      </c>
      <c r="F20" s="127">
        <v>7.0</v>
      </c>
      <c r="G20" s="127">
        <v>2141.0</v>
      </c>
      <c r="H20" s="127">
        <v>21386.0</v>
      </c>
      <c r="I20" s="127">
        <v>82000.0</v>
      </c>
      <c r="J20" s="127">
        <v>574000.0</v>
      </c>
      <c r="K20" s="127">
        <v>7.0</v>
      </c>
      <c r="L20" s="127">
        <v>7.0</v>
      </c>
      <c r="M20" s="127">
        <v>0.6244625686390244</v>
      </c>
      <c r="N20" s="127">
        <v>215558.4856012</v>
      </c>
      <c r="O20" s="127">
        <v>574000.0</v>
      </c>
      <c r="P20" s="127"/>
      <c r="Q20" s="127"/>
      <c r="R20" s="127"/>
      <c r="S20" s="127"/>
      <c r="T20" s="127"/>
      <c r="U20" s="127">
        <v>0.0</v>
      </c>
      <c r="V20" s="127">
        <v>0.0</v>
      </c>
      <c r="W20" s="127">
        <v>313.0</v>
      </c>
      <c r="X20" s="127">
        <v>127.0</v>
      </c>
      <c r="Y20" s="127">
        <v>117.0</v>
      </c>
      <c r="Z20" s="127">
        <v>75.0</v>
      </c>
      <c r="AA20" s="127">
        <v>1.0</v>
      </c>
      <c r="AB20" s="127"/>
      <c r="AC20" s="127">
        <v>3567.0</v>
      </c>
      <c r="AD20" s="127">
        <v>2594.0</v>
      </c>
      <c r="AE20" s="127">
        <v>2237.0</v>
      </c>
      <c r="AF20" s="127">
        <v>716.0</v>
      </c>
      <c r="AG20" s="127">
        <v>6.0</v>
      </c>
    </row>
    <row r="21">
      <c r="A21" s="126">
        <v>46034.0</v>
      </c>
      <c r="B21" s="127">
        <v>0.5</v>
      </c>
      <c r="C21" s="127">
        <v>4.0</v>
      </c>
      <c r="D21" s="127">
        <v>8.0</v>
      </c>
      <c r="E21" s="127">
        <v>0.002030972328002031</v>
      </c>
      <c r="F21" s="127">
        <v>8.0</v>
      </c>
      <c r="G21" s="127">
        <v>3939.0</v>
      </c>
      <c r="H21" s="127">
        <v>33991.0</v>
      </c>
      <c r="I21" s="127">
        <v>104000.0</v>
      </c>
      <c r="J21" s="127">
        <v>832000.0</v>
      </c>
      <c r="K21" s="127">
        <v>8.0</v>
      </c>
      <c r="L21" s="127">
        <v>8.0</v>
      </c>
      <c r="M21" s="127">
        <v>0.5848967002408654</v>
      </c>
      <c r="N21" s="127">
        <v>345365.94539959996</v>
      </c>
      <c r="O21" s="127">
        <v>832000.0</v>
      </c>
      <c r="P21" s="127"/>
      <c r="Q21" s="127"/>
      <c r="R21" s="127"/>
      <c r="S21" s="127"/>
      <c r="T21" s="127"/>
      <c r="U21" s="127">
        <v>0.0</v>
      </c>
      <c r="V21" s="127">
        <v>0.0</v>
      </c>
      <c r="W21" s="127">
        <v>432.0</v>
      </c>
      <c r="X21" s="127">
        <v>140.0</v>
      </c>
      <c r="Y21" s="127">
        <v>129.0</v>
      </c>
      <c r="Z21" s="127">
        <v>75.0</v>
      </c>
      <c r="AA21" s="127">
        <v>0.0</v>
      </c>
      <c r="AB21" s="127"/>
      <c r="AC21" s="127">
        <v>6372.0</v>
      </c>
      <c r="AD21" s="127">
        <v>4991.0</v>
      </c>
      <c r="AE21" s="127">
        <v>4268.0</v>
      </c>
      <c r="AF21" s="127">
        <v>1042.0</v>
      </c>
      <c r="AG21" s="127">
        <v>8.0</v>
      </c>
    </row>
    <row r="22">
      <c r="A22" s="126">
        <v>46035.0</v>
      </c>
      <c r="B22" s="127">
        <v>0.8333333333333334</v>
      </c>
      <c r="C22" s="127">
        <v>5.0</v>
      </c>
      <c r="D22" s="127">
        <v>6.0</v>
      </c>
      <c r="E22" s="127">
        <v>0.0023059185242121443</v>
      </c>
      <c r="F22" s="127">
        <v>6.0</v>
      </c>
      <c r="G22" s="127">
        <v>2602.0</v>
      </c>
      <c r="H22" s="127">
        <v>25926.0</v>
      </c>
      <c r="I22" s="127">
        <v>62333.333333333336</v>
      </c>
      <c r="J22" s="127">
        <v>374000.0</v>
      </c>
      <c r="K22" s="127">
        <v>6.0</v>
      </c>
      <c r="L22" s="127">
        <v>6.0</v>
      </c>
      <c r="M22" s="127">
        <v>0.4509561683941177</v>
      </c>
      <c r="N22" s="127">
        <v>205342.3930206</v>
      </c>
      <c r="O22" s="127">
        <v>374000.0</v>
      </c>
      <c r="P22" s="127"/>
      <c r="Q22" s="127"/>
      <c r="R22" s="127"/>
      <c r="S22" s="127"/>
      <c r="T22" s="127"/>
      <c r="U22" s="127">
        <v>0.0</v>
      </c>
      <c r="V22" s="127">
        <v>0.0</v>
      </c>
      <c r="W22" s="127">
        <v>431.0</v>
      </c>
      <c r="X22" s="127">
        <v>133.0</v>
      </c>
      <c r="Y22" s="127">
        <v>127.0</v>
      </c>
      <c r="Z22" s="127">
        <v>74.0</v>
      </c>
      <c r="AA22" s="127">
        <v>2.0</v>
      </c>
      <c r="AB22" s="127"/>
      <c r="AC22" s="127">
        <v>4808.0</v>
      </c>
      <c r="AD22" s="127">
        <v>3254.0</v>
      </c>
      <c r="AE22" s="127">
        <v>2676.0</v>
      </c>
      <c r="AF22" s="127">
        <v>803.0</v>
      </c>
      <c r="AG22" s="127">
        <v>4.0</v>
      </c>
    </row>
    <row r="23">
      <c r="A23" s="126">
        <v>46036.0</v>
      </c>
      <c r="B23" s="127">
        <v>0.75</v>
      </c>
      <c r="C23" s="127">
        <v>3.0</v>
      </c>
      <c r="D23" s="127">
        <v>4.0</v>
      </c>
      <c r="E23" s="127">
        <v>0.0011010184420589045</v>
      </c>
      <c r="F23" s="127">
        <v>4.0</v>
      </c>
      <c r="G23" s="127">
        <v>3633.0</v>
      </c>
      <c r="H23" s="127">
        <v>31421.0</v>
      </c>
      <c r="I23" s="127">
        <v>104000.0</v>
      </c>
      <c r="J23" s="127">
        <v>416000.0</v>
      </c>
      <c r="K23" s="127">
        <v>4.0</v>
      </c>
      <c r="L23" s="127">
        <v>4.0</v>
      </c>
      <c r="M23" s="127"/>
      <c r="N23" s="127"/>
      <c r="O23" s="127">
        <v>416000.0</v>
      </c>
      <c r="P23" s="127"/>
      <c r="Q23" s="127"/>
      <c r="R23" s="127"/>
      <c r="S23" s="127"/>
      <c r="T23" s="127"/>
      <c r="U23" s="127">
        <v>0.0</v>
      </c>
      <c r="V23" s="127">
        <v>0.0</v>
      </c>
      <c r="W23" s="127">
        <v>309.0</v>
      </c>
      <c r="X23" s="127">
        <v>108.0</v>
      </c>
      <c r="Y23" s="127">
        <v>96.0</v>
      </c>
      <c r="Z23" s="127">
        <v>65.0</v>
      </c>
      <c r="AA23" s="127">
        <v>0.0</v>
      </c>
      <c r="AB23" s="127"/>
      <c r="AC23" s="127">
        <v>5971.0</v>
      </c>
      <c r="AD23" s="127">
        <v>4707.0</v>
      </c>
      <c r="AE23" s="127">
        <v>3952.0</v>
      </c>
      <c r="AF23" s="127">
        <v>935.0</v>
      </c>
      <c r="AG23" s="127">
        <v>4.0</v>
      </c>
    </row>
    <row r="24">
      <c r="A24" s="126">
        <v>46037.0</v>
      </c>
      <c r="B24" s="127">
        <v>1.0</v>
      </c>
      <c r="C24" s="127">
        <v>2.0</v>
      </c>
      <c r="D24" s="127">
        <v>2.0</v>
      </c>
      <c r="E24" s="127">
        <v>7.763975155279503E-4</v>
      </c>
      <c r="F24" s="127">
        <v>2.0</v>
      </c>
      <c r="G24" s="127">
        <v>2576.0</v>
      </c>
      <c r="H24" s="127">
        <v>27115.0</v>
      </c>
      <c r="I24" s="127">
        <v>129000.0</v>
      </c>
      <c r="J24" s="127">
        <v>258000.0</v>
      </c>
      <c r="K24" s="127">
        <v>2.0</v>
      </c>
      <c r="L24" s="127">
        <v>2.0</v>
      </c>
      <c r="M24" s="127"/>
      <c r="N24" s="127"/>
      <c r="O24" s="127">
        <v>258000.0</v>
      </c>
      <c r="P24" s="127"/>
      <c r="Q24" s="127"/>
      <c r="R24" s="127"/>
      <c r="S24" s="127"/>
      <c r="T24" s="127"/>
      <c r="U24" s="127">
        <v>0.0</v>
      </c>
      <c r="V24" s="127">
        <v>0.0</v>
      </c>
      <c r="W24" s="127">
        <v>580.0</v>
      </c>
      <c r="X24" s="127">
        <v>160.0</v>
      </c>
      <c r="Y24" s="127">
        <v>151.0</v>
      </c>
      <c r="Z24" s="127">
        <v>83.0</v>
      </c>
      <c r="AA24" s="127">
        <v>0.0</v>
      </c>
      <c r="AB24" s="127"/>
      <c r="AC24" s="127">
        <v>4345.0</v>
      </c>
      <c r="AD24" s="127">
        <v>3115.0</v>
      </c>
      <c r="AE24" s="127">
        <v>2552.0</v>
      </c>
      <c r="AF24" s="127">
        <v>729.0</v>
      </c>
      <c r="AG24" s="127">
        <v>2.0</v>
      </c>
    </row>
    <row r="25">
      <c r="A25" s="126">
        <v>46038.0</v>
      </c>
      <c r="B25" s="127">
        <v>0.5</v>
      </c>
      <c r="C25" s="127">
        <v>5.0</v>
      </c>
      <c r="D25" s="127">
        <v>10.0</v>
      </c>
      <c r="E25" s="127">
        <v>0.002680246582685607</v>
      </c>
      <c r="F25" s="127">
        <v>10.0</v>
      </c>
      <c r="G25" s="127">
        <v>3731.0</v>
      </c>
      <c r="H25" s="127">
        <v>25317.0</v>
      </c>
      <c r="I25" s="127">
        <v>63200.0</v>
      </c>
      <c r="J25" s="127">
        <v>632000.0</v>
      </c>
      <c r="K25" s="127">
        <v>10.0</v>
      </c>
      <c r="L25" s="127">
        <v>10.0</v>
      </c>
      <c r="M25" s="127"/>
      <c r="N25" s="127"/>
      <c r="O25" s="127">
        <v>632000.0</v>
      </c>
      <c r="P25" s="127"/>
      <c r="Q25" s="127"/>
      <c r="R25" s="127"/>
      <c r="S25" s="127"/>
      <c r="T25" s="127"/>
      <c r="U25" s="127">
        <v>0.0</v>
      </c>
      <c r="V25" s="127">
        <v>0.0</v>
      </c>
      <c r="W25" s="127">
        <v>417.0</v>
      </c>
      <c r="X25" s="127">
        <v>146.0</v>
      </c>
      <c r="Y25" s="127">
        <v>133.0</v>
      </c>
      <c r="Z25" s="127">
        <v>83.0</v>
      </c>
      <c r="AA25" s="127">
        <v>2.0</v>
      </c>
      <c r="AB25" s="127"/>
      <c r="AC25" s="127">
        <v>5954.0</v>
      </c>
      <c r="AD25" s="127">
        <v>4480.0</v>
      </c>
      <c r="AE25" s="127">
        <v>3658.0</v>
      </c>
      <c r="AF25" s="127">
        <v>1050.0</v>
      </c>
      <c r="AG25" s="127">
        <v>8.0</v>
      </c>
    </row>
    <row r="26">
      <c r="A26" s="126">
        <v>46039.0</v>
      </c>
      <c r="B26" s="127">
        <v>0.6666666666666666</v>
      </c>
      <c r="C26" s="127">
        <v>4.0</v>
      </c>
      <c r="D26" s="127">
        <v>6.0</v>
      </c>
      <c r="E26" s="127">
        <v>0.0024086712163789645</v>
      </c>
      <c r="F26" s="127">
        <v>6.0</v>
      </c>
      <c r="G26" s="127">
        <v>2491.0</v>
      </c>
      <c r="H26" s="127">
        <v>18386.0</v>
      </c>
      <c r="I26" s="127">
        <v>90833.33333333333</v>
      </c>
      <c r="J26" s="127">
        <v>545000.0</v>
      </c>
      <c r="K26" s="127">
        <v>6.0</v>
      </c>
      <c r="L26" s="127">
        <v>6.0</v>
      </c>
      <c r="M26" s="127"/>
      <c r="N26" s="127"/>
      <c r="O26" s="127">
        <v>545000.0</v>
      </c>
      <c r="P26" s="127"/>
      <c r="Q26" s="127"/>
      <c r="R26" s="127"/>
      <c r="S26" s="127"/>
      <c r="T26" s="127"/>
      <c r="U26" s="127">
        <v>0.0</v>
      </c>
      <c r="V26" s="127">
        <v>0.0</v>
      </c>
      <c r="W26" s="127">
        <v>531.0</v>
      </c>
      <c r="X26" s="127">
        <v>162.0</v>
      </c>
      <c r="Y26" s="127">
        <v>151.0</v>
      </c>
      <c r="Z26" s="127">
        <v>95.0</v>
      </c>
      <c r="AA26" s="127">
        <v>1.0</v>
      </c>
      <c r="AB26" s="127"/>
      <c r="AC26" s="127">
        <v>4243.0</v>
      </c>
      <c r="AD26" s="127">
        <v>2889.0</v>
      </c>
      <c r="AE26" s="127">
        <v>2391.0</v>
      </c>
      <c r="AF26" s="127">
        <v>887.0</v>
      </c>
      <c r="AG26" s="127">
        <v>5.0</v>
      </c>
    </row>
    <row r="27">
      <c r="A27" s="126">
        <v>46040.0</v>
      </c>
      <c r="B27" s="127">
        <v>0.7142857142857143</v>
      </c>
      <c r="C27" s="127">
        <v>5.0</v>
      </c>
      <c r="D27" s="127">
        <v>7.0</v>
      </c>
      <c r="E27" s="127">
        <v>0.0032679738562091504</v>
      </c>
      <c r="F27" s="127">
        <v>7.0</v>
      </c>
      <c r="G27" s="127">
        <v>2142.0</v>
      </c>
      <c r="H27" s="127">
        <v>17560.0</v>
      </c>
      <c r="I27" s="127">
        <v>100428.57142857143</v>
      </c>
      <c r="J27" s="127">
        <v>703000.0</v>
      </c>
      <c r="K27" s="127">
        <v>7.0</v>
      </c>
      <c r="L27" s="127">
        <v>7.0</v>
      </c>
      <c r="M27" s="127"/>
      <c r="N27" s="127"/>
      <c r="O27" s="127">
        <v>703000.0</v>
      </c>
      <c r="P27" s="127"/>
      <c r="Q27" s="127"/>
      <c r="R27" s="127"/>
      <c r="S27" s="127"/>
      <c r="T27" s="127"/>
      <c r="U27" s="127">
        <v>0.0</v>
      </c>
      <c r="V27" s="127">
        <v>0.0</v>
      </c>
      <c r="W27" s="127">
        <v>722.0</v>
      </c>
      <c r="X27" s="127">
        <v>149.0</v>
      </c>
      <c r="Y27" s="127">
        <v>131.0</v>
      </c>
      <c r="Z27" s="127">
        <v>83.0</v>
      </c>
      <c r="AA27" s="127">
        <v>1.0</v>
      </c>
      <c r="AB27" s="127"/>
      <c r="AC27" s="127">
        <v>3723.0</v>
      </c>
      <c r="AD27" s="127">
        <v>2519.0</v>
      </c>
      <c r="AE27" s="127">
        <v>2059.0</v>
      </c>
      <c r="AF27" s="127">
        <v>788.0</v>
      </c>
      <c r="AG27" s="127">
        <v>6.0</v>
      </c>
    </row>
    <row r="28">
      <c r="A28" s="126">
        <v>46041.0</v>
      </c>
      <c r="B28" s="127">
        <v>0.75</v>
      </c>
      <c r="C28" s="127">
        <v>6.0</v>
      </c>
      <c r="D28" s="127">
        <v>8.0</v>
      </c>
      <c r="E28" s="127">
        <v>0.0020768431983385254</v>
      </c>
      <c r="F28" s="127">
        <v>8.0</v>
      </c>
      <c r="G28" s="127">
        <v>3852.0</v>
      </c>
      <c r="H28" s="127">
        <v>23554.0</v>
      </c>
      <c r="I28" s="127">
        <v>87875.0</v>
      </c>
      <c r="J28" s="127">
        <v>703000.0</v>
      </c>
      <c r="K28" s="127">
        <v>8.0</v>
      </c>
      <c r="L28" s="127">
        <v>8.0</v>
      </c>
      <c r="M28" s="127"/>
      <c r="N28" s="127"/>
      <c r="O28" s="127">
        <v>703000.0</v>
      </c>
      <c r="P28" s="127"/>
      <c r="Q28" s="127"/>
      <c r="R28" s="127"/>
      <c r="S28" s="127"/>
      <c r="T28" s="127"/>
      <c r="U28" s="127">
        <v>0.0</v>
      </c>
      <c r="V28" s="127">
        <v>0.0</v>
      </c>
      <c r="W28" s="127">
        <v>334.0</v>
      </c>
      <c r="X28" s="127">
        <v>104.0</v>
      </c>
      <c r="Y28" s="127">
        <v>94.0</v>
      </c>
      <c r="Z28" s="127">
        <v>61.0</v>
      </c>
      <c r="AA28" s="127">
        <v>1.0</v>
      </c>
      <c r="AB28" s="127"/>
      <c r="AC28" s="127">
        <v>5931.0</v>
      </c>
      <c r="AD28" s="127">
        <v>4544.0</v>
      </c>
      <c r="AE28" s="127">
        <v>3844.0</v>
      </c>
      <c r="AF28" s="127">
        <v>1085.0</v>
      </c>
      <c r="AG28" s="127">
        <v>7.0</v>
      </c>
    </row>
    <row r="29">
      <c r="A29" s="126">
        <v>46042.0</v>
      </c>
      <c r="B29" s="127">
        <v>1.0</v>
      </c>
      <c r="C29" s="127">
        <v>9.0</v>
      </c>
      <c r="D29" s="127">
        <v>9.0</v>
      </c>
      <c r="E29" s="127">
        <v>0.0036452004860267314</v>
      </c>
      <c r="F29" s="127">
        <v>9.0</v>
      </c>
      <c r="G29" s="127">
        <v>2469.0</v>
      </c>
      <c r="H29" s="127">
        <v>19690.0</v>
      </c>
      <c r="I29" s="127">
        <v>62333.333333333336</v>
      </c>
      <c r="J29" s="127">
        <v>561000.0</v>
      </c>
      <c r="K29" s="127">
        <v>9.0</v>
      </c>
      <c r="L29" s="127">
        <v>9.0</v>
      </c>
      <c r="M29" s="127"/>
      <c r="N29" s="127"/>
      <c r="O29" s="127">
        <v>561000.0</v>
      </c>
      <c r="P29" s="127"/>
      <c r="Q29" s="127"/>
      <c r="R29" s="127"/>
      <c r="S29" s="127"/>
      <c r="T29" s="127"/>
      <c r="U29" s="127">
        <v>0.0</v>
      </c>
      <c r="V29" s="127">
        <v>0.0</v>
      </c>
      <c r="W29" s="127">
        <v>367.0</v>
      </c>
      <c r="X29" s="127">
        <v>123.0</v>
      </c>
      <c r="Y29" s="127">
        <v>114.0</v>
      </c>
      <c r="Z29" s="127">
        <v>72.0</v>
      </c>
      <c r="AA29" s="127">
        <v>1.0</v>
      </c>
      <c r="AB29" s="127"/>
      <c r="AC29" s="127">
        <v>4169.0</v>
      </c>
      <c r="AD29" s="127">
        <v>2929.0</v>
      </c>
      <c r="AE29" s="127">
        <v>2441.0</v>
      </c>
      <c r="AF29" s="127">
        <v>811.0</v>
      </c>
      <c r="AG29" s="127">
        <v>8.0</v>
      </c>
    </row>
    <row r="30">
      <c r="A30" s="126">
        <v>46043.0</v>
      </c>
      <c r="B30" s="127">
        <v>0.5</v>
      </c>
      <c r="C30" s="127">
        <v>2.0</v>
      </c>
      <c r="D30" s="127">
        <v>4.0</v>
      </c>
      <c r="E30" s="127">
        <v>0.0011022320198401765</v>
      </c>
      <c r="F30" s="127">
        <v>4.0</v>
      </c>
      <c r="G30" s="127">
        <v>3629.0</v>
      </c>
      <c r="H30" s="127">
        <v>22634.0</v>
      </c>
      <c r="I30" s="127">
        <v>79000.0</v>
      </c>
      <c r="J30" s="127">
        <v>316000.0</v>
      </c>
      <c r="K30" s="127">
        <v>4.0</v>
      </c>
      <c r="L30" s="127">
        <v>4.0</v>
      </c>
      <c r="M30" s="127"/>
      <c r="N30" s="127"/>
      <c r="O30" s="127">
        <v>316000.0</v>
      </c>
      <c r="P30" s="127"/>
      <c r="Q30" s="127"/>
      <c r="R30" s="127"/>
      <c r="S30" s="127"/>
      <c r="T30" s="127"/>
      <c r="U30" s="127">
        <v>0.0</v>
      </c>
      <c r="V30" s="127">
        <v>0.0</v>
      </c>
      <c r="W30" s="127">
        <v>396.0</v>
      </c>
      <c r="X30" s="127">
        <v>150.0</v>
      </c>
      <c r="Y30" s="127">
        <v>139.0</v>
      </c>
      <c r="Z30" s="127">
        <v>78.0</v>
      </c>
      <c r="AA30" s="127">
        <v>0.0</v>
      </c>
      <c r="AB30" s="127"/>
      <c r="AC30" s="127">
        <v>5615.0</v>
      </c>
      <c r="AD30" s="127">
        <v>4084.0</v>
      </c>
      <c r="AE30" s="127">
        <v>3616.0</v>
      </c>
      <c r="AF30" s="127">
        <v>989.0</v>
      </c>
      <c r="AG30" s="127">
        <v>4.0</v>
      </c>
    </row>
    <row r="31">
      <c r="A31" s="126">
        <v>46044.0</v>
      </c>
      <c r="B31" s="127">
        <v>1.0</v>
      </c>
      <c r="C31" s="127">
        <v>6.0</v>
      </c>
      <c r="D31" s="127">
        <v>6.0</v>
      </c>
      <c r="E31" s="127">
        <v>0.0025391451544646637</v>
      </c>
      <c r="F31" s="127">
        <v>6.0</v>
      </c>
      <c r="G31" s="127">
        <v>2363.0</v>
      </c>
      <c r="H31" s="127">
        <v>20784.0</v>
      </c>
      <c r="I31" s="127">
        <v>74166.66666666667</v>
      </c>
      <c r="J31" s="127">
        <v>445000.0</v>
      </c>
      <c r="K31" s="127">
        <v>6.0</v>
      </c>
      <c r="L31" s="127">
        <v>6.0</v>
      </c>
      <c r="M31" s="127"/>
      <c r="N31" s="127"/>
      <c r="O31" s="127">
        <v>445000.0</v>
      </c>
      <c r="P31" s="127"/>
      <c r="Q31" s="127"/>
      <c r="R31" s="127"/>
      <c r="S31" s="127"/>
      <c r="T31" s="127"/>
      <c r="U31" s="127">
        <v>0.0</v>
      </c>
      <c r="V31" s="127">
        <v>0.0</v>
      </c>
      <c r="W31" s="127">
        <v>431.0</v>
      </c>
      <c r="X31" s="127">
        <v>135.0</v>
      </c>
      <c r="Y31" s="127">
        <v>120.0</v>
      </c>
      <c r="Z31" s="127">
        <v>81.0</v>
      </c>
      <c r="AA31" s="127">
        <v>2.0</v>
      </c>
      <c r="AB31" s="127"/>
      <c r="AC31" s="127">
        <v>3803.0</v>
      </c>
      <c r="AD31" s="127">
        <v>2684.0</v>
      </c>
      <c r="AE31" s="127">
        <v>2313.0</v>
      </c>
      <c r="AF31" s="127">
        <v>747.0</v>
      </c>
      <c r="AG31" s="127">
        <v>4.0</v>
      </c>
    </row>
    <row r="32">
      <c r="A32" s="126">
        <v>46045.0</v>
      </c>
      <c r="B32" s="127">
        <v>0.6</v>
      </c>
      <c r="C32" s="127">
        <v>3.0</v>
      </c>
      <c r="D32" s="127">
        <v>5.0</v>
      </c>
      <c r="E32" s="127">
        <v>0.001492982979994028</v>
      </c>
      <c r="F32" s="127">
        <v>5.0</v>
      </c>
      <c r="G32" s="127">
        <v>3349.0</v>
      </c>
      <c r="H32" s="127">
        <v>22703.0</v>
      </c>
      <c r="I32" s="127">
        <v>69000.0</v>
      </c>
      <c r="J32" s="127">
        <v>345000.0</v>
      </c>
      <c r="K32" s="127">
        <v>5.0</v>
      </c>
      <c r="L32" s="127">
        <v>5.0</v>
      </c>
      <c r="M32" s="127"/>
      <c r="N32" s="127"/>
      <c r="O32" s="127">
        <v>345000.0</v>
      </c>
      <c r="P32" s="127"/>
      <c r="Q32" s="127"/>
      <c r="R32" s="127"/>
      <c r="S32" s="127"/>
      <c r="T32" s="127"/>
      <c r="U32" s="127">
        <v>0.0</v>
      </c>
      <c r="V32" s="127">
        <v>0.0</v>
      </c>
      <c r="W32" s="127">
        <v>439.0</v>
      </c>
      <c r="X32" s="127">
        <v>130.0</v>
      </c>
      <c r="Y32" s="127">
        <v>115.0</v>
      </c>
      <c r="Z32" s="127">
        <v>81.0</v>
      </c>
      <c r="AA32" s="127">
        <v>2.0</v>
      </c>
      <c r="AB32" s="127"/>
      <c r="AC32" s="127">
        <v>4757.0</v>
      </c>
      <c r="AD32" s="127">
        <v>3541.0</v>
      </c>
      <c r="AE32" s="127">
        <v>3332.0</v>
      </c>
      <c r="AF32" s="127">
        <v>850.0</v>
      </c>
      <c r="AG32" s="127">
        <v>3.0</v>
      </c>
    </row>
    <row r="33">
      <c r="A33" s="126">
        <v>46046.0</v>
      </c>
      <c r="B33" s="127">
        <v>0.6666666666666666</v>
      </c>
      <c r="C33" s="127">
        <v>4.0</v>
      </c>
      <c r="D33" s="127">
        <v>6.0</v>
      </c>
      <c r="E33" s="127">
        <v>0.0029225523623964927</v>
      </c>
      <c r="F33" s="127">
        <v>6.0</v>
      </c>
      <c r="G33" s="127">
        <v>2053.0</v>
      </c>
      <c r="H33" s="127">
        <v>16346.0</v>
      </c>
      <c r="I33" s="127">
        <v>112333.33333333333</v>
      </c>
      <c r="J33" s="127">
        <v>674000.0</v>
      </c>
      <c r="K33" s="127">
        <v>6.0</v>
      </c>
      <c r="L33" s="127">
        <v>6.0</v>
      </c>
      <c r="M33" s="127"/>
      <c r="N33" s="127"/>
      <c r="O33" s="127">
        <v>674000.0</v>
      </c>
      <c r="P33" s="127"/>
      <c r="Q33" s="127"/>
      <c r="R33" s="127"/>
      <c r="S33" s="127"/>
      <c r="T33" s="127"/>
      <c r="U33" s="127">
        <v>0.0</v>
      </c>
      <c r="V33" s="127">
        <v>0.0</v>
      </c>
      <c r="W33" s="127">
        <v>369.0</v>
      </c>
      <c r="X33" s="127">
        <v>102.0</v>
      </c>
      <c r="Y33" s="127">
        <v>93.0</v>
      </c>
      <c r="Z33" s="127">
        <v>54.0</v>
      </c>
      <c r="AA33" s="127">
        <v>0.0</v>
      </c>
      <c r="AB33" s="127"/>
      <c r="AC33" s="127">
        <v>3350.0</v>
      </c>
      <c r="AD33" s="127">
        <v>2258.0</v>
      </c>
      <c r="AE33" s="127">
        <v>2023.0</v>
      </c>
      <c r="AF33" s="127">
        <v>656.0</v>
      </c>
      <c r="AG33" s="127">
        <v>6.0</v>
      </c>
    </row>
    <row r="34">
      <c r="A34" s="126">
        <v>46047.0</v>
      </c>
      <c r="B34" s="127">
        <v>0.8</v>
      </c>
      <c r="C34" s="127">
        <v>4.0</v>
      </c>
      <c r="D34" s="127">
        <v>5.0</v>
      </c>
      <c r="E34" s="127">
        <v>0.002620545073375262</v>
      </c>
      <c r="F34" s="127">
        <v>5.0</v>
      </c>
      <c r="G34" s="127">
        <v>1908.0</v>
      </c>
      <c r="H34" s="127">
        <v>15934.0</v>
      </c>
      <c r="I34" s="127">
        <v>109000.0</v>
      </c>
      <c r="J34" s="127">
        <v>545000.0</v>
      </c>
      <c r="K34" s="127">
        <v>5.0</v>
      </c>
      <c r="L34" s="127">
        <v>5.0</v>
      </c>
      <c r="M34" s="127"/>
      <c r="N34" s="127"/>
      <c r="O34" s="127">
        <v>545000.0</v>
      </c>
      <c r="P34" s="127"/>
      <c r="Q34" s="127"/>
      <c r="R34" s="127"/>
      <c r="S34" s="127"/>
      <c r="T34" s="127"/>
      <c r="U34" s="127">
        <v>0.0</v>
      </c>
      <c r="V34" s="127">
        <v>0.0</v>
      </c>
      <c r="W34" s="127">
        <v>408.0</v>
      </c>
      <c r="X34" s="127">
        <v>132.0</v>
      </c>
      <c r="Y34" s="127">
        <v>117.0</v>
      </c>
      <c r="Z34" s="127">
        <v>69.0</v>
      </c>
      <c r="AA34" s="127">
        <v>1.0</v>
      </c>
      <c r="AB34" s="127"/>
      <c r="AC34" s="127">
        <v>3194.0</v>
      </c>
      <c r="AD34" s="127">
        <v>2111.0</v>
      </c>
      <c r="AE34" s="127">
        <v>1827.0</v>
      </c>
      <c r="AF34" s="127">
        <v>666.0</v>
      </c>
      <c r="AG34" s="127">
        <v>4.0</v>
      </c>
    </row>
    <row r="35">
      <c r="A35" s="126">
        <v>46048.0</v>
      </c>
      <c r="B35" s="127">
        <v>1.0</v>
      </c>
      <c r="C35" s="127">
        <v>3.0</v>
      </c>
      <c r="D35" s="127">
        <v>3.0</v>
      </c>
      <c r="E35" s="127">
        <v>0.0013157894736842105</v>
      </c>
      <c r="F35" s="127">
        <v>4.0</v>
      </c>
      <c r="G35" s="127">
        <v>3040.0</v>
      </c>
      <c r="H35" s="127">
        <v>26656.0</v>
      </c>
      <c r="I35" s="127">
        <v>54000.0</v>
      </c>
      <c r="J35" s="127">
        <v>216000.0</v>
      </c>
      <c r="K35" s="127">
        <v>4.0</v>
      </c>
      <c r="L35" s="127">
        <v>4.0</v>
      </c>
      <c r="M35" s="127"/>
      <c r="N35" s="127"/>
      <c r="O35" s="127">
        <v>216000.0</v>
      </c>
      <c r="P35" s="127"/>
      <c r="Q35" s="127"/>
      <c r="R35" s="127"/>
      <c r="S35" s="127"/>
      <c r="T35" s="127"/>
      <c r="U35" s="127">
        <v>0.0</v>
      </c>
      <c r="V35" s="127">
        <v>0.0</v>
      </c>
      <c r="W35" s="127">
        <v>572.0</v>
      </c>
      <c r="X35" s="127">
        <v>165.0</v>
      </c>
      <c r="Y35" s="127">
        <v>152.0</v>
      </c>
      <c r="Z35" s="127">
        <v>87.0</v>
      </c>
      <c r="AA35" s="127">
        <v>0.0</v>
      </c>
      <c r="AB35" s="127"/>
      <c r="AC35" s="127">
        <v>4815.0</v>
      </c>
      <c r="AD35" s="127">
        <v>3446.0</v>
      </c>
      <c r="AE35" s="127">
        <v>3523.0</v>
      </c>
      <c r="AF35" s="127">
        <v>957.0</v>
      </c>
      <c r="AG35" s="127">
        <v>4.0</v>
      </c>
    </row>
    <row r="36">
      <c r="A36" s="126">
        <v>46049.0</v>
      </c>
      <c r="B36" s="127">
        <v>0.5</v>
      </c>
      <c r="C36" s="127">
        <v>2.0</v>
      </c>
      <c r="D36" s="127">
        <v>4.0</v>
      </c>
      <c r="E36" s="127">
        <v>0.001851851851851852</v>
      </c>
      <c r="F36" s="127">
        <v>4.0</v>
      </c>
      <c r="G36" s="127">
        <v>2160.0</v>
      </c>
      <c r="H36" s="127">
        <v>23523.0</v>
      </c>
      <c r="I36" s="127">
        <v>14500.0</v>
      </c>
      <c r="J36" s="127">
        <v>58000.0</v>
      </c>
      <c r="K36" s="127">
        <v>4.0</v>
      </c>
      <c r="L36" s="127">
        <v>4.0</v>
      </c>
      <c r="M36" s="127"/>
      <c r="N36" s="127"/>
      <c r="O36" s="127">
        <v>58000.0</v>
      </c>
      <c r="P36" s="127"/>
      <c r="Q36" s="127"/>
      <c r="R36" s="127"/>
      <c r="S36" s="127"/>
      <c r="T36" s="127"/>
      <c r="U36" s="127">
        <v>0.0</v>
      </c>
      <c r="V36" s="127">
        <v>0.0</v>
      </c>
      <c r="W36" s="127">
        <v>513.0</v>
      </c>
      <c r="X36" s="127">
        <v>146.0</v>
      </c>
      <c r="Y36" s="127">
        <v>132.0</v>
      </c>
      <c r="Z36" s="127">
        <v>82.0</v>
      </c>
      <c r="AA36" s="127">
        <v>1.0</v>
      </c>
      <c r="AB36" s="127"/>
      <c r="AC36" s="127">
        <v>3623.0</v>
      </c>
      <c r="AD36" s="127">
        <v>2253.0</v>
      </c>
      <c r="AE36" s="127">
        <v>2253.0</v>
      </c>
      <c r="AF36" s="127">
        <v>720.0</v>
      </c>
      <c r="AG36" s="127">
        <v>3.0</v>
      </c>
    </row>
    <row r="37">
      <c r="A37" s="126">
        <v>46050.0</v>
      </c>
      <c r="B37" s="127">
        <v>0.25</v>
      </c>
      <c r="C37" s="127">
        <v>1.0</v>
      </c>
      <c r="D37" s="127">
        <v>4.0</v>
      </c>
      <c r="E37" s="127">
        <v>0.001105888858169754</v>
      </c>
      <c r="F37" s="127">
        <v>4.0</v>
      </c>
      <c r="G37" s="127">
        <v>3617.0</v>
      </c>
      <c r="H37" s="127">
        <v>29111.0</v>
      </c>
      <c r="I37" s="127">
        <v>79000.0</v>
      </c>
      <c r="J37" s="127">
        <v>316000.0</v>
      </c>
      <c r="K37" s="127">
        <v>4.0</v>
      </c>
      <c r="L37" s="127">
        <v>4.0</v>
      </c>
      <c r="M37" s="127"/>
      <c r="N37" s="127"/>
      <c r="O37" s="127">
        <v>316000.0</v>
      </c>
      <c r="P37" s="127"/>
      <c r="Q37" s="127"/>
      <c r="R37" s="127"/>
      <c r="S37" s="127"/>
      <c r="T37" s="127"/>
      <c r="U37" s="127">
        <v>0.0</v>
      </c>
      <c r="V37" s="127">
        <v>0.0</v>
      </c>
      <c r="W37" s="127">
        <v>687.0</v>
      </c>
      <c r="X37" s="127">
        <v>194.0</v>
      </c>
      <c r="Y37" s="127">
        <v>166.0</v>
      </c>
      <c r="Z37" s="127">
        <v>107.0</v>
      </c>
      <c r="AA37" s="127">
        <v>1.0</v>
      </c>
      <c r="AB37" s="127"/>
      <c r="AC37" s="127">
        <v>5077.0</v>
      </c>
      <c r="AD37" s="127">
        <v>3366.0</v>
      </c>
      <c r="AE37" s="127">
        <v>3452.0</v>
      </c>
      <c r="AF37" s="127">
        <v>913.0</v>
      </c>
      <c r="AG37" s="127">
        <v>3.0</v>
      </c>
    </row>
    <row r="38">
      <c r="A38" s="126">
        <v>46051.0</v>
      </c>
      <c r="B38" s="127">
        <v>0.5</v>
      </c>
      <c r="C38" s="127">
        <v>3.0</v>
      </c>
      <c r="D38" s="127">
        <v>6.0</v>
      </c>
      <c r="E38" s="127">
        <v>0.002589555459646094</v>
      </c>
      <c r="F38" s="127">
        <v>6.0</v>
      </c>
      <c r="G38" s="127">
        <v>2317.0</v>
      </c>
      <c r="H38" s="127">
        <v>22153.0</v>
      </c>
      <c r="I38" s="127">
        <v>52666.666666666664</v>
      </c>
      <c r="J38" s="127">
        <v>316000.0</v>
      </c>
      <c r="K38" s="127">
        <v>6.0</v>
      </c>
      <c r="L38" s="127">
        <v>6.0</v>
      </c>
      <c r="M38" s="127"/>
      <c r="N38" s="127"/>
      <c r="O38" s="127">
        <v>316000.0</v>
      </c>
      <c r="P38" s="127"/>
      <c r="Q38" s="127"/>
      <c r="R38" s="127"/>
      <c r="S38" s="127"/>
      <c r="T38" s="127"/>
      <c r="U38" s="127">
        <v>0.0</v>
      </c>
      <c r="V38" s="127">
        <v>0.0</v>
      </c>
      <c r="W38" s="127">
        <v>628.0</v>
      </c>
      <c r="X38" s="127">
        <v>176.0</v>
      </c>
      <c r="Y38" s="127">
        <v>162.0</v>
      </c>
      <c r="Z38" s="127">
        <v>93.0</v>
      </c>
      <c r="AA38" s="127">
        <v>2.0</v>
      </c>
      <c r="AB38" s="127"/>
      <c r="AC38" s="127">
        <v>3551.0</v>
      </c>
      <c r="AD38" s="127">
        <v>2229.0</v>
      </c>
      <c r="AE38" s="127">
        <v>2157.0</v>
      </c>
      <c r="AF38" s="127">
        <v>741.0</v>
      </c>
      <c r="AG38" s="127">
        <v>4.0</v>
      </c>
    </row>
    <row r="39">
      <c r="A39" s="126">
        <v>46052.0</v>
      </c>
      <c r="B39" s="127">
        <v>0.6</v>
      </c>
      <c r="C39" s="127">
        <v>3.0</v>
      </c>
      <c r="D39" s="127">
        <v>5.0</v>
      </c>
      <c r="E39" s="127">
        <v>0.0027305825242718447</v>
      </c>
      <c r="F39" s="127">
        <v>9.0</v>
      </c>
      <c r="G39" s="127">
        <v>3296.0</v>
      </c>
      <c r="H39" s="127">
        <v>21859.0</v>
      </c>
      <c r="I39" s="127">
        <v>48000.0</v>
      </c>
      <c r="J39" s="127">
        <v>432000.0</v>
      </c>
      <c r="K39" s="127">
        <v>9.0</v>
      </c>
      <c r="L39" s="127">
        <v>9.0</v>
      </c>
      <c r="M39" s="127"/>
      <c r="N39" s="127"/>
      <c r="O39" s="127">
        <v>432000.0</v>
      </c>
      <c r="P39" s="127"/>
      <c r="Q39" s="127"/>
      <c r="R39" s="127"/>
      <c r="S39" s="127"/>
      <c r="T39" s="127"/>
      <c r="U39" s="127">
        <v>0.0</v>
      </c>
      <c r="V39" s="127">
        <v>0.0</v>
      </c>
      <c r="W39" s="127">
        <v>600.0</v>
      </c>
      <c r="X39" s="127">
        <v>183.0</v>
      </c>
      <c r="Y39" s="127">
        <v>165.0</v>
      </c>
      <c r="Z39" s="127">
        <v>101.0</v>
      </c>
      <c r="AA39" s="127">
        <v>0.0</v>
      </c>
      <c r="AB39" s="127"/>
      <c r="AC39" s="127">
        <v>4698.0</v>
      </c>
      <c r="AD39" s="127">
        <v>2892.0</v>
      </c>
      <c r="AE39" s="127">
        <v>3133.0</v>
      </c>
      <c r="AF39" s="127">
        <v>797.0</v>
      </c>
      <c r="AG39" s="127">
        <v>9.0</v>
      </c>
    </row>
    <row r="40">
      <c r="A40" s="126">
        <v>46053.0</v>
      </c>
      <c r="B40" s="127"/>
      <c r="C40" s="127">
        <v>0.0</v>
      </c>
      <c r="D40" s="127">
        <v>0.0</v>
      </c>
      <c r="E40" s="127">
        <v>4.768717215069146E-4</v>
      </c>
      <c r="F40" s="127">
        <v>1.0</v>
      </c>
      <c r="G40" s="127">
        <v>2097.0</v>
      </c>
      <c r="H40" s="127">
        <v>15882.0</v>
      </c>
      <c r="I40" s="127">
        <v>29000.0</v>
      </c>
      <c r="J40" s="127">
        <v>29000.0</v>
      </c>
      <c r="K40" s="127">
        <v>1.0</v>
      </c>
      <c r="L40" s="127">
        <v>1.0</v>
      </c>
      <c r="M40" s="127"/>
      <c r="N40" s="127"/>
      <c r="O40" s="127">
        <v>29000.0</v>
      </c>
      <c r="P40" s="127"/>
      <c r="Q40" s="127"/>
      <c r="R40" s="127"/>
      <c r="S40" s="127"/>
      <c r="T40" s="127"/>
      <c r="U40" s="127">
        <v>0.0</v>
      </c>
      <c r="V40" s="127">
        <v>0.0</v>
      </c>
      <c r="W40" s="127">
        <v>495.0</v>
      </c>
      <c r="X40" s="127">
        <v>154.0</v>
      </c>
      <c r="Y40" s="127">
        <v>146.0</v>
      </c>
      <c r="Z40" s="127">
        <v>88.0</v>
      </c>
      <c r="AA40" s="127">
        <v>0.0</v>
      </c>
      <c r="AB40" s="127"/>
      <c r="AC40" s="127">
        <v>3400.0</v>
      </c>
      <c r="AD40" s="127">
        <v>1975.0</v>
      </c>
      <c r="AE40" s="127">
        <v>1951.0</v>
      </c>
      <c r="AF40" s="127">
        <v>620.0</v>
      </c>
      <c r="AG40" s="127">
        <v>1.0</v>
      </c>
    </row>
    <row r="41">
      <c r="A41" s="126">
        <v>46054.0</v>
      </c>
      <c r="B41" s="127">
        <v>1.0</v>
      </c>
      <c r="C41" s="127">
        <v>1.0</v>
      </c>
      <c r="D41" s="127">
        <v>1.0</v>
      </c>
      <c r="E41" s="127">
        <v>0.0021019442984760903</v>
      </c>
      <c r="F41" s="127">
        <v>4.0</v>
      </c>
      <c r="G41" s="127">
        <v>1903.0</v>
      </c>
      <c r="H41" s="127">
        <v>14503.0</v>
      </c>
      <c r="I41" s="127">
        <v>79000.0</v>
      </c>
      <c r="J41" s="127">
        <v>316000.0</v>
      </c>
      <c r="K41" s="127">
        <v>4.0</v>
      </c>
      <c r="L41" s="127">
        <v>4.0</v>
      </c>
      <c r="M41" s="127"/>
      <c r="N41" s="127"/>
      <c r="O41" s="127">
        <v>316000.0</v>
      </c>
      <c r="P41" s="127"/>
      <c r="Q41" s="127"/>
      <c r="R41" s="127"/>
      <c r="S41" s="127"/>
      <c r="T41" s="127"/>
      <c r="U41" s="127">
        <v>0.0</v>
      </c>
      <c r="V41" s="127">
        <v>0.0</v>
      </c>
      <c r="W41" s="127">
        <v>690.0</v>
      </c>
      <c r="X41" s="127">
        <v>166.0</v>
      </c>
      <c r="Y41" s="127">
        <v>155.0</v>
      </c>
      <c r="Z41" s="127">
        <v>79.0</v>
      </c>
      <c r="AA41" s="127">
        <v>0.0</v>
      </c>
      <c r="AB41" s="127"/>
      <c r="AC41" s="127">
        <v>3151.0</v>
      </c>
      <c r="AD41" s="127">
        <v>1830.0</v>
      </c>
      <c r="AE41" s="127">
        <v>1748.0</v>
      </c>
      <c r="AF41" s="127">
        <v>588.0</v>
      </c>
      <c r="AG41" s="127">
        <v>4.0</v>
      </c>
    </row>
    <row r="42">
      <c r="A42" s="126">
        <v>46055.0</v>
      </c>
      <c r="B42" s="127">
        <v>0.6666666666666666</v>
      </c>
      <c r="C42" s="127">
        <v>4.0</v>
      </c>
      <c r="D42" s="127">
        <v>6.0</v>
      </c>
      <c r="E42" s="127">
        <v>0.0023619722468261</v>
      </c>
      <c r="F42" s="127">
        <v>8.0</v>
      </c>
      <c r="G42" s="127">
        <v>3387.0</v>
      </c>
      <c r="H42" s="127">
        <v>22506.0</v>
      </c>
      <c r="I42" s="127">
        <v>75375.0</v>
      </c>
      <c r="J42" s="127">
        <v>603000.0</v>
      </c>
      <c r="K42" s="127">
        <v>8.0</v>
      </c>
      <c r="L42" s="127">
        <v>8.0</v>
      </c>
      <c r="M42" s="127"/>
      <c r="N42" s="127"/>
      <c r="O42" s="127">
        <v>603000.0</v>
      </c>
      <c r="P42" s="127"/>
      <c r="Q42" s="127"/>
      <c r="R42" s="127"/>
      <c r="S42" s="127"/>
      <c r="T42" s="127"/>
      <c r="U42" s="127">
        <v>0.0</v>
      </c>
      <c r="V42" s="127">
        <v>0.0</v>
      </c>
      <c r="W42" s="127">
        <v>519.0</v>
      </c>
      <c r="X42" s="127">
        <v>161.0</v>
      </c>
      <c r="Y42" s="127">
        <v>148.0</v>
      </c>
      <c r="Z42" s="127">
        <v>90.0</v>
      </c>
      <c r="AA42" s="127">
        <v>0.0</v>
      </c>
      <c r="AB42" s="127"/>
      <c r="AC42" s="127">
        <v>4925.0</v>
      </c>
      <c r="AD42" s="127">
        <v>2963.0</v>
      </c>
      <c r="AE42" s="127">
        <v>3240.0</v>
      </c>
      <c r="AF42" s="127">
        <v>897.0</v>
      </c>
      <c r="AG42" s="127">
        <v>8.0</v>
      </c>
    </row>
    <row r="43">
      <c r="A43" s="126">
        <v>46056.0</v>
      </c>
      <c r="B43" s="127">
        <v>1.0</v>
      </c>
      <c r="C43" s="127">
        <v>3.0</v>
      </c>
      <c r="D43" s="127">
        <v>3.0</v>
      </c>
      <c r="E43" s="127">
        <v>0.0040650406504065045</v>
      </c>
      <c r="F43" s="127">
        <v>8.0</v>
      </c>
      <c r="G43" s="127">
        <v>1968.0</v>
      </c>
      <c r="H43" s="127">
        <v>23996.0</v>
      </c>
      <c r="I43" s="127">
        <v>46750.0</v>
      </c>
      <c r="J43" s="127">
        <v>374000.0</v>
      </c>
      <c r="K43" s="127">
        <v>8.0</v>
      </c>
      <c r="L43" s="127">
        <v>8.0</v>
      </c>
      <c r="M43" s="127"/>
      <c r="N43" s="127"/>
      <c r="O43" s="127">
        <v>374000.0</v>
      </c>
      <c r="P43" s="127"/>
      <c r="Q43" s="127"/>
      <c r="R43" s="127"/>
      <c r="S43" s="127"/>
      <c r="T43" s="127"/>
      <c r="U43" s="127">
        <v>0.0</v>
      </c>
      <c r="V43" s="127">
        <v>0.0</v>
      </c>
      <c r="W43" s="127">
        <v>638.0</v>
      </c>
      <c r="X43" s="127">
        <v>154.0</v>
      </c>
      <c r="Y43" s="127">
        <v>136.0</v>
      </c>
      <c r="Z43" s="127">
        <v>89.0</v>
      </c>
      <c r="AA43" s="127">
        <v>0.0</v>
      </c>
      <c r="AB43" s="127"/>
      <c r="AC43" s="127">
        <v>3301.0</v>
      </c>
      <c r="AD43" s="127">
        <v>2180.0</v>
      </c>
      <c r="AE43" s="127">
        <v>2191.0</v>
      </c>
      <c r="AF43" s="127">
        <v>651.0</v>
      </c>
      <c r="AG43" s="127">
        <v>8.0</v>
      </c>
    </row>
    <row r="44">
      <c r="A44" s="126">
        <v>46057.0</v>
      </c>
      <c r="B44" s="127">
        <v>0.75</v>
      </c>
      <c r="C44" s="127">
        <v>3.0</v>
      </c>
      <c r="D44" s="127">
        <v>4.0</v>
      </c>
      <c r="E44" s="127">
        <v>0.001816860465116279</v>
      </c>
      <c r="F44" s="127">
        <v>5.0</v>
      </c>
      <c r="G44" s="127">
        <v>2752.0</v>
      </c>
      <c r="H44" s="127">
        <v>16768.0</v>
      </c>
      <c r="I44" s="127">
        <v>89000.0</v>
      </c>
      <c r="J44" s="127">
        <v>445000.0</v>
      </c>
      <c r="K44" s="127">
        <v>5.0</v>
      </c>
      <c r="L44" s="127">
        <v>5.0</v>
      </c>
      <c r="M44" s="127"/>
      <c r="N44" s="127"/>
      <c r="O44" s="127">
        <v>445000.0</v>
      </c>
      <c r="P44" s="127"/>
      <c r="Q44" s="127"/>
      <c r="R44" s="127"/>
      <c r="S44" s="127"/>
      <c r="T44" s="127"/>
      <c r="U44" s="127">
        <v>0.0</v>
      </c>
      <c r="V44" s="127">
        <v>0.0</v>
      </c>
      <c r="W44" s="127">
        <v>568.0</v>
      </c>
      <c r="X44" s="127">
        <v>136.0</v>
      </c>
      <c r="Y44" s="127">
        <v>127.0</v>
      </c>
      <c r="Z44" s="127">
        <v>75.0</v>
      </c>
      <c r="AA44" s="127">
        <v>0.0</v>
      </c>
      <c r="AB44" s="127"/>
      <c r="AC44" s="127">
        <v>4104.0</v>
      </c>
      <c r="AD44" s="127">
        <v>3152.0</v>
      </c>
      <c r="AE44" s="127">
        <v>3202.0</v>
      </c>
      <c r="AF44" s="127">
        <v>989.0</v>
      </c>
      <c r="AG44" s="127">
        <v>5.0</v>
      </c>
    </row>
    <row r="45">
      <c r="A45" s="126">
        <v>46058.0</v>
      </c>
      <c r="B45" s="127">
        <v>0.8</v>
      </c>
      <c r="C45" s="127">
        <v>4.0</v>
      </c>
      <c r="D45" s="127">
        <v>5.0</v>
      </c>
      <c r="E45" s="127">
        <v>0.0046130189646335215</v>
      </c>
      <c r="F45" s="127">
        <v>9.0</v>
      </c>
      <c r="G45" s="127">
        <v>1951.0</v>
      </c>
      <c r="H45" s="127">
        <v>13258.0</v>
      </c>
      <c r="I45" s="127">
        <v>59111.11111111111</v>
      </c>
      <c r="J45" s="127">
        <v>532000.0</v>
      </c>
      <c r="K45" s="127">
        <v>9.0</v>
      </c>
      <c r="L45" s="127">
        <v>9.0</v>
      </c>
      <c r="M45" s="127"/>
      <c r="N45" s="127"/>
      <c r="O45" s="127">
        <v>532000.0</v>
      </c>
      <c r="P45" s="127"/>
      <c r="Q45" s="127"/>
      <c r="R45" s="127"/>
      <c r="S45" s="127"/>
      <c r="T45" s="127"/>
      <c r="U45" s="127">
        <v>0.0</v>
      </c>
      <c r="V45" s="127">
        <v>0.0</v>
      </c>
      <c r="W45" s="127">
        <v>614.0</v>
      </c>
      <c r="X45" s="127">
        <v>159.0</v>
      </c>
      <c r="Y45" s="127">
        <v>145.0</v>
      </c>
      <c r="Z45" s="127">
        <v>87.0</v>
      </c>
      <c r="AA45" s="127">
        <v>1.0</v>
      </c>
      <c r="AB45" s="127"/>
      <c r="AC45" s="127">
        <v>3097.0</v>
      </c>
      <c r="AD45" s="127">
        <v>2183.0</v>
      </c>
      <c r="AE45" s="127">
        <v>2035.0</v>
      </c>
      <c r="AF45" s="127">
        <v>768.0</v>
      </c>
      <c r="AG45" s="127">
        <v>8.0</v>
      </c>
    </row>
    <row r="46">
      <c r="A46" s="126">
        <v>46059.0</v>
      </c>
      <c r="B46" s="127">
        <v>0.8333333333333334</v>
      </c>
      <c r="C46" s="127">
        <v>5.0</v>
      </c>
      <c r="D46" s="127">
        <v>6.0</v>
      </c>
      <c r="E46" s="127">
        <v>0.002259036144578313</v>
      </c>
      <c r="F46" s="127">
        <v>6.0</v>
      </c>
      <c r="G46" s="127">
        <v>2656.0</v>
      </c>
      <c r="H46" s="127">
        <v>15394.0</v>
      </c>
      <c r="I46" s="127">
        <v>95666.66666666667</v>
      </c>
      <c r="J46" s="127">
        <v>574000.0</v>
      </c>
      <c r="K46" s="127">
        <v>6.0</v>
      </c>
      <c r="L46" s="127">
        <v>6.0</v>
      </c>
      <c r="M46" s="127"/>
      <c r="N46" s="127"/>
      <c r="O46" s="127">
        <v>574000.0</v>
      </c>
      <c r="P46" s="127"/>
      <c r="Q46" s="127"/>
      <c r="R46" s="127"/>
      <c r="S46" s="127"/>
      <c r="T46" s="127"/>
      <c r="U46" s="127">
        <v>0.0</v>
      </c>
      <c r="V46" s="127">
        <v>0.0</v>
      </c>
      <c r="W46" s="127">
        <v>402.0</v>
      </c>
      <c r="X46" s="127">
        <v>117.0</v>
      </c>
      <c r="Y46" s="127">
        <v>110.0</v>
      </c>
      <c r="Z46" s="127">
        <v>58.0</v>
      </c>
      <c r="AA46" s="127">
        <v>1.0</v>
      </c>
      <c r="AB46" s="127"/>
      <c r="AC46" s="127">
        <v>3952.0</v>
      </c>
      <c r="AD46" s="127">
        <v>3123.0</v>
      </c>
      <c r="AE46" s="127">
        <v>3024.0</v>
      </c>
      <c r="AF46" s="127">
        <v>836.0</v>
      </c>
      <c r="AG46" s="127">
        <v>5.0</v>
      </c>
    </row>
    <row r="47">
      <c r="A47" s="126">
        <v>46060.0</v>
      </c>
      <c r="B47" s="127">
        <v>0.6</v>
      </c>
      <c r="C47" s="127">
        <v>3.0</v>
      </c>
      <c r="D47" s="127">
        <v>5.0</v>
      </c>
      <c r="E47" s="127">
        <v>0.003500583430571762</v>
      </c>
      <c r="F47" s="127">
        <v>6.0</v>
      </c>
      <c r="G47" s="127">
        <v>1714.0</v>
      </c>
      <c r="H47" s="127">
        <v>11289.0</v>
      </c>
      <c r="I47" s="127">
        <v>112333.33333333333</v>
      </c>
      <c r="J47" s="127">
        <v>674000.0</v>
      </c>
      <c r="K47" s="127">
        <v>6.0</v>
      </c>
      <c r="L47" s="127">
        <v>6.0</v>
      </c>
      <c r="M47" s="127"/>
      <c r="N47" s="127"/>
      <c r="O47" s="127">
        <v>674000.0</v>
      </c>
      <c r="P47" s="127"/>
      <c r="Q47" s="127"/>
      <c r="R47" s="127"/>
      <c r="S47" s="127"/>
      <c r="T47" s="127"/>
      <c r="U47" s="127">
        <v>0.0</v>
      </c>
      <c r="V47" s="127">
        <v>0.0</v>
      </c>
      <c r="W47" s="127">
        <v>556.0</v>
      </c>
      <c r="X47" s="127">
        <v>134.0</v>
      </c>
      <c r="Y47" s="127">
        <v>121.0</v>
      </c>
      <c r="Z47" s="127">
        <v>79.0</v>
      </c>
      <c r="AA47" s="127">
        <v>0.0</v>
      </c>
      <c r="AB47" s="127"/>
      <c r="AC47" s="127">
        <v>2871.0</v>
      </c>
      <c r="AD47" s="127">
        <v>1960.0</v>
      </c>
      <c r="AE47" s="127">
        <v>1856.0</v>
      </c>
      <c r="AF47" s="127">
        <v>620.0</v>
      </c>
      <c r="AG47" s="127">
        <v>6.0</v>
      </c>
    </row>
    <row r="48">
      <c r="A48" s="126">
        <v>46061.0</v>
      </c>
      <c r="B48" s="127">
        <v>0.875</v>
      </c>
      <c r="C48" s="127">
        <v>7.0</v>
      </c>
      <c r="D48" s="127">
        <v>8.0</v>
      </c>
      <c r="E48" s="127">
        <v>0.006658595641646489</v>
      </c>
      <c r="F48" s="127">
        <v>11.0</v>
      </c>
      <c r="G48" s="127">
        <v>1652.0</v>
      </c>
      <c r="H48" s="127">
        <v>11816.0</v>
      </c>
      <c r="I48" s="127">
        <v>78272.72727272728</v>
      </c>
      <c r="J48" s="127">
        <v>861000.0</v>
      </c>
      <c r="K48" s="127">
        <v>11.0</v>
      </c>
      <c r="L48" s="127">
        <v>11.0</v>
      </c>
      <c r="M48" s="127"/>
      <c r="N48" s="127"/>
      <c r="O48" s="127">
        <v>861000.0</v>
      </c>
      <c r="P48" s="127"/>
      <c r="Q48" s="127"/>
      <c r="R48" s="127"/>
      <c r="S48" s="127"/>
      <c r="T48" s="127"/>
      <c r="U48" s="127">
        <v>0.0</v>
      </c>
      <c r="V48" s="127">
        <v>0.0</v>
      </c>
      <c r="W48" s="127">
        <v>810.0</v>
      </c>
      <c r="X48" s="127">
        <v>210.0</v>
      </c>
      <c r="Y48" s="127">
        <v>188.0</v>
      </c>
      <c r="Z48" s="127">
        <v>104.0</v>
      </c>
      <c r="AA48" s="127">
        <v>2.0</v>
      </c>
      <c r="AB48" s="127"/>
      <c r="AC48" s="127">
        <v>2833.0</v>
      </c>
      <c r="AD48" s="127">
        <v>1814.0</v>
      </c>
      <c r="AE48" s="127">
        <v>1671.0</v>
      </c>
      <c r="AF48" s="127">
        <v>610.0</v>
      </c>
      <c r="AG48" s="127">
        <v>9.0</v>
      </c>
    </row>
    <row r="49">
      <c r="A49" s="126">
        <v>46062.0</v>
      </c>
      <c r="B49" s="127">
        <v>0.5</v>
      </c>
      <c r="C49" s="127">
        <v>2.0</v>
      </c>
      <c r="D49" s="127">
        <v>4.0</v>
      </c>
      <c r="E49" s="127">
        <v>0.001718213058419244</v>
      </c>
      <c r="F49" s="127">
        <v>5.0</v>
      </c>
      <c r="G49" s="127">
        <v>2910.0</v>
      </c>
      <c r="H49" s="127">
        <v>17432.0</v>
      </c>
      <c r="I49" s="127">
        <v>49000.0</v>
      </c>
      <c r="J49" s="127">
        <v>245000.0</v>
      </c>
      <c r="K49" s="127">
        <v>5.0</v>
      </c>
      <c r="L49" s="127">
        <v>5.0</v>
      </c>
      <c r="M49" s="127"/>
      <c r="N49" s="127"/>
      <c r="O49" s="127">
        <v>245000.0</v>
      </c>
      <c r="P49" s="127"/>
      <c r="Q49" s="127"/>
      <c r="R49" s="127"/>
      <c r="S49" s="127"/>
      <c r="T49" s="127"/>
      <c r="U49" s="127">
        <v>0.0</v>
      </c>
      <c r="V49" s="127">
        <v>0.0</v>
      </c>
      <c r="W49" s="127">
        <v>714.0</v>
      </c>
      <c r="X49" s="127">
        <v>178.0</v>
      </c>
      <c r="Y49" s="127">
        <v>162.0</v>
      </c>
      <c r="Z49" s="127">
        <v>101.0</v>
      </c>
      <c r="AA49" s="127">
        <v>0.0</v>
      </c>
      <c r="AB49" s="127"/>
      <c r="AC49" s="127">
        <v>4352.0</v>
      </c>
      <c r="AD49" s="127">
        <v>3346.0</v>
      </c>
      <c r="AE49" s="127">
        <v>3191.0</v>
      </c>
      <c r="AF49" s="127">
        <v>912.0</v>
      </c>
      <c r="AG49" s="127">
        <v>5.0</v>
      </c>
    </row>
    <row r="50">
      <c r="A50" s="126">
        <v>46063.0</v>
      </c>
      <c r="B50" s="127">
        <v>1.0</v>
      </c>
      <c r="C50" s="127">
        <v>1.0</v>
      </c>
      <c r="D50" s="127">
        <v>1.0</v>
      </c>
      <c r="E50" s="127">
        <v>5.205622071837585E-4</v>
      </c>
      <c r="F50" s="127">
        <v>1.0</v>
      </c>
      <c r="G50" s="127">
        <v>1921.0</v>
      </c>
      <c r="H50" s="127">
        <v>13037.0</v>
      </c>
      <c r="I50" s="127">
        <v>129000.0</v>
      </c>
      <c r="J50" s="127">
        <v>129000.0</v>
      </c>
      <c r="K50" s="127">
        <v>1.0</v>
      </c>
      <c r="L50" s="127">
        <v>1.0</v>
      </c>
      <c r="M50" s="127"/>
      <c r="N50" s="127"/>
      <c r="O50" s="127">
        <v>129000.0</v>
      </c>
      <c r="P50" s="127"/>
      <c r="Q50" s="127"/>
      <c r="R50" s="127"/>
      <c r="S50" s="127"/>
      <c r="T50" s="127"/>
      <c r="U50" s="127">
        <v>0.0</v>
      </c>
      <c r="V50" s="127">
        <v>0.0</v>
      </c>
      <c r="W50" s="127">
        <v>595.0</v>
      </c>
      <c r="X50" s="127">
        <v>123.0</v>
      </c>
      <c r="Y50" s="127">
        <v>114.0</v>
      </c>
      <c r="Z50" s="127">
        <v>51.0</v>
      </c>
      <c r="AA50" s="127">
        <v>0.0</v>
      </c>
      <c r="AB50" s="127"/>
      <c r="AC50" s="127">
        <v>3150.0</v>
      </c>
      <c r="AD50" s="127">
        <v>2212.0</v>
      </c>
      <c r="AE50" s="127">
        <v>2026.0</v>
      </c>
      <c r="AF50" s="127">
        <v>703.0</v>
      </c>
      <c r="AG50" s="127">
        <v>1.0</v>
      </c>
    </row>
    <row r="51">
      <c r="A51" s="126">
        <v>46064.0</v>
      </c>
      <c r="B51" s="127">
        <v>0.75</v>
      </c>
      <c r="C51" s="127">
        <v>3.0</v>
      </c>
      <c r="D51" s="127">
        <v>4.0</v>
      </c>
      <c r="E51" s="127">
        <v>0.001832172957127153</v>
      </c>
      <c r="F51" s="127">
        <v>5.0</v>
      </c>
      <c r="G51" s="127">
        <v>2729.0</v>
      </c>
      <c r="H51" s="127">
        <v>16350.0</v>
      </c>
      <c r="I51" s="127">
        <v>69000.0</v>
      </c>
      <c r="J51" s="127">
        <v>345000.0</v>
      </c>
      <c r="K51" s="127">
        <v>5.0</v>
      </c>
      <c r="L51" s="127">
        <v>5.0</v>
      </c>
      <c r="M51" s="127"/>
      <c r="N51" s="127"/>
      <c r="O51" s="127">
        <v>345000.0</v>
      </c>
      <c r="P51" s="127"/>
      <c r="Q51" s="127"/>
      <c r="R51" s="127"/>
      <c r="S51" s="127"/>
      <c r="T51" s="127"/>
      <c r="U51" s="127">
        <v>0.0</v>
      </c>
      <c r="V51" s="127">
        <v>0.0</v>
      </c>
      <c r="W51" s="127">
        <v>707.0</v>
      </c>
      <c r="X51" s="127">
        <v>192.0</v>
      </c>
      <c r="Y51" s="127">
        <v>180.0</v>
      </c>
      <c r="Z51" s="127">
        <v>106.0</v>
      </c>
      <c r="AA51" s="127">
        <v>0.0</v>
      </c>
      <c r="AB51" s="127"/>
      <c r="AC51" s="127">
        <v>4055.0</v>
      </c>
      <c r="AD51" s="127">
        <v>3101.0</v>
      </c>
      <c r="AE51" s="127">
        <v>2898.0</v>
      </c>
      <c r="AF51" s="127">
        <v>799.0</v>
      </c>
      <c r="AG51" s="127">
        <v>5.0</v>
      </c>
    </row>
    <row r="52">
      <c r="A52" s="126">
        <v>46065.0</v>
      </c>
      <c r="B52" s="127">
        <v>0.5</v>
      </c>
      <c r="C52" s="127">
        <v>1.0</v>
      </c>
      <c r="D52" s="127">
        <v>2.0</v>
      </c>
      <c r="E52" s="127">
        <v>0.0034602076124567475</v>
      </c>
      <c r="F52" s="127">
        <v>6.0</v>
      </c>
      <c r="G52" s="127">
        <v>1734.0</v>
      </c>
      <c r="H52" s="127">
        <v>11237.0</v>
      </c>
      <c r="I52" s="127">
        <v>45666.666666666664</v>
      </c>
      <c r="J52" s="127">
        <v>274000.0</v>
      </c>
      <c r="K52" s="127">
        <v>6.0</v>
      </c>
      <c r="L52" s="127">
        <v>6.0</v>
      </c>
      <c r="M52" s="127"/>
      <c r="N52" s="127"/>
      <c r="O52" s="127">
        <v>274000.0</v>
      </c>
      <c r="P52" s="127"/>
      <c r="Q52" s="127"/>
      <c r="R52" s="127"/>
      <c r="S52" s="127"/>
      <c r="T52" s="127"/>
      <c r="U52" s="127">
        <v>0.0</v>
      </c>
      <c r="V52" s="127">
        <v>0.0</v>
      </c>
      <c r="W52" s="127">
        <v>404.0</v>
      </c>
      <c r="X52" s="127">
        <v>112.0</v>
      </c>
      <c r="Y52" s="127">
        <v>101.0</v>
      </c>
      <c r="Z52" s="127">
        <v>63.0</v>
      </c>
      <c r="AA52" s="127">
        <v>0.0</v>
      </c>
      <c r="AB52" s="127"/>
      <c r="AC52" s="127">
        <v>2944.0</v>
      </c>
      <c r="AD52" s="127">
        <v>2031.0</v>
      </c>
      <c r="AE52" s="127">
        <v>1805.0</v>
      </c>
      <c r="AF52" s="127">
        <v>561.0</v>
      </c>
      <c r="AG52" s="127">
        <v>6.0</v>
      </c>
    </row>
    <row r="53">
      <c r="A53" s="126">
        <v>46066.0</v>
      </c>
      <c r="B53" s="127">
        <v>0.75</v>
      </c>
      <c r="C53" s="127">
        <v>3.0</v>
      </c>
      <c r="D53" s="127">
        <v>4.0</v>
      </c>
      <c r="E53" s="127">
        <v>0.0027752081406105457</v>
      </c>
      <c r="F53" s="127">
        <v>6.0</v>
      </c>
      <c r="G53" s="127">
        <v>2162.0</v>
      </c>
      <c r="H53" s="127">
        <v>12935.0</v>
      </c>
      <c r="I53" s="127">
        <v>40833.333333333336</v>
      </c>
      <c r="J53" s="127">
        <v>245000.0</v>
      </c>
      <c r="K53" s="127">
        <v>6.0</v>
      </c>
      <c r="L53" s="127">
        <v>6.0</v>
      </c>
      <c r="M53" s="127"/>
      <c r="N53" s="127"/>
      <c r="O53" s="127">
        <v>245000.0</v>
      </c>
      <c r="P53" s="127"/>
      <c r="Q53" s="127"/>
      <c r="R53" s="127"/>
      <c r="S53" s="127"/>
      <c r="T53" s="127"/>
      <c r="U53" s="127">
        <v>0.0</v>
      </c>
      <c r="V53" s="127">
        <v>0.0</v>
      </c>
      <c r="W53" s="127">
        <v>296.0</v>
      </c>
      <c r="X53" s="127">
        <v>77.0</v>
      </c>
      <c r="Y53" s="127">
        <v>74.0</v>
      </c>
      <c r="Z53" s="127">
        <v>50.0</v>
      </c>
      <c r="AA53" s="127">
        <v>1.0</v>
      </c>
      <c r="AB53" s="127"/>
      <c r="AC53" s="127">
        <v>3464.0</v>
      </c>
      <c r="AD53" s="127">
        <v>2584.0</v>
      </c>
      <c r="AE53" s="127">
        <v>2728.0</v>
      </c>
      <c r="AF53" s="127">
        <v>649.0</v>
      </c>
      <c r="AG53" s="127">
        <v>5.0</v>
      </c>
    </row>
    <row r="54">
      <c r="A54" s="126">
        <v>46067.0</v>
      </c>
      <c r="B54" s="127">
        <v>0.6666666666666666</v>
      </c>
      <c r="C54" s="127">
        <v>2.0</v>
      </c>
      <c r="D54" s="127">
        <v>3.0</v>
      </c>
      <c r="E54" s="127">
        <v>0.0030349013657056147</v>
      </c>
      <c r="F54" s="127">
        <v>4.0</v>
      </c>
      <c r="G54" s="127">
        <v>1318.0</v>
      </c>
      <c r="H54" s="127">
        <v>8955.0</v>
      </c>
      <c r="I54" s="127">
        <v>79000.0</v>
      </c>
      <c r="J54" s="127">
        <v>316000.0</v>
      </c>
      <c r="K54" s="127">
        <v>4.0</v>
      </c>
      <c r="L54" s="127">
        <v>4.0</v>
      </c>
      <c r="M54" s="127"/>
      <c r="N54" s="127"/>
      <c r="O54" s="127">
        <v>316000.0</v>
      </c>
      <c r="P54" s="127"/>
      <c r="Q54" s="127"/>
      <c r="R54" s="127"/>
      <c r="S54" s="127"/>
      <c r="T54" s="127"/>
      <c r="U54" s="127">
        <v>0.0</v>
      </c>
      <c r="V54" s="127">
        <v>0.0</v>
      </c>
      <c r="W54" s="127">
        <v>241.0</v>
      </c>
      <c r="X54" s="127">
        <v>73.0</v>
      </c>
      <c r="Y54" s="127">
        <v>69.0</v>
      </c>
      <c r="Z54" s="127">
        <v>40.0</v>
      </c>
      <c r="AA54" s="127">
        <v>0.0</v>
      </c>
      <c r="AB54" s="127"/>
      <c r="AC54" s="127">
        <v>2513.0</v>
      </c>
      <c r="AD54" s="127">
        <v>1552.0</v>
      </c>
      <c r="AE54" s="127">
        <v>1648.0</v>
      </c>
      <c r="AF54" s="127">
        <v>467.0</v>
      </c>
      <c r="AG54" s="127">
        <v>4.0</v>
      </c>
    </row>
    <row r="55">
      <c r="A55" s="126">
        <v>46068.0</v>
      </c>
      <c r="B55" s="127">
        <v>0.0</v>
      </c>
      <c r="C55" s="127">
        <v>0.0</v>
      </c>
      <c r="D55" s="127">
        <v>2.0</v>
      </c>
      <c r="E55" s="127">
        <v>0.0017809439002671415</v>
      </c>
      <c r="F55" s="127">
        <v>2.0</v>
      </c>
      <c r="G55" s="127">
        <v>1123.0</v>
      </c>
      <c r="H55" s="127">
        <v>8124.0</v>
      </c>
      <c r="I55" s="127">
        <v>79000.0</v>
      </c>
      <c r="J55" s="127">
        <v>158000.0</v>
      </c>
      <c r="K55" s="127">
        <v>2.0</v>
      </c>
      <c r="L55" s="127">
        <v>2.0</v>
      </c>
      <c r="M55" s="127"/>
      <c r="N55" s="127"/>
      <c r="O55" s="127">
        <v>158000.0</v>
      </c>
      <c r="P55" s="127"/>
      <c r="Q55" s="127"/>
      <c r="R55" s="127"/>
      <c r="S55" s="127"/>
      <c r="T55" s="127"/>
      <c r="U55" s="127">
        <v>0.0</v>
      </c>
      <c r="V55" s="127">
        <v>0.0</v>
      </c>
      <c r="W55" s="127">
        <v>231.0</v>
      </c>
      <c r="X55" s="127">
        <v>73.0</v>
      </c>
      <c r="Y55" s="127">
        <v>65.0</v>
      </c>
      <c r="Z55" s="127">
        <v>54.0</v>
      </c>
      <c r="AA55" s="127">
        <v>1.0</v>
      </c>
      <c r="AB55" s="127"/>
      <c r="AC55" s="127">
        <v>2271.0</v>
      </c>
      <c r="AD55" s="127">
        <v>1363.0</v>
      </c>
      <c r="AE55" s="127">
        <v>1370.0</v>
      </c>
      <c r="AF55" s="127">
        <v>380.0</v>
      </c>
      <c r="AG55" s="127">
        <v>1.0</v>
      </c>
    </row>
    <row r="56">
      <c r="A56" s="126">
        <v>46069.0</v>
      </c>
      <c r="B56" s="127">
        <v>0.6666666666666666</v>
      </c>
      <c r="C56" s="127">
        <v>2.0</v>
      </c>
      <c r="D56" s="127">
        <v>3.0</v>
      </c>
      <c r="E56" s="127">
        <v>0.0014822134387351778</v>
      </c>
      <c r="F56" s="127">
        <v>3.0</v>
      </c>
      <c r="G56" s="127">
        <v>2024.0</v>
      </c>
      <c r="H56" s="127">
        <v>10485.0</v>
      </c>
      <c r="I56" s="127">
        <v>129000.0</v>
      </c>
      <c r="J56" s="127">
        <v>387000.0</v>
      </c>
      <c r="K56" s="127">
        <v>3.0</v>
      </c>
      <c r="L56" s="127">
        <v>3.0</v>
      </c>
      <c r="M56" s="127"/>
      <c r="N56" s="127"/>
      <c r="O56" s="127">
        <v>387000.0</v>
      </c>
      <c r="P56" s="127"/>
      <c r="Q56" s="127"/>
      <c r="R56" s="127"/>
      <c r="S56" s="127"/>
      <c r="T56" s="127"/>
      <c r="U56" s="127">
        <v>0.0</v>
      </c>
      <c r="V56" s="127">
        <v>0.0</v>
      </c>
      <c r="W56" s="127">
        <v>226.0</v>
      </c>
      <c r="X56" s="127">
        <v>59.0</v>
      </c>
      <c r="Y56" s="127">
        <v>51.0</v>
      </c>
      <c r="Z56" s="127">
        <v>33.0</v>
      </c>
      <c r="AA56" s="127">
        <v>1.0</v>
      </c>
      <c r="AB56" s="127"/>
      <c r="AC56" s="127">
        <v>3328.0</v>
      </c>
      <c r="AD56" s="127">
        <v>2524.0</v>
      </c>
      <c r="AE56" s="127">
        <v>2667.0</v>
      </c>
      <c r="AF56" s="127">
        <v>565.0</v>
      </c>
      <c r="AG56" s="127">
        <v>2.0</v>
      </c>
    </row>
    <row r="57">
      <c r="A57" s="126">
        <v>46070.0</v>
      </c>
      <c r="B57" s="127">
        <v>0.5</v>
      </c>
      <c r="C57" s="127">
        <v>1.0</v>
      </c>
      <c r="D57" s="127">
        <v>2.0</v>
      </c>
      <c r="E57" s="127">
        <v>0.0015384615384615385</v>
      </c>
      <c r="F57" s="127">
        <v>2.0</v>
      </c>
      <c r="G57" s="127">
        <v>1300.0</v>
      </c>
      <c r="H57" s="127">
        <v>7643.0</v>
      </c>
      <c r="I57" s="127">
        <v>129000.0</v>
      </c>
      <c r="J57" s="127">
        <v>258000.0</v>
      </c>
      <c r="K57" s="127">
        <v>2.0</v>
      </c>
      <c r="L57" s="127">
        <v>2.0</v>
      </c>
      <c r="M57" s="127"/>
      <c r="N57" s="127"/>
      <c r="O57" s="127">
        <v>258000.0</v>
      </c>
      <c r="P57" s="127"/>
      <c r="Q57" s="127"/>
      <c r="R57" s="127"/>
      <c r="S57" s="127"/>
      <c r="T57" s="127"/>
      <c r="U57" s="127">
        <v>0.0</v>
      </c>
      <c r="V57" s="127">
        <v>0.0</v>
      </c>
      <c r="W57" s="127">
        <v>209.0</v>
      </c>
      <c r="X57" s="127">
        <v>65.0</v>
      </c>
      <c r="Y57" s="127">
        <v>62.0</v>
      </c>
      <c r="Z57" s="127">
        <v>45.0</v>
      </c>
      <c r="AA57" s="127">
        <v>1.0</v>
      </c>
      <c r="AB57" s="127"/>
      <c r="AC57" s="127">
        <v>2412.0</v>
      </c>
      <c r="AD57" s="127">
        <v>1662.0</v>
      </c>
      <c r="AE57" s="127">
        <v>1518.0</v>
      </c>
      <c r="AF57" s="127">
        <v>423.0</v>
      </c>
      <c r="AG57" s="127">
        <v>1.0</v>
      </c>
    </row>
    <row r="58">
      <c r="A58" s="126">
        <v>46071.0</v>
      </c>
      <c r="B58" s="127">
        <v>0.25</v>
      </c>
      <c r="C58" s="127">
        <v>1.0</v>
      </c>
      <c r="D58" s="127">
        <v>4.0</v>
      </c>
      <c r="E58" s="127">
        <v>0.002824858757062147</v>
      </c>
      <c r="F58" s="127">
        <v>6.0</v>
      </c>
      <c r="G58" s="127">
        <v>2124.0</v>
      </c>
      <c r="H58" s="127">
        <v>11375.0</v>
      </c>
      <c r="I58" s="127">
        <v>62333.333333333336</v>
      </c>
      <c r="J58" s="127">
        <v>374000.0</v>
      </c>
      <c r="K58" s="127">
        <v>6.0</v>
      </c>
      <c r="L58" s="127">
        <v>6.0</v>
      </c>
      <c r="M58" s="127"/>
      <c r="N58" s="127"/>
      <c r="O58" s="127">
        <v>374000.0</v>
      </c>
      <c r="P58" s="127"/>
      <c r="Q58" s="127"/>
      <c r="R58" s="127"/>
      <c r="S58" s="127"/>
      <c r="T58" s="127"/>
      <c r="U58" s="127">
        <v>0.0</v>
      </c>
      <c r="V58" s="127">
        <v>0.0</v>
      </c>
      <c r="W58" s="127">
        <v>179.0</v>
      </c>
      <c r="X58" s="127">
        <v>65.0</v>
      </c>
      <c r="Y58" s="127">
        <v>56.0</v>
      </c>
      <c r="Z58" s="127">
        <v>44.0</v>
      </c>
      <c r="AA58" s="127">
        <v>0.0</v>
      </c>
      <c r="AB58" s="127"/>
      <c r="AC58" s="127">
        <v>3441.0</v>
      </c>
      <c r="AD58" s="127">
        <v>2668.0</v>
      </c>
      <c r="AE58" s="127">
        <v>2553.0</v>
      </c>
      <c r="AF58" s="127">
        <v>669.0</v>
      </c>
      <c r="AG58" s="127">
        <v>6.0</v>
      </c>
    </row>
    <row r="59">
      <c r="A59" s="126">
        <v>46072.0</v>
      </c>
      <c r="B59" s="127">
        <v>0.5</v>
      </c>
      <c r="C59" s="127">
        <v>2.0</v>
      </c>
      <c r="D59" s="127">
        <v>4.0</v>
      </c>
      <c r="E59" s="127">
        <v>0.0034129692832764505</v>
      </c>
      <c r="F59" s="127">
        <v>5.0</v>
      </c>
      <c r="G59" s="127">
        <v>1465.0</v>
      </c>
      <c r="H59" s="127">
        <v>9852.0</v>
      </c>
      <c r="I59" s="127">
        <v>49000.0</v>
      </c>
      <c r="J59" s="127">
        <v>245000.0</v>
      </c>
      <c r="K59" s="127">
        <v>5.0</v>
      </c>
      <c r="L59" s="127">
        <v>5.0</v>
      </c>
      <c r="M59" s="127"/>
      <c r="N59" s="127"/>
      <c r="O59" s="127">
        <v>245000.0</v>
      </c>
      <c r="P59" s="127"/>
      <c r="Q59" s="127"/>
      <c r="R59" s="127"/>
      <c r="S59" s="127"/>
      <c r="T59" s="127"/>
      <c r="U59" s="127">
        <v>0.0</v>
      </c>
      <c r="V59" s="127">
        <v>0.0</v>
      </c>
      <c r="W59" s="127">
        <v>203.0</v>
      </c>
      <c r="X59" s="127">
        <v>77.0</v>
      </c>
      <c r="Y59" s="127">
        <v>71.0</v>
      </c>
      <c r="Z59" s="127">
        <v>48.0</v>
      </c>
      <c r="AA59" s="127">
        <v>0.0</v>
      </c>
      <c r="AB59" s="127"/>
      <c r="AC59" s="127">
        <v>2427.0</v>
      </c>
      <c r="AD59" s="127">
        <v>1767.0</v>
      </c>
      <c r="AE59" s="127">
        <v>1639.0</v>
      </c>
      <c r="AF59" s="127">
        <v>524.0</v>
      </c>
      <c r="AG59" s="127">
        <v>5.0</v>
      </c>
    </row>
    <row r="60">
      <c r="A60" s="126">
        <v>46073.0</v>
      </c>
      <c r="B60" s="127">
        <v>0.5</v>
      </c>
      <c r="C60" s="127">
        <v>1.0</v>
      </c>
      <c r="D60" s="127">
        <v>2.0</v>
      </c>
      <c r="E60" s="127">
        <v>0.001869158878504673</v>
      </c>
      <c r="F60" s="127">
        <v>4.0</v>
      </c>
      <c r="G60" s="127">
        <v>2140.0</v>
      </c>
      <c r="H60" s="127">
        <v>11671.0</v>
      </c>
      <c r="I60" s="127">
        <v>21750.0</v>
      </c>
      <c r="J60" s="127">
        <v>87000.0</v>
      </c>
      <c r="K60" s="127">
        <v>4.0</v>
      </c>
      <c r="L60" s="127">
        <v>4.0</v>
      </c>
      <c r="M60" s="127"/>
      <c r="N60" s="127"/>
      <c r="O60" s="127">
        <v>87000.0</v>
      </c>
      <c r="P60" s="127"/>
      <c r="Q60" s="127"/>
      <c r="R60" s="127"/>
      <c r="S60" s="127"/>
      <c r="T60" s="127"/>
      <c r="U60" s="127">
        <v>0.0</v>
      </c>
      <c r="V60" s="127">
        <v>0.0</v>
      </c>
      <c r="W60" s="127">
        <v>175.0</v>
      </c>
      <c r="X60" s="127">
        <v>65.0</v>
      </c>
      <c r="Y60" s="127">
        <v>57.0</v>
      </c>
      <c r="Z60" s="127">
        <v>47.0</v>
      </c>
      <c r="AA60" s="127">
        <v>0.0</v>
      </c>
      <c r="AB60" s="127"/>
      <c r="AC60" s="127">
        <v>3272.0</v>
      </c>
      <c r="AD60" s="127">
        <v>2594.0</v>
      </c>
      <c r="AE60" s="127">
        <v>2559.0</v>
      </c>
      <c r="AF60" s="127">
        <v>622.0</v>
      </c>
      <c r="AG60" s="127">
        <v>4.0</v>
      </c>
    </row>
    <row r="61">
      <c r="A61" s="126">
        <v>46074.0</v>
      </c>
      <c r="B61" s="127">
        <v>0.6666666666666666</v>
      </c>
      <c r="C61" s="127">
        <v>2.0</v>
      </c>
      <c r="D61" s="127">
        <v>3.0</v>
      </c>
      <c r="E61" s="127">
        <v>0.003028009084027252</v>
      </c>
      <c r="F61" s="127">
        <v>4.0</v>
      </c>
      <c r="G61" s="127">
        <v>1321.0</v>
      </c>
      <c r="H61" s="127">
        <v>7764.0</v>
      </c>
      <c r="I61" s="127">
        <v>104000.0</v>
      </c>
      <c r="J61" s="127">
        <v>416000.0</v>
      </c>
      <c r="K61" s="127">
        <v>4.0</v>
      </c>
      <c r="L61" s="127">
        <v>4.0</v>
      </c>
      <c r="M61" s="127"/>
      <c r="N61" s="127"/>
      <c r="O61" s="127">
        <v>416000.0</v>
      </c>
      <c r="P61" s="127"/>
      <c r="Q61" s="127"/>
      <c r="R61" s="127"/>
      <c r="S61" s="127"/>
      <c r="T61" s="127"/>
      <c r="U61" s="127">
        <v>0.0</v>
      </c>
      <c r="V61" s="127">
        <v>0.0</v>
      </c>
      <c r="W61" s="127">
        <v>168.0</v>
      </c>
      <c r="X61" s="127">
        <v>58.0</v>
      </c>
      <c r="Y61" s="127">
        <v>51.0</v>
      </c>
      <c r="Z61" s="127">
        <v>32.0</v>
      </c>
      <c r="AA61" s="127">
        <v>0.0</v>
      </c>
      <c r="AB61" s="127"/>
      <c r="AC61" s="127">
        <v>2257.0</v>
      </c>
      <c r="AD61" s="127">
        <v>1609.0</v>
      </c>
      <c r="AE61" s="127">
        <v>1472.0</v>
      </c>
      <c r="AF61" s="127">
        <v>446.0</v>
      </c>
      <c r="AG61" s="127">
        <v>4.0</v>
      </c>
    </row>
    <row r="62">
      <c r="A62" s="126">
        <v>46075.0</v>
      </c>
      <c r="B62" s="127">
        <v>0.0</v>
      </c>
      <c r="C62" s="127">
        <v>0.0</v>
      </c>
      <c r="D62" s="127">
        <v>5.0</v>
      </c>
      <c r="E62" s="127">
        <v>0.0042158516020236085</v>
      </c>
      <c r="F62" s="127">
        <v>5.0</v>
      </c>
      <c r="G62" s="127">
        <v>1186.0</v>
      </c>
      <c r="H62" s="127">
        <v>7915.0</v>
      </c>
      <c r="I62" s="127">
        <v>89000.0</v>
      </c>
      <c r="J62" s="127">
        <v>445000.0</v>
      </c>
      <c r="K62" s="127">
        <v>5.0</v>
      </c>
      <c r="L62" s="127">
        <v>5.0</v>
      </c>
      <c r="M62" s="127"/>
      <c r="N62" s="127"/>
      <c r="O62" s="127">
        <v>445000.0</v>
      </c>
      <c r="P62" s="127"/>
      <c r="Q62" s="127"/>
      <c r="R62" s="127"/>
      <c r="S62" s="127"/>
      <c r="T62" s="127"/>
      <c r="U62" s="127">
        <v>0.0</v>
      </c>
      <c r="V62" s="127">
        <v>0.0</v>
      </c>
      <c r="W62" s="127">
        <v>196.0</v>
      </c>
      <c r="X62" s="127">
        <v>63.0</v>
      </c>
      <c r="Y62" s="127">
        <v>63.0</v>
      </c>
      <c r="Z62" s="127">
        <v>44.0</v>
      </c>
      <c r="AA62" s="127">
        <v>0.0</v>
      </c>
      <c r="AB62" s="127"/>
      <c r="AC62" s="127">
        <v>2031.0</v>
      </c>
      <c r="AD62" s="127">
        <v>1396.0</v>
      </c>
      <c r="AE62" s="127">
        <v>1345.0</v>
      </c>
      <c r="AF62" s="127">
        <v>417.0</v>
      </c>
      <c r="AG62" s="127">
        <v>5.0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6" width="15.13"/>
    <col customWidth="1" min="7" max="7" width="16.5"/>
    <col min="8" max="22" width="15.13"/>
    <col customWidth="1" min="23" max="23" width="20.88"/>
    <col min="24" max="28" width="15.13"/>
    <col customWidth="1" min="29" max="29" width="19.75"/>
    <col min="30" max="33" width="15.13"/>
  </cols>
  <sheetData>
    <row r="1" ht="36.0">
      <c r="A1" s="112" t="s">
        <v>157</v>
      </c>
    </row>
    <row r="2">
      <c r="A2" s="113" t="s">
        <v>129</v>
      </c>
      <c r="B2" s="113" t="s">
        <v>10</v>
      </c>
      <c r="C2" s="113" t="s">
        <v>12</v>
      </c>
      <c r="D2" s="113" t="s">
        <v>15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46013.0</v>
      </c>
      <c r="B3" s="115">
        <v>0.9333333333333333</v>
      </c>
      <c r="C3" s="115">
        <v>14.0</v>
      </c>
      <c r="D3" s="115">
        <v>15.0</v>
      </c>
      <c r="E3" s="115">
        <v>0.0016198704103671706</v>
      </c>
      <c r="F3" s="115">
        <v>15.0</v>
      </c>
      <c r="G3" s="115">
        <v>9260.0</v>
      </c>
      <c r="H3" s="115">
        <v>152160.0</v>
      </c>
      <c r="I3" s="115">
        <v>93733.33333333333</v>
      </c>
      <c r="J3" s="115">
        <v>1406000.0</v>
      </c>
      <c r="K3" s="115">
        <v>15.0</v>
      </c>
      <c r="L3" s="115">
        <v>15.0</v>
      </c>
      <c r="M3" s="115">
        <v>0.4594152033359886</v>
      </c>
      <c r="N3" s="115">
        <v>760062.2241096001</v>
      </c>
      <c r="O3" s="115">
        <v>1406000.0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1799.0</v>
      </c>
      <c r="X3" s="115">
        <v>627.0</v>
      </c>
      <c r="Y3" s="115">
        <v>590.0</v>
      </c>
      <c r="Z3" s="115">
        <v>336.0</v>
      </c>
      <c r="AA3" s="115">
        <v>1.0</v>
      </c>
      <c r="AB3" s="115"/>
      <c r="AC3" s="115">
        <v>16934.0</v>
      </c>
      <c r="AD3" s="115">
        <v>11646.0</v>
      </c>
      <c r="AE3" s="115">
        <v>9577.0</v>
      </c>
      <c r="AF3" s="115">
        <v>3049.0</v>
      </c>
      <c r="AG3" s="115">
        <v>14.0</v>
      </c>
    </row>
    <row r="4">
      <c r="A4" s="116">
        <v>46020.0</v>
      </c>
      <c r="B4" s="117">
        <v>0.7808219178082192</v>
      </c>
      <c r="C4" s="117">
        <v>57.0</v>
      </c>
      <c r="D4" s="117">
        <v>73.0</v>
      </c>
      <c r="E4" s="117">
        <v>0.004771115409413282</v>
      </c>
      <c r="F4" s="117">
        <v>74.0</v>
      </c>
      <c r="G4" s="117">
        <v>15510.0</v>
      </c>
      <c r="H4" s="117">
        <v>209007.0</v>
      </c>
      <c r="I4" s="117">
        <v>79918.91891891892</v>
      </c>
      <c r="J4" s="117">
        <v>5914000.0</v>
      </c>
      <c r="K4" s="117">
        <v>74.0</v>
      </c>
      <c r="L4" s="117">
        <v>74.0</v>
      </c>
      <c r="M4" s="117">
        <v>0.6085764590006426</v>
      </c>
      <c r="N4" s="117">
        <v>2314878.8214702</v>
      </c>
      <c r="O4" s="117">
        <v>5914000.0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2845.0</v>
      </c>
      <c r="X4" s="117">
        <v>1140.0</v>
      </c>
      <c r="Y4" s="117">
        <v>1058.0</v>
      </c>
      <c r="Z4" s="117">
        <v>730.0</v>
      </c>
      <c r="AA4" s="117">
        <v>12.0</v>
      </c>
      <c r="AB4" s="117"/>
      <c r="AC4" s="117">
        <v>35156.0</v>
      </c>
      <c r="AD4" s="117">
        <v>18490.0</v>
      </c>
      <c r="AE4" s="117">
        <v>15650.0</v>
      </c>
      <c r="AF4" s="117">
        <v>6792.0</v>
      </c>
      <c r="AG4" s="117">
        <v>62.0</v>
      </c>
    </row>
    <row r="5">
      <c r="A5" s="114">
        <v>46027.0</v>
      </c>
      <c r="B5" s="115">
        <v>0.8333333333333334</v>
      </c>
      <c r="C5" s="115">
        <v>35.0</v>
      </c>
      <c r="D5" s="115">
        <v>42.0</v>
      </c>
      <c r="E5" s="115">
        <v>0.0031967883428741357</v>
      </c>
      <c r="F5" s="115">
        <v>43.0</v>
      </c>
      <c r="G5" s="115">
        <v>13451.0</v>
      </c>
      <c r="H5" s="115">
        <v>208461.0</v>
      </c>
      <c r="I5" s="115">
        <v>85790.69767441861</v>
      </c>
      <c r="J5" s="115">
        <v>3689000.0</v>
      </c>
      <c r="K5" s="115">
        <v>43.0</v>
      </c>
      <c r="L5" s="115">
        <v>43.0</v>
      </c>
      <c r="M5" s="115">
        <v>0.5689834398235294</v>
      </c>
      <c r="N5" s="115">
        <v>1590020.090491</v>
      </c>
      <c r="O5" s="115">
        <v>3689000.0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2435.0</v>
      </c>
      <c r="X5" s="115">
        <v>989.0</v>
      </c>
      <c r="Y5" s="115">
        <v>940.0</v>
      </c>
      <c r="Z5" s="115">
        <v>653.0</v>
      </c>
      <c r="AA5" s="115">
        <v>6.0</v>
      </c>
      <c r="AB5" s="115"/>
      <c r="AC5" s="115">
        <v>21823.0</v>
      </c>
      <c r="AD5" s="115">
        <v>15446.0</v>
      </c>
      <c r="AE5" s="115">
        <v>14109.0</v>
      </c>
      <c r="AF5" s="115">
        <v>4762.0</v>
      </c>
      <c r="AG5" s="115">
        <v>37.0</v>
      </c>
    </row>
    <row r="6">
      <c r="A6" s="116">
        <v>46034.0</v>
      </c>
      <c r="B6" s="117">
        <v>0.7906976744186046</v>
      </c>
      <c r="C6" s="117">
        <v>34.0</v>
      </c>
      <c r="D6" s="117">
        <v>43.0</v>
      </c>
      <c r="E6" s="117">
        <v>0.0032231466906528744</v>
      </c>
      <c r="F6" s="117">
        <v>43.0</v>
      </c>
      <c r="G6" s="117">
        <v>13341.0</v>
      </c>
      <c r="H6" s="117">
        <v>180992.0</v>
      </c>
      <c r="I6" s="117">
        <v>87441.86046511628</v>
      </c>
      <c r="J6" s="117">
        <v>3760000.0</v>
      </c>
      <c r="K6" s="117">
        <v>43.0</v>
      </c>
      <c r="L6" s="117">
        <v>43.0</v>
      </c>
      <c r="M6" s="117">
        <v>0.6497584206329255</v>
      </c>
      <c r="N6" s="117">
        <v>1316908.3384202</v>
      </c>
      <c r="O6" s="117">
        <v>3760000.0</v>
      </c>
      <c r="P6" s="117"/>
      <c r="Q6" s="117"/>
      <c r="R6" s="117"/>
      <c r="S6" s="117"/>
      <c r="T6" s="117"/>
      <c r="U6" s="117">
        <v>0.0</v>
      </c>
      <c r="V6" s="117">
        <v>0.0</v>
      </c>
      <c r="W6" s="117">
        <v>3652.0</v>
      </c>
      <c r="X6" s="117">
        <v>1132.0</v>
      </c>
      <c r="Y6" s="117">
        <v>1063.0</v>
      </c>
      <c r="Z6" s="117">
        <v>661.0</v>
      </c>
      <c r="AA6" s="117">
        <v>8.0</v>
      </c>
      <c r="AB6" s="117"/>
      <c r="AC6" s="117">
        <v>23071.0</v>
      </c>
      <c r="AD6" s="117">
        <v>14892.0</v>
      </c>
      <c r="AE6" s="117">
        <v>13322.0</v>
      </c>
      <c r="AF6" s="117">
        <v>4654.0</v>
      </c>
      <c r="AG6" s="117">
        <v>35.0</v>
      </c>
    </row>
    <row r="7">
      <c r="A7" s="114">
        <v>46041.0</v>
      </c>
      <c r="B7" s="115">
        <v>0.8604651162790697</v>
      </c>
      <c r="C7" s="115">
        <v>37.0</v>
      </c>
      <c r="D7" s="115">
        <v>43.0</v>
      </c>
      <c r="E7" s="115">
        <v>0.0032819416882918636</v>
      </c>
      <c r="F7" s="115">
        <v>43.0</v>
      </c>
      <c r="G7" s="115">
        <v>13102.0</v>
      </c>
      <c r="H7" s="115">
        <v>141951.0</v>
      </c>
      <c r="I7" s="115">
        <v>83465.11627906977</v>
      </c>
      <c r="J7" s="115">
        <v>3589000.0</v>
      </c>
      <c r="K7" s="115">
        <v>43.0</v>
      </c>
      <c r="L7" s="115">
        <v>43.0</v>
      </c>
      <c r="M7" s="115"/>
      <c r="N7" s="115"/>
      <c r="O7" s="115">
        <v>3589000.0</v>
      </c>
      <c r="P7" s="115"/>
      <c r="Q7" s="115"/>
      <c r="R7" s="115"/>
      <c r="S7" s="115"/>
      <c r="T7" s="115"/>
      <c r="U7" s="115">
        <v>0.0</v>
      </c>
      <c r="V7" s="115">
        <v>0.0</v>
      </c>
      <c r="W7" s="115">
        <v>2994.0</v>
      </c>
      <c r="X7" s="115">
        <v>990.0</v>
      </c>
      <c r="Y7" s="115">
        <v>918.0</v>
      </c>
      <c r="Z7" s="115">
        <v>610.0</v>
      </c>
      <c r="AA7" s="115">
        <v>12.0</v>
      </c>
      <c r="AB7" s="115"/>
      <c r="AC7" s="115">
        <v>20718.0</v>
      </c>
      <c r="AD7" s="115">
        <v>13659.0</v>
      </c>
      <c r="AE7" s="115">
        <v>12528.0</v>
      </c>
      <c r="AF7" s="115">
        <v>4512.0</v>
      </c>
      <c r="AG7" s="115">
        <v>31.0</v>
      </c>
    </row>
    <row r="8">
      <c r="A8" s="116">
        <v>46048.0</v>
      </c>
      <c r="B8" s="117">
        <v>0.8260869565217391</v>
      </c>
      <c r="C8" s="117">
        <v>19.0</v>
      </c>
      <c r="D8" s="117">
        <v>23.0</v>
      </c>
      <c r="E8" s="117">
        <v>0.002552037642555228</v>
      </c>
      <c r="F8" s="117">
        <v>32.0</v>
      </c>
      <c r="G8" s="117">
        <v>12539.0</v>
      </c>
      <c r="H8" s="117">
        <v>154215.0</v>
      </c>
      <c r="I8" s="117">
        <v>52593.75</v>
      </c>
      <c r="J8" s="117">
        <v>1683000.0</v>
      </c>
      <c r="K8" s="117">
        <v>32.0</v>
      </c>
      <c r="L8" s="117">
        <v>32.0</v>
      </c>
      <c r="M8" s="117"/>
      <c r="N8" s="117"/>
      <c r="O8" s="117">
        <v>1683000.0</v>
      </c>
      <c r="P8" s="117"/>
      <c r="Q8" s="117"/>
      <c r="R8" s="117"/>
      <c r="S8" s="117"/>
      <c r="T8" s="117"/>
      <c r="U8" s="117">
        <v>0.0</v>
      </c>
      <c r="V8" s="117">
        <v>0.0</v>
      </c>
      <c r="W8" s="117">
        <v>4514.0</v>
      </c>
      <c r="X8" s="117">
        <v>1356.0</v>
      </c>
      <c r="Y8" s="117">
        <v>1272.0</v>
      </c>
      <c r="Z8" s="117">
        <v>793.0</v>
      </c>
      <c r="AA8" s="117">
        <v>5.0</v>
      </c>
      <c r="AB8" s="117"/>
      <c r="AC8" s="117">
        <v>20066.0</v>
      </c>
      <c r="AD8" s="117">
        <v>11571.0</v>
      </c>
      <c r="AE8" s="117">
        <v>11770.0</v>
      </c>
      <c r="AF8" s="117">
        <v>4174.0</v>
      </c>
      <c r="AG8" s="117">
        <v>27.0</v>
      </c>
    </row>
    <row r="9">
      <c r="A9" s="114">
        <v>46055.0</v>
      </c>
      <c r="B9" s="115">
        <v>0.8918918918918919</v>
      </c>
      <c r="C9" s="115">
        <v>33.0</v>
      </c>
      <c r="D9" s="115">
        <v>37.0</v>
      </c>
      <c r="E9" s="115">
        <v>0.004827330115113257</v>
      </c>
      <c r="F9" s="115">
        <v>52.0</v>
      </c>
      <c r="G9" s="115">
        <v>10772.0</v>
      </c>
      <c r="H9" s="115">
        <v>115946.0</v>
      </c>
      <c r="I9" s="115">
        <v>78134.61538461539</v>
      </c>
      <c r="J9" s="115">
        <v>4063000.0</v>
      </c>
      <c r="K9" s="115">
        <v>52.0</v>
      </c>
      <c r="L9" s="115">
        <v>53.0</v>
      </c>
      <c r="M9" s="115"/>
      <c r="N9" s="115"/>
      <c r="O9" s="115">
        <v>4063000.0</v>
      </c>
      <c r="P9" s="115"/>
      <c r="Q9" s="115"/>
      <c r="R9" s="115"/>
      <c r="S9" s="115"/>
      <c r="T9" s="115"/>
      <c r="U9" s="115">
        <v>0.0</v>
      </c>
      <c r="V9" s="115">
        <v>0.0</v>
      </c>
      <c r="W9" s="115">
        <v>4363.0</v>
      </c>
      <c r="X9" s="115">
        <v>1187.0</v>
      </c>
      <c r="Y9" s="115">
        <v>1104.0</v>
      </c>
      <c r="Z9" s="115">
        <v>693.0</v>
      </c>
      <c r="AA9" s="115">
        <v>8.0</v>
      </c>
      <c r="AB9" s="115"/>
      <c r="AC9" s="115">
        <v>17612.0</v>
      </c>
      <c r="AD9" s="115">
        <v>10999.0</v>
      </c>
      <c r="AE9" s="115">
        <v>11180.0</v>
      </c>
      <c r="AF9" s="115">
        <v>4133.0</v>
      </c>
      <c r="AG9" s="115">
        <v>44.0</v>
      </c>
    </row>
    <row r="10">
      <c r="A10" s="116">
        <v>46062.0</v>
      </c>
      <c r="B10" s="117">
        <v>0.9</v>
      </c>
      <c r="C10" s="117">
        <v>18.0</v>
      </c>
      <c r="D10" s="117">
        <v>20.0</v>
      </c>
      <c r="E10" s="117">
        <v>0.0029631143353428015</v>
      </c>
      <c r="F10" s="117">
        <v>29.0</v>
      </c>
      <c r="G10" s="117">
        <v>9787.0</v>
      </c>
      <c r="H10" s="117">
        <v>88753.0</v>
      </c>
      <c r="I10" s="117">
        <v>59034.48275862069</v>
      </c>
      <c r="J10" s="117">
        <v>1712000.0</v>
      </c>
      <c r="K10" s="117">
        <v>29.0</v>
      </c>
      <c r="L10" s="117">
        <v>29.0</v>
      </c>
      <c r="M10" s="117"/>
      <c r="N10" s="117"/>
      <c r="O10" s="117">
        <v>1712000.0</v>
      </c>
      <c r="P10" s="117"/>
      <c r="Q10" s="117"/>
      <c r="R10" s="117"/>
      <c r="S10" s="117"/>
      <c r="T10" s="117"/>
      <c r="U10" s="117">
        <v>0.0</v>
      </c>
      <c r="V10" s="117">
        <v>0.0</v>
      </c>
      <c r="W10" s="117">
        <v>3452.0</v>
      </c>
      <c r="X10" s="117">
        <v>925.0</v>
      </c>
      <c r="Y10" s="117">
        <v>874.0</v>
      </c>
      <c r="Z10" s="117">
        <v>576.0</v>
      </c>
      <c r="AA10" s="117">
        <v>3.0</v>
      </c>
      <c r="AB10" s="117"/>
      <c r="AC10" s="117">
        <v>16554.0</v>
      </c>
      <c r="AD10" s="117">
        <v>10851.0</v>
      </c>
      <c r="AE10" s="117">
        <v>10664.0</v>
      </c>
      <c r="AF10" s="117">
        <v>3660.0</v>
      </c>
      <c r="AG10" s="117">
        <v>26.0</v>
      </c>
    </row>
    <row r="11">
      <c r="A11" s="114">
        <v>46069.0</v>
      </c>
      <c r="B11" s="115">
        <v>0.0</v>
      </c>
      <c r="C11" s="115">
        <v>0.0</v>
      </c>
      <c r="D11" s="115">
        <v>23.0</v>
      </c>
      <c r="E11" s="115">
        <v>0.0034466365581174233</v>
      </c>
      <c r="F11" s="115">
        <v>29.0</v>
      </c>
      <c r="G11" s="115">
        <v>8414.0</v>
      </c>
      <c r="H11" s="115">
        <v>67528.0</v>
      </c>
      <c r="I11" s="115">
        <v>76275.86206896552</v>
      </c>
      <c r="J11" s="115">
        <v>2212000.0</v>
      </c>
      <c r="K11" s="115">
        <v>29.0</v>
      </c>
      <c r="L11" s="115">
        <v>29.0</v>
      </c>
      <c r="M11" s="115"/>
      <c r="N11" s="115"/>
      <c r="O11" s="115">
        <v>2212000.0</v>
      </c>
      <c r="P11" s="115"/>
      <c r="Q11" s="115"/>
      <c r="R11" s="115"/>
      <c r="S11" s="115"/>
      <c r="T11" s="115"/>
      <c r="U11" s="115">
        <v>0.0</v>
      </c>
      <c r="V11" s="115">
        <v>0.0</v>
      </c>
      <c r="W11" s="115">
        <v>1453.0</v>
      </c>
      <c r="X11" s="115">
        <v>498.0</v>
      </c>
      <c r="Y11" s="115">
        <v>467.0</v>
      </c>
      <c r="Z11" s="115">
        <v>347.0</v>
      </c>
      <c r="AA11" s="115">
        <v>5.0</v>
      </c>
      <c r="AB11" s="115"/>
      <c r="AC11" s="115">
        <v>14388.0</v>
      </c>
      <c r="AD11" s="115">
        <v>9921.0</v>
      </c>
      <c r="AE11" s="115">
        <v>9862.0</v>
      </c>
      <c r="AF11" s="115">
        <v>3120.0</v>
      </c>
      <c r="AG11" s="115">
        <v>24.0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12</v>
      </c>
      <c r="D1" s="125" t="s">
        <v>15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46013.0</v>
      </c>
      <c r="B2" s="127">
        <v>0.9333333333333333</v>
      </c>
      <c r="C2" s="127">
        <v>14.0</v>
      </c>
      <c r="D2" s="127">
        <v>15.0</v>
      </c>
      <c r="E2" s="127">
        <v>0.0016198704103671706</v>
      </c>
      <c r="F2" s="127">
        <v>15.0</v>
      </c>
      <c r="G2" s="127">
        <v>9260.0</v>
      </c>
      <c r="H2" s="127">
        <v>152160.0</v>
      </c>
      <c r="I2" s="127">
        <v>93733.33333333333</v>
      </c>
      <c r="J2" s="127">
        <v>1406000.0</v>
      </c>
      <c r="K2" s="127">
        <v>15.0</v>
      </c>
      <c r="L2" s="127">
        <v>15.0</v>
      </c>
      <c r="M2" s="127">
        <v>0.4594152033359886</v>
      </c>
      <c r="N2" s="127">
        <v>760062.2241096001</v>
      </c>
      <c r="O2" s="127">
        <v>1406000.0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1799.0</v>
      </c>
      <c r="X2" s="127">
        <v>627.0</v>
      </c>
      <c r="Y2" s="127">
        <v>590.0</v>
      </c>
      <c r="Z2" s="127">
        <v>336.0</v>
      </c>
      <c r="AA2" s="127">
        <v>1.0</v>
      </c>
      <c r="AB2" s="127"/>
      <c r="AC2" s="127">
        <v>16934.0</v>
      </c>
      <c r="AD2" s="127">
        <v>11646.0</v>
      </c>
      <c r="AE2" s="127">
        <v>9577.0</v>
      </c>
      <c r="AF2" s="127">
        <v>3049.0</v>
      </c>
      <c r="AG2" s="127">
        <v>14.0</v>
      </c>
    </row>
    <row r="3">
      <c r="A3" s="126">
        <v>46020.0</v>
      </c>
      <c r="B3" s="127">
        <v>0.7808219178082192</v>
      </c>
      <c r="C3" s="127">
        <v>57.0</v>
      </c>
      <c r="D3" s="127">
        <v>73.0</v>
      </c>
      <c r="E3" s="127">
        <v>0.004771115409413282</v>
      </c>
      <c r="F3" s="127">
        <v>74.0</v>
      </c>
      <c r="G3" s="127">
        <v>15510.0</v>
      </c>
      <c r="H3" s="127">
        <v>209007.0</v>
      </c>
      <c r="I3" s="127">
        <v>79918.91891891892</v>
      </c>
      <c r="J3" s="127">
        <v>5914000.0</v>
      </c>
      <c r="K3" s="127">
        <v>74.0</v>
      </c>
      <c r="L3" s="127">
        <v>74.0</v>
      </c>
      <c r="M3" s="127">
        <v>0.6085764590006426</v>
      </c>
      <c r="N3" s="127">
        <v>2314878.8214702</v>
      </c>
      <c r="O3" s="127">
        <v>5914000.0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2845.0</v>
      </c>
      <c r="X3" s="127">
        <v>1140.0</v>
      </c>
      <c r="Y3" s="127">
        <v>1058.0</v>
      </c>
      <c r="Z3" s="127">
        <v>730.0</v>
      </c>
      <c r="AA3" s="127">
        <v>12.0</v>
      </c>
      <c r="AB3" s="127"/>
      <c r="AC3" s="127">
        <v>35156.0</v>
      </c>
      <c r="AD3" s="127">
        <v>18490.0</v>
      </c>
      <c r="AE3" s="127">
        <v>15650.0</v>
      </c>
      <c r="AF3" s="127">
        <v>6792.0</v>
      </c>
      <c r="AG3" s="127">
        <v>62.0</v>
      </c>
    </row>
    <row r="4">
      <c r="A4" s="126">
        <v>46027.0</v>
      </c>
      <c r="B4" s="127">
        <v>0.8333333333333334</v>
      </c>
      <c r="C4" s="127">
        <v>35.0</v>
      </c>
      <c r="D4" s="127">
        <v>42.0</v>
      </c>
      <c r="E4" s="127">
        <v>0.0031967883428741357</v>
      </c>
      <c r="F4" s="127">
        <v>43.0</v>
      </c>
      <c r="G4" s="127">
        <v>13451.0</v>
      </c>
      <c r="H4" s="127">
        <v>208461.0</v>
      </c>
      <c r="I4" s="127">
        <v>85790.69767441861</v>
      </c>
      <c r="J4" s="127">
        <v>3689000.0</v>
      </c>
      <c r="K4" s="127">
        <v>43.0</v>
      </c>
      <c r="L4" s="127">
        <v>43.0</v>
      </c>
      <c r="M4" s="127">
        <v>0.5689834398235294</v>
      </c>
      <c r="N4" s="127">
        <v>1590020.090491</v>
      </c>
      <c r="O4" s="127">
        <v>3689000.0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2435.0</v>
      </c>
      <c r="X4" s="127">
        <v>989.0</v>
      </c>
      <c r="Y4" s="127">
        <v>940.0</v>
      </c>
      <c r="Z4" s="127">
        <v>653.0</v>
      </c>
      <c r="AA4" s="127">
        <v>6.0</v>
      </c>
      <c r="AB4" s="127"/>
      <c r="AC4" s="127">
        <v>21823.0</v>
      </c>
      <c r="AD4" s="127">
        <v>15446.0</v>
      </c>
      <c r="AE4" s="127">
        <v>14109.0</v>
      </c>
      <c r="AF4" s="127">
        <v>4762.0</v>
      </c>
      <c r="AG4" s="127">
        <v>37.0</v>
      </c>
    </row>
    <row r="5">
      <c r="A5" s="126">
        <v>46034.0</v>
      </c>
      <c r="B5" s="127">
        <v>0.7906976744186046</v>
      </c>
      <c r="C5" s="127">
        <v>34.0</v>
      </c>
      <c r="D5" s="127">
        <v>43.0</v>
      </c>
      <c r="E5" s="127">
        <v>0.0032231466906528744</v>
      </c>
      <c r="F5" s="127">
        <v>43.0</v>
      </c>
      <c r="G5" s="127">
        <v>13341.0</v>
      </c>
      <c r="H5" s="127">
        <v>180992.0</v>
      </c>
      <c r="I5" s="127">
        <v>87441.86046511628</v>
      </c>
      <c r="J5" s="127">
        <v>3760000.0</v>
      </c>
      <c r="K5" s="127">
        <v>43.0</v>
      </c>
      <c r="L5" s="127">
        <v>43.0</v>
      </c>
      <c r="M5" s="127">
        <v>0.6497584206329255</v>
      </c>
      <c r="N5" s="127">
        <v>1316908.3384202</v>
      </c>
      <c r="O5" s="127">
        <v>3760000.0</v>
      </c>
      <c r="P5" s="127"/>
      <c r="Q5" s="127"/>
      <c r="R5" s="127"/>
      <c r="S5" s="127"/>
      <c r="T5" s="127"/>
      <c r="U5" s="127">
        <v>0.0</v>
      </c>
      <c r="V5" s="127">
        <v>0.0</v>
      </c>
      <c r="W5" s="127">
        <v>3652.0</v>
      </c>
      <c r="X5" s="127">
        <v>1132.0</v>
      </c>
      <c r="Y5" s="127">
        <v>1063.0</v>
      </c>
      <c r="Z5" s="127">
        <v>661.0</v>
      </c>
      <c r="AA5" s="127">
        <v>8.0</v>
      </c>
      <c r="AB5" s="127"/>
      <c r="AC5" s="127">
        <v>23071.0</v>
      </c>
      <c r="AD5" s="127">
        <v>14892.0</v>
      </c>
      <c r="AE5" s="127">
        <v>13322.0</v>
      </c>
      <c r="AF5" s="127">
        <v>4654.0</v>
      </c>
      <c r="AG5" s="127">
        <v>35.0</v>
      </c>
    </row>
    <row r="6">
      <c r="A6" s="126">
        <v>46041.0</v>
      </c>
      <c r="B6" s="127">
        <v>0.8604651162790697</v>
      </c>
      <c r="C6" s="127">
        <v>37.0</v>
      </c>
      <c r="D6" s="127">
        <v>43.0</v>
      </c>
      <c r="E6" s="127">
        <v>0.0032819416882918636</v>
      </c>
      <c r="F6" s="127">
        <v>43.0</v>
      </c>
      <c r="G6" s="127">
        <v>13102.0</v>
      </c>
      <c r="H6" s="127">
        <v>141951.0</v>
      </c>
      <c r="I6" s="127">
        <v>83465.11627906977</v>
      </c>
      <c r="J6" s="127">
        <v>3589000.0</v>
      </c>
      <c r="K6" s="127">
        <v>43.0</v>
      </c>
      <c r="L6" s="127">
        <v>43.0</v>
      </c>
      <c r="M6" s="127"/>
      <c r="N6" s="127"/>
      <c r="O6" s="127">
        <v>3589000.0</v>
      </c>
      <c r="P6" s="127"/>
      <c r="Q6" s="127"/>
      <c r="R6" s="127"/>
      <c r="S6" s="127"/>
      <c r="T6" s="127"/>
      <c r="U6" s="127">
        <v>0.0</v>
      </c>
      <c r="V6" s="127">
        <v>0.0</v>
      </c>
      <c r="W6" s="127">
        <v>2994.0</v>
      </c>
      <c r="X6" s="127">
        <v>990.0</v>
      </c>
      <c r="Y6" s="127">
        <v>918.0</v>
      </c>
      <c r="Z6" s="127">
        <v>610.0</v>
      </c>
      <c r="AA6" s="127">
        <v>12.0</v>
      </c>
      <c r="AB6" s="127"/>
      <c r="AC6" s="127">
        <v>20718.0</v>
      </c>
      <c r="AD6" s="127">
        <v>13659.0</v>
      </c>
      <c r="AE6" s="127">
        <v>12528.0</v>
      </c>
      <c r="AF6" s="127">
        <v>4512.0</v>
      </c>
      <c r="AG6" s="127">
        <v>31.0</v>
      </c>
    </row>
    <row r="7">
      <c r="A7" s="126">
        <v>46048.0</v>
      </c>
      <c r="B7" s="127">
        <v>0.8260869565217391</v>
      </c>
      <c r="C7" s="127">
        <v>19.0</v>
      </c>
      <c r="D7" s="127">
        <v>23.0</v>
      </c>
      <c r="E7" s="127">
        <v>0.002552037642555228</v>
      </c>
      <c r="F7" s="127">
        <v>32.0</v>
      </c>
      <c r="G7" s="127">
        <v>12539.0</v>
      </c>
      <c r="H7" s="127">
        <v>154215.0</v>
      </c>
      <c r="I7" s="127">
        <v>52593.75</v>
      </c>
      <c r="J7" s="127">
        <v>1683000.0</v>
      </c>
      <c r="K7" s="127">
        <v>32.0</v>
      </c>
      <c r="L7" s="127">
        <v>32.0</v>
      </c>
      <c r="M7" s="127"/>
      <c r="N7" s="127"/>
      <c r="O7" s="127">
        <v>1683000.0</v>
      </c>
      <c r="P7" s="127"/>
      <c r="Q7" s="127"/>
      <c r="R7" s="127"/>
      <c r="S7" s="127"/>
      <c r="T7" s="127"/>
      <c r="U7" s="127">
        <v>0.0</v>
      </c>
      <c r="V7" s="127">
        <v>0.0</v>
      </c>
      <c r="W7" s="127">
        <v>4514.0</v>
      </c>
      <c r="X7" s="127">
        <v>1356.0</v>
      </c>
      <c r="Y7" s="127">
        <v>1272.0</v>
      </c>
      <c r="Z7" s="127">
        <v>793.0</v>
      </c>
      <c r="AA7" s="127">
        <v>5.0</v>
      </c>
      <c r="AB7" s="127"/>
      <c r="AC7" s="127">
        <v>20066.0</v>
      </c>
      <c r="AD7" s="127">
        <v>11571.0</v>
      </c>
      <c r="AE7" s="127">
        <v>11770.0</v>
      </c>
      <c r="AF7" s="127">
        <v>4174.0</v>
      </c>
      <c r="AG7" s="127">
        <v>27.0</v>
      </c>
    </row>
    <row r="8">
      <c r="A8" s="126">
        <v>46055.0</v>
      </c>
      <c r="B8" s="127">
        <v>0.8918918918918919</v>
      </c>
      <c r="C8" s="127">
        <v>33.0</v>
      </c>
      <c r="D8" s="127">
        <v>37.0</v>
      </c>
      <c r="E8" s="127">
        <v>0.004827330115113257</v>
      </c>
      <c r="F8" s="127">
        <v>52.0</v>
      </c>
      <c r="G8" s="127">
        <v>10772.0</v>
      </c>
      <c r="H8" s="127">
        <v>115946.0</v>
      </c>
      <c r="I8" s="127">
        <v>78134.61538461539</v>
      </c>
      <c r="J8" s="127">
        <v>4063000.0</v>
      </c>
      <c r="K8" s="127">
        <v>52.0</v>
      </c>
      <c r="L8" s="127">
        <v>53.0</v>
      </c>
      <c r="M8" s="127"/>
      <c r="N8" s="127"/>
      <c r="O8" s="127">
        <v>4063000.0</v>
      </c>
      <c r="P8" s="127"/>
      <c r="Q8" s="127"/>
      <c r="R8" s="127"/>
      <c r="S8" s="127"/>
      <c r="T8" s="127"/>
      <c r="U8" s="127">
        <v>0.0</v>
      </c>
      <c r="V8" s="127">
        <v>0.0</v>
      </c>
      <c r="W8" s="127">
        <v>4363.0</v>
      </c>
      <c r="X8" s="127">
        <v>1187.0</v>
      </c>
      <c r="Y8" s="127">
        <v>1104.0</v>
      </c>
      <c r="Z8" s="127">
        <v>693.0</v>
      </c>
      <c r="AA8" s="127">
        <v>8.0</v>
      </c>
      <c r="AB8" s="127"/>
      <c r="AC8" s="127">
        <v>17612.0</v>
      </c>
      <c r="AD8" s="127">
        <v>10999.0</v>
      </c>
      <c r="AE8" s="127">
        <v>11180.0</v>
      </c>
      <c r="AF8" s="127">
        <v>4133.0</v>
      </c>
      <c r="AG8" s="127">
        <v>44.0</v>
      </c>
    </row>
    <row r="9">
      <c r="A9" s="126">
        <v>46062.0</v>
      </c>
      <c r="B9" s="127">
        <v>0.9</v>
      </c>
      <c r="C9" s="127">
        <v>18.0</v>
      </c>
      <c r="D9" s="127">
        <v>20.0</v>
      </c>
      <c r="E9" s="127">
        <v>0.0029631143353428015</v>
      </c>
      <c r="F9" s="127">
        <v>29.0</v>
      </c>
      <c r="G9" s="127">
        <v>9787.0</v>
      </c>
      <c r="H9" s="127">
        <v>88753.0</v>
      </c>
      <c r="I9" s="127">
        <v>59034.48275862069</v>
      </c>
      <c r="J9" s="127">
        <v>1712000.0</v>
      </c>
      <c r="K9" s="127">
        <v>29.0</v>
      </c>
      <c r="L9" s="127">
        <v>29.0</v>
      </c>
      <c r="M9" s="127"/>
      <c r="N9" s="127"/>
      <c r="O9" s="127">
        <v>1712000.0</v>
      </c>
      <c r="P9" s="127"/>
      <c r="Q9" s="127"/>
      <c r="R9" s="127"/>
      <c r="S9" s="127"/>
      <c r="T9" s="127"/>
      <c r="U9" s="127">
        <v>0.0</v>
      </c>
      <c r="V9" s="127">
        <v>0.0</v>
      </c>
      <c r="W9" s="127">
        <v>3452.0</v>
      </c>
      <c r="X9" s="127">
        <v>925.0</v>
      </c>
      <c r="Y9" s="127">
        <v>874.0</v>
      </c>
      <c r="Z9" s="127">
        <v>576.0</v>
      </c>
      <c r="AA9" s="127">
        <v>3.0</v>
      </c>
      <c r="AB9" s="127"/>
      <c r="AC9" s="127">
        <v>16554.0</v>
      </c>
      <c r="AD9" s="127">
        <v>10851.0</v>
      </c>
      <c r="AE9" s="127">
        <v>10664.0</v>
      </c>
      <c r="AF9" s="127">
        <v>3660.0</v>
      </c>
      <c r="AG9" s="127">
        <v>26.0</v>
      </c>
    </row>
    <row r="10">
      <c r="A10" s="126">
        <v>46069.0</v>
      </c>
      <c r="B10" s="127">
        <v>0.0</v>
      </c>
      <c r="C10" s="127">
        <v>0.0</v>
      </c>
      <c r="D10" s="127">
        <v>23.0</v>
      </c>
      <c r="E10" s="127">
        <v>0.0034466365581174233</v>
      </c>
      <c r="F10" s="127">
        <v>29.0</v>
      </c>
      <c r="G10" s="127">
        <v>8414.0</v>
      </c>
      <c r="H10" s="127">
        <v>67528.0</v>
      </c>
      <c r="I10" s="127">
        <v>76275.86206896552</v>
      </c>
      <c r="J10" s="127">
        <v>2212000.0</v>
      </c>
      <c r="K10" s="127">
        <v>29.0</v>
      </c>
      <c r="L10" s="127">
        <v>29.0</v>
      </c>
      <c r="M10" s="127"/>
      <c r="N10" s="127"/>
      <c r="O10" s="127">
        <v>2212000.0</v>
      </c>
      <c r="P10" s="127"/>
      <c r="Q10" s="127"/>
      <c r="R10" s="127"/>
      <c r="S10" s="127"/>
      <c r="T10" s="127"/>
      <c r="U10" s="127">
        <v>0.0</v>
      </c>
      <c r="V10" s="127">
        <v>0.0</v>
      </c>
      <c r="W10" s="127">
        <v>1453.0</v>
      </c>
      <c r="X10" s="127">
        <v>498.0</v>
      </c>
      <c r="Y10" s="127">
        <v>467.0</v>
      </c>
      <c r="Z10" s="127">
        <v>347.0</v>
      </c>
      <c r="AA10" s="127">
        <v>5.0</v>
      </c>
      <c r="AB10" s="127"/>
      <c r="AC10" s="127">
        <v>14388.0</v>
      </c>
      <c r="AD10" s="127">
        <v>9921.0</v>
      </c>
      <c r="AE10" s="127">
        <v>9862.0</v>
      </c>
      <c r="AF10" s="127">
        <v>3120.0</v>
      </c>
      <c r="AG10" s="127">
        <v>24.0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" width="15.13"/>
    <col customWidth="1" min="4" max="4" width="14.5"/>
    <col min="5" max="33" width="15.13"/>
  </cols>
  <sheetData>
    <row r="1" ht="36.0">
      <c r="A1" s="112" t="s">
        <v>158</v>
      </c>
    </row>
    <row r="2">
      <c r="A2" s="113" t="s">
        <v>129</v>
      </c>
      <c r="B2" s="113" t="s">
        <v>10</v>
      </c>
      <c r="C2" s="113" t="s">
        <v>13</v>
      </c>
      <c r="D2" s="113" t="s">
        <v>16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45992.0</v>
      </c>
      <c r="B3" s="115">
        <v>0.9230769230769231</v>
      </c>
      <c r="C3" s="115">
        <v>36.0</v>
      </c>
      <c r="D3" s="115">
        <v>39.0</v>
      </c>
      <c r="E3" s="115">
        <v>0.002884338044418806</v>
      </c>
      <c r="F3" s="115">
        <v>40.0</v>
      </c>
      <c r="G3" s="115">
        <v>13868.0</v>
      </c>
      <c r="H3" s="115">
        <v>234177.0</v>
      </c>
      <c r="I3" s="115">
        <v>83600.0</v>
      </c>
      <c r="J3" s="115">
        <v>3344000.0</v>
      </c>
      <c r="K3" s="115">
        <v>40.0</v>
      </c>
      <c r="L3" s="115">
        <v>40.0</v>
      </c>
      <c r="M3" s="115">
        <v>0.5400093820980862</v>
      </c>
      <c r="N3" s="115">
        <v>1538208.6262639998</v>
      </c>
      <c r="O3" s="115">
        <v>3344000.0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4849.0</v>
      </c>
      <c r="X3" s="115">
        <v>2416.0</v>
      </c>
      <c r="Y3" s="115">
        <v>2235.0</v>
      </c>
      <c r="Z3" s="115">
        <v>1147.0</v>
      </c>
      <c r="AA3" s="115">
        <v>12.0</v>
      </c>
      <c r="AB3" s="115"/>
      <c r="AC3" s="115">
        <v>25017.0</v>
      </c>
      <c r="AD3" s="115">
        <v>15198.0</v>
      </c>
      <c r="AE3" s="115">
        <v>12874.0</v>
      </c>
      <c r="AF3" s="115">
        <v>4282.0</v>
      </c>
      <c r="AG3" s="115">
        <v>28.0</v>
      </c>
    </row>
    <row r="4">
      <c r="A4" s="116">
        <v>46023.0</v>
      </c>
      <c r="B4" s="117">
        <v>0.8291457286432161</v>
      </c>
      <c r="C4" s="117">
        <v>165.0</v>
      </c>
      <c r="D4" s="117">
        <v>199.0</v>
      </c>
      <c r="E4" s="117">
        <v>0.005508383490971625</v>
      </c>
      <c r="F4" s="117">
        <v>205.0</v>
      </c>
      <c r="G4" s="117">
        <v>37216.0</v>
      </c>
      <c r="H4" s="117">
        <v>803602.0</v>
      </c>
      <c r="I4" s="117">
        <v>79907.31707317074</v>
      </c>
      <c r="J4" s="117">
        <v>1.6381E7</v>
      </c>
      <c r="K4" s="117">
        <v>205.0</v>
      </c>
      <c r="L4" s="117">
        <v>206.0</v>
      </c>
      <c r="M4" s="117">
        <v>0.6379671052910689</v>
      </c>
      <c r="N4" s="117">
        <v>5930460.848227</v>
      </c>
      <c r="O4" s="117">
        <v>1.6381E7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15413.0</v>
      </c>
      <c r="X4" s="117">
        <v>5363.0</v>
      </c>
      <c r="Y4" s="117">
        <v>5124.0</v>
      </c>
      <c r="Z4" s="117">
        <v>3491.0</v>
      </c>
      <c r="AA4" s="117">
        <v>46.0</v>
      </c>
      <c r="AB4" s="117"/>
      <c r="AC4" s="117">
        <v>68246.0</v>
      </c>
      <c r="AD4" s="117">
        <v>36099.0</v>
      </c>
      <c r="AE4" s="117">
        <v>33819.0</v>
      </c>
      <c r="AF4" s="117">
        <v>16402.0</v>
      </c>
      <c r="AG4" s="117">
        <v>159.0</v>
      </c>
    </row>
    <row r="5">
      <c r="A5" s="114">
        <v>46054.0</v>
      </c>
      <c r="B5" s="115">
        <v>0.0</v>
      </c>
      <c r="C5" s="115">
        <v>0.0</v>
      </c>
      <c r="D5" s="115">
        <v>81.0</v>
      </c>
      <c r="E5" s="115">
        <v>0.005104553799310438</v>
      </c>
      <c r="F5" s="115">
        <v>114.0</v>
      </c>
      <c r="G5" s="115">
        <v>22333.0</v>
      </c>
      <c r="H5" s="115">
        <v>293658.0</v>
      </c>
      <c r="I5" s="115">
        <v>72833.33333333333</v>
      </c>
      <c r="J5" s="115">
        <v>8303000.0</v>
      </c>
      <c r="K5" s="115">
        <v>114.0</v>
      </c>
      <c r="L5" s="115">
        <v>115.0</v>
      </c>
      <c r="M5" s="115"/>
      <c r="N5" s="115"/>
      <c r="O5" s="115">
        <v>8303000.0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10502.0</v>
      </c>
      <c r="X5" s="115">
        <v>2975.0</v>
      </c>
      <c r="Y5" s="115">
        <v>2847.0</v>
      </c>
      <c r="Z5" s="115">
        <v>1931.0</v>
      </c>
      <c r="AA5" s="115">
        <v>20.0</v>
      </c>
      <c r="AB5" s="115"/>
      <c r="AC5" s="115">
        <v>38069.0</v>
      </c>
      <c r="AD5" s="115">
        <v>22372.0</v>
      </c>
      <c r="AE5" s="115">
        <v>22838.0</v>
      </c>
      <c r="AF5" s="115">
        <v>9514.0</v>
      </c>
      <c r="AG5" s="115">
        <v>94.0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13</v>
      </c>
      <c r="D1" s="125" t="s">
        <v>16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45992.0</v>
      </c>
      <c r="B2" s="127">
        <v>0.9230769230769231</v>
      </c>
      <c r="C2" s="127">
        <v>36.0</v>
      </c>
      <c r="D2" s="127">
        <v>39.0</v>
      </c>
      <c r="E2" s="127">
        <v>0.002884338044418806</v>
      </c>
      <c r="F2" s="127">
        <v>40.0</v>
      </c>
      <c r="G2" s="127">
        <v>13868.0</v>
      </c>
      <c r="H2" s="127">
        <v>234177.0</v>
      </c>
      <c r="I2" s="127">
        <v>83600.0</v>
      </c>
      <c r="J2" s="127">
        <v>3344000.0</v>
      </c>
      <c r="K2" s="127">
        <v>40.0</v>
      </c>
      <c r="L2" s="127">
        <v>40.0</v>
      </c>
      <c r="M2" s="127">
        <v>0.5400093820980862</v>
      </c>
      <c r="N2" s="127">
        <v>1538208.6262639998</v>
      </c>
      <c r="O2" s="127">
        <v>3344000.0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4849.0</v>
      </c>
      <c r="X2" s="127">
        <v>2416.0</v>
      </c>
      <c r="Y2" s="127">
        <v>2235.0</v>
      </c>
      <c r="Z2" s="127">
        <v>1147.0</v>
      </c>
      <c r="AA2" s="127">
        <v>12.0</v>
      </c>
      <c r="AB2" s="127"/>
      <c r="AC2" s="127">
        <v>25017.0</v>
      </c>
      <c r="AD2" s="127">
        <v>15198.0</v>
      </c>
      <c r="AE2" s="127">
        <v>12874.0</v>
      </c>
      <c r="AF2" s="127">
        <v>4282.0</v>
      </c>
      <c r="AG2" s="127">
        <v>28.0</v>
      </c>
    </row>
    <row r="3">
      <c r="A3" s="126">
        <v>46023.0</v>
      </c>
      <c r="B3" s="127">
        <v>0.8291457286432161</v>
      </c>
      <c r="C3" s="127">
        <v>165.0</v>
      </c>
      <c r="D3" s="127">
        <v>199.0</v>
      </c>
      <c r="E3" s="127">
        <v>0.005508383490971625</v>
      </c>
      <c r="F3" s="127">
        <v>205.0</v>
      </c>
      <c r="G3" s="127">
        <v>37216.0</v>
      </c>
      <c r="H3" s="127">
        <v>803602.0</v>
      </c>
      <c r="I3" s="127">
        <v>79907.31707317074</v>
      </c>
      <c r="J3" s="127">
        <v>1.6381E7</v>
      </c>
      <c r="K3" s="127">
        <v>205.0</v>
      </c>
      <c r="L3" s="127">
        <v>206.0</v>
      </c>
      <c r="M3" s="127">
        <v>0.6379671052910689</v>
      </c>
      <c r="N3" s="127">
        <v>5930460.848227</v>
      </c>
      <c r="O3" s="127">
        <v>1.6381E7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15413.0</v>
      </c>
      <c r="X3" s="127">
        <v>5363.0</v>
      </c>
      <c r="Y3" s="127">
        <v>5124.0</v>
      </c>
      <c r="Z3" s="127">
        <v>3491.0</v>
      </c>
      <c r="AA3" s="127">
        <v>46.0</v>
      </c>
      <c r="AB3" s="127"/>
      <c r="AC3" s="127">
        <v>68246.0</v>
      </c>
      <c r="AD3" s="127">
        <v>36099.0</v>
      </c>
      <c r="AE3" s="127">
        <v>33819.0</v>
      </c>
      <c r="AF3" s="127">
        <v>16402.0</v>
      </c>
      <c r="AG3" s="127">
        <v>159.0</v>
      </c>
    </row>
    <row r="4">
      <c r="A4" s="126">
        <v>46054.0</v>
      </c>
      <c r="B4" s="127">
        <v>0.0</v>
      </c>
      <c r="C4" s="127">
        <v>0.0</v>
      </c>
      <c r="D4" s="127">
        <v>81.0</v>
      </c>
      <c r="E4" s="127">
        <v>0.005104553799310438</v>
      </c>
      <c r="F4" s="127">
        <v>114.0</v>
      </c>
      <c r="G4" s="127">
        <v>22333.0</v>
      </c>
      <c r="H4" s="127">
        <v>293658.0</v>
      </c>
      <c r="I4" s="127">
        <v>72833.33333333333</v>
      </c>
      <c r="J4" s="127">
        <v>8303000.0</v>
      </c>
      <c r="K4" s="127">
        <v>114.0</v>
      </c>
      <c r="L4" s="127">
        <v>115.0</v>
      </c>
      <c r="M4" s="127"/>
      <c r="N4" s="127"/>
      <c r="O4" s="127">
        <v>8303000.0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10502.0</v>
      </c>
      <c r="X4" s="127">
        <v>2975.0</v>
      </c>
      <c r="Y4" s="127">
        <v>2847.0</v>
      </c>
      <c r="Z4" s="127">
        <v>1931.0</v>
      </c>
      <c r="AA4" s="127">
        <v>20.0</v>
      </c>
      <c r="AB4" s="127"/>
      <c r="AC4" s="127">
        <v>38069.0</v>
      </c>
      <c r="AD4" s="127">
        <v>22372.0</v>
      </c>
      <c r="AE4" s="127">
        <v>22838.0</v>
      </c>
      <c r="AF4" s="127">
        <v>9514.0</v>
      </c>
      <c r="AG4" s="127">
        <v>94.0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3" width="15.13"/>
  </cols>
  <sheetData>
    <row r="1" ht="36.0">
      <c r="A1" s="112" t="s">
        <v>159</v>
      </c>
    </row>
    <row r="2">
      <c r="A2" s="113" t="s">
        <v>129</v>
      </c>
      <c r="B2" s="113" t="s">
        <v>10</v>
      </c>
      <c r="C2" s="113" t="s">
        <v>62</v>
      </c>
      <c r="D2" s="113" t="s">
        <v>64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45992.0</v>
      </c>
      <c r="B3" s="115">
        <v>0.8273155416012559</v>
      </c>
      <c r="C3" s="115">
        <v>527.0</v>
      </c>
      <c r="D3" s="115">
        <v>637.0</v>
      </c>
      <c r="E3" s="115">
        <v>0.31869336976844526</v>
      </c>
      <c r="F3" s="115">
        <v>17727.0</v>
      </c>
      <c r="G3" s="115">
        <v>55624.0</v>
      </c>
      <c r="H3" s="115">
        <v>6357085.0</v>
      </c>
      <c r="I3" s="115">
        <v>64863.15789473684</v>
      </c>
      <c r="J3" s="115">
        <v>1.1498292E9</v>
      </c>
      <c r="K3" s="115">
        <v>17727.0</v>
      </c>
      <c r="L3" s="115">
        <v>28103.0</v>
      </c>
      <c r="M3" s="115">
        <v>0.7190469037634029</v>
      </c>
      <c r="N3" s="115">
        <v>3.230480738832496E8</v>
      </c>
      <c r="O3" s="115">
        <v>1.1498292E9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2714.0</v>
      </c>
      <c r="X3" s="115">
        <v>2165.0</v>
      </c>
      <c r="Y3" s="115">
        <v>2142.0</v>
      </c>
      <c r="Z3" s="115">
        <v>1615.0</v>
      </c>
      <c r="AA3" s="115">
        <v>216.0</v>
      </c>
      <c r="AB3" s="115"/>
      <c r="AC3" s="115">
        <v>91327.0</v>
      </c>
      <c r="AD3" s="115">
        <v>45608.0</v>
      </c>
      <c r="AE3" s="115">
        <v>53482.0</v>
      </c>
      <c r="AF3" s="115">
        <v>60289.0</v>
      </c>
      <c r="AG3" s="115">
        <v>17511.0</v>
      </c>
    </row>
    <row r="4">
      <c r="A4" s="116">
        <v>45993.0</v>
      </c>
      <c r="B4" s="117">
        <v>0.7991452991452992</v>
      </c>
      <c r="C4" s="117">
        <v>374.0</v>
      </c>
      <c r="D4" s="117">
        <v>468.0</v>
      </c>
      <c r="E4" s="117">
        <v>0.17618528693997207</v>
      </c>
      <c r="F4" s="117">
        <v>11479.0</v>
      </c>
      <c r="G4" s="117">
        <v>65153.0</v>
      </c>
      <c r="H4" s="117">
        <v>6163761.0</v>
      </c>
      <c r="I4" s="117">
        <v>32467.305514417632</v>
      </c>
      <c r="J4" s="117">
        <v>3.726922E8</v>
      </c>
      <c r="K4" s="117">
        <v>11479.0</v>
      </c>
      <c r="L4" s="117">
        <v>17215.0</v>
      </c>
      <c r="M4" s="117">
        <v>0.5128369897892782</v>
      </c>
      <c r="N4" s="117">
        <v>1.815618540340564E8</v>
      </c>
      <c r="O4" s="117">
        <v>3.726922E8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1997.0</v>
      </c>
      <c r="X4" s="117">
        <v>1607.0</v>
      </c>
      <c r="Y4" s="117">
        <v>1544.0</v>
      </c>
      <c r="Z4" s="117">
        <v>1162.0</v>
      </c>
      <c r="AA4" s="117">
        <v>173.0</v>
      </c>
      <c r="AB4" s="117"/>
      <c r="AC4" s="117">
        <v>88593.0</v>
      </c>
      <c r="AD4" s="117">
        <v>44808.0</v>
      </c>
      <c r="AE4" s="117">
        <v>63609.0</v>
      </c>
      <c r="AF4" s="117">
        <v>55901.0</v>
      </c>
      <c r="AG4" s="117">
        <v>11306.0</v>
      </c>
    </row>
    <row r="5">
      <c r="A5" s="114">
        <v>45994.0</v>
      </c>
      <c r="B5" s="115">
        <v>0.8127753303964758</v>
      </c>
      <c r="C5" s="115">
        <v>369.0</v>
      </c>
      <c r="D5" s="115">
        <v>454.0</v>
      </c>
      <c r="E5" s="115">
        <v>0.1773157300197684</v>
      </c>
      <c r="F5" s="115">
        <v>10046.0</v>
      </c>
      <c r="G5" s="115">
        <v>56656.0</v>
      </c>
      <c r="H5" s="115">
        <v>6113539.0</v>
      </c>
      <c r="I5" s="115">
        <v>26551.104917380053</v>
      </c>
      <c r="J5" s="115">
        <v>2.667324E8</v>
      </c>
      <c r="K5" s="115">
        <v>10046.0</v>
      </c>
      <c r="L5" s="115">
        <v>15086.0</v>
      </c>
      <c r="M5" s="115">
        <v>0.39798682286868403</v>
      </c>
      <c r="N5" s="115">
        <v>1.6057641956786102E8</v>
      </c>
      <c r="O5" s="115">
        <v>2.667324E8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1808.0</v>
      </c>
      <c r="X5" s="115">
        <v>1448.0</v>
      </c>
      <c r="Y5" s="115">
        <v>1378.0</v>
      </c>
      <c r="Z5" s="115">
        <v>1047.0</v>
      </c>
      <c r="AA5" s="115">
        <v>153.0</v>
      </c>
      <c r="AB5" s="115"/>
      <c r="AC5" s="115">
        <v>88547.0</v>
      </c>
      <c r="AD5" s="115">
        <v>45218.0</v>
      </c>
      <c r="AE5" s="115">
        <v>55278.0</v>
      </c>
      <c r="AF5" s="115">
        <v>55392.0</v>
      </c>
      <c r="AG5" s="115">
        <v>9893.0</v>
      </c>
    </row>
    <row r="6">
      <c r="A6" s="116">
        <v>45995.0</v>
      </c>
      <c r="B6" s="117">
        <v>0.8152866242038217</v>
      </c>
      <c r="C6" s="117">
        <v>256.0</v>
      </c>
      <c r="D6" s="117">
        <v>314.0</v>
      </c>
      <c r="E6" s="117">
        <v>0.15832936609660528</v>
      </c>
      <c r="F6" s="117">
        <v>8647.0</v>
      </c>
      <c r="G6" s="117">
        <v>54614.0</v>
      </c>
      <c r="H6" s="117">
        <v>5905966.0</v>
      </c>
      <c r="I6" s="117">
        <v>22973.805944258125</v>
      </c>
      <c r="J6" s="117">
        <v>1.986545E8</v>
      </c>
      <c r="K6" s="117">
        <v>8647.0</v>
      </c>
      <c r="L6" s="117">
        <v>13314.0</v>
      </c>
      <c r="M6" s="117">
        <v>0.2806738039017209</v>
      </c>
      <c r="N6" s="117">
        <v>1.4289738582280558E8</v>
      </c>
      <c r="O6" s="117">
        <v>1.986545E8</v>
      </c>
      <c r="P6" s="117"/>
      <c r="Q6" s="117"/>
      <c r="R6" s="117"/>
      <c r="S6" s="117"/>
      <c r="T6" s="117"/>
      <c r="U6" s="117">
        <v>0.0</v>
      </c>
      <c r="V6" s="117">
        <v>0.0</v>
      </c>
      <c r="W6" s="117">
        <v>1640.0</v>
      </c>
      <c r="X6" s="117">
        <v>1276.0</v>
      </c>
      <c r="Y6" s="117">
        <v>1271.0</v>
      </c>
      <c r="Z6" s="117">
        <v>892.0</v>
      </c>
      <c r="AA6" s="117">
        <v>134.0</v>
      </c>
      <c r="AB6" s="117"/>
      <c r="AC6" s="117">
        <v>88998.0</v>
      </c>
      <c r="AD6" s="117">
        <v>44079.0</v>
      </c>
      <c r="AE6" s="117">
        <v>53343.0</v>
      </c>
      <c r="AF6" s="117">
        <v>57052.0</v>
      </c>
      <c r="AG6" s="117">
        <v>8513.0</v>
      </c>
    </row>
    <row r="7">
      <c r="A7" s="114">
        <v>45996.0</v>
      </c>
      <c r="B7" s="115">
        <v>0.8353658536585366</v>
      </c>
      <c r="C7" s="115">
        <v>274.0</v>
      </c>
      <c r="D7" s="115">
        <v>328.0</v>
      </c>
      <c r="E7" s="115">
        <v>0.1373659815534435</v>
      </c>
      <c r="F7" s="115">
        <v>8802.0</v>
      </c>
      <c r="G7" s="115">
        <v>64077.0</v>
      </c>
      <c r="H7" s="115">
        <v>5786140.0</v>
      </c>
      <c r="I7" s="115">
        <v>24073.085662349466</v>
      </c>
      <c r="J7" s="115">
        <v>2.118913E8</v>
      </c>
      <c r="K7" s="115">
        <v>8802.0</v>
      </c>
      <c r="L7" s="115">
        <v>13384.0</v>
      </c>
      <c r="M7" s="115">
        <v>0.3618908431398816</v>
      </c>
      <c r="N7" s="115">
        <v>1.352097787889944E8</v>
      </c>
      <c r="O7" s="115">
        <v>2.118913E8</v>
      </c>
      <c r="P7" s="115"/>
      <c r="Q7" s="115"/>
      <c r="R7" s="115"/>
      <c r="S7" s="115"/>
      <c r="T7" s="115"/>
      <c r="U7" s="115">
        <v>0.0</v>
      </c>
      <c r="V7" s="115">
        <v>0.0</v>
      </c>
      <c r="W7" s="115">
        <v>1710.0</v>
      </c>
      <c r="X7" s="115">
        <v>1326.0</v>
      </c>
      <c r="Y7" s="115">
        <v>1324.0</v>
      </c>
      <c r="Z7" s="115">
        <v>936.0</v>
      </c>
      <c r="AA7" s="115">
        <v>124.0</v>
      </c>
      <c r="AB7" s="115"/>
      <c r="AC7" s="115">
        <v>88915.0</v>
      </c>
      <c r="AD7" s="115">
        <v>44219.0</v>
      </c>
      <c r="AE7" s="115">
        <v>62753.0</v>
      </c>
      <c r="AF7" s="115">
        <v>57711.0</v>
      </c>
      <c r="AG7" s="115">
        <v>8678.0</v>
      </c>
    </row>
    <row r="8">
      <c r="A8" s="116">
        <v>45997.0</v>
      </c>
      <c r="B8" s="117">
        <v>0.8271604938271605</v>
      </c>
      <c r="C8" s="117">
        <v>335.0</v>
      </c>
      <c r="D8" s="117">
        <v>405.0</v>
      </c>
      <c r="E8" s="117">
        <v>0.1587590012786863</v>
      </c>
      <c r="F8" s="117">
        <v>9436.0</v>
      </c>
      <c r="G8" s="117">
        <v>59436.0</v>
      </c>
      <c r="H8" s="117">
        <v>6764386.0</v>
      </c>
      <c r="I8" s="117">
        <v>23791.786774056804</v>
      </c>
      <c r="J8" s="117">
        <v>2.244993E8</v>
      </c>
      <c r="K8" s="117">
        <v>9436.0</v>
      </c>
      <c r="L8" s="117">
        <v>14889.0</v>
      </c>
      <c r="M8" s="117">
        <v>0.30973089366376283</v>
      </c>
      <c r="N8" s="117">
        <v>1.5496493118411082E8</v>
      </c>
      <c r="O8" s="117">
        <v>2.244993E8</v>
      </c>
      <c r="P8" s="117"/>
      <c r="Q8" s="117"/>
      <c r="R8" s="117"/>
      <c r="S8" s="117"/>
      <c r="T8" s="117"/>
      <c r="U8" s="117">
        <v>0.0</v>
      </c>
      <c r="V8" s="117">
        <v>0.0</v>
      </c>
      <c r="W8" s="117">
        <v>2414.0</v>
      </c>
      <c r="X8" s="117">
        <v>1908.0</v>
      </c>
      <c r="Y8" s="117">
        <v>1938.0</v>
      </c>
      <c r="Z8" s="117">
        <v>1395.0</v>
      </c>
      <c r="AA8" s="117">
        <v>181.0</v>
      </c>
      <c r="AB8" s="117"/>
      <c r="AC8" s="117">
        <v>89377.0</v>
      </c>
      <c r="AD8" s="117">
        <v>46699.0</v>
      </c>
      <c r="AE8" s="117">
        <v>57498.0</v>
      </c>
      <c r="AF8" s="117">
        <v>58732.0</v>
      </c>
      <c r="AG8" s="117">
        <v>9255.0</v>
      </c>
    </row>
    <row r="9">
      <c r="A9" s="114">
        <v>45998.0</v>
      </c>
      <c r="B9" s="115">
        <v>0.8059701492537313</v>
      </c>
      <c r="C9" s="115">
        <v>378.0</v>
      </c>
      <c r="D9" s="115">
        <v>469.0</v>
      </c>
      <c r="E9" s="115">
        <v>0.1697242413753317</v>
      </c>
      <c r="F9" s="115">
        <v>10297.0</v>
      </c>
      <c r="G9" s="115">
        <v>60669.0</v>
      </c>
      <c r="H9" s="115">
        <v>7550881.0</v>
      </c>
      <c r="I9" s="115">
        <v>24076.643682626007</v>
      </c>
      <c r="J9" s="115">
        <v>2.479172E8</v>
      </c>
      <c r="K9" s="115">
        <v>10297.0</v>
      </c>
      <c r="L9" s="115">
        <v>16842.0</v>
      </c>
      <c r="M9" s="115">
        <v>0.3070469846809588</v>
      </c>
      <c r="N9" s="115">
        <v>1.717949712894538E8</v>
      </c>
      <c r="O9" s="115">
        <v>2.479172E8</v>
      </c>
      <c r="P9" s="115"/>
      <c r="Q9" s="115"/>
      <c r="R9" s="115"/>
      <c r="S9" s="115"/>
      <c r="T9" s="115"/>
      <c r="U9" s="115">
        <v>0.0</v>
      </c>
      <c r="V9" s="115">
        <v>0.0</v>
      </c>
      <c r="W9" s="115">
        <v>2541.0</v>
      </c>
      <c r="X9" s="115">
        <v>2024.0</v>
      </c>
      <c r="Y9" s="115">
        <v>2038.0</v>
      </c>
      <c r="Z9" s="115">
        <v>1391.0</v>
      </c>
      <c r="AA9" s="115">
        <v>189.0</v>
      </c>
      <c r="AB9" s="115"/>
      <c r="AC9" s="115">
        <v>90776.0</v>
      </c>
      <c r="AD9" s="115">
        <v>49654.0</v>
      </c>
      <c r="AE9" s="115">
        <v>58631.0</v>
      </c>
      <c r="AF9" s="115">
        <v>60687.0</v>
      </c>
      <c r="AG9" s="115">
        <v>10108.0</v>
      </c>
    </row>
    <row r="10">
      <c r="A10" s="116">
        <v>45999.0</v>
      </c>
      <c r="B10" s="117">
        <v>0.8258426966292135</v>
      </c>
      <c r="C10" s="117">
        <v>294.0</v>
      </c>
      <c r="D10" s="117">
        <v>356.0</v>
      </c>
      <c r="E10" s="117">
        <v>0.14581113728785583</v>
      </c>
      <c r="F10" s="117">
        <v>9717.0</v>
      </c>
      <c r="G10" s="117">
        <v>66641.0</v>
      </c>
      <c r="H10" s="117">
        <v>6812304.0</v>
      </c>
      <c r="I10" s="117">
        <v>22619.028506740764</v>
      </c>
      <c r="J10" s="117">
        <v>2.197891E8</v>
      </c>
      <c r="K10" s="117">
        <v>9717.0</v>
      </c>
      <c r="L10" s="117">
        <v>15700.0</v>
      </c>
      <c r="M10" s="117">
        <v>0.2874857303142222</v>
      </c>
      <c r="N10" s="117">
        <v>1.5660287007139438E8</v>
      </c>
      <c r="O10" s="117">
        <v>2.197891E8</v>
      </c>
      <c r="P10" s="117"/>
      <c r="Q10" s="117"/>
      <c r="R10" s="117"/>
      <c r="S10" s="117"/>
      <c r="T10" s="117"/>
      <c r="U10" s="117">
        <v>0.0</v>
      </c>
      <c r="V10" s="117">
        <v>0.0</v>
      </c>
      <c r="W10" s="117">
        <v>2095.0</v>
      </c>
      <c r="X10" s="117">
        <v>1651.0</v>
      </c>
      <c r="Y10" s="117">
        <v>1686.0</v>
      </c>
      <c r="Z10" s="117">
        <v>1146.0</v>
      </c>
      <c r="AA10" s="117">
        <v>136.0</v>
      </c>
      <c r="AB10" s="117"/>
      <c r="AC10" s="117">
        <v>89434.0</v>
      </c>
      <c r="AD10" s="117">
        <v>47139.0</v>
      </c>
      <c r="AE10" s="117">
        <v>64955.0</v>
      </c>
      <c r="AF10" s="117">
        <v>60302.0</v>
      </c>
      <c r="AG10" s="117">
        <v>9581.0</v>
      </c>
    </row>
    <row r="11">
      <c r="A11" s="114">
        <v>46000.0</v>
      </c>
      <c r="B11" s="115">
        <v>0.8632218844984803</v>
      </c>
      <c r="C11" s="115">
        <v>284.0</v>
      </c>
      <c r="D11" s="115">
        <v>329.0</v>
      </c>
      <c r="E11" s="115">
        <v>0.1547847164218215</v>
      </c>
      <c r="F11" s="115">
        <v>9451.0</v>
      </c>
      <c r="G11" s="115">
        <v>61059.0</v>
      </c>
      <c r="H11" s="115">
        <v>6502094.0</v>
      </c>
      <c r="I11" s="115">
        <v>22971.8548301767</v>
      </c>
      <c r="J11" s="115">
        <v>2.17107E8</v>
      </c>
      <c r="K11" s="115">
        <v>9451.0</v>
      </c>
      <c r="L11" s="115">
        <v>14927.0</v>
      </c>
      <c r="M11" s="115">
        <v>0.29624366469717045</v>
      </c>
      <c r="N11" s="115">
        <v>1.5279042668859142E8</v>
      </c>
      <c r="O11" s="115">
        <v>2.17107E8</v>
      </c>
      <c r="P11" s="115"/>
      <c r="Q11" s="115"/>
      <c r="R11" s="115"/>
      <c r="S11" s="115"/>
      <c r="T11" s="115"/>
      <c r="U11" s="115">
        <v>0.0</v>
      </c>
      <c r="V11" s="115">
        <v>0.0</v>
      </c>
      <c r="W11" s="115">
        <v>1820.0</v>
      </c>
      <c r="X11" s="115">
        <v>1428.0</v>
      </c>
      <c r="Y11" s="115">
        <v>1432.0</v>
      </c>
      <c r="Z11" s="115">
        <v>982.0</v>
      </c>
      <c r="AA11" s="115">
        <v>127.0</v>
      </c>
      <c r="AB11" s="115"/>
      <c r="AC11" s="115">
        <v>89738.0</v>
      </c>
      <c r="AD11" s="115">
        <v>47640.0</v>
      </c>
      <c r="AE11" s="115">
        <v>59627.0</v>
      </c>
      <c r="AF11" s="115">
        <v>60535.0</v>
      </c>
      <c r="AG11" s="115">
        <v>9324.0</v>
      </c>
    </row>
    <row r="12">
      <c r="A12" s="116">
        <v>46001.0</v>
      </c>
      <c r="B12" s="117">
        <v>0.8302469135802469</v>
      </c>
      <c r="C12" s="117">
        <v>269.0</v>
      </c>
      <c r="D12" s="117">
        <v>324.0</v>
      </c>
      <c r="E12" s="117">
        <v>0.16124377024147132</v>
      </c>
      <c r="F12" s="117">
        <v>9609.0</v>
      </c>
      <c r="G12" s="117">
        <v>59593.0</v>
      </c>
      <c r="H12" s="117">
        <v>6428192.0</v>
      </c>
      <c r="I12" s="117">
        <v>25779.227807264022</v>
      </c>
      <c r="J12" s="117">
        <v>2.477126E8</v>
      </c>
      <c r="K12" s="117">
        <v>9609.0</v>
      </c>
      <c r="L12" s="117">
        <v>15024.0</v>
      </c>
      <c r="M12" s="117">
        <v>0.3541907212496539</v>
      </c>
      <c r="N12" s="117">
        <v>1.59975095543373E8</v>
      </c>
      <c r="O12" s="117">
        <v>2.477126E8</v>
      </c>
      <c r="P12" s="117"/>
      <c r="Q12" s="117"/>
      <c r="R12" s="117"/>
      <c r="S12" s="117"/>
      <c r="T12" s="117"/>
      <c r="U12" s="117">
        <v>0.0</v>
      </c>
      <c r="V12" s="117">
        <v>0.0</v>
      </c>
      <c r="W12" s="117">
        <v>1749.0</v>
      </c>
      <c r="X12" s="117">
        <v>1416.0</v>
      </c>
      <c r="Y12" s="117">
        <v>1386.0</v>
      </c>
      <c r="Z12" s="117">
        <v>927.0</v>
      </c>
      <c r="AA12" s="117">
        <v>132.0</v>
      </c>
      <c r="AB12" s="117"/>
      <c r="AC12" s="117">
        <v>88917.0</v>
      </c>
      <c r="AD12" s="117">
        <v>47535.0</v>
      </c>
      <c r="AE12" s="117">
        <v>58207.0</v>
      </c>
      <c r="AF12" s="117">
        <v>57053.0</v>
      </c>
      <c r="AG12" s="117">
        <v>9477.0</v>
      </c>
    </row>
    <row r="13">
      <c r="A13" s="114">
        <v>46002.0</v>
      </c>
      <c r="B13" s="115">
        <v>0.7850162866449512</v>
      </c>
      <c r="C13" s="115">
        <v>241.0</v>
      </c>
      <c r="D13" s="115">
        <v>307.0</v>
      </c>
      <c r="E13" s="115">
        <v>0.13739890445048025</v>
      </c>
      <c r="F13" s="115">
        <v>9055.0</v>
      </c>
      <c r="G13" s="115">
        <v>65903.0</v>
      </c>
      <c r="H13" s="115">
        <v>6312153.0</v>
      </c>
      <c r="I13" s="115">
        <v>24082.065157371617</v>
      </c>
      <c r="J13" s="115">
        <v>2.180631E8</v>
      </c>
      <c r="K13" s="115">
        <v>9055.0</v>
      </c>
      <c r="L13" s="115">
        <v>14001.0</v>
      </c>
      <c r="M13" s="115">
        <v>0.2991337765301062</v>
      </c>
      <c r="N13" s="115">
        <v>1.528330613751378E8</v>
      </c>
      <c r="O13" s="115">
        <v>2.180631E8</v>
      </c>
      <c r="P13" s="115"/>
      <c r="Q13" s="115"/>
      <c r="R13" s="115"/>
      <c r="S13" s="115"/>
      <c r="T13" s="115"/>
      <c r="U13" s="115">
        <v>0.0</v>
      </c>
      <c r="V13" s="115">
        <v>0.0</v>
      </c>
      <c r="W13" s="115">
        <v>1795.0</v>
      </c>
      <c r="X13" s="115">
        <v>1422.0</v>
      </c>
      <c r="Y13" s="115">
        <v>1409.0</v>
      </c>
      <c r="Z13" s="115">
        <v>947.0</v>
      </c>
      <c r="AA13" s="115">
        <v>133.0</v>
      </c>
      <c r="AB13" s="115"/>
      <c r="AC13" s="115">
        <v>90718.0</v>
      </c>
      <c r="AD13" s="115">
        <v>47806.0</v>
      </c>
      <c r="AE13" s="115">
        <v>64494.0</v>
      </c>
      <c r="AF13" s="115">
        <v>60595.0</v>
      </c>
      <c r="AG13" s="115">
        <v>8922.0</v>
      </c>
    </row>
    <row r="14">
      <c r="A14" s="116">
        <v>46003.0</v>
      </c>
      <c r="B14" s="117">
        <v>0.8142414860681114</v>
      </c>
      <c r="C14" s="117">
        <v>263.0</v>
      </c>
      <c r="D14" s="117">
        <v>323.0</v>
      </c>
      <c r="E14" s="117">
        <v>0.147578030327842</v>
      </c>
      <c r="F14" s="117">
        <v>9012.0</v>
      </c>
      <c r="G14" s="117">
        <v>61066.0</v>
      </c>
      <c r="H14" s="117">
        <v>6313342.0</v>
      </c>
      <c r="I14" s="117">
        <v>23316.766533510876</v>
      </c>
      <c r="J14" s="117">
        <v>2.101307E8</v>
      </c>
      <c r="K14" s="117">
        <v>9012.0</v>
      </c>
      <c r="L14" s="117">
        <v>13943.0</v>
      </c>
      <c r="M14" s="117">
        <v>0.26953584111134354</v>
      </c>
      <c r="N14" s="117">
        <v>1.534929450321846E8</v>
      </c>
      <c r="O14" s="117">
        <v>2.101307E8</v>
      </c>
      <c r="P14" s="117"/>
      <c r="Q14" s="117"/>
      <c r="R14" s="117"/>
      <c r="S14" s="117"/>
      <c r="T14" s="117"/>
      <c r="U14" s="117">
        <v>0.0</v>
      </c>
      <c r="V14" s="117">
        <v>0.0</v>
      </c>
      <c r="W14" s="117">
        <v>1812.0</v>
      </c>
      <c r="X14" s="117">
        <v>1403.0</v>
      </c>
      <c r="Y14" s="117">
        <v>1414.0</v>
      </c>
      <c r="Z14" s="117">
        <v>919.0</v>
      </c>
      <c r="AA14" s="117">
        <v>141.0</v>
      </c>
      <c r="AB14" s="117"/>
      <c r="AC14" s="117">
        <v>90361.0</v>
      </c>
      <c r="AD14" s="117">
        <v>47397.0</v>
      </c>
      <c r="AE14" s="117">
        <v>59652.0</v>
      </c>
      <c r="AF14" s="117">
        <v>60038.0</v>
      </c>
      <c r="AG14" s="117">
        <v>8871.0</v>
      </c>
    </row>
    <row r="15">
      <c r="A15" s="114">
        <v>46004.0</v>
      </c>
      <c r="B15" s="115">
        <v>0.8093841642228738</v>
      </c>
      <c r="C15" s="115">
        <v>276.0</v>
      </c>
      <c r="D15" s="115">
        <v>341.0</v>
      </c>
      <c r="E15" s="115">
        <v>0.15602939988692352</v>
      </c>
      <c r="F15" s="115">
        <v>9659.0</v>
      </c>
      <c r="G15" s="115">
        <v>61905.0</v>
      </c>
      <c r="H15" s="115">
        <v>6955034.0</v>
      </c>
      <c r="I15" s="115">
        <v>23295.537840356144</v>
      </c>
      <c r="J15" s="115">
        <v>2.250116E8</v>
      </c>
      <c r="K15" s="115">
        <v>9659.0</v>
      </c>
      <c r="L15" s="115">
        <v>15508.0</v>
      </c>
      <c r="M15" s="115">
        <v>0.2784920271416754</v>
      </c>
      <c r="N15" s="115">
        <v>1.623476633856082E8</v>
      </c>
      <c r="O15" s="115">
        <v>2.250116E8</v>
      </c>
      <c r="P15" s="115"/>
      <c r="Q15" s="115"/>
      <c r="R15" s="115"/>
      <c r="S15" s="115"/>
      <c r="T15" s="115"/>
      <c r="U15" s="115">
        <v>0.0</v>
      </c>
      <c r="V15" s="115">
        <v>0.0</v>
      </c>
      <c r="W15" s="115">
        <v>1989.0</v>
      </c>
      <c r="X15" s="115">
        <v>1606.0</v>
      </c>
      <c r="Y15" s="115">
        <v>1603.0</v>
      </c>
      <c r="Z15" s="115">
        <v>1035.0</v>
      </c>
      <c r="AA15" s="115">
        <v>126.0</v>
      </c>
      <c r="AB15" s="115"/>
      <c r="AC15" s="115">
        <v>91467.0</v>
      </c>
      <c r="AD15" s="115">
        <v>49969.0</v>
      </c>
      <c r="AE15" s="115">
        <v>60302.0</v>
      </c>
      <c r="AF15" s="115">
        <v>60565.0</v>
      </c>
      <c r="AG15" s="115">
        <v>9533.0</v>
      </c>
    </row>
    <row r="16">
      <c r="A16" s="116">
        <v>46005.0</v>
      </c>
      <c r="B16" s="117">
        <v>0.7874015748031497</v>
      </c>
      <c r="C16" s="117">
        <v>300.0</v>
      </c>
      <c r="D16" s="117">
        <v>381.0</v>
      </c>
      <c r="E16" s="117">
        <v>0.15491856485306266</v>
      </c>
      <c r="F16" s="117">
        <v>10501.0</v>
      </c>
      <c r="G16" s="117">
        <v>67784.0</v>
      </c>
      <c r="H16" s="117">
        <v>7707492.0</v>
      </c>
      <c r="I16" s="117">
        <v>23728.340158080184</v>
      </c>
      <c r="J16" s="117">
        <v>2.491713E8</v>
      </c>
      <c r="K16" s="117">
        <v>10501.0</v>
      </c>
      <c r="L16" s="117">
        <v>17187.0</v>
      </c>
      <c r="M16" s="117">
        <v>0.28487909415871093</v>
      </c>
      <c r="N16" s="117">
        <v>1.7818760576565158E8</v>
      </c>
      <c r="O16" s="117">
        <v>2.491713E8</v>
      </c>
      <c r="P16" s="117"/>
      <c r="Q16" s="117"/>
      <c r="R16" s="117"/>
      <c r="S16" s="117"/>
      <c r="T16" s="117"/>
      <c r="U16" s="117">
        <v>0.0</v>
      </c>
      <c r="V16" s="117">
        <v>0.0</v>
      </c>
      <c r="W16" s="117">
        <v>2123.0</v>
      </c>
      <c r="X16" s="117">
        <v>1724.0</v>
      </c>
      <c r="Y16" s="117">
        <v>1652.0</v>
      </c>
      <c r="Z16" s="117">
        <v>1132.0</v>
      </c>
      <c r="AA16" s="117">
        <v>151.0</v>
      </c>
      <c r="AB16" s="117"/>
      <c r="AC16" s="117">
        <v>91763.0</v>
      </c>
      <c r="AD16" s="117">
        <v>50271.0</v>
      </c>
      <c r="AE16" s="117">
        <v>66132.0</v>
      </c>
      <c r="AF16" s="117">
        <v>61969.0</v>
      </c>
      <c r="AG16" s="117">
        <v>10350.0</v>
      </c>
    </row>
    <row r="17">
      <c r="A17" s="114">
        <v>46006.0</v>
      </c>
      <c r="B17" s="115">
        <v>0.8408408408408409</v>
      </c>
      <c r="C17" s="115">
        <v>280.0</v>
      </c>
      <c r="D17" s="115">
        <v>333.0</v>
      </c>
      <c r="E17" s="115">
        <v>0.16094578197841497</v>
      </c>
      <c r="F17" s="115">
        <v>10081.0</v>
      </c>
      <c r="G17" s="115">
        <v>62636.0</v>
      </c>
      <c r="H17" s="115">
        <v>6926809.0</v>
      </c>
      <c r="I17" s="115">
        <v>23968.36623350858</v>
      </c>
      <c r="J17" s="115">
        <v>2.416251E8</v>
      </c>
      <c r="K17" s="115">
        <v>10081.0</v>
      </c>
      <c r="L17" s="115">
        <v>16247.0</v>
      </c>
      <c r="M17" s="115">
        <v>0.3162814117888513</v>
      </c>
      <c r="N17" s="115">
        <v>1.6520357224837762E8</v>
      </c>
      <c r="O17" s="115">
        <v>2.416251E8</v>
      </c>
      <c r="P17" s="115"/>
      <c r="Q17" s="115"/>
      <c r="R17" s="115"/>
      <c r="S17" s="115"/>
      <c r="T17" s="115"/>
      <c r="U17" s="115">
        <v>0.0</v>
      </c>
      <c r="V17" s="115">
        <v>0.0</v>
      </c>
      <c r="W17" s="115">
        <v>1705.0</v>
      </c>
      <c r="X17" s="115">
        <v>1335.0</v>
      </c>
      <c r="Y17" s="115">
        <v>1333.0</v>
      </c>
      <c r="Z17" s="115">
        <v>889.0</v>
      </c>
      <c r="AA17" s="115">
        <v>123.0</v>
      </c>
      <c r="AB17" s="115"/>
      <c r="AC17" s="115">
        <v>91013.0</v>
      </c>
      <c r="AD17" s="115">
        <v>48311.0</v>
      </c>
      <c r="AE17" s="115">
        <v>61303.0</v>
      </c>
      <c r="AF17" s="115">
        <v>61805.0</v>
      </c>
      <c r="AG17" s="115">
        <v>9958.0</v>
      </c>
    </row>
    <row r="18">
      <c r="A18" s="116">
        <v>46007.0</v>
      </c>
      <c r="B18" s="117">
        <v>0.8398692810457516</v>
      </c>
      <c r="C18" s="117">
        <v>257.0</v>
      </c>
      <c r="D18" s="117">
        <v>306.0</v>
      </c>
      <c r="E18" s="117">
        <v>0.1549567359108144</v>
      </c>
      <c r="F18" s="117">
        <v>9563.0</v>
      </c>
      <c r="G18" s="117">
        <v>61714.0</v>
      </c>
      <c r="H18" s="117">
        <v>6496621.0</v>
      </c>
      <c r="I18" s="117">
        <v>23872.487713060757</v>
      </c>
      <c r="J18" s="117">
        <v>2.282926E8</v>
      </c>
      <c r="K18" s="117">
        <v>9563.0</v>
      </c>
      <c r="L18" s="117">
        <v>15077.0</v>
      </c>
      <c r="M18" s="117">
        <v>0.3152739643542952</v>
      </c>
      <c r="N18" s="117">
        <v>1.563178869652506E8</v>
      </c>
      <c r="O18" s="117">
        <v>2.282926E8</v>
      </c>
      <c r="P18" s="117"/>
      <c r="Q18" s="117"/>
      <c r="R18" s="117"/>
      <c r="S18" s="117"/>
      <c r="T18" s="117"/>
      <c r="U18" s="117">
        <v>0.0</v>
      </c>
      <c r="V18" s="117">
        <v>0.0</v>
      </c>
      <c r="W18" s="117">
        <v>1624.0</v>
      </c>
      <c r="X18" s="117">
        <v>1350.0</v>
      </c>
      <c r="Y18" s="117">
        <v>1328.0</v>
      </c>
      <c r="Z18" s="117">
        <v>911.0</v>
      </c>
      <c r="AA18" s="117">
        <v>124.0</v>
      </c>
      <c r="AB18" s="117"/>
      <c r="AC18" s="117">
        <v>91264.0</v>
      </c>
      <c r="AD18" s="117">
        <v>48054.0</v>
      </c>
      <c r="AE18" s="117">
        <v>60386.0</v>
      </c>
      <c r="AF18" s="117">
        <v>61431.0</v>
      </c>
      <c r="AG18" s="117">
        <v>9439.0</v>
      </c>
    </row>
    <row r="19">
      <c r="A19" s="114">
        <v>46008.0</v>
      </c>
      <c r="B19" s="115">
        <v>0.8354838709677419</v>
      </c>
      <c r="C19" s="115">
        <v>259.0</v>
      </c>
      <c r="D19" s="115">
        <v>310.0</v>
      </c>
      <c r="E19" s="115">
        <v>0.1441126673849469</v>
      </c>
      <c r="F19" s="115">
        <v>9363.0</v>
      </c>
      <c r="G19" s="115">
        <v>64970.0</v>
      </c>
      <c r="H19" s="115">
        <v>6416770.0</v>
      </c>
      <c r="I19" s="115">
        <v>22633.055644558368</v>
      </c>
      <c r="J19" s="115">
        <v>2.119133E8</v>
      </c>
      <c r="K19" s="115">
        <v>9363.0</v>
      </c>
      <c r="L19" s="115">
        <v>14673.0</v>
      </c>
      <c r="M19" s="115">
        <v>0.28491931009340243</v>
      </c>
      <c r="N19" s="115">
        <v>1.515351087643838E8</v>
      </c>
      <c r="O19" s="115">
        <v>2.119133E8</v>
      </c>
      <c r="P19" s="115"/>
      <c r="Q19" s="115"/>
      <c r="R19" s="115"/>
      <c r="S19" s="115"/>
      <c r="T19" s="115"/>
      <c r="U19" s="115">
        <v>0.0</v>
      </c>
      <c r="V19" s="115">
        <v>0.0</v>
      </c>
      <c r="W19" s="115">
        <v>1550.0</v>
      </c>
      <c r="X19" s="115">
        <v>1243.0</v>
      </c>
      <c r="Y19" s="115">
        <v>1200.0</v>
      </c>
      <c r="Z19" s="115">
        <v>847.0</v>
      </c>
      <c r="AA19" s="115">
        <v>99.0</v>
      </c>
      <c r="AB19" s="115"/>
      <c r="AC19" s="115">
        <v>90896.0</v>
      </c>
      <c r="AD19" s="115">
        <v>48047.0</v>
      </c>
      <c r="AE19" s="115">
        <v>63770.0</v>
      </c>
      <c r="AF19" s="115">
        <v>61529.0</v>
      </c>
      <c r="AG19" s="115">
        <v>9264.0</v>
      </c>
    </row>
    <row r="20">
      <c r="A20" s="116">
        <v>46009.0</v>
      </c>
      <c r="B20" s="117">
        <v>0.7851239669421488</v>
      </c>
      <c r="C20" s="117">
        <v>190.0</v>
      </c>
      <c r="D20" s="117">
        <v>242.0</v>
      </c>
      <c r="E20" s="117">
        <v>0.14612468747479634</v>
      </c>
      <c r="F20" s="117">
        <v>9059.0</v>
      </c>
      <c r="G20" s="117">
        <v>61995.0</v>
      </c>
      <c r="H20" s="117">
        <v>6166005.0</v>
      </c>
      <c r="I20" s="117">
        <v>22840.721933988298</v>
      </c>
      <c r="J20" s="117">
        <v>2.069141E8</v>
      </c>
      <c r="K20" s="117">
        <v>9059.0</v>
      </c>
      <c r="L20" s="117">
        <v>14147.0</v>
      </c>
      <c r="M20" s="117">
        <v>0.31668565100148127</v>
      </c>
      <c r="N20" s="117">
        <v>1.413873735401144E8</v>
      </c>
      <c r="O20" s="117">
        <v>2.069141E8</v>
      </c>
      <c r="P20" s="117"/>
      <c r="Q20" s="117"/>
      <c r="R20" s="117"/>
      <c r="S20" s="117"/>
      <c r="T20" s="117"/>
      <c r="U20" s="117">
        <v>0.0</v>
      </c>
      <c r="V20" s="117">
        <v>0.0</v>
      </c>
      <c r="W20" s="117">
        <v>1410.0</v>
      </c>
      <c r="X20" s="117">
        <v>1123.0</v>
      </c>
      <c r="Y20" s="117">
        <v>1098.0</v>
      </c>
      <c r="Z20" s="117">
        <v>742.0</v>
      </c>
      <c r="AA20" s="117">
        <v>96.0</v>
      </c>
      <c r="AB20" s="117"/>
      <c r="AC20" s="117">
        <v>89393.0</v>
      </c>
      <c r="AD20" s="117">
        <v>47908.0</v>
      </c>
      <c r="AE20" s="117">
        <v>60897.0</v>
      </c>
      <c r="AF20" s="117">
        <v>60886.0</v>
      </c>
      <c r="AG20" s="117">
        <v>8963.0</v>
      </c>
    </row>
    <row r="21">
      <c r="A21" s="114">
        <v>46010.0</v>
      </c>
      <c r="B21" s="115">
        <v>0.8291814946619217</v>
      </c>
      <c r="C21" s="115">
        <v>233.0</v>
      </c>
      <c r="D21" s="115">
        <v>281.0</v>
      </c>
      <c r="E21" s="115">
        <v>0.14700432365657815</v>
      </c>
      <c r="F21" s="115">
        <v>9044.0</v>
      </c>
      <c r="G21" s="115">
        <v>61522.0</v>
      </c>
      <c r="H21" s="115">
        <v>6067006.0</v>
      </c>
      <c r="I21" s="115">
        <v>23070.090667846085</v>
      </c>
      <c r="J21" s="115">
        <v>2.086459E8</v>
      </c>
      <c r="K21" s="115">
        <v>9044.0</v>
      </c>
      <c r="L21" s="115">
        <v>14042.0</v>
      </c>
      <c r="M21" s="115">
        <v>0.29885828200569386</v>
      </c>
      <c r="N21" s="115">
        <v>1.462903447784682E8</v>
      </c>
      <c r="O21" s="115">
        <v>2.086459E8</v>
      </c>
      <c r="P21" s="115"/>
      <c r="Q21" s="115"/>
      <c r="R21" s="115"/>
      <c r="S21" s="115"/>
      <c r="T21" s="115"/>
      <c r="U21" s="115">
        <v>0.0</v>
      </c>
      <c r="V21" s="115">
        <v>0.0</v>
      </c>
      <c r="W21" s="115">
        <v>1733.0</v>
      </c>
      <c r="X21" s="115">
        <v>1353.0</v>
      </c>
      <c r="Y21" s="115">
        <v>1302.0</v>
      </c>
      <c r="Z21" s="115">
        <v>832.0</v>
      </c>
      <c r="AA21" s="115">
        <v>95.0</v>
      </c>
      <c r="AB21" s="115"/>
      <c r="AC21" s="115">
        <v>95368.0</v>
      </c>
      <c r="AD21" s="115">
        <v>47076.0</v>
      </c>
      <c r="AE21" s="115">
        <v>60220.0</v>
      </c>
      <c r="AF21" s="115">
        <v>60572.0</v>
      </c>
      <c r="AG21" s="115">
        <v>8949.0</v>
      </c>
    </row>
    <row r="22">
      <c r="A22" s="116">
        <v>46011.0</v>
      </c>
      <c r="B22" s="117">
        <v>0.8488745980707395</v>
      </c>
      <c r="C22" s="117">
        <v>264.0</v>
      </c>
      <c r="D22" s="117">
        <v>311.0</v>
      </c>
      <c r="E22" s="117">
        <v>0.1670073589533933</v>
      </c>
      <c r="F22" s="117">
        <v>9804.0</v>
      </c>
      <c r="G22" s="117">
        <v>58704.0</v>
      </c>
      <c r="H22" s="117">
        <v>6865719.0</v>
      </c>
      <c r="I22" s="117">
        <v>22391.064871481027</v>
      </c>
      <c r="J22" s="117">
        <v>2.19522E8</v>
      </c>
      <c r="K22" s="117">
        <v>9804.0</v>
      </c>
      <c r="L22" s="117">
        <v>15425.0</v>
      </c>
      <c r="M22" s="117">
        <v>0.2813168313328669</v>
      </c>
      <c r="N22" s="117">
        <v>1.577667665521464E8</v>
      </c>
      <c r="O22" s="117">
        <v>2.19522E8</v>
      </c>
      <c r="P22" s="117"/>
      <c r="Q22" s="117"/>
      <c r="R22" s="117"/>
      <c r="S22" s="117"/>
      <c r="T22" s="117"/>
      <c r="U22" s="117">
        <v>0.0</v>
      </c>
      <c r="V22" s="117">
        <v>0.0</v>
      </c>
      <c r="W22" s="117">
        <v>3123.0</v>
      </c>
      <c r="X22" s="117">
        <v>2427.0</v>
      </c>
      <c r="Y22" s="117">
        <v>2417.0</v>
      </c>
      <c r="Z22" s="117">
        <v>1446.0</v>
      </c>
      <c r="AA22" s="117">
        <v>129.0</v>
      </c>
      <c r="AB22" s="117"/>
      <c r="AC22" s="117">
        <v>98949.0</v>
      </c>
      <c r="AD22" s="117">
        <v>49436.0</v>
      </c>
      <c r="AE22" s="117">
        <v>56287.0</v>
      </c>
      <c r="AF22" s="117">
        <v>60965.0</v>
      </c>
      <c r="AG22" s="117">
        <v>9675.0</v>
      </c>
    </row>
    <row r="23">
      <c r="A23" s="114">
        <v>46012.0</v>
      </c>
      <c r="B23" s="115">
        <v>0.8097982708933718</v>
      </c>
      <c r="C23" s="115">
        <v>281.0</v>
      </c>
      <c r="D23" s="115">
        <v>347.0</v>
      </c>
      <c r="E23" s="115">
        <v>0.13584802514691813</v>
      </c>
      <c r="F23" s="115">
        <v>9940.0</v>
      </c>
      <c r="G23" s="115">
        <v>73170.0</v>
      </c>
      <c r="H23" s="115">
        <v>7470462.0</v>
      </c>
      <c r="I23" s="115">
        <v>22819.215291750505</v>
      </c>
      <c r="J23" s="115">
        <v>2.26823E8</v>
      </c>
      <c r="K23" s="115">
        <v>9940.0</v>
      </c>
      <c r="L23" s="115">
        <v>15445.0</v>
      </c>
      <c r="M23" s="115">
        <v>0.266218352260716</v>
      </c>
      <c r="N23" s="115">
        <v>1.664385546851676E8</v>
      </c>
      <c r="O23" s="115">
        <v>2.26823E8</v>
      </c>
      <c r="P23" s="115"/>
      <c r="Q23" s="115"/>
      <c r="R23" s="115"/>
      <c r="S23" s="115"/>
      <c r="T23" s="115"/>
      <c r="U23" s="115">
        <v>0.0</v>
      </c>
      <c r="V23" s="115">
        <v>0.0</v>
      </c>
      <c r="W23" s="115">
        <v>3429.0</v>
      </c>
      <c r="X23" s="115">
        <v>2713.0</v>
      </c>
      <c r="Y23" s="115">
        <v>2678.0</v>
      </c>
      <c r="Z23" s="115">
        <v>1538.0</v>
      </c>
      <c r="AA23" s="115">
        <v>142.0</v>
      </c>
      <c r="AB23" s="115"/>
      <c r="AC23" s="115">
        <v>103203.0</v>
      </c>
      <c r="AD23" s="115">
        <v>50853.0</v>
      </c>
      <c r="AE23" s="115">
        <v>70492.0</v>
      </c>
      <c r="AF23" s="115">
        <v>62475.0</v>
      </c>
      <c r="AG23" s="115">
        <v>9798.0</v>
      </c>
    </row>
    <row r="24">
      <c r="A24" s="116">
        <v>46013.0</v>
      </c>
      <c r="B24" s="117">
        <v>0.799163179916318</v>
      </c>
      <c r="C24" s="117">
        <v>191.0</v>
      </c>
      <c r="D24" s="117">
        <v>239.0</v>
      </c>
      <c r="E24" s="117">
        <v>0.5270203967197028</v>
      </c>
      <c r="F24" s="117">
        <v>7519.0</v>
      </c>
      <c r="G24" s="117">
        <v>14267.0</v>
      </c>
      <c r="H24" s="117">
        <v>1118352.0</v>
      </c>
      <c r="I24" s="117">
        <v>21734.831759542492</v>
      </c>
      <c r="J24" s="117">
        <v>1.634242E8</v>
      </c>
      <c r="K24" s="117">
        <v>7519.0</v>
      </c>
      <c r="L24" s="117">
        <v>10597.0</v>
      </c>
      <c r="M24" s="117">
        <v>0.6464947908057486</v>
      </c>
      <c r="N24" s="117">
        <v>5.77713060084032E7</v>
      </c>
      <c r="O24" s="117">
        <v>1.634242E8</v>
      </c>
      <c r="P24" s="117"/>
      <c r="Q24" s="117"/>
      <c r="R24" s="117"/>
      <c r="S24" s="117"/>
      <c r="T24" s="117"/>
      <c r="U24" s="117">
        <v>0.0</v>
      </c>
      <c r="V24" s="117">
        <v>0.0</v>
      </c>
      <c r="W24" s="117">
        <v>2470.0</v>
      </c>
      <c r="X24" s="117">
        <v>1936.0</v>
      </c>
      <c r="Y24" s="117">
        <v>515.0</v>
      </c>
      <c r="Z24" s="117">
        <v>1088.0</v>
      </c>
      <c r="AA24" s="117">
        <v>92.0</v>
      </c>
      <c r="AB24" s="117"/>
      <c r="AC24" s="117">
        <v>104173.0</v>
      </c>
      <c r="AD24" s="117">
        <v>47444.0</v>
      </c>
      <c r="AE24" s="117">
        <v>13752.0</v>
      </c>
      <c r="AF24" s="117">
        <v>58537.0</v>
      </c>
      <c r="AG24" s="117">
        <v>7427.0</v>
      </c>
    </row>
    <row r="25">
      <c r="A25" s="114">
        <v>46014.0</v>
      </c>
      <c r="B25" s="115">
        <v>0.8205128205128205</v>
      </c>
      <c r="C25" s="115">
        <v>224.0</v>
      </c>
      <c r="D25" s="115">
        <v>273.0</v>
      </c>
      <c r="E25" s="115">
        <v>1.188090466647581</v>
      </c>
      <c r="F25" s="115">
        <v>8300.0</v>
      </c>
      <c r="G25" s="115">
        <v>6986.0</v>
      </c>
      <c r="H25" s="115">
        <v>1317810.0</v>
      </c>
      <c r="I25" s="115">
        <v>22339.481927710844</v>
      </c>
      <c r="J25" s="115">
        <v>1.854177E8</v>
      </c>
      <c r="K25" s="115">
        <v>8300.0</v>
      </c>
      <c r="L25" s="115">
        <v>12533.0</v>
      </c>
      <c r="M25" s="115"/>
      <c r="N25" s="115"/>
      <c r="O25" s="115">
        <v>1.854177E8</v>
      </c>
      <c r="P25" s="115"/>
      <c r="Q25" s="115"/>
      <c r="R25" s="115"/>
      <c r="S25" s="115"/>
      <c r="T25" s="115"/>
      <c r="U25" s="115">
        <v>0.0</v>
      </c>
      <c r="V25" s="115">
        <v>0.0</v>
      </c>
      <c r="W25" s="115">
        <v>2608.0</v>
      </c>
      <c r="X25" s="115">
        <v>2018.0</v>
      </c>
      <c r="Y25" s="115">
        <v>474.0</v>
      </c>
      <c r="Z25" s="115">
        <v>1129.0</v>
      </c>
      <c r="AA25" s="115">
        <v>120.0</v>
      </c>
      <c r="AB25" s="115"/>
      <c r="AC25" s="115">
        <v>106324.0</v>
      </c>
      <c r="AD25" s="115">
        <v>48488.0</v>
      </c>
      <c r="AE25" s="115">
        <v>6512.0</v>
      </c>
      <c r="AF25" s="115">
        <v>61536.0</v>
      </c>
      <c r="AG25" s="115">
        <v>8180.0</v>
      </c>
    </row>
    <row r="26">
      <c r="A26" s="116">
        <v>46015.0</v>
      </c>
      <c r="B26" s="117">
        <v>0.8313725490196079</v>
      </c>
      <c r="C26" s="117">
        <v>212.0</v>
      </c>
      <c r="D26" s="117">
        <v>255.0</v>
      </c>
      <c r="E26" s="117">
        <v>0.19847345900312247</v>
      </c>
      <c r="F26" s="117">
        <v>8581.0</v>
      </c>
      <c r="G26" s="117">
        <v>43235.0</v>
      </c>
      <c r="H26" s="117">
        <v>3479289.0</v>
      </c>
      <c r="I26" s="117">
        <v>22552.26663559026</v>
      </c>
      <c r="J26" s="117">
        <v>1.93521E8</v>
      </c>
      <c r="K26" s="117">
        <v>8581.0</v>
      </c>
      <c r="L26" s="117">
        <v>13119.0</v>
      </c>
      <c r="M26" s="117">
        <v>0.25441622735583325</v>
      </c>
      <c r="N26" s="117">
        <v>1.442861172658718E8</v>
      </c>
      <c r="O26" s="117">
        <v>1.93521E8</v>
      </c>
      <c r="P26" s="117"/>
      <c r="Q26" s="117"/>
      <c r="R26" s="117"/>
      <c r="S26" s="117"/>
      <c r="T26" s="117"/>
      <c r="U26" s="117">
        <v>0.0</v>
      </c>
      <c r="V26" s="117">
        <v>0.0</v>
      </c>
      <c r="W26" s="117">
        <v>2781.0</v>
      </c>
      <c r="X26" s="117">
        <v>2228.0</v>
      </c>
      <c r="Y26" s="117">
        <v>1386.0</v>
      </c>
      <c r="Z26" s="117">
        <v>1219.0</v>
      </c>
      <c r="AA26" s="117">
        <v>91.0</v>
      </c>
      <c r="AB26" s="117"/>
      <c r="AC26" s="117">
        <v>107757.0</v>
      </c>
      <c r="AD26" s="117">
        <v>48440.0</v>
      </c>
      <c r="AE26" s="117">
        <v>41849.0</v>
      </c>
      <c r="AF26" s="117">
        <v>62211.0</v>
      </c>
      <c r="AG26" s="117">
        <v>8490.0</v>
      </c>
    </row>
    <row r="27">
      <c r="A27" s="114">
        <v>46016.0</v>
      </c>
      <c r="B27" s="115">
        <v>0.8126801152737753</v>
      </c>
      <c r="C27" s="115">
        <v>282.0</v>
      </c>
      <c r="D27" s="115">
        <v>347.0</v>
      </c>
      <c r="E27" s="115">
        <v>0.16744217074431714</v>
      </c>
      <c r="F27" s="115">
        <v>10040.0</v>
      </c>
      <c r="G27" s="115">
        <v>59961.0</v>
      </c>
      <c r="H27" s="115">
        <v>7219203.0</v>
      </c>
      <c r="I27" s="115">
        <v>23761.424302788844</v>
      </c>
      <c r="J27" s="115">
        <v>2.385647E8</v>
      </c>
      <c r="K27" s="115">
        <v>10040.0</v>
      </c>
      <c r="L27" s="115">
        <v>15703.0</v>
      </c>
      <c r="M27" s="115">
        <v>0.3180645500905884</v>
      </c>
      <c r="N27" s="115">
        <v>1.626857260270038E8</v>
      </c>
      <c r="O27" s="115">
        <v>2.385647E8</v>
      </c>
      <c r="P27" s="115"/>
      <c r="Q27" s="115"/>
      <c r="R27" s="115"/>
      <c r="S27" s="115"/>
      <c r="T27" s="115"/>
      <c r="U27" s="115">
        <v>0.0</v>
      </c>
      <c r="V27" s="115">
        <v>0.0</v>
      </c>
      <c r="W27" s="115">
        <v>3682.0</v>
      </c>
      <c r="X27" s="115">
        <v>3035.0</v>
      </c>
      <c r="Y27" s="115">
        <v>2741.0</v>
      </c>
      <c r="Z27" s="115">
        <v>1729.0</v>
      </c>
      <c r="AA27" s="115">
        <v>155.0</v>
      </c>
      <c r="AB27" s="115"/>
      <c r="AC27" s="115">
        <v>109898.0</v>
      </c>
      <c r="AD27" s="115">
        <v>51124.0</v>
      </c>
      <c r="AE27" s="115">
        <v>57220.0</v>
      </c>
      <c r="AF27" s="115">
        <v>63154.0</v>
      </c>
      <c r="AG27" s="115">
        <v>9885.0</v>
      </c>
    </row>
    <row r="28">
      <c r="A28" s="116">
        <v>46017.0</v>
      </c>
      <c r="B28" s="117">
        <v>0.8258064516129032</v>
      </c>
      <c r="C28" s="117">
        <v>256.0</v>
      </c>
      <c r="D28" s="117">
        <v>310.0</v>
      </c>
      <c r="E28" s="117">
        <v>0.1292328398384926</v>
      </c>
      <c r="F28" s="117">
        <v>9602.0</v>
      </c>
      <c r="G28" s="117">
        <v>74300.0</v>
      </c>
      <c r="H28" s="117">
        <v>6783773.0</v>
      </c>
      <c r="I28" s="117">
        <v>22798.302436992293</v>
      </c>
      <c r="J28" s="117">
        <v>2.189093E8</v>
      </c>
      <c r="K28" s="117">
        <v>9602.0</v>
      </c>
      <c r="L28" s="117">
        <v>15052.0</v>
      </c>
      <c r="M28" s="117">
        <v>0.29729731843017726</v>
      </c>
      <c r="N28" s="117">
        <v>1.538281521305728E8</v>
      </c>
      <c r="O28" s="117">
        <v>2.189093E8</v>
      </c>
      <c r="P28" s="117"/>
      <c r="Q28" s="117"/>
      <c r="R28" s="117"/>
      <c r="S28" s="117"/>
      <c r="T28" s="117"/>
      <c r="U28" s="117">
        <v>0.0</v>
      </c>
      <c r="V28" s="117">
        <v>0.0</v>
      </c>
      <c r="W28" s="117">
        <v>2874.0</v>
      </c>
      <c r="X28" s="117">
        <v>2301.0</v>
      </c>
      <c r="Y28" s="117">
        <v>2043.0</v>
      </c>
      <c r="Z28" s="117">
        <v>1365.0</v>
      </c>
      <c r="AA28" s="117">
        <v>106.0</v>
      </c>
      <c r="AB28" s="117"/>
      <c r="AC28" s="117">
        <v>109821.0</v>
      </c>
      <c r="AD28" s="117">
        <v>49137.0</v>
      </c>
      <c r="AE28" s="117">
        <v>72257.0</v>
      </c>
      <c r="AF28" s="117">
        <v>61637.0</v>
      </c>
      <c r="AG28" s="117">
        <v>9496.0</v>
      </c>
    </row>
    <row r="29">
      <c r="A29" s="114">
        <v>46018.0</v>
      </c>
      <c r="B29" s="115">
        <v>0.8348909657320872</v>
      </c>
      <c r="C29" s="115">
        <v>268.0</v>
      </c>
      <c r="D29" s="115">
        <v>321.0</v>
      </c>
      <c r="E29" s="115">
        <v>0.16406055268449127</v>
      </c>
      <c r="F29" s="115">
        <v>9873.0</v>
      </c>
      <c r="G29" s="115">
        <v>60179.0</v>
      </c>
      <c r="H29" s="115">
        <v>7196564.0</v>
      </c>
      <c r="I29" s="115">
        <v>22684.442418717714</v>
      </c>
      <c r="J29" s="115">
        <v>2.239635E8</v>
      </c>
      <c r="K29" s="115">
        <v>9873.0</v>
      </c>
      <c r="L29" s="115">
        <v>15472.0</v>
      </c>
      <c r="M29" s="115">
        <v>0.29355959428822287</v>
      </c>
      <c r="N29" s="115">
        <v>1.582168658046296E8</v>
      </c>
      <c r="O29" s="115">
        <v>2.239635E8</v>
      </c>
      <c r="P29" s="115"/>
      <c r="Q29" s="115"/>
      <c r="R29" s="115"/>
      <c r="S29" s="115"/>
      <c r="T29" s="115"/>
      <c r="U29" s="115">
        <v>0.0</v>
      </c>
      <c r="V29" s="115">
        <v>0.0</v>
      </c>
      <c r="W29" s="115">
        <v>3325.0</v>
      </c>
      <c r="X29" s="115">
        <v>2730.0</v>
      </c>
      <c r="Y29" s="115">
        <v>2434.0</v>
      </c>
      <c r="Z29" s="115">
        <v>1555.0</v>
      </c>
      <c r="AA29" s="115">
        <v>124.0</v>
      </c>
      <c r="AB29" s="115"/>
      <c r="AC29" s="115">
        <v>111042.0</v>
      </c>
      <c r="AD29" s="115">
        <v>49550.0</v>
      </c>
      <c r="AE29" s="115">
        <v>57745.0</v>
      </c>
      <c r="AF29" s="115">
        <v>61561.0</v>
      </c>
      <c r="AG29" s="115">
        <v>9749.0</v>
      </c>
    </row>
    <row r="30">
      <c r="A30" s="116">
        <v>46019.0</v>
      </c>
      <c r="B30" s="117">
        <v>0.8301886792452831</v>
      </c>
      <c r="C30" s="117">
        <v>264.0</v>
      </c>
      <c r="D30" s="117">
        <v>318.0</v>
      </c>
      <c r="E30" s="117">
        <v>0.17242114236999148</v>
      </c>
      <c r="F30" s="117">
        <v>10517.0</v>
      </c>
      <c r="G30" s="117">
        <v>60996.0</v>
      </c>
      <c r="H30" s="117">
        <v>7671150.0</v>
      </c>
      <c r="I30" s="117">
        <v>23257.678045069886</v>
      </c>
      <c r="J30" s="117">
        <v>2.44601E8</v>
      </c>
      <c r="K30" s="117">
        <v>10517.0</v>
      </c>
      <c r="L30" s="117">
        <v>16757.0</v>
      </c>
      <c r="M30" s="117">
        <v>0.31526815800038266</v>
      </c>
      <c r="N30" s="117">
        <v>1.674860932849484E8</v>
      </c>
      <c r="O30" s="117">
        <v>2.44601E8</v>
      </c>
      <c r="P30" s="117"/>
      <c r="Q30" s="117"/>
      <c r="R30" s="117"/>
      <c r="S30" s="117"/>
      <c r="T30" s="117"/>
      <c r="U30" s="117">
        <v>0.0</v>
      </c>
      <c r="V30" s="117">
        <v>0.0</v>
      </c>
      <c r="W30" s="117">
        <v>3802.0</v>
      </c>
      <c r="X30" s="117">
        <v>3186.0</v>
      </c>
      <c r="Y30" s="117">
        <v>2898.0</v>
      </c>
      <c r="Z30" s="117">
        <v>1845.0</v>
      </c>
      <c r="AA30" s="117">
        <v>128.0</v>
      </c>
      <c r="AB30" s="117"/>
      <c r="AC30" s="117">
        <v>111963.0</v>
      </c>
      <c r="AD30" s="117">
        <v>50685.0</v>
      </c>
      <c r="AE30" s="117">
        <v>58098.0</v>
      </c>
      <c r="AF30" s="117">
        <v>62819.0</v>
      </c>
      <c r="AG30" s="117">
        <v>10389.0</v>
      </c>
    </row>
    <row r="31">
      <c r="A31" s="114">
        <v>46020.0</v>
      </c>
      <c r="B31" s="115">
        <v>0.8388157894736842</v>
      </c>
      <c r="C31" s="115">
        <v>255.0</v>
      </c>
      <c r="D31" s="115">
        <v>304.0</v>
      </c>
      <c r="E31" s="115">
        <v>0.1355549202978451</v>
      </c>
      <c r="F31" s="115">
        <v>9958.0</v>
      </c>
      <c r="G31" s="115">
        <v>73461.0</v>
      </c>
      <c r="H31" s="115">
        <v>6927124.0</v>
      </c>
      <c r="I31" s="115">
        <v>22236.864832295643</v>
      </c>
      <c r="J31" s="115">
        <v>2.214347E8</v>
      </c>
      <c r="K31" s="115">
        <v>9958.0</v>
      </c>
      <c r="L31" s="115">
        <v>15782.0</v>
      </c>
      <c r="M31" s="115">
        <v>0.2978966674602671</v>
      </c>
      <c r="N31" s="115">
        <v>1.55470040809936E8</v>
      </c>
      <c r="O31" s="115">
        <v>2.214347E8</v>
      </c>
      <c r="P31" s="115"/>
      <c r="Q31" s="115"/>
      <c r="R31" s="115"/>
      <c r="S31" s="115"/>
      <c r="T31" s="115"/>
      <c r="U31" s="115">
        <v>0.0</v>
      </c>
      <c r="V31" s="115">
        <v>0.0</v>
      </c>
      <c r="W31" s="115">
        <v>2678.0</v>
      </c>
      <c r="X31" s="115">
        <v>2189.0</v>
      </c>
      <c r="Y31" s="115">
        <v>1983.0</v>
      </c>
      <c r="Z31" s="115">
        <v>1384.0</v>
      </c>
      <c r="AA31" s="115">
        <v>109.0</v>
      </c>
      <c r="AB31" s="115"/>
      <c r="AC31" s="115">
        <v>112062.0</v>
      </c>
      <c r="AD31" s="115">
        <v>48218.0</v>
      </c>
      <c r="AE31" s="115">
        <v>71478.0</v>
      </c>
      <c r="AF31" s="115">
        <v>62086.0</v>
      </c>
      <c r="AG31" s="115">
        <v>9849.0</v>
      </c>
    </row>
    <row r="32">
      <c r="A32" s="116">
        <v>46021.0</v>
      </c>
      <c r="B32" s="117">
        <v>0.8202247191011236</v>
      </c>
      <c r="C32" s="117">
        <v>219.0</v>
      </c>
      <c r="D32" s="117">
        <v>267.0</v>
      </c>
      <c r="E32" s="117">
        <v>0.16818269449848397</v>
      </c>
      <c r="F32" s="117">
        <v>9596.0</v>
      </c>
      <c r="G32" s="117">
        <v>57057.0</v>
      </c>
      <c r="H32" s="117">
        <v>6515825.0</v>
      </c>
      <c r="I32" s="117">
        <v>22114.360150062526</v>
      </c>
      <c r="J32" s="117">
        <v>2.122094E8</v>
      </c>
      <c r="K32" s="117">
        <v>9596.0</v>
      </c>
      <c r="L32" s="117">
        <v>15143.0</v>
      </c>
      <c r="M32" s="117">
        <v>0.3021976686134621</v>
      </c>
      <c r="N32" s="117">
        <v>1.4808021406213838E8</v>
      </c>
      <c r="O32" s="117">
        <v>2.122094E8</v>
      </c>
      <c r="P32" s="117"/>
      <c r="Q32" s="117"/>
      <c r="R32" s="117"/>
      <c r="S32" s="117"/>
      <c r="T32" s="117"/>
      <c r="U32" s="117">
        <v>0.0</v>
      </c>
      <c r="V32" s="117">
        <v>0.0</v>
      </c>
      <c r="W32" s="117">
        <v>2695.0</v>
      </c>
      <c r="X32" s="117">
        <v>2055.0</v>
      </c>
      <c r="Y32" s="117">
        <v>1944.0</v>
      </c>
      <c r="Z32" s="117">
        <v>1280.0</v>
      </c>
      <c r="AA32" s="117">
        <v>114.0</v>
      </c>
      <c r="AB32" s="117"/>
      <c r="AC32" s="117">
        <v>111269.0</v>
      </c>
      <c r="AD32" s="117">
        <v>47832.0</v>
      </c>
      <c r="AE32" s="117">
        <v>55113.0</v>
      </c>
      <c r="AF32" s="117">
        <v>59073.0</v>
      </c>
      <c r="AG32" s="117">
        <v>9482.0</v>
      </c>
    </row>
    <row r="33">
      <c r="A33" s="114">
        <v>46022.0</v>
      </c>
      <c r="B33" s="115">
        <v>0.84375</v>
      </c>
      <c r="C33" s="115">
        <v>216.0</v>
      </c>
      <c r="D33" s="115">
        <v>256.0</v>
      </c>
      <c r="E33" s="115">
        <v>0.16013631659708097</v>
      </c>
      <c r="F33" s="115">
        <v>8975.0</v>
      </c>
      <c r="G33" s="115">
        <v>56046.0</v>
      </c>
      <c r="H33" s="115">
        <v>6398626.0</v>
      </c>
      <c r="I33" s="115">
        <v>22452.713091922007</v>
      </c>
      <c r="J33" s="115">
        <v>2.015131E8</v>
      </c>
      <c r="K33" s="115">
        <v>8975.0</v>
      </c>
      <c r="L33" s="115">
        <v>13579.0</v>
      </c>
      <c r="M33" s="115">
        <v>0.2885950400943502</v>
      </c>
      <c r="N33" s="115">
        <v>1.433574188259632E8</v>
      </c>
      <c r="O33" s="115">
        <v>2.015131E8</v>
      </c>
      <c r="P33" s="115"/>
      <c r="Q33" s="115"/>
      <c r="R33" s="115"/>
      <c r="S33" s="115"/>
      <c r="T33" s="115"/>
      <c r="U33" s="115">
        <v>0.0</v>
      </c>
      <c r="V33" s="115">
        <v>0.0</v>
      </c>
      <c r="W33" s="115">
        <v>2596.0</v>
      </c>
      <c r="X33" s="115">
        <v>1993.0</v>
      </c>
      <c r="Y33" s="115">
        <v>1914.0</v>
      </c>
      <c r="Z33" s="115">
        <v>1288.0</v>
      </c>
      <c r="AA33" s="115">
        <v>96.0</v>
      </c>
      <c r="AB33" s="115"/>
      <c r="AC33" s="115">
        <v>111187.0</v>
      </c>
      <c r="AD33" s="115">
        <v>47272.0</v>
      </c>
      <c r="AE33" s="115">
        <v>54132.0</v>
      </c>
      <c r="AF33" s="115">
        <v>60243.0</v>
      </c>
      <c r="AG33" s="115">
        <v>8879.0</v>
      </c>
    </row>
    <row r="34">
      <c r="A34" s="116">
        <v>46023.0</v>
      </c>
      <c r="B34" s="117">
        <v>0.8492753623188406</v>
      </c>
      <c r="C34" s="117">
        <v>293.0</v>
      </c>
      <c r="D34" s="117">
        <v>345.0</v>
      </c>
      <c r="E34" s="117">
        <v>0.16632499195228978</v>
      </c>
      <c r="F34" s="117">
        <v>9817.0</v>
      </c>
      <c r="G34" s="117">
        <v>59023.0</v>
      </c>
      <c r="H34" s="117">
        <v>7254631.0</v>
      </c>
      <c r="I34" s="117">
        <v>27753.835183864725</v>
      </c>
      <c r="J34" s="117">
        <v>2.724594E8</v>
      </c>
      <c r="K34" s="117">
        <v>9817.0</v>
      </c>
      <c r="L34" s="117">
        <v>14889.0</v>
      </c>
      <c r="M34" s="117">
        <v>0.38180872590892434</v>
      </c>
      <c r="N34" s="117">
        <v>1.6843202362409002E8</v>
      </c>
      <c r="O34" s="117">
        <v>2.724594E8</v>
      </c>
      <c r="P34" s="117"/>
      <c r="Q34" s="117"/>
      <c r="R34" s="117"/>
      <c r="S34" s="117"/>
      <c r="T34" s="117"/>
      <c r="U34" s="117">
        <v>0.0</v>
      </c>
      <c r="V34" s="117">
        <v>0.0</v>
      </c>
      <c r="W34" s="117">
        <v>3797.0</v>
      </c>
      <c r="X34" s="117">
        <v>2954.0</v>
      </c>
      <c r="Y34" s="117">
        <v>2880.0</v>
      </c>
      <c r="Z34" s="117">
        <v>1847.0</v>
      </c>
      <c r="AA34" s="117">
        <v>146.0</v>
      </c>
      <c r="AB34" s="117"/>
      <c r="AC34" s="117">
        <v>112400.0</v>
      </c>
      <c r="AD34" s="117">
        <v>51050.0</v>
      </c>
      <c r="AE34" s="117">
        <v>56143.0</v>
      </c>
      <c r="AF34" s="117">
        <v>58519.0</v>
      </c>
      <c r="AG34" s="117">
        <v>9671.0</v>
      </c>
    </row>
    <row r="35">
      <c r="A35" s="114">
        <v>46024.0</v>
      </c>
      <c r="B35" s="115">
        <v>0.7958579881656804</v>
      </c>
      <c r="C35" s="115">
        <v>269.0</v>
      </c>
      <c r="D35" s="115">
        <v>338.0</v>
      </c>
      <c r="E35" s="115">
        <v>0.15730068064438896</v>
      </c>
      <c r="F35" s="115">
        <v>9198.0</v>
      </c>
      <c r="G35" s="115">
        <v>58474.0</v>
      </c>
      <c r="H35" s="115">
        <v>7096323.0</v>
      </c>
      <c r="I35" s="115">
        <v>24098.064796694933</v>
      </c>
      <c r="J35" s="115">
        <v>2.21654E8</v>
      </c>
      <c r="K35" s="115">
        <v>9198.0</v>
      </c>
      <c r="L35" s="115">
        <v>14344.0</v>
      </c>
      <c r="M35" s="115">
        <v>0.2879943757993475</v>
      </c>
      <c r="N35" s="115">
        <v>1.5781889462657142E8</v>
      </c>
      <c r="O35" s="115">
        <v>2.21654E8</v>
      </c>
      <c r="P35" s="115"/>
      <c r="Q35" s="115"/>
      <c r="R35" s="115"/>
      <c r="S35" s="115"/>
      <c r="T35" s="115"/>
      <c r="U35" s="115">
        <v>0.0</v>
      </c>
      <c r="V35" s="115">
        <v>0.0</v>
      </c>
      <c r="W35" s="115">
        <v>3262.0</v>
      </c>
      <c r="X35" s="115">
        <v>2613.0</v>
      </c>
      <c r="Y35" s="115">
        <v>2453.0</v>
      </c>
      <c r="Z35" s="115">
        <v>1625.0</v>
      </c>
      <c r="AA35" s="115">
        <v>137.0</v>
      </c>
      <c r="AB35" s="115"/>
      <c r="AC35" s="115">
        <v>114175.0</v>
      </c>
      <c r="AD35" s="115">
        <v>49569.0</v>
      </c>
      <c r="AE35" s="115">
        <v>56021.0</v>
      </c>
      <c r="AF35" s="115">
        <v>61747.0</v>
      </c>
      <c r="AG35" s="115">
        <v>9061.0</v>
      </c>
    </row>
    <row r="36">
      <c r="A36" s="116">
        <v>46025.0</v>
      </c>
      <c r="B36" s="117">
        <v>0.8473520249221184</v>
      </c>
      <c r="C36" s="117">
        <v>272.0</v>
      </c>
      <c r="D36" s="117">
        <v>321.0</v>
      </c>
      <c r="E36" s="117">
        <v>0.15925653540148427</v>
      </c>
      <c r="F36" s="117">
        <v>9528.0</v>
      </c>
      <c r="G36" s="117">
        <v>59828.0</v>
      </c>
      <c r="H36" s="117">
        <v>7522482.0</v>
      </c>
      <c r="I36" s="117">
        <v>23308.13392107473</v>
      </c>
      <c r="J36" s="117">
        <v>2.220799E8</v>
      </c>
      <c r="K36" s="117">
        <v>9528.0</v>
      </c>
      <c r="L36" s="117">
        <v>14877.0</v>
      </c>
      <c r="M36" s="117">
        <v>0.25852284393421565</v>
      </c>
      <c r="N36" s="117">
        <v>1.6466717267137378E8</v>
      </c>
      <c r="O36" s="117">
        <v>2.220799E8</v>
      </c>
      <c r="P36" s="117"/>
      <c r="Q36" s="117"/>
      <c r="R36" s="117"/>
      <c r="S36" s="117"/>
      <c r="T36" s="117"/>
      <c r="U36" s="117">
        <v>0.0</v>
      </c>
      <c r="V36" s="117">
        <v>0.0</v>
      </c>
      <c r="W36" s="117">
        <v>3353.0</v>
      </c>
      <c r="X36" s="117">
        <v>2690.0</v>
      </c>
      <c r="Y36" s="117">
        <v>2599.0</v>
      </c>
      <c r="Z36" s="117">
        <v>1747.0</v>
      </c>
      <c r="AA36" s="117">
        <v>124.0</v>
      </c>
      <c r="AB36" s="117"/>
      <c r="AC36" s="117">
        <v>115050.0</v>
      </c>
      <c r="AD36" s="117">
        <v>51285.0</v>
      </c>
      <c r="AE36" s="117">
        <v>57229.0</v>
      </c>
      <c r="AF36" s="117">
        <v>61804.0</v>
      </c>
      <c r="AG36" s="117">
        <v>9404.0</v>
      </c>
    </row>
    <row r="37">
      <c r="A37" s="114">
        <v>46026.0</v>
      </c>
      <c r="B37" s="115">
        <v>0.8186968838526912</v>
      </c>
      <c r="C37" s="115">
        <v>289.0</v>
      </c>
      <c r="D37" s="115">
        <v>353.0</v>
      </c>
      <c r="E37" s="115">
        <v>0.16845579465058902</v>
      </c>
      <c r="F37" s="115">
        <v>10310.0</v>
      </c>
      <c r="G37" s="115">
        <v>61203.0</v>
      </c>
      <c r="H37" s="115">
        <v>7938251.0</v>
      </c>
      <c r="I37" s="115">
        <v>24769.903006789526</v>
      </c>
      <c r="J37" s="115">
        <v>2.553777E8</v>
      </c>
      <c r="K37" s="115">
        <v>10310.0</v>
      </c>
      <c r="L37" s="115">
        <v>16230.0</v>
      </c>
      <c r="M37" s="115">
        <v>0.3137093615897787</v>
      </c>
      <c r="N37" s="115">
        <v>1.7526332476873398E8</v>
      </c>
      <c r="O37" s="115">
        <v>2.553777E8</v>
      </c>
      <c r="P37" s="115"/>
      <c r="Q37" s="115"/>
      <c r="R37" s="115"/>
      <c r="S37" s="115"/>
      <c r="T37" s="115"/>
      <c r="U37" s="115">
        <v>0.0</v>
      </c>
      <c r="V37" s="115">
        <v>0.0</v>
      </c>
      <c r="W37" s="115">
        <v>3479.0</v>
      </c>
      <c r="X37" s="115">
        <v>2847.0</v>
      </c>
      <c r="Y37" s="115">
        <v>2732.0</v>
      </c>
      <c r="Z37" s="115">
        <v>1858.0</v>
      </c>
      <c r="AA37" s="115">
        <v>142.0</v>
      </c>
      <c r="AB37" s="115"/>
      <c r="AC37" s="115">
        <v>116304.0</v>
      </c>
      <c r="AD37" s="115">
        <v>52546.0</v>
      </c>
      <c r="AE37" s="115">
        <v>58471.0</v>
      </c>
      <c r="AF37" s="115">
        <v>63183.0</v>
      </c>
      <c r="AG37" s="115">
        <v>10168.0</v>
      </c>
    </row>
    <row r="38">
      <c r="A38" s="116">
        <v>46027.0</v>
      </c>
      <c r="B38" s="117">
        <v>0.8746081504702194</v>
      </c>
      <c r="C38" s="117">
        <v>279.0</v>
      </c>
      <c r="D38" s="117">
        <v>319.0</v>
      </c>
      <c r="E38" s="117">
        <v>0.17662759859697152</v>
      </c>
      <c r="F38" s="117">
        <v>10323.0</v>
      </c>
      <c r="G38" s="117">
        <v>58445.0</v>
      </c>
      <c r="H38" s="117">
        <v>7052831.0</v>
      </c>
      <c r="I38" s="117">
        <v>28721.466627918242</v>
      </c>
      <c r="J38" s="117">
        <v>2.964917E8</v>
      </c>
      <c r="K38" s="117">
        <v>10323.0</v>
      </c>
      <c r="L38" s="117">
        <v>15462.0</v>
      </c>
      <c r="M38" s="117">
        <v>0.4342700114161503</v>
      </c>
      <c r="N38" s="117">
        <v>1.677342460562062E8</v>
      </c>
      <c r="O38" s="117">
        <v>2.964917E8</v>
      </c>
      <c r="P38" s="117"/>
      <c r="Q38" s="117"/>
      <c r="R38" s="117"/>
      <c r="S38" s="117"/>
      <c r="T38" s="117"/>
      <c r="U38" s="117">
        <v>0.0</v>
      </c>
      <c r="V38" s="117">
        <v>0.0</v>
      </c>
      <c r="W38" s="117">
        <v>2266.0</v>
      </c>
      <c r="X38" s="117">
        <v>1732.0</v>
      </c>
      <c r="Y38" s="117">
        <v>1689.0</v>
      </c>
      <c r="Z38" s="117">
        <v>1156.0</v>
      </c>
      <c r="AA38" s="117">
        <v>116.0</v>
      </c>
      <c r="AB38" s="117"/>
      <c r="AC38" s="117">
        <v>116188.0</v>
      </c>
      <c r="AD38" s="117">
        <v>50125.0</v>
      </c>
      <c r="AE38" s="117">
        <v>56756.0</v>
      </c>
      <c r="AF38" s="117">
        <v>63187.0</v>
      </c>
      <c r="AG38" s="117">
        <v>10207.0</v>
      </c>
    </row>
    <row r="39">
      <c r="A39" s="114">
        <v>46028.0</v>
      </c>
      <c r="B39" s="115">
        <v>0.8215767634854771</v>
      </c>
      <c r="C39" s="115">
        <v>198.0</v>
      </c>
      <c r="D39" s="115">
        <v>241.0</v>
      </c>
      <c r="E39" s="115">
        <v>0.15588871878794278</v>
      </c>
      <c r="F39" s="115">
        <v>8859.0</v>
      </c>
      <c r="G39" s="115">
        <v>56829.0</v>
      </c>
      <c r="H39" s="115">
        <v>6749609.0</v>
      </c>
      <c r="I39" s="115">
        <v>20982.277909470595</v>
      </c>
      <c r="J39" s="115">
        <v>1.85882E8</v>
      </c>
      <c r="K39" s="115">
        <v>8859.0</v>
      </c>
      <c r="L39" s="115">
        <v>13940.0</v>
      </c>
      <c r="M39" s="115">
        <v>0.190164473553323</v>
      </c>
      <c r="N39" s="115">
        <v>1.5053384732696122E8</v>
      </c>
      <c r="O39" s="115">
        <v>1.85882E8</v>
      </c>
      <c r="P39" s="115"/>
      <c r="Q39" s="115"/>
      <c r="R39" s="115"/>
      <c r="S39" s="115"/>
      <c r="T39" s="115"/>
      <c r="U39" s="115">
        <v>0.0</v>
      </c>
      <c r="V39" s="115">
        <v>0.0</v>
      </c>
      <c r="W39" s="115">
        <v>2083.0</v>
      </c>
      <c r="X39" s="115">
        <v>1582.0</v>
      </c>
      <c r="Y39" s="115">
        <v>1544.0</v>
      </c>
      <c r="Z39" s="115">
        <v>1055.0</v>
      </c>
      <c r="AA39" s="115">
        <v>99.0</v>
      </c>
      <c r="AB39" s="115"/>
      <c r="AC39" s="115">
        <v>115166.0</v>
      </c>
      <c r="AD39" s="115">
        <v>48765.0</v>
      </c>
      <c r="AE39" s="115">
        <v>55285.0</v>
      </c>
      <c r="AF39" s="115">
        <v>61856.0</v>
      </c>
      <c r="AG39" s="115">
        <v>8760.0</v>
      </c>
    </row>
    <row r="40">
      <c r="A40" s="116">
        <v>46029.0</v>
      </c>
      <c r="B40" s="117">
        <v>0.8878923766816144</v>
      </c>
      <c r="C40" s="117">
        <v>198.0</v>
      </c>
      <c r="D40" s="117">
        <v>223.0</v>
      </c>
      <c r="E40" s="117">
        <v>0.16020325346695366</v>
      </c>
      <c r="F40" s="117">
        <v>9080.0</v>
      </c>
      <c r="G40" s="117">
        <v>56678.0</v>
      </c>
      <c r="H40" s="117">
        <v>6510781.0</v>
      </c>
      <c r="I40" s="117">
        <v>21162.533039647577</v>
      </c>
      <c r="J40" s="117">
        <v>1.921558E8</v>
      </c>
      <c r="K40" s="117">
        <v>9080.0</v>
      </c>
      <c r="L40" s="117">
        <v>14261.0</v>
      </c>
      <c r="M40" s="117">
        <v>0.1854545870976072</v>
      </c>
      <c r="N40" s="117">
        <v>1.565196254525896E8</v>
      </c>
      <c r="O40" s="117">
        <v>1.921558E8</v>
      </c>
      <c r="P40" s="117"/>
      <c r="Q40" s="117"/>
      <c r="R40" s="117"/>
      <c r="S40" s="117"/>
      <c r="T40" s="117"/>
      <c r="U40" s="117">
        <v>0.0</v>
      </c>
      <c r="V40" s="117">
        <v>0.0</v>
      </c>
      <c r="W40" s="117">
        <v>2053.0</v>
      </c>
      <c r="X40" s="117">
        <v>1597.0</v>
      </c>
      <c r="Y40" s="117">
        <v>1549.0</v>
      </c>
      <c r="Z40" s="117">
        <v>1046.0</v>
      </c>
      <c r="AA40" s="117">
        <v>85.0</v>
      </c>
      <c r="AB40" s="117"/>
      <c r="AC40" s="117">
        <v>115476.0</v>
      </c>
      <c r="AD40" s="117">
        <v>48878.0</v>
      </c>
      <c r="AE40" s="117">
        <v>55129.0</v>
      </c>
      <c r="AF40" s="117">
        <v>61851.0</v>
      </c>
      <c r="AG40" s="117">
        <v>8995.0</v>
      </c>
    </row>
    <row r="41">
      <c r="A41" s="114">
        <v>46030.0</v>
      </c>
      <c r="B41" s="115">
        <v>0.8616600790513834</v>
      </c>
      <c r="C41" s="115">
        <v>218.0</v>
      </c>
      <c r="D41" s="115">
        <v>253.0</v>
      </c>
      <c r="E41" s="115">
        <v>0.16124642087030294</v>
      </c>
      <c r="F41" s="115">
        <v>9123.0</v>
      </c>
      <c r="G41" s="115">
        <v>56578.0</v>
      </c>
      <c r="H41" s="115">
        <v>6321031.0</v>
      </c>
      <c r="I41" s="115">
        <v>20977.529321495123</v>
      </c>
      <c r="J41" s="115">
        <v>1.91378E8</v>
      </c>
      <c r="K41" s="115">
        <v>9123.0</v>
      </c>
      <c r="L41" s="115">
        <v>14097.0</v>
      </c>
      <c r="M41" s="115">
        <v>0.2275526553881</v>
      </c>
      <c r="N41" s="115">
        <v>1.478294279171362E8</v>
      </c>
      <c r="O41" s="115">
        <v>1.91378E8</v>
      </c>
      <c r="P41" s="115"/>
      <c r="Q41" s="115"/>
      <c r="R41" s="115"/>
      <c r="S41" s="115"/>
      <c r="T41" s="115"/>
      <c r="U41" s="115">
        <v>0.0</v>
      </c>
      <c r="V41" s="115">
        <v>0.0</v>
      </c>
      <c r="W41" s="115">
        <v>2181.0</v>
      </c>
      <c r="X41" s="115">
        <v>1750.0</v>
      </c>
      <c r="Y41" s="115">
        <v>1592.0</v>
      </c>
      <c r="Z41" s="115">
        <v>1053.0</v>
      </c>
      <c r="AA41" s="115">
        <v>90.0</v>
      </c>
      <c r="AB41" s="115"/>
      <c r="AC41" s="115">
        <v>115509.0</v>
      </c>
      <c r="AD41" s="115">
        <v>49054.0</v>
      </c>
      <c r="AE41" s="115">
        <v>54986.0</v>
      </c>
      <c r="AF41" s="115">
        <v>61425.0</v>
      </c>
      <c r="AG41" s="115">
        <v>9033.0</v>
      </c>
    </row>
    <row r="42">
      <c r="A42" s="116">
        <v>46031.0</v>
      </c>
      <c r="B42" s="117">
        <v>0.8529411764705882</v>
      </c>
      <c r="C42" s="117">
        <v>290.0</v>
      </c>
      <c r="D42" s="117">
        <v>340.0</v>
      </c>
      <c r="E42" s="117">
        <v>0.17192451235828463</v>
      </c>
      <c r="F42" s="117">
        <v>9766.0</v>
      </c>
      <c r="G42" s="117">
        <v>56804.0</v>
      </c>
      <c r="H42" s="117">
        <v>6294395.0</v>
      </c>
      <c r="I42" s="117">
        <v>22464.530002047923</v>
      </c>
      <c r="J42" s="117">
        <v>2.193886E8</v>
      </c>
      <c r="K42" s="117">
        <v>9766.0</v>
      </c>
      <c r="L42" s="117">
        <v>15109.0</v>
      </c>
      <c r="M42" s="117">
        <v>0.29043468644152526</v>
      </c>
      <c r="N42" s="117">
        <v>1.556705407501548E8</v>
      </c>
      <c r="O42" s="117">
        <v>2.193886E8</v>
      </c>
      <c r="P42" s="117"/>
      <c r="Q42" s="117"/>
      <c r="R42" s="117"/>
      <c r="S42" s="117"/>
      <c r="T42" s="117"/>
      <c r="U42" s="117">
        <v>0.0</v>
      </c>
      <c r="V42" s="117">
        <v>0.0</v>
      </c>
      <c r="W42" s="117">
        <v>2561.0</v>
      </c>
      <c r="X42" s="117">
        <v>2063.0</v>
      </c>
      <c r="Y42" s="117">
        <v>1904.0</v>
      </c>
      <c r="Z42" s="117">
        <v>1290.0</v>
      </c>
      <c r="AA42" s="117">
        <v>151.0</v>
      </c>
      <c r="AB42" s="117"/>
      <c r="AC42" s="117">
        <v>115518.0</v>
      </c>
      <c r="AD42" s="117">
        <v>48506.0</v>
      </c>
      <c r="AE42" s="117">
        <v>54900.0</v>
      </c>
      <c r="AF42" s="117">
        <v>61411.0</v>
      </c>
      <c r="AG42" s="117">
        <v>9615.0</v>
      </c>
    </row>
    <row r="43">
      <c r="A43" s="114">
        <v>46032.0</v>
      </c>
      <c r="B43" s="115">
        <v>0.8320209973753281</v>
      </c>
      <c r="C43" s="115">
        <v>317.0</v>
      </c>
      <c r="D43" s="115">
        <v>381.0</v>
      </c>
      <c r="E43" s="115">
        <v>0.177092647362267</v>
      </c>
      <c r="F43" s="115">
        <v>10299.0</v>
      </c>
      <c r="G43" s="115">
        <v>58156.0</v>
      </c>
      <c r="H43" s="115">
        <v>7115010.0</v>
      </c>
      <c r="I43" s="115">
        <v>22696.553063404215</v>
      </c>
      <c r="J43" s="115">
        <v>2.337518E8</v>
      </c>
      <c r="K43" s="115">
        <v>10299.0</v>
      </c>
      <c r="L43" s="115">
        <v>16324.0</v>
      </c>
      <c r="M43" s="115">
        <v>0.2719370349536354</v>
      </c>
      <c r="N43" s="115">
        <v>1.701860285929248E8</v>
      </c>
      <c r="O43" s="115">
        <v>2.337518E8</v>
      </c>
      <c r="P43" s="115"/>
      <c r="Q43" s="115"/>
      <c r="R43" s="115"/>
      <c r="S43" s="115"/>
      <c r="T43" s="115"/>
      <c r="U43" s="115">
        <v>0.0</v>
      </c>
      <c r="V43" s="115">
        <v>0.0</v>
      </c>
      <c r="W43" s="115">
        <v>2438.0</v>
      </c>
      <c r="X43" s="115">
        <v>1998.0</v>
      </c>
      <c r="Y43" s="115">
        <v>1900.0</v>
      </c>
      <c r="Z43" s="115">
        <v>1332.0</v>
      </c>
      <c r="AA43" s="115">
        <v>156.0</v>
      </c>
      <c r="AB43" s="115"/>
      <c r="AC43" s="115">
        <v>116648.0</v>
      </c>
      <c r="AD43" s="115">
        <v>51491.0</v>
      </c>
      <c r="AE43" s="115">
        <v>56256.0</v>
      </c>
      <c r="AF43" s="115">
        <v>61768.0</v>
      </c>
      <c r="AG43" s="115">
        <v>10143.0</v>
      </c>
    </row>
    <row r="44">
      <c r="A44" s="116">
        <v>46033.0</v>
      </c>
      <c r="B44" s="117">
        <v>0.8367346938775511</v>
      </c>
      <c r="C44" s="117">
        <v>287.0</v>
      </c>
      <c r="D44" s="117">
        <v>343.0</v>
      </c>
      <c r="E44" s="117">
        <v>0.18619151416839863</v>
      </c>
      <c r="F44" s="117">
        <v>11019.0</v>
      </c>
      <c r="G44" s="117">
        <v>59181.0</v>
      </c>
      <c r="H44" s="117">
        <v>7800660.0</v>
      </c>
      <c r="I44" s="117">
        <v>23097.994373355115</v>
      </c>
      <c r="J44" s="117">
        <v>2.545168E8</v>
      </c>
      <c r="K44" s="117">
        <v>11019.0</v>
      </c>
      <c r="L44" s="117">
        <v>17636.0</v>
      </c>
      <c r="M44" s="117">
        <v>0.28113733931274076</v>
      </c>
      <c r="N44" s="117">
        <v>1.82962624037607E8</v>
      </c>
      <c r="O44" s="117">
        <v>2.545168E8</v>
      </c>
      <c r="P44" s="117"/>
      <c r="Q44" s="117"/>
      <c r="R44" s="117"/>
      <c r="S44" s="117"/>
      <c r="T44" s="117"/>
      <c r="U44" s="117">
        <v>0.0</v>
      </c>
      <c r="V44" s="117">
        <v>0.0</v>
      </c>
      <c r="W44" s="117">
        <v>2605.0</v>
      </c>
      <c r="X44" s="117">
        <v>2130.0</v>
      </c>
      <c r="Y44" s="117">
        <v>1994.0</v>
      </c>
      <c r="Z44" s="117">
        <v>1346.0</v>
      </c>
      <c r="AA44" s="117">
        <v>155.0</v>
      </c>
      <c r="AB44" s="117"/>
      <c r="AC44" s="117">
        <v>117027.0</v>
      </c>
      <c r="AD44" s="117">
        <v>51318.0</v>
      </c>
      <c r="AE44" s="117">
        <v>57187.0</v>
      </c>
      <c r="AF44" s="117">
        <v>62544.0</v>
      </c>
      <c r="AG44" s="117">
        <v>10864.0</v>
      </c>
    </row>
    <row r="45">
      <c r="A45" s="114">
        <v>46034.0</v>
      </c>
      <c r="B45" s="115">
        <v>0.8093645484949833</v>
      </c>
      <c r="C45" s="115">
        <v>242.0</v>
      </c>
      <c r="D45" s="115">
        <v>299.0</v>
      </c>
      <c r="E45" s="115">
        <v>0.18010353134129464</v>
      </c>
      <c r="F45" s="115">
        <v>10542.0</v>
      </c>
      <c r="G45" s="115">
        <v>58533.0</v>
      </c>
      <c r="H45" s="115">
        <v>7238894.0</v>
      </c>
      <c r="I45" s="115">
        <v>22802.91216088029</v>
      </c>
      <c r="J45" s="115">
        <v>2.403883E8</v>
      </c>
      <c r="K45" s="115">
        <v>10542.0</v>
      </c>
      <c r="L45" s="115">
        <v>16455.0</v>
      </c>
      <c r="M45" s="115">
        <v>0.2922616866142628</v>
      </c>
      <c r="N45" s="115">
        <v>1.701320099996646E8</v>
      </c>
      <c r="O45" s="115">
        <v>2.403883E8</v>
      </c>
      <c r="P45" s="115"/>
      <c r="Q45" s="115"/>
      <c r="R45" s="115"/>
      <c r="S45" s="115"/>
      <c r="T45" s="115"/>
      <c r="U45" s="115">
        <v>0.0</v>
      </c>
      <c r="V45" s="115">
        <v>0.0</v>
      </c>
      <c r="W45" s="115">
        <v>2296.0</v>
      </c>
      <c r="X45" s="115">
        <v>1865.0</v>
      </c>
      <c r="Y45" s="115">
        <v>1762.0</v>
      </c>
      <c r="Z45" s="115">
        <v>1202.0</v>
      </c>
      <c r="AA45" s="115">
        <v>109.0</v>
      </c>
      <c r="AB45" s="115"/>
      <c r="AC45" s="115">
        <v>117111.0</v>
      </c>
      <c r="AD45" s="115">
        <v>49980.0</v>
      </c>
      <c r="AE45" s="115">
        <v>56771.0</v>
      </c>
      <c r="AF45" s="115">
        <v>62346.0</v>
      </c>
      <c r="AG45" s="115">
        <v>10433.0</v>
      </c>
    </row>
    <row r="46">
      <c r="A46" s="116">
        <v>46035.0</v>
      </c>
      <c r="B46" s="117">
        <v>0.8528428093645485</v>
      </c>
      <c r="C46" s="117">
        <v>255.0</v>
      </c>
      <c r="D46" s="117">
        <v>299.0</v>
      </c>
      <c r="E46" s="117">
        <v>0.1761511094305897</v>
      </c>
      <c r="F46" s="117">
        <v>10249.0</v>
      </c>
      <c r="G46" s="117">
        <v>58183.0</v>
      </c>
      <c r="H46" s="117">
        <v>6995747.0</v>
      </c>
      <c r="I46" s="117">
        <v>22522.831495755683</v>
      </c>
      <c r="J46" s="117">
        <v>2.308365E8</v>
      </c>
      <c r="K46" s="117">
        <v>10249.0</v>
      </c>
      <c r="L46" s="117">
        <v>15921.0</v>
      </c>
      <c r="M46" s="117">
        <v>0.2813034646949256</v>
      </c>
      <c r="N46" s="117">
        <v>1.659013927719498E8</v>
      </c>
      <c r="O46" s="117">
        <v>2.308365E8</v>
      </c>
      <c r="P46" s="117"/>
      <c r="Q46" s="117"/>
      <c r="R46" s="117"/>
      <c r="S46" s="117"/>
      <c r="T46" s="117"/>
      <c r="U46" s="117">
        <v>0.0</v>
      </c>
      <c r="V46" s="117">
        <v>0.0</v>
      </c>
      <c r="W46" s="117">
        <v>2261.0</v>
      </c>
      <c r="X46" s="117">
        <v>1809.0</v>
      </c>
      <c r="Y46" s="117">
        <v>1729.0</v>
      </c>
      <c r="Z46" s="117">
        <v>1205.0</v>
      </c>
      <c r="AA46" s="117">
        <v>113.0</v>
      </c>
      <c r="AB46" s="117"/>
      <c r="AC46" s="117">
        <v>117158.0</v>
      </c>
      <c r="AD46" s="117">
        <v>49990.0</v>
      </c>
      <c r="AE46" s="117">
        <v>56454.0</v>
      </c>
      <c r="AF46" s="117">
        <v>62213.0</v>
      </c>
      <c r="AG46" s="117">
        <v>10136.0</v>
      </c>
    </row>
    <row r="47">
      <c r="A47" s="114">
        <v>46036.0</v>
      </c>
      <c r="B47" s="115">
        <v>0.823076923076923</v>
      </c>
      <c r="C47" s="115">
        <v>214.0</v>
      </c>
      <c r="D47" s="115">
        <v>260.0</v>
      </c>
      <c r="E47" s="115">
        <v>0.13069448043534596</v>
      </c>
      <c r="F47" s="115">
        <v>10087.0</v>
      </c>
      <c r="G47" s="115">
        <v>77180.0</v>
      </c>
      <c r="H47" s="115">
        <v>6986299.0</v>
      </c>
      <c r="I47" s="115">
        <v>21924.338257162686</v>
      </c>
      <c r="J47" s="115">
        <v>2.211508E8</v>
      </c>
      <c r="K47" s="115">
        <v>10087.0</v>
      </c>
      <c r="L47" s="115">
        <v>15892.0</v>
      </c>
      <c r="M47" s="115">
        <v>0.27428414755142927</v>
      </c>
      <c r="N47" s="115">
        <v>1.604926413416834E8</v>
      </c>
      <c r="O47" s="115">
        <v>2.211508E8</v>
      </c>
      <c r="P47" s="115"/>
      <c r="Q47" s="115"/>
      <c r="R47" s="115"/>
      <c r="S47" s="115"/>
      <c r="T47" s="115"/>
      <c r="U47" s="115">
        <v>0.0</v>
      </c>
      <c r="V47" s="115">
        <v>0.0</v>
      </c>
      <c r="W47" s="115">
        <v>2349.0</v>
      </c>
      <c r="X47" s="115">
        <v>1867.0</v>
      </c>
      <c r="Y47" s="115">
        <v>1812.0</v>
      </c>
      <c r="Z47" s="115">
        <v>1226.0</v>
      </c>
      <c r="AA47" s="115">
        <v>100.0</v>
      </c>
      <c r="AB47" s="115"/>
      <c r="AC47" s="115">
        <v>117077.0</v>
      </c>
      <c r="AD47" s="115">
        <v>50637.0</v>
      </c>
      <c r="AE47" s="115">
        <v>75368.0</v>
      </c>
      <c r="AF47" s="115">
        <v>62470.0</v>
      </c>
      <c r="AG47" s="115">
        <v>9987.0</v>
      </c>
    </row>
    <row r="48">
      <c r="A48" s="116">
        <v>46037.0</v>
      </c>
      <c r="B48" s="117">
        <v>0.8197879858657244</v>
      </c>
      <c r="C48" s="117">
        <v>232.0</v>
      </c>
      <c r="D48" s="117">
        <v>283.0</v>
      </c>
      <c r="E48" s="117">
        <v>0.16385645632751475</v>
      </c>
      <c r="F48" s="117">
        <v>9922.0</v>
      </c>
      <c r="G48" s="117">
        <v>60553.0</v>
      </c>
      <c r="H48" s="117">
        <v>6793359.0</v>
      </c>
      <c r="I48" s="117">
        <v>22596.341463414636</v>
      </c>
      <c r="J48" s="117">
        <v>2.242009E8</v>
      </c>
      <c r="K48" s="117">
        <v>9922.0</v>
      </c>
      <c r="L48" s="117">
        <v>15496.0</v>
      </c>
      <c r="M48" s="117">
        <v>0.29627147101551066</v>
      </c>
      <c r="N48" s="117">
        <v>1.577765695539986E8</v>
      </c>
      <c r="O48" s="117">
        <v>2.242009E8</v>
      </c>
      <c r="P48" s="117"/>
      <c r="Q48" s="117"/>
      <c r="R48" s="117"/>
      <c r="S48" s="117"/>
      <c r="T48" s="117"/>
      <c r="U48" s="117">
        <v>0.0</v>
      </c>
      <c r="V48" s="117">
        <v>0.0</v>
      </c>
      <c r="W48" s="117">
        <v>2503.0</v>
      </c>
      <c r="X48" s="117">
        <v>1995.0</v>
      </c>
      <c r="Y48" s="117">
        <v>1967.0</v>
      </c>
      <c r="Z48" s="117">
        <v>1239.0</v>
      </c>
      <c r="AA48" s="117">
        <v>100.0</v>
      </c>
      <c r="AB48" s="117"/>
      <c r="AC48" s="117">
        <v>115814.0</v>
      </c>
      <c r="AD48" s="117">
        <v>49449.0</v>
      </c>
      <c r="AE48" s="117">
        <v>58586.0</v>
      </c>
      <c r="AF48" s="117">
        <v>62010.0</v>
      </c>
      <c r="AG48" s="117">
        <v>9822.0</v>
      </c>
    </row>
    <row r="49">
      <c r="A49" s="114">
        <v>46038.0</v>
      </c>
      <c r="B49" s="115">
        <v>0.823321554770318</v>
      </c>
      <c r="C49" s="115">
        <v>233.0</v>
      </c>
      <c r="D49" s="115">
        <v>283.0</v>
      </c>
      <c r="E49" s="115">
        <v>0.16905300175835217</v>
      </c>
      <c r="F49" s="115">
        <v>10095.0</v>
      </c>
      <c r="G49" s="115">
        <v>59715.0</v>
      </c>
      <c r="H49" s="115">
        <v>6751905.0</v>
      </c>
      <c r="I49" s="115">
        <v>22283.68499257058</v>
      </c>
      <c r="J49" s="115">
        <v>2.249538E8</v>
      </c>
      <c r="K49" s="115">
        <v>10095.0</v>
      </c>
      <c r="L49" s="115">
        <v>15603.0</v>
      </c>
      <c r="M49" s="115">
        <v>0.30005777161884517</v>
      </c>
      <c r="N49" s="115">
        <v>1.5745466405480862E8</v>
      </c>
      <c r="O49" s="115">
        <v>2.249538E8</v>
      </c>
      <c r="P49" s="115"/>
      <c r="Q49" s="115"/>
      <c r="R49" s="115"/>
      <c r="S49" s="115"/>
      <c r="T49" s="115"/>
      <c r="U49" s="115">
        <v>0.0</v>
      </c>
      <c r="V49" s="115">
        <v>0.0</v>
      </c>
      <c r="W49" s="115">
        <v>2734.0</v>
      </c>
      <c r="X49" s="115">
        <v>2237.0</v>
      </c>
      <c r="Y49" s="115">
        <v>2184.0</v>
      </c>
      <c r="Z49" s="115">
        <v>1505.0</v>
      </c>
      <c r="AA49" s="115">
        <v>116.0</v>
      </c>
      <c r="AB49" s="115"/>
      <c r="AC49" s="115">
        <v>114119.0</v>
      </c>
      <c r="AD49" s="115">
        <v>49068.0</v>
      </c>
      <c r="AE49" s="115">
        <v>57531.0</v>
      </c>
      <c r="AF49" s="115">
        <v>61538.0</v>
      </c>
      <c r="AG49" s="115">
        <v>9979.0</v>
      </c>
    </row>
    <row r="50">
      <c r="A50" s="116">
        <v>46039.0</v>
      </c>
      <c r="B50" s="117">
        <v>0.8319148936170213</v>
      </c>
      <c r="C50" s="117">
        <v>391.0</v>
      </c>
      <c r="D50" s="117">
        <v>470.0</v>
      </c>
      <c r="E50" s="117">
        <v>0.15250620563515221</v>
      </c>
      <c r="F50" s="117">
        <v>10506.0</v>
      </c>
      <c r="G50" s="117">
        <v>68889.0</v>
      </c>
      <c r="H50" s="117">
        <v>7167054.0</v>
      </c>
      <c r="I50" s="117">
        <v>21881.70569198553</v>
      </c>
      <c r="J50" s="117">
        <v>2.298892E8</v>
      </c>
      <c r="K50" s="117">
        <v>10506.0</v>
      </c>
      <c r="L50" s="117">
        <v>16409.0</v>
      </c>
      <c r="M50" s="117">
        <v>0.28585958824510593</v>
      </c>
      <c r="N50" s="117">
        <v>1.641731679460032E8</v>
      </c>
      <c r="O50" s="117">
        <v>2.298892E8</v>
      </c>
      <c r="P50" s="117"/>
      <c r="Q50" s="117"/>
      <c r="R50" s="117"/>
      <c r="S50" s="117"/>
      <c r="T50" s="117"/>
      <c r="U50" s="117">
        <v>0.0</v>
      </c>
      <c r="V50" s="117">
        <v>0.0</v>
      </c>
      <c r="W50" s="117">
        <v>3299.0</v>
      </c>
      <c r="X50" s="117">
        <v>2721.0</v>
      </c>
      <c r="Y50" s="117">
        <v>2648.0</v>
      </c>
      <c r="Z50" s="117">
        <v>1832.0</v>
      </c>
      <c r="AA50" s="117">
        <v>221.0</v>
      </c>
      <c r="AB50" s="117"/>
      <c r="AC50" s="117">
        <v>115210.0</v>
      </c>
      <c r="AD50" s="117">
        <v>50480.0</v>
      </c>
      <c r="AE50" s="117">
        <v>66241.0</v>
      </c>
      <c r="AF50" s="117">
        <v>62037.0</v>
      </c>
      <c r="AG50" s="117">
        <v>10285.0</v>
      </c>
    </row>
    <row r="51">
      <c r="A51" s="114">
        <v>46040.0</v>
      </c>
      <c r="B51" s="115">
        <v>0.8494208494208494</v>
      </c>
      <c r="C51" s="115">
        <v>440.0</v>
      </c>
      <c r="D51" s="115">
        <v>518.0</v>
      </c>
      <c r="E51" s="115">
        <v>0.17599711865203024</v>
      </c>
      <c r="F51" s="115">
        <v>11239.0</v>
      </c>
      <c r="G51" s="115">
        <v>63859.0</v>
      </c>
      <c r="H51" s="115">
        <v>7844328.0</v>
      </c>
      <c r="I51" s="115">
        <v>23135.892873031407</v>
      </c>
      <c r="J51" s="115">
        <v>2.600243E8</v>
      </c>
      <c r="K51" s="115">
        <v>11239.0</v>
      </c>
      <c r="L51" s="115">
        <v>17796.0</v>
      </c>
      <c r="M51" s="115">
        <v>0.30611413079054994</v>
      </c>
      <c r="N51" s="115">
        <v>1.804271874210788E8</v>
      </c>
      <c r="O51" s="115">
        <v>2.600243E8</v>
      </c>
      <c r="P51" s="115"/>
      <c r="Q51" s="115"/>
      <c r="R51" s="115"/>
      <c r="S51" s="115"/>
      <c r="T51" s="115"/>
      <c r="U51" s="115">
        <v>0.0</v>
      </c>
      <c r="V51" s="115">
        <v>0.0</v>
      </c>
      <c r="W51" s="115">
        <v>3392.0</v>
      </c>
      <c r="X51" s="115">
        <v>2801.0</v>
      </c>
      <c r="Y51" s="115">
        <v>2716.0</v>
      </c>
      <c r="Z51" s="115">
        <v>1929.0</v>
      </c>
      <c r="AA51" s="115">
        <v>250.0</v>
      </c>
      <c r="AB51" s="115"/>
      <c r="AC51" s="115">
        <v>115805.0</v>
      </c>
      <c r="AD51" s="115">
        <v>51861.0</v>
      </c>
      <c r="AE51" s="115">
        <v>61143.0</v>
      </c>
      <c r="AF51" s="115">
        <v>63388.0</v>
      </c>
      <c r="AG51" s="115">
        <v>10989.0</v>
      </c>
    </row>
    <row r="52">
      <c r="A52" s="116">
        <v>46041.0</v>
      </c>
      <c r="B52" s="117">
        <v>0.821522309711286</v>
      </c>
      <c r="C52" s="117">
        <v>313.0</v>
      </c>
      <c r="D52" s="117">
        <v>381.0</v>
      </c>
      <c r="E52" s="117">
        <v>0.1781223532477686</v>
      </c>
      <c r="F52" s="117">
        <v>10936.0</v>
      </c>
      <c r="G52" s="117">
        <v>61396.0</v>
      </c>
      <c r="H52" s="117">
        <v>7419353.0</v>
      </c>
      <c r="I52" s="117">
        <v>22520.327359180686</v>
      </c>
      <c r="J52" s="117">
        <v>2.462823E8</v>
      </c>
      <c r="K52" s="117">
        <v>10936.0</v>
      </c>
      <c r="L52" s="117">
        <v>17352.0</v>
      </c>
      <c r="M52" s="117">
        <v>0.30494586303702054</v>
      </c>
      <c r="N52" s="117">
        <v>1.711795314757576E8</v>
      </c>
      <c r="O52" s="117">
        <v>2.462823E8</v>
      </c>
      <c r="P52" s="117"/>
      <c r="Q52" s="117"/>
      <c r="R52" s="117"/>
      <c r="S52" s="117"/>
      <c r="T52" s="117"/>
      <c r="U52" s="117">
        <v>0.0</v>
      </c>
      <c r="V52" s="117">
        <v>0.0</v>
      </c>
      <c r="W52" s="117">
        <v>2824.0</v>
      </c>
      <c r="X52" s="117">
        <v>2330.0</v>
      </c>
      <c r="Y52" s="117">
        <v>2278.0</v>
      </c>
      <c r="Z52" s="117">
        <v>1601.0</v>
      </c>
      <c r="AA52" s="117">
        <v>171.0</v>
      </c>
      <c r="AB52" s="117"/>
      <c r="AC52" s="117">
        <v>115356.0</v>
      </c>
      <c r="AD52" s="117">
        <v>50258.0</v>
      </c>
      <c r="AE52" s="117">
        <v>59118.0</v>
      </c>
      <c r="AF52" s="117">
        <v>63183.0</v>
      </c>
      <c r="AG52" s="117">
        <v>10765.0</v>
      </c>
    </row>
    <row r="53">
      <c r="A53" s="114">
        <v>46042.0</v>
      </c>
      <c r="B53" s="115">
        <v>0.8247978436657682</v>
      </c>
      <c r="C53" s="115">
        <v>306.0</v>
      </c>
      <c r="D53" s="115">
        <v>371.0</v>
      </c>
      <c r="E53" s="115">
        <v>0.15761889163515083</v>
      </c>
      <c r="F53" s="115">
        <v>10586.0</v>
      </c>
      <c r="G53" s="115">
        <v>67162.0</v>
      </c>
      <c r="H53" s="115">
        <v>7145419.0</v>
      </c>
      <c r="I53" s="115">
        <v>22776.39334970716</v>
      </c>
      <c r="J53" s="115">
        <v>2.411109E8</v>
      </c>
      <c r="K53" s="115">
        <v>10586.0</v>
      </c>
      <c r="L53" s="115">
        <v>16699.0</v>
      </c>
      <c r="M53" s="115">
        <v>0.31540155041217954</v>
      </c>
      <c r="N53" s="115">
        <v>1.65064148318724E8</v>
      </c>
      <c r="O53" s="115">
        <v>2.411109E8</v>
      </c>
      <c r="P53" s="115"/>
      <c r="Q53" s="115"/>
      <c r="R53" s="115"/>
      <c r="S53" s="115"/>
      <c r="T53" s="115"/>
      <c r="U53" s="115">
        <v>0.0</v>
      </c>
      <c r="V53" s="115">
        <v>0.0</v>
      </c>
      <c r="W53" s="115">
        <v>2601.0</v>
      </c>
      <c r="X53" s="115">
        <v>2079.0</v>
      </c>
      <c r="Y53" s="115">
        <v>2044.0</v>
      </c>
      <c r="Z53" s="115">
        <v>1407.0</v>
      </c>
      <c r="AA53" s="115">
        <v>156.0</v>
      </c>
      <c r="AB53" s="115"/>
      <c r="AC53" s="115">
        <v>115041.0</v>
      </c>
      <c r="AD53" s="115">
        <v>50318.0</v>
      </c>
      <c r="AE53" s="115">
        <v>65118.0</v>
      </c>
      <c r="AF53" s="115">
        <v>63434.0</v>
      </c>
      <c r="AG53" s="115">
        <v>10430.0</v>
      </c>
    </row>
    <row r="54">
      <c r="A54" s="116">
        <v>46043.0</v>
      </c>
      <c r="B54" s="117">
        <v>0.8398876404494382</v>
      </c>
      <c r="C54" s="117">
        <v>299.0</v>
      </c>
      <c r="D54" s="117">
        <v>356.0</v>
      </c>
      <c r="E54" s="117">
        <v>0.16729584099635403</v>
      </c>
      <c r="F54" s="117">
        <v>10370.0</v>
      </c>
      <c r="G54" s="117">
        <v>61986.0</v>
      </c>
      <c r="H54" s="117">
        <v>6942344.0</v>
      </c>
      <c r="I54" s="117">
        <v>22330.26036644166</v>
      </c>
      <c r="J54" s="117">
        <v>2.315648E8</v>
      </c>
      <c r="K54" s="117">
        <v>10370.0</v>
      </c>
      <c r="L54" s="117">
        <v>16192.0</v>
      </c>
      <c r="M54" s="117">
        <v>0.29915933873841705</v>
      </c>
      <c r="N54" s="117">
        <v>1.622900275569062E8</v>
      </c>
      <c r="O54" s="117">
        <v>2.315648E8</v>
      </c>
      <c r="P54" s="117"/>
      <c r="Q54" s="117"/>
      <c r="R54" s="117"/>
      <c r="S54" s="117"/>
      <c r="T54" s="117"/>
      <c r="U54" s="117">
        <v>0.0</v>
      </c>
      <c r="V54" s="117">
        <v>0.0</v>
      </c>
      <c r="W54" s="117">
        <v>2681.0</v>
      </c>
      <c r="X54" s="117">
        <v>2148.0</v>
      </c>
      <c r="Y54" s="117">
        <v>2088.0</v>
      </c>
      <c r="Z54" s="117">
        <v>1492.0</v>
      </c>
      <c r="AA54" s="117">
        <v>139.0</v>
      </c>
      <c r="AB54" s="117"/>
      <c r="AC54" s="117">
        <v>115530.0</v>
      </c>
      <c r="AD54" s="117">
        <v>50867.0</v>
      </c>
      <c r="AE54" s="117">
        <v>59898.0</v>
      </c>
      <c r="AF54" s="117">
        <v>63158.0</v>
      </c>
      <c r="AG54" s="117">
        <v>10231.0</v>
      </c>
    </row>
    <row r="55">
      <c r="A55" s="114">
        <v>46044.0</v>
      </c>
      <c r="B55" s="115">
        <v>0.794392523364486</v>
      </c>
      <c r="C55" s="115">
        <v>255.0</v>
      </c>
      <c r="D55" s="115">
        <v>321.0</v>
      </c>
      <c r="E55" s="115">
        <v>0.16579949133101718</v>
      </c>
      <c r="F55" s="115">
        <v>9974.0</v>
      </c>
      <c r="G55" s="115">
        <v>60157.0</v>
      </c>
      <c r="H55" s="115">
        <v>6895484.0</v>
      </c>
      <c r="I55" s="115">
        <v>22435.061159013436</v>
      </c>
      <c r="J55" s="115">
        <v>2.237673E8</v>
      </c>
      <c r="K55" s="115">
        <v>9974.0</v>
      </c>
      <c r="L55" s="115">
        <v>15684.0</v>
      </c>
      <c r="M55" s="115">
        <v>0.2928854312980753</v>
      </c>
      <c r="N55" s="115">
        <v>1.582291178290942E8</v>
      </c>
      <c r="O55" s="115">
        <v>2.237673E8</v>
      </c>
      <c r="P55" s="115"/>
      <c r="Q55" s="115"/>
      <c r="R55" s="115"/>
      <c r="S55" s="115"/>
      <c r="T55" s="115"/>
      <c r="U55" s="115">
        <v>0.0</v>
      </c>
      <c r="V55" s="115">
        <v>0.0</v>
      </c>
      <c r="W55" s="115">
        <v>2375.0</v>
      </c>
      <c r="X55" s="115">
        <v>1884.0</v>
      </c>
      <c r="Y55" s="115">
        <v>1806.0</v>
      </c>
      <c r="Z55" s="115">
        <v>1261.0</v>
      </c>
      <c r="AA55" s="115">
        <v>118.0</v>
      </c>
      <c r="AB55" s="115"/>
      <c r="AC55" s="115">
        <v>115325.0</v>
      </c>
      <c r="AD55" s="115">
        <v>49719.0</v>
      </c>
      <c r="AE55" s="115">
        <v>58351.0</v>
      </c>
      <c r="AF55" s="115">
        <v>62584.0</v>
      </c>
      <c r="AG55" s="115">
        <v>9856.0</v>
      </c>
    </row>
    <row r="56">
      <c r="A56" s="116">
        <v>46045.0</v>
      </c>
      <c r="B56" s="117">
        <v>0.8553459119496856</v>
      </c>
      <c r="C56" s="117">
        <v>272.0</v>
      </c>
      <c r="D56" s="117">
        <v>318.0</v>
      </c>
      <c r="E56" s="117">
        <v>0.15794961436435284</v>
      </c>
      <c r="F56" s="117">
        <v>10301.0</v>
      </c>
      <c r="G56" s="117">
        <v>65217.0</v>
      </c>
      <c r="H56" s="117">
        <v>6781562.0</v>
      </c>
      <c r="I56" s="117">
        <v>22789.098145811087</v>
      </c>
      <c r="J56" s="117">
        <v>2.347505E8</v>
      </c>
      <c r="K56" s="117">
        <v>10301.0</v>
      </c>
      <c r="L56" s="117">
        <v>16011.0</v>
      </c>
      <c r="M56" s="117">
        <v>0.31807450117522396</v>
      </c>
      <c r="N56" s="117">
        <v>1.600823518118656E8</v>
      </c>
      <c r="O56" s="117">
        <v>2.347505E8</v>
      </c>
      <c r="P56" s="117"/>
      <c r="Q56" s="117"/>
      <c r="R56" s="117"/>
      <c r="S56" s="117"/>
      <c r="T56" s="117"/>
      <c r="U56" s="117">
        <v>0.0</v>
      </c>
      <c r="V56" s="117">
        <v>0.0</v>
      </c>
      <c r="W56" s="117">
        <v>2624.0</v>
      </c>
      <c r="X56" s="117">
        <v>2086.0</v>
      </c>
      <c r="Y56" s="117">
        <v>2050.0</v>
      </c>
      <c r="Z56" s="117">
        <v>1450.0</v>
      </c>
      <c r="AA56" s="117">
        <v>136.0</v>
      </c>
      <c r="AB56" s="117"/>
      <c r="AC56" s="117">
        <v>115194.0</v>
      </c>
      <c r="AD56" s="117">
        <v>49986.0</v>
      </c>
      <c r="AE56" s="117">
        <v>63167.0</v>
      </c>
      <c r="AF56" s="117">
        <v>62630.0</v>
      </c>
      <c r="AG56" s="117">
        <v>10165.0</v>
      </c>
    </row>
    <row r="57">
      <c r="A57" s="114">
        <v>46046.0</v>
      </c>
      <c r="B57" s="115">
        <v>0.8323353293413174</v>
      </c>
      <c r="C57" s="115">
        <v>417.0</v>
      </c>
      <c r="D57" s="115">
        <v>501.0</v>
      </c>
      <c r="E57" s="115">
        <v>0.16640302720138953</v>
      </c>
      <c r="F57" s="115">
        <v>10730.0</v>
      </c>
      <c r="G57" s="115">
        <v>64482.0</v>
      </c>
      <c r="H57" s="115">
        <v>7257870.0</v>
      </c>
      <c r="I57" s="115">
        <v>22752.54426840634</v>
      </c>
      <c r="J57" s="115">
        <v>2.441348E8</v>
      </c>
      <c r="K57" s="115">
        <v>10730.0</v>
      </c>
      <c r="L57" s="115">
        <v>16951.0</v>
      </c>
      <c r="M57" s="115">
        <v>0.3026183377310733</v>
      </c>
      <c r="N57" s="115">
        <v>1.7025513264169198E8</v>
      </c>
      <c r="O57" s="115">
        <v>2.441348E8</v>
      </c>
      <c r="P57" s="115"/>
      <c r="Q57" s="115"/>
      <c r="R57" s="115"/>
      <c r="S57" s="115"/>
      <c r="T57" s="115"/>
      <c r="U57" s="115">
        <v>0.0</v>
      </c>
      <c r="V57" s="115">
        <v>0.0</v>
      </c>
      <c r="W57" s="115">
        <v>4175.0</v>
      </c>
      <c r="X57" s="115">
        <v>3377.0</v>
      </c>
      <c r="Y57" s="115">
        <v>3208.0</v>
      </c>
      <c r="Z57" s="115">
        <v>2430.0</v>
      </c>
      <c r="AA57" s="115">
        <v>278.0</v>
      </c>
      <c r="AB57" s="115"/>
      <c r="AC57" s="115">
        <v>116923.0</v>
      </c>
      <c r="AD57" s="115">
        <v>51827.0</v>
      </c>
      <c r="AE57" s="115">
        <v>61274.0</v>
      </c>
      <c r="AF57" s="115">
        <v>63664.0</v>
      </c>
      <c r="AG57" s="115">
        <v>10452.0</v>
      </c>
    </row>
    <row r="58">
      <c r="A58" s="116">
        <v>46047.0</v>
      </c>
      <c r="B58" s="117">
        <v>0.8090452261306532</v>
      </c>
      <c r="C58" s="117">
        <v>483.0</v>
      </c>
      <c r="D58" s="117">
        <v>597.0</v>
      </c>
      <c r="E58" s="117">
        <v>0.1778747825025184</v>
      </c>
      <c r="F58" s="117">
        <v>11654.0</v>
      </c>
      <c r="G58" s="117">
        <v>65518.0</v>
      </c>
      <c r="H58" s="117">
        <v>7922189.0</v>
      </c>
      <c r="I58" s="117">
        <v>23563.488930839198</v>
      </c>
      <c r="J58" s="117">
        <v>2.746089E8</v>
      </c>
      <c r="K58" s="117">
        <v>11654.0</v>
      </c>
      <c r="L58" s="117">
        <v>18525.0</v>
      </c>
      <c r="M58" s="117">
        <v>0.31343916555085294</v>
      </c>
      <c r="N58" s="117">
        <v>1.8853571553116238E8</v>
      </c>
      <c r="O58" s="117">
        <v>2.746089E8</v>
      </c>
      <c r="P58" s="117"/>
      <c r="Q58" s="117"/>
      <c r="R58" s="117"/>
      <c r="S58" s="117"/>
      <c r="T58" s="117"/>
      <c r="U58" s="117">
        <v>0.0</v>
      </c>
      <c r="V58" s="117">
        <v>0.0</v>
      </c>
      <c r="W58" s="117">
        <v>4317.0</v>
      </c>
      <c r="X58" s="117">
        <v>3544.0</v>
      </c>
      <c r="Y58" s="117">
        <v>3352.0</v>
      </c>
      <c r="Z58" s="117">
        <v>2612.0</v>
      </c>
      <c r="AA58" s="117">
        <v>300.0</v>
      </c>
      <c r="AB58" s="117"/>
      <c r="AC58" s="117">
        <v>118796.0</v>
      </c>
      <c r="AD58" s="117">
        <v>53159.0</v>
      </c>
      <c r="AE58" s="117">
        <v>62166.0</v>
      </c>
      <c r="AF58" s="117">
        <v>65141.0</v>
      </c>
      <c r="AG58" s="117">
        <v>11354.0</v>
      </c>
    </row>
    <row r="59">
      <c r="A59" s="114">
        <v>46048.0</v>
      </c>
      <c r="B59" s="115">
        <v>0.8199152542372882</v>
      </c>
      <c r="C59" s="115">
        <v>387.0</v>
      </c>
      <c r="D59" s="115">
        <v>472.0</v>
      </c>
      <c r="E59" s="115">
        <v>0.166651867637483</v>
      </c>
      <c r="F59" s="115">
        <v>11261.0</v>
      </c>
      <c r="G59" s="115">
        <v>67572.0</v>
      </c>
      <c r="H59" s="115">
        <v>7541827.0</v>
      </c>
      <c r="I59" s="115">
        <v>22903.205754373503</v>
      </c>
      <c r="J59" s="115">
        <v>2.57913E8</v>
      </c>
      <c r="K59" s="115">
        <v>11261.0</v>
      </c>
      <c r="L59" s="115">
        <v>17926.0</v>
      </c>
      <c r="M59" s="115">
        <v>0.31905096834290003</v>
      </c>
      <c r="N59" s="115">
        <v>1.756256076017776E8</v>
      </c>
      <c r="O59" s="115">
        <v>2.57913E8</v>
      </c>
      <c r="P59" s="115"/>
      <c r="Q59" s="115"/>
      <c r="R59" s="115"/>
      <c r="S59" s="115"/>
      <c r="T59" s="115"/>
      <c r="U59" s="115">
        <v>0.0</v>
      </c>
      <c r="V59" s="115">
        <v>0.0</v>
      </c>
      <c r="W59" s="115">
        <v>3457.0</v>
      </c>
      <c r="X59" s="115">
        <v>2835.0</v>
      </c>
      <c r="Y59" s="115">
        <v>2680.0</v>
      </c>
      <c r="Z59" s="115">
        <v>2021.0</v>
      </c>
      <c r="AA59" s="115">
        <v>190.0</v>
      </c>
      <c r="AB59" s="115"/>
      <c r="AC59" s="115">
        <v>118846.0</v>
      </c>
      <c r="AD59" s="115">
        <v>51940.0</v>
      </c>
      <c r="AE59" s="115">
        <v>64892.0</v>
      </c>
      <c r="AF59" s="115">
        <v>65059.0</v>
      </c>
      <c r="AG59" s="115">
        <v>11071.0</v>
      </c>
    </row>
    <row r="60">
      <c r="A60" s="116">
        <v>46049.0</v>
      </c>
      <c r="B60" s="117">
        <v>0.8519417475728155</v>
      </c>
      <c r="C60" s="117">
        <v>351.0</v>
      </c>
      <c r="D60" s="117">
        <v>412.0</v>
      </c>
      <c r="E60" s="117">
        <v>0.17731292068100832</v>
      </c>
      <c r="F60" s="117">
        <v>10748.0</v>
      </c>
      <c r="G60" s="117">
        <v>60616.0</v>
      </c>
      <c r="H60" s="117">
        <v>7284975.0</v>
      </c>
      <c r="I60" s="117">
        <v>22555.480089318942</v>
      </c>
      <c r="J60" s="117">
        <v>2.424263E8</v>
      </c>
      <c r="K60" s="117">
        <v>10748.0</v>
      </c>
      <c r="L60" s="117">
        <v>16957.0</v>
      </c>
      <c r="M60" s="117">
        <v>0.2997319138502612</v>
      </c>
      <c r="N60" s="117">
        <v>1.697634011333624E8</v>
      </c>
      <c r="O60" s="117">
        <v>2.424263E8</v>
      </c>
      <c r="P60" s="117"/>
      <c r="Q60" s="117"/>
      <c r="R60" s="117"/>
      <c r="S60" s="117"/>
      <c r="T60" s="117"/>
      <c r="U60" s="117">
        <v>0.0</v>
      </c>
      <c r="V60" s="117">
        <v>0.0</v>
      </c>
      <c r="W60" s="117">
        <v>2974.0</v>
      </c>
      <c r="X60" s="117">
        <v>2386.0</v>
      </c>
      <c r="Y60" s="117">
        <v>2297.0</v>
      </c>
      <c r="Z60" s="117">
        <v>1750.0</v>
      </c>
      <c r="AA60" s="117">
        <v>189.0</v>
      </c>
      <c r="AB60" s="117"/>
      <c r="AC60" s="117">
        <v>119236.0</v>
      </c>
      <c r="AD60" s="117">
        <v>52088.0</v>
      </c>
      <c r="AE60" s="117">
        <v>58319.0</v>
      </c>
      <c r="AF60" s="117">
        <v>64905.0</v>
      </c>
      <c r="AG60" s="117">
        <v>10559.0</v>
      </c>
    </row>
    <row r="61">
      <c r="A61" s="114">
        <v>46050.0</v>
      </c>
      <c r="B61" s="115">
        <v>0.8406169665809768</v>
      </c>
      <c r="C61" s="115">
        <v>327.0</v>
      </c>
      <c r="D61" s="115">
        <v>389.0</v>
      </c>
      <c r="E61" s="115">
        <v>0.17427063165036655</v>
      </c>
      <c r="F61" s="115">
        <v>10531.0</v>
      </c>
      <c r="G61" s="115">
        <v>60429.0</v>
      </c>
      <c r="H61" s="115">
        <v>7150259.0</v>
      </c>
      <c r="I61" s="115">
        <v>21803.162092868675</v>
      </c>
      <c r="J61" s="115">
        <v>2.296091E8</v>
      </c>
      <c r="K61" s="115">
        <v>10531.0</v>
      </c>
      <c r="L61" s="115">
        <v>16326.0</v>
      </c>
      <c r="M61" s="115">
        <v>0.28431198033644733</v>
      </c>
      <c r="N61" s="115">
        <v>1.6432848207573062E8</v>
      </c>
      <c r="O61" s="115">
        <v>2.296091E8</v>
      </c>
      <c r="P61" s="115"/>
      <c r="Q61" s="115"/>
      <c r="R61" s="115"/>
      <c r="S61" s="115"/>
      <c r="T61" s="115"/>
      <c r="U61" s="115">
        <v>0.0</v>
      </c>
      <c r="V61" s="115">
        <v>0.0</v>
      </c>
      <c r="W61" s="115">
        <v>2903.0</v>
      </c>
      <c r="X61" s="115">
        <v>2316.0</v>
      </c>
      <c r="Y61" s="115">
        <v>2210.0</v>
      </c>
      <c r="Z61" s="115">
        <v>1588.0</v>
      </c>
      <c r="AA61" s="115">
        <v>149.0</v>
      </c>
      <c r="AB61" s="115"/>
      <c r="AC61" s="115">
        <v>119507.0</v>
      </c>
      <c r="AD61" s="115">
        <v>52300.0</v>
      </c>
      <c r="AE61" s="115">
        <v>58219.0</v>
      </c>
      <c r="AF61" s="115">
        <v>65312.0</v>
      </c>
      <c r="AG61" s="115">
        <v>10382.0</v>
      </c>
    </row>
    <row r="62">
      <c r="A62" s="116">
        <v>46051.0</v>
      </c>
      <c r="B62" s="117">
        <v>0.8588235294117647</v>
      </c>
      <c r="C62" s="117">
        <v>292.0</v>
      </c>
      <c r="D62" s="117">
        <v>340.0</v>
      </c>
      <c r="E62" s="117">
        <v>0.1742387906653656</v>
      </c>
      <c r="F62" s="117">
        <v>10535.0</v>
      </c>
      <c r="G62" s="117">
        <v>60463.0</v>
      </c>
      <c r="H62" s="117">
        <v>7090489.0</v>
      </c>
      <c r="I62" s="117">
        <v>21599.667774086378</v>
      </c>
      <c r="J62" s="117">
        <v>2.275525E8</v>
      </c>
      <c r="K62" s="117">
        <v>10535.0</v>
      </c>
      <c r="L62" s="117">
        <v>16442.0</v>
      </c>
      <c r="M62" s="117">
        <v>0.2872962258495749</v>
      </c>
      <c r="N62" s="117">
        <v>1.621775255673646E8</v>
      </c>
      <c r="O62" s="117">
        <v>2.275525E8</v>
      </c>
      <c r="P62" s="117"/>
      <c r="Q62" s="117"/>
      <c r="R62" s="117"/>
      <c r="S62" s="117"/>
      <c r="T62" s="117"/>
      <c r="U62" s="117">
        <v>0.0</v>
      </c>
      <c r="V62" s="117">
        <v>0.0</v>
      </c>
      <c r="W62" s="117">
        <v>2720.0</v>
      </c>
      <c r="X62" s="117">
        <v>2195.0</v>
      </c>
      <c r="Y62" s="117">
        <v>2097.0</v>
      </c>
      <c r="Z62" s="117">
        <v>1537.0</v>
      </c>
      <c r="AA62" s="117">
        <v>145.0</v>
      </c>
      <c r="AB62" s="117"/>
      <c r="AC62" s="117">
        <v>120037.0</v>
      </c>
      <c r="AD62" s="117">
        <v>52352.0</v>
      </c>
      <c r="AE62" s="117">
        <v>58366.0</v>
      </c>
      <c r="AF62" s="117">
        <v>64978.0</v>
      </c>
      <c r="AG62" s="117">
        <v>10390.0</v>
      </c>
    </row>
    <row r="63">
      <c r="A63" s="114">
        <v>46052.0</v>
      </c>
      <c r="B63" s="115">
        <v>0.7928802588996764</v>
      </c>
      <c r="C63" s="115">
        <v>245.0</v>
      </c>
      <c r="D63" s="115">
        <v>309.0</v>
      </c>
      <c r="E63" s="115">
        <v>0.17597306893548603</v>
      </c>
      <c r="F63" s="115">
        <v>10507.0</v>
      </c>
      <c r="G63" s="115">
        <v>59708.0</v>
      </c>
      <c r="H63" s="115">
        <v>6971214.0</v>
      </c>
      <c r="I63" s="115">
        <v>22320.462548777006</v>
      </c>
      <c r="J63" s="115">
        <v>2.345211E8</v>
      </c>
      <c r="K63" s="115">
        <v>10507.0</v>
      </c>
      <c r="L63" s="115">
        <v>16391.0</v>
      </c>
      <c r="M63" s="115">
        <v>0.31439383081008665</v>
      </c>
      <c r="N63" s="115">
        <v>1.607891129652046E8</v>
      </c>
      <c r="O63" s="115">
        <v>2.345211E8</v>
      </c>
      <c r="P63" s="115"/>
      <c r="Q63" s="115"/>
      <c r="R63" s="115"/>
      <c r="S63" s="115"/>
      <c r="T63" s="115"/>
      <c r="U63" s="115">
        <v>0.0</v>
      </c>
      <c r="V63" s="115">
        <v>0.0</v>
      </c>
      <c r="W63" s="115">
        <v>2590.0</v>
      </c>
      <c r="X63" s="115">
        <v>2102.0</v>
      </c>
      <c r="Y63" s="115">
        <v>1985.0</v>
      </c>
      <c r="Z63" s="115">
        <v>1410.0</v>
      </c>
      <c r="AA63" s="115">
        <v>124.0</v>
      </c>
      <c r="AB63" s="115"/>
      <c r="AC63" s="115">
        <v>119124.0</v>
      </c>
      <c r="AD63" s="115">
        <v>51479.0</v>
      </c>
      <c r="AE63" s="115">
        <v>57723.0</v>
      </c>
      <c r="AF63" s="115">
        <v>64387.0</v>
      </c>
      <c r="AG63" s="115">
        <v>10383.0</v>
      </c>
    </row>
    <row r="64">
      <c r="A64" s="116">
        <v>46053.0</v>
      </c>
      <c r="B64" s="117">
        <v>0.8548387096774194</v>
      </c>
      <c r="C64" s="117">
        <v>318.0</v>
      </c>
      <c r="D64" s="117">
        <v>372.0</v>
      </c>
      <c r="E64" s="117">
        <v>0.18163863084776968</v>
      </c>
      <c r="F64" s="117">
        <v>10852.0</v>
      </c>
      <c r="G64" s="117">
        <v>59745.0</v>
      </c>
      <c r="H64" s="117">
        <v>7303716.0</v>
      </c>
      <c r="I64" s="117">
        <v>22686.01179506082</v>
      </c>
      <c r="J64" s="117">
        <v>2.461886E8</v>
      </c>
      <c r="K64" s="117">
        <v>10852.0</v>
      </c>
      <c r="L64" s="117">
        <v>17116.0</v>
      </c>
      <c r="M64" s="117">
        <v>0.31082714074858786</v>
      </c>
      <c r="N64" s="117">
        <v>1.696665013771022E8</v>
      </c>
      <c r="O64" s="117">
        <v>2.461886E8</v>
      </c>
      <c r="P64" s="117"/>
      <c r="Q64" s="117"/>
      <c r="R64" s="117"/>
      <c r="S64" s="117"/>
      <c r="T64" s="117"/>
      <c r="U64" s="117">
        <v>0.0</v>
      </c>
      <c r="V64" s="117">
        <v>0.0</v>
      </c>
      <c r="W64" s="117">
        <v>2672.0</v>
      </c>
      <c r="X64" s="117">
        <v>2167.0</v>
      </c>
      <c r="Y64" s="117">
        <v>2108.0</v>
      </c>
      <c r="Z64" s="117">
        <v>1557.0</v>
      </c>
      <c r="AA64" s="117">
        <v>143.0</v>
      </c>
      <c r="AB64" s="117"/>
      <c r="AC64" s="117">
        <v>118438.0</v>
      </c>
      <c r="AD64" s="117">
        <v>51360.0</v>
      </c>
      <c r="AE64" s="117">
        <v>57637.0</v>
      </c>
      <c r="AF64" s="117">
        <v>64396.0</v>
      </c>
      <c r="AG64" s="117">
        <v>10709.0</v>
      </c>
    </row>
    <row r="65">
      <c r="A65" s="114">
        <v>46054.0</v>
      </c>
      <c r="B65" s="115">
        <v>0.823394495412844</v>
      </c>
      <c r="C65" s="115">
        <v>359.0</v>
      </c>
      <c r="D65" s="115">
        <v>436.0</v>
      </c>
      <c r="E65" s="115">
        <v>0.20061439390205837</v>
      </c>
      <c r="F65" s="115">
        <v>12212.0</v>
      </c>
      <c r="G65" s="115">
        <v>60873.0</v>
      </c>
      <c r="H65" s="115">
        <v>7913189.0</v>
      </c>
      <c r="I65" s="115">
        <v>27422.420569931215</v>
      </c>
      <c r="J65" s="115">
        <v>3.348826E8</v>
      </c>
      <c r="K65" s="115">
        <v>12212.0</v>
      </c>
      <c r="L65" s="115">
        <v>19070.0</v>
      </c>
      <c r="M65" s="115">
        <v>0.4088631516308492</v>
      </c>
      <c r="N65" s="115">
        <v>1.97961444737667E8</v>
      </c>
      <c r="O65" s="115">
        <v>3.348826E8</v>
      </c>
      <c r="P65" s="115"/>
      <c r="Q65" s="115"/>
      <c r="R65" s="115"/>
      <c r="S65" s="115"/>
      <c r="T65" s="115"/>
      <c r="U65" s="115">
        <v>0.0</v>
      </c>
      <c r="V65" s="115">
        <v>0.0</v>
      </c>
      <c r="W65" s="115">
        <v>2901.0</v>
      </c>
      <c r="X65" s="115">
        <v>2338.0</v>
      </c>
      <c r="Y65" s="115">
        <v>2280.0</v>
      </c>
      <c r="Z65" s="115">
        <v>1645.0</v>
      </c>
      <c r="AA65" s="115">
        <v>170.0</v>
      </c>
      <c r="AB65" s="115"/>
      <c r="AC65" s="115">
        <v>119400.0</v>
      </c>
      <c r="AD65" s="115">
        <v>52412.0</v>
      </c>
      <c r="AE65" s="115">
        <v>58593.0</v>
      </c>
      <c r="AF65" s="115">
        <v>65470.0</v>
      </c>
      <c r="AG65" s="115">
        <v>12042.0</v>
      </c>
    </row>
    <row r="66">
      <c r="A66" s="116">
        <v>46055.0</v>
      </c>
      <c r="B66" s="117">
        <v>0.8517520215633423</v>
      </c>
      <c r="C66" s="117">
        <v>316.0</v>
      </c>
      <c r="D66" s="117">
        <v>371.0</v>
      </c>
      <c r="E66" s="117">
        <v>0.18655924673430144</v>
      </c>
      <c r="F66" s="117">
        <v>11254.0</v>
      </c>
      <c r="G66" s="117">
        <v>60324.0</v>
      </c>
      <c r="H66" s="117">
        <v>7452047.0</v>
      </c>
      <c r="I66" s="117">
        <v>24011.00053314377</v>
      </c>
      <c r="J66" s="117">
        <v>2.702198E8</v>
      </c>
      <c r="K66" s="117">
        <v>11254.0</v>
      </c>
      <c r="L66" s="117">
        <v>17659.0</v>
      </c>
      <c r="M66" s="117">
        <v>0.34121328653732774</v>
      </c>
      <c r="N66" s="117">
        <v>1.780172139545406E8</v>
      </c>
      <c r="O66" s="117">
        <v>2.702198E8</v>
      </c>
      <c r="P66" s="117"/>
      <c r="Q66" s="117"/>
      <c r="R66" s="117"/>
      <c r="S66" s="117"/>
      <c r="T66" s="117"/>
      <c r="U66" s="117">
        <v>0.0</v>
      </c>
      <c r="V66" s="117">
        <v>0.0</v>
      </c>
      <c r="W66" s="117">
        <v>2755.0</v>
      </c>
      <c r="X66" s="117">
        <v>2185.0</v>
      </c>
      <c r="Y66" s="117">
        <v>2140.0</v>
      </c>
      <c r="Z66" s="117">
        <v>1541.0</v>
      </c>
      <c r="AA66" s="117">
        <v>148.0</v>
      </c>
      <c r="AB66" s="117"/>
      <c r="AC66" s="117">
        <v>119476.0</v>
      </c>
      <c r="AD66" s="117">
        <v>52365.0</v>
      </c>
      <c r="AE66" s="117">
        <v>58184.0</v>
      </c>
      <c r="AF66" s="117">
        <v>65461.0</v>
      </c>
      <c r="AG66" s="117">
        <v>11106.0</v>
      </c>
    </row>
    <row r="67">
      <c r="A67" s="114">
        <v>46056.0</v>
      </c>
      <c r="B67" s="115">
        <v>0.8526315789473684</v>
      </c>
      <c r="C67" s="115">
        <v>324.0</v>
      </c>
      <c r="D67" s="115">
        <v>380.0</v>
      </c>
      <c r="E67" s="115">
        <v>0.17579678808985427</v>
      </c>
      <c r="F67" s="115">
        <v>10651.0</v>
      </c>
      <c r="G67" s="115">
        <v>60587.0</v>
      </c>
      <c r="H67" s="115">
        <v>7193642.0</v>
      </c>
      <c r="I67" s="115">
        <v>22844.643695427658</v>
      </c>
      <c r="J67" s="115">
        <v>2.433183E8</v>
      </c>
      <c r="K67" s="115">
        <v>10651.0</v>
      </c>
      <c r="L67" s="115">
        <v>16578.0</v>
      </c>
      <c r="M67" s="115">
        <v>0.30696422846788085</v>
      </c>
      <c r="N67" s="115">
        <v>1.6862828576838362E8</v>
      </c>
      <c r="O67" s="115">
        <v>2.433183E8</v>
      </c>
      <c r="P67" s="115"/>
      <c r="Q67" s="115"/>
      <c r="R67" s="115"/>
      <c r="S67" s="115"/>
      <c r="T67" s="115"/>
      <c r="U67" s="115">
        <v>0.0</v>
      </c>
      <c r="V67" s="115">
        <v>0.0</v>
      </c>
      <c r="W67" s="115">
        <v>3000.0</v>
      </c>
      <c r="X67" s="115">
        <v>2456.0</v>
      </c>
      <c r="Y67" s="115">
        <v>2410.0</v>
      </c>
      <c r="Z67" s="115">
        <v>1684.0</v>
      </c>
      <c r="AA67" s="115">
        <v>160.0</v>
      </c>
      <c r="AB67" s="115"/>
      <c r="AC67" s="115">
        <v>119036.0</v>
      </c>
      <c r="AD67" s="115">
        <v>52415.0</v>
      </c>
      <c r="AE67" s="115">
        <v>58177.0</v>
      </c>
      <c r="AF67" s="115">
        <v>65124.0</v>
      </c>
      <c r="AG67" s="115">
        <v>10491.0</v>
      </c>
    </row>
    <row r="68">
      <c r="A68" s="116">
        <v>46057.0</v>
      </c>
      <c r="B68" s="117">
        <v>0.8192771084337349</v>
      </c>
      <c r="C68" s="117">
        <v>272.0</v>
      </c>
      <c r="D68" s="117">
        <v>332.0</v>
      </c>
      <c r="E68" s="117">
        <v>0.17619245817031548</v>
      </c>
      <c r="F68" s="117">
        <v>10583.0</v>
      </c>
      <c r="G68" s="117">
        <v>60065.0</v>
      </c>
      <c r="H68" s="117">
        <v>6999318.0</v>
      </c>
      <c r="I68" s="117">
        <v>22689.927241802892</v>
      </c>
      <c r="J68" s="117">
        <v>2.401275E8</v>
      </c>
      <c r="K68" s="117">
        <v>10583.0</v>
      </c>
      <c r="L68" s="117">
        <v>16415.0</v>
      </c>
      <c r="M68" s="117">
        <v>0.30336062121174445</v>
      </c>
      <c r="N68" s="117">
        <v>1.6728227242997682E8</v>
      </c>
      <c r="O68" s="117">
        <v>2.401275E8</v>
      </c>
      <c r="P68" s="117"/>
      <c r="Q68" s="117"/>
      <c r="R68" s="117"/>
      <c r="S68" s="117"/>
      <c r="T68" s="117"/>
      <c r="U68" s="117">
        <v>0.0</v>
      </c>
      <c r="V68" s="117">
        <v>0.0</v>
      </c>
      <c r="W68" s="117">
        <v>2644.0</v>
      </c>
      <c r="X68" s="117">
        <v>2115.0</v>
      </c>
      <c r="Y68" s="117">
        <v>2101.0</v>
      </c>
      <c r="Z68" s="117">
        <v>1482.0</v>
      </c>
      <c r="AA68" s="117">
        <v>143.0</v>
      </c>
      <c r="AB68" s="117"/>
      <c r="AC68" s="117">
        <v>118720.0</v>
      </c>
      <c r="AD68" s="117">
        <v>52290.0</v>
      </c>
      <c r="AE68" s="117">
        <v>57964.0</v>
      </c>
      <c r="AF68" s="117">
        <v>64946.0</v>
      </c>
      <c r="AG68" s="117">
        <v>10440.0</v>
      </c>
    </row>
    <row r="69">
      <c r="A69" s="114">
        <v>46058.0</v>
      </c>
      <c r="B69" s="115">
        <v>0.8238482384823849</v>
      </c>
      <c r="C69" s="115">
        <v>304.0</v>
      </c>
      <c r="D69" s="115">
        <v>369.0</v>
      </c>
      <c r="E69" s="115">
        <v>0.1752437613617584</v>
      </c>
      <c r="F69" s="115">
        <v>10604.0</v>
      </c>
      <c r="G69" s="115">
        <v>60510.0</v>
      </c>
      <c r="H69" s="115">
        <v>6817467.0</v>
      </c>
      <c r="I69" s="115">
        <v>22964.739720860052</v>
      </c>
      <c r="J69" s="115">
        <v>2.435181E8</v>
      </c>
      <c r="K69" s="115">
        <v>10604.0</v>
      </c>
      <c r="L69" s="115">
        <v>16183.0</v>
      </c>
      <c r="M69" s="115">
        <v>0.32009544225231634</v>
      </c>
      <c r="N69" s="115">
        <v>1.655690660840562E8</v>
      </c>
      <c r="O69" s="115">
        <v>2.435181E8</v>
      </c>
      <c r="P69" s="115"/>
      <c r="Q69" s="115"/>
      <c r="R69" s="115"/>
      <c r="S69" s="115"/>
      <c r="T69" s="115"/>
      <c r="U69" s="115">
        <v>0.0</v>
      </c>
      <c r="V69" s="115">
        <v>0.0</v>
      </c>
      <c r="W69" s="115">
        <v>3141.0</v>
      </c>
      <c r="X69" s="115">
        <v>2517.0</v>
      </c>
      <c r="Y69" s="115">
        <v>2483.0</v>
      </c>
      <c r="Z69" s="115">
        <v>1671.0</v>
      </c>
      <c r="AA69" s="115">
        <v>153.0</v>
      </c>
      <c r="AB69" s="115"/>
      <c r="AC69" s="115">
        <v>119088.0</v>
      </c>
      <c r="AD69" s="115">
        <v>51891.0</v>
      </c>
      <c r="AE69" s="115">
        <v>58027.0</v>
      </c>
      <c r="AF69" s="115">
        <v>64759.0</v>
      </c>
      <c r="AG69" s="115">
        <v>10451.0</v>
      </c>
    </row>
    <row r="70">
      <c r="A70" s="116">
        <v>46059.0</v>
      </c>
      <c r="B70" s="117">
        <v>0.8010899182561307</v>
      </c>
      <c r="C70" s="117">
        <v>294.0</v>
      </c>
      <c r="D70" s="117">
        <v>367.0</v>
      </c>
      <c r="E70" s="117">
        <v>0.1692635024549918</v>
      </c>
      <c r="F70" s="117">
        <v>10342.0</v>
      </c>
      <c r="G70" s="117">
        <v>61100.0</v>
      </c>
      <c r="H70" s="117">
        <v>6801474.0</v>
      </c>
      <c r="I70" s="117">
        <v>21610.578224714754</v>
      </c>
      <c r="J70" s="117">
        <v>2.234966E8</v>
      </c>
      <c r="K70" s="117">
        <v>10342.0</v>
      </c>
      <c r="L70" s="117">
        <v>15886.0</v>
      </c>
      <c r="M70" s="117">
        <v>0.27999883275554893</v>
      </c>
      <c r="N70" s="117">
        <v>1.6091781287516618E8</v>
      </c>
      <c r="O70" s="117">
        <v>2.234966E8</v>
      </c>
      <c r="P70" s="117"/>
      <c r="Q70" s="117"/>
      <c r="R70" s="117"/>
      <c r="S70" s="117"/>
      <c r="T70" s="117"/>
      <c r="U70" s="117">
        <v>0.0</v>
      </c>
      <c r="V70" s="117">
        <v>0.0</v>
      </c>
      <c r="W70" s="117">
        <v>3506.0</v>
      </c>
      <c r="X70" s="117">
        <v>2760.0</v>
      </c>
      <c r="Y70" s="117">
        <v>2749.0</v>
      </c>
      <c r="Z70" s="117">
        <v>1826.0</v>
      </c>
      <c r="AA70" s="117">
        <v>166.0</v>
      </c>
      <c r="AB70" s="117"/>
      <c r="AC70" s="117">
        <v>119575.0</v>
      </c>
      <c r="AD70" s="117">
        <v>51750.0</v>
      </c>
      <c r="AE70" s="117">
        <v>58351.0</v>
      </c>
      <c r="AF70" s="117">
        <v>64792.0</v>
      </c>
      <c r="AG70" s="117">
        <v>10176.0</v>
      </c>
    </row>
    <row r="71">
      <c r="A71" s="114">
        <v>46060.0</v>
      </c>
      <c r="B71" s="115">
        <v>0.8408071748878924</v>
      </c>
      <c r="C71" s="115">
        <v>375.0</v>
      </c>
      <c r="D71" s="115">
        <v>446.0</v>
      </c>
      <c r="E71" s="115">
        <v>0.1694169416941694</v>
      </c>
      <c r="F71" s="115">
        <v>10626.0</v>
      </c>
      <c r="G71" s="115">
        <v>62721.0</v>
      </c>
      <c r="H71" s="115">
        <v>7058467.0</v>
      </c>
      <c r="I71" s="115">
        <v>22257.396950875212</v>
      </c>
      <c r="J71" s="115">
        <v>2.365071E8</v>
      </c>
      <c r="K71" s="115">
        <v>10626.0</v>
      </c>
      <c r="L71" s="115">
        <v>16095.0</v>
      </c>
      <c r="M71" s="115">
        <v>0.3044878502456603</v>
      </c>
      <c r="N71" s="115">
        <v>1.644935615531646E8</v>
      </c>
      <c r="O71" s="115">
        <v>2.365071E8</v>
      </c>
      <c r="P71" s="115"/>
      <c r="Q71" s="115"/>
      <c r="R71" s="115"/>
      <c r="S71" s="115"/>
      <c r="T71" s="115"/>
      <c r="U71" s="115">
        <v>0.0</v>
      </c>
      <c r="V71" s="115">
        <v>0.0</v>
      </c>
      <c r="W71" s="115">
        <v>3951.0</v>
      </c>
      <c r="X71" s="115">
        <v>3172.0</v>
      </c>
      <c r="Y71" s="115">
        <v>3151.0</v>
      </c>
      <c r="Z71" s="115">
        <v>2087.0</v>
      </c>
      <c r="AA71" s="115">
        <v>206.0</v>
      </c>
      <c r="AB71" s="115"/>
      <c r="AC71" s="115">
        <v>121211.0</v>
      </c>
      <c r="AD71" s="115">
        <v>53147.0</v>
      </c>
      <c r="AE71" s="115">
        <v>59570.0</v>
      </c>
      <c r="AF71" s="115">
        <v>65177.0</v>
      </c>
      <c r="AG71" s="115">
        <v>10420.0</v>
      </c>
    </row>
    <row r="72">
      <c r="A72" s="116">
        <v>46061.0</v>
      </c>
      <c r="B72" s="117">
        <v>0.8214285714285714</v>
      </c>
      <c r="C72" s="117">
        <v>322.0</v>
      </c>
      <c r="D72" s="117">
        <v>392.0</v>
      </c>
      <c r="E72" s="117">
        <v>0.17648834585868858</v>
      </c>
      <c r="F72" s="117">
        <v>11108.0</v>
      </c>
      <c r="G72" s="117">
        <v>62939.0</v>
      </c>
      <c r="H72" s="117">
        <v>7572325.0</v>
      </c>
      <c r="I72" s="117">
        <v>22960.460929060137</v>
      </c>
      <c r="J72" s="117">
        <v>2.550448E8</v>
      </c>
      <c r="K72" s="117">
        <v>11108.0</v>
      </c>
      <c r="L72" s="117">
        <v>17185.0</v>
      </c>
      <c r="M72" s="117">
        <v>0.3001491448835145</v>
      </c>
      <c r="N72" s="117">
        <v>1.7849332137301302E8</v>
      </c>
      <c r="O72" s="117">
        <v>2.550448E8</v>
      </c>
      <c r="P72" s="117"/>
      <c r="Q72" s="117"/>
      <c r="R72" s="117"/>
      <c r="S72" s="117"/>
      <c r="T72" s="117"/>
      <c r="U72" s="117">
        <v>0.0</v>
      </c>
      <c r="V72" s="117">
        <v>0.0</v>
      </c>
      <c r="W72" s="117">
        <v>3796.0</v>
      </c>
      <c r="X72" s="117">
        <v>3024.0</v>
      </c>
      <c r="Y72" s="117">
        <v>2992.0</v>
      </c>
      <c r="Z72" s="117">
        <v>2089.0</v>
      </c>
      <c r="AA72" s="117">
        <v>185.0</v>
      </c>
      <c r="AB72" s="117"/>
      <c r="AC72" s="117">
        <v>122390.0</v>
      </c>
      <c r="AD72" s="117">
        <v>53673.0</v>
      </c>
      <c r="AE72" s="117">
        <v>59947.0</v>
      </c>
      <c r="AF72" s="117">
        <v>66150.0</v>
      </c>
      <c r="AG72" s="117">
        <v>10923.0</v>
      </c>
    </row>
    <row r="73">
      <c r="A73" s="114">
        <v>46062.0</v>
      </c>
      <c r="B73" s="115">
        <v>0.8609112709832134</v>
      </c>
      <c r="C73" s="115">
        <v>359.0</v>
      </c>
      <c r="D73" s="115">
        <v>417.0</v>
      </c>
      <c r="E73" s="115">
        <v>0.18305775026472265</v>
      </c>
      <c r="F73" s="115">
        <v>11237.0</v>
      </c>
      <c r="G73" s="115">
        <v>61385.0</v>
      </c>
      <c r="H73" s="115">
        <v>7200661.0</v>
      </c>
      <c r="I73" s="115">
        <v>22806.60318590371</v>
      </c>
      <c r="J73" s="115">
        <v>2.562778E8</v>
      </c>
      <c r="K73" s="115">
        <v>11237.0</v>
      </c>
      <c r="L73" s="115">
        <v>17365.0</v>
      </c>
      <c r="M73" s="115">
        <v>0.3359395040860216</v>
      </c>
      <c r="N73" s="115">
        <v>1.7018396295974338E8</v>
      </c>
      <c r="O73" s="115">
        <v>2.562778E8</v>
      </c>
      <c r="P73" s="115"/>
      <c r="Q73" s="115"/>
      <c r="R73" s="115"/>
      <c r="S73" s="115"/>
      <c r="T73" s="115"/>
      <c r="U73" s="115">
        <v>0.0</v>
      </c>
      <c r="V73" s="115">
        <v>0.0</v>
      </c>
      <c r="W73" s="115">
        <v>3240.0</v>
      </c>
      <c r="X73" s="115">
        <v>2577.0</v>
      </c>
      <c r="Y73" s="115">
        <v>2590.0</v>
      </c>
      <c r="Z73" s="115">
        <v>1759.0</v>
      </c>
      <c r="AA73" s="115">
        <v>177.0</v>
      </c>
      <c r="AB73" s="115"/>
      <c r="AC73" s="115">
        <v>121969.0</v>
      </c>
      <c r="AD73" s="115">
        <v>51570.0</v>
      </c>
      <c r="AE73" s="115">
        <v>58795.0</v>
      </c>
      <c r="AF73" s="115">
        <v>66202.0</v>
      </c>
      <c r="AG73" s="115">
        <v>11060.0</v>
      </c>
    </row>
    <row r="74">
      <c r="A74" s="116">
        <v>46063.0</v>
      </c>
      <c r="B74" s="117">
        <v>0.8436018957345972</v>
      </c>
      <c r="C74" s="117">
        <v>356.0</v>
      </c>
      <c r="D74" s="117">
        <v>422.0</v>
      </c>
      <c r="E74" s="117">
        <v>0.18351343907457512</v>
      </c>
      <c r="F74" s="117">
        <v>11327.0</v>
      </c>
      <c r="G74" s="117">
        <v>61723.0</v>
      </c>
      <c r="H74" s="117">
        <v>6962122.0</v>
      </c>
      <c r="I74" s="117">
        <v>24289.21161825726</v>
      </c>
      <c r="J74" s="117">
        <v>2.751239E8</v>
      </c>
      <c r="K74" s="117">
        <v>11327.0</v>
      </c>
      <c r="L74" s="117">
        <v>17158.0</v>
      </c>
      <c r="M74" s="117">
        <v>0.3868851276636345</v>
      </c>
      <c r="N74" s="117">
        <v>1.68682554825183E8</v>
      </c>
      <c r="O74" s="117">
        <v>2.751239E8</v>
      </c>
      <c r="P74" s="117"/>
      <c r="Q74" s="117"/>
      <c r="R74" s="117"/>
      <c r="S74" s="117"/>
      <c r="T74" s="117"/>
      <c r="U74" s="117">
        <v>0.0</v>
      </c>
      <c r="V74" s="117">
        <v>0.0</v>
      </c>
      <c r="W74" s="117">
        <v>3349.0</v>
      </c>
      <c r="X74" s="117">
        <v>2696.0</v>
      </c>
      <c r="Y74" s="117">
        <v>2681.0</v>
      </c>
      <c r="Z74" s="117">
        <v>1814.0</v>
      </c>
      <c r="AA74" s="117">
        <v>197.0</v>
      </c>
      <c r="AB74" s="117"/>
      <c r="AC74" s="117">
        <v>123577.0</v>
      </c>
      <c r="AD74" s="117">
        <v>52504.0</v>
      </c>
      <c r="AE74" s="117">
        <v>59042.0</v>
      </c>
      <c r="AF74" s="117">
        <v>66357.0</v>
      </c>
      <c r="AG74" s="117">
        <v>11130.0</v>
      </c>
    </row>
    <row r="75">
      <c r="A75" s="114">
        <v>46064.0</v>
      </c>
      <c r="B75" s="115">
        <v>0.8428184281842819</v>
      </c>
      <c r="C75" s="115">
        <v>311.0</v>
      </c>
      <c r="D75" s="115">
        <v>369.0</v>
      </c>
      <c r="E75" s="115">
        <v>0.176756906347165</v>
      </c>
      <c r="F75" s="115">
        <v>10858.0</v>
      </c>
      <c r="G75" s="115">
        <v>61429.0</v>
      </c>
      <c r="H75" s="115">
        <v>6922090.0</v>
      </c>
      <c r="I75" s="115">
        <v>22624.525695339842</v>
      </c>
      <c r="J75" s="115">
        <v>2.456571E8</v>
      </c>
      <c r="K75" s="115">
        <v>10858.0</v>
      </c>
      <c r="L75" s="115">
        <v>16456.0</v>
      </c>
      <c r="M75" s="115">
        <v>0.3344173785810449</v>
      </c>
      <c r="N75" s="115">
        <v>1.635050965881784E8</v>
      </c>
      <c r="O75" s="115">
        <v>2.456571E8</v>
      </c>
      <c r="P75" s="115"/>
      <c r="Q75" s="115"/>
      <c r="R75" s="115"/>
      <c r="S75" s="115"/>
      <c r="T75" s="115"/>
      <c r="U75" s="115">
        <v>0.0</v>
      </c>
      <c r="V75" s="115">
        <v>0.0</v>
      </c>
      <c r="W75" s="115">
        <v>3127.0</v>
      </c>
      <c r="X75" s="115">
        <v>2494.0</v>
      </c>
      <c r="Y75" s="115">
        <v>2438.0</v>
      </c>
      <c r="Z75" s="115">
        <v>1617.0</v>
      </c>
      <c r="AA75" s="115">
        <v>153.0</v>
      </c>
      <c r="AB75" s="115"/>
      <c r="AC75" s="115">
        <v>124106.0</v>
      </c>
      <c r="AD75" s="115">
        <v>52938.0</v>
      </c>
      <c r="AE75" s="115">
        <v>58991.0</v>
      </c>
      <c r="AF75" s="115">
        <v>66225.0</v>
      </c>
      <c r="AG75" s="115">
        <v>10705.0</v>
      </c>
    </row>
    <row r="76">
      <c r="A76" s="116">
        <v>46065.0</v>
      </c>
      <c r="B76" s="117">
        <v>0.8609467455621301</v>
      </c>
      <c r="C76" s="117">
        <v>291.0</v>
      </c>
      <c r="D76" s="117">
        <v>338.0</v>
      </c>
      <c r="E76" s="117">
        <v>0.16979178463380304</v>
      </c>
      <c r="F76" s="117">
        <v>10495.0</v>
      </c>
      <c r="G76" s="117">
        <v>61811.0</v>
      </c>
      <c r="H76" s="117">
        <v>6689626.0</v>
      </c>
      <c r="I76" s="117">
        <v>22003.18246784183</v>
      </c>
      <c r="J76" s="117">
        <v>2.309234E8</v>
      </c>
      <c r="K76" s="117">
        <v>10495.0</v>
      </c>
      <c r="L76" s="117">
        <v>16023.0</v>
      </c>
      <c r="M76" s="117"/>
      <c r="N76" s="117"/>
      <c r="O76" s="117">
        <v>2.309234E8</v>
      </c>
      <c r="P76" s="117"/>
      <c r="Q76" s="117"/>
      <c r="R76" s="117"/>
      <c r="S76" s="117"/>
      <c r="T76" s="117"/>
      <c r="U76" s="117">
        <v>0.0</v>
      </c>
      <c r="V76" s="117">
        <v>0.0</v>
      </c>
      <c r="W76" s="117">
        <v>3082.0</v>
      </c>
      <c r="X76" s="117">
        <v>2437.0</v>
      </c>
      <c r="Y76" s="117">
        <v>2400.0</v>
      </c>
      <c r="Z76" s="117">
        <v>1639.0</v>
      </c>
      <c r="AA76" s="117">
        <v>142.0</v>
      </c>
      <c r="AB76" s="117"/>
      <c r="AC76" s="117">
        <v>124985.0</v>
      </c>
      <c r="AD76" s="117">
        <v>52968.0</v>
      </c>
      <c r="AE76" s="117">
        <v>59411.0</v>
      </c>
      <c r="AF76" s="117">
        <v>66183.0</v>
      </c>
      <c r="AG76" s="117">
        <v>10353.0</v>
      </c>
    </row>
    <row r="77">
      <c r="A77" s="114">
        <v>46066.0</v>
      </c>
      <c r="B77" s="115">
        <v>0.8484848484848485</v>
      </c>
      <c r="C77" s="115">
        <v>392.0</v>
      </c>
      <c r="D77" s="115">
        <v>462.0</v>
      </c>
      <c r="E77" s="115">
        <v>0.17286821705426356</v>
      </c>
      <c r="F77" s="115">
        <v>10927.0</v>
      </c>
      <c r="G77" s="115">
        <v>63210.0</v>
      </c>
      <c r="H77" s="115">
        <v>6486025.0</v>
      </c>
      <c r="I77" s="115">
        <v>22193.374210670816</v>
      </c>
      <c r="J77" s="115">
        <v>2.42507E8</v>
      </c>
      <c r="K77" s="115">
        <v>10927.0</v>
      </c>
      <c r="L77" s="115">
        <v>16466.0</v>
      </c>
      <c r="M77" s="115"/>
      <c r="N77" s="115"/>
      <c r="O77" s="115">
        <v>2.42507E8</v>
      </c>
      <c r="P77" s="115"/>
      <c r="Q77" s="115"/>
      <c r="R77" s="115"/>
      <c r="S77" s="115"/>
      <c r="T77" s="115"/>
      <c r="U77" s="115">
        <v>0.0</v>
      </c>
      <c r="V77" s="115">
        <v>0.0</v>
      </c>
      <c r="W77" s="115">
        <v>4392.0</v>
      </c>
      <c r="X77" s="115">
        <v>3578.0</v>
      </c>
      <c r="Y77" s="115">
        <v>3480.0</v>
      </c>
      <c r="Z77" s="115">
        <v>2487.0</v>
      </c>
      <c r="AA77" s="115">
        <v>191.0</v>
      </c>
      <c r="AB77" s="115"/>
      <c r="AC77" s="115">
        <v>125787.0</v>
      </c>
      <c r="AD77" s="115">
        <v>53352.0</v>
      </c>
      <c r="AE77" s="115">
        <v>59730.0</v>
      </c>
      <c r="AF77" s="115">
        <v>66045.0</v>
      </c>
      <c r="AG77" s="115">
        <v>10736.0</v>
      </c>
    </row>
    <row r="78">
      <c r="A78" s="116">
        <v>46067.0</v>
      </c>
      <c r="B78" s="117">
        <v>0.8145454545454546</v>
      </c>
      <c r="C78" s="117">
        <v>448.0</v>
      </c>
      <c r="D78" s="117">
        <v>550.0</v>
      </c>
      <c r="E78" s="117">
        <v>0.16759239799441558</v>
      </c>
      <c r="F78" s="117">
        <v>11164.0</v>
      </c>
      <c r="G78" s="117">
        <v>66614.0</v>
      </c>
      <c r="H78" s="117">
        <v>6867075.0</v>
      </c>
      <c r="I78" s="117">
        <v>23869.35686134002</v>
      </c>
      <c r="J78" s="117">
        <v>2.664775E8</v>
      </c>
      <c r="K78" s="117">
        <v>11164.0</v>
      </c>
      <c r="L78" s="117">
        <v>17280.0</v>
      </c>
      <c r="M78" s="117"/>
      <c r="N78" s="117"/>
      <c r="O78" s="117">
        <v>2.664775E8</v>
      </c>
      <c r="P78" s="117"/>
      <c r="Q78" s="117"/>
      <c r="R78" s="117"/>
      <c r="S78" s="117"/>
      <c r="T78" s="117"/>
      <c r="U78" s="117">
        <v>0.0</v>
      </c>
      <c r="V78" s="117">
        <v>0.0</v>
      </c>
      <c r="W78" s="117">
        <v>5994.0</v>
      </c>
      <c r="X78" s="117">
        <v>4719.0</v>
      </c>
      <c r="Y78" s="117">
        <v>4877.0</v>
      </c>
      <c r="Z78" s="117">
        <v>3298.0</v>
      </c>
      <c r="AA78" s="117">
        <v>278.0</v>
      </c>
      <c r="AB78" s="117"/>
      <c r="AC78" s="117">
        <v>129026.0</v>
      </c>
      <c r="AD78" s="117">
        <v>55661.0</v>
      </c>
      <c r="AE78" s="117">
        <v>61737.0</v>
      </c>
      <c r="AF78" s="117">
        <v>69644.0</v>
      </c>
      <c r="AG78" s="117">
        <v>10886.0</v>
      </c>
    </row>
    <row r="79">
      <c r="A79" s="114">
        <v>46068.0</v>
      </c>
      <c r="B79" s="115">
        <v>0.8255813953488372</v>
      </c>
      <c r="C79" s="115">
        <v>497.0</v>
      </c>
      <c r="D79" s="115">
        <v>602.0</v>
      </c>
      <c r="E79" s="115">
        <v>0.17052881758764113</v>
      </c>
      <c r="F79" s="115">
        <v>11480.0</v>
      </c>
      <c r="G79" s="115">
        <v>67320.0</v>
      </c>
      <c r="H79" s="115">
        <v>7165232.0</v>
      </c>
      <c r="I79" s="115">
        <v>24432.003484320558</v>
      </c>
      <c r="J79" s="115">
        <v>2.804794E8</v>
      </c>
      <c r="K79" s="115">
        <v>11480.0</v>
      </c>
      <c r="L79" s="115">
        <v>17831.0</v>
      </c>
      <c r="M79" s="115"/>
      <c r="N79" s="115"/>
      <c r="O79" s="115">
        <v>2.804794E8</v>
      </c>
      <c r="P79" s="115"/>
      <c r="Q79" s="115"/>
      <c r="R79" s="115"/>
      <c r="S79" s="115"/>
      <c r="T79" s="115"/>
      <c r="U79" s="115">
        <v>0.0</v>
      </c>
      <c r="V79" s="115">
        <v>0.0</v>
      </c>
      <c r="W79" s="115">
        <v>5967.0</v>
      </c>
      <c r="X79" s="115">
        <v>4664.0</v>
      </c>
      <c r="Y79" s="115">
        <v>4746.0</v>
      </c>
      <c r="Z79" s="115">
        <v>3206.0</v>
      </c>
      <c r="AA79" s="115">
        <v>273.0</v>
      </c>
      <c r="AB79" s="115"/>
      <c r="AC79" s="115">
        <v>131366.0</v>
      </c>
      <c r="AD79" s="115">
        <v>55595.0</v>
      </c>
      <c r="AE79" s="115">
        <v>62574.0</v>
      </c>
      <c r="AF79" s="115">
        <v>71491.0</v>
      </c>
      <c r="AG79" s="115">
        <v>11207.0</v>
      </c>
    </row>
    <row r="80">
      <c r="A80" s="116">
        <v>46069.0</v>
      </c>
      <c r="B80" s="117">
        <v>0.806873977086743</v>
      </c>
      <c r="C80" s="117">
        <v>493.0</v>
      </c>
      <c r="D80" s="117">
        <v>611.0</v>
      </c>
      <c r="E80" s="117">
        <v>0.17503941997376915</v>
      </c>
      <c r="F80" s="117">
        <v>11878.0</v>
      </c>
      <c r="G80" s="117">
        <v>67859.0</v>
      </c>
      <c r="H80" s="117">
        <v>7335980.0</v>
      </c>
      <c r="I80" s="117">
        <v>24644.999158107425</v>
      </c>
      <c r="J80" s="117">
        <v>2.927333E8</v>
      </c>
      <c r="K80" s="117">
        <v>11878.0</v>
      </c>
      <c r="L80" s="117">
        <v>18542.0</v>
      </c>
      <c r="M80" s="117"/>
      <c r="N80" s="117"/>
      <c r="O80" s="117">
        <v>2.927333E8</v>
      </c>
      <c r="P80" s="117"/>
      <c r="Q80" s="117"/>
      <c r="R80" s="117"/>
      <c r="S80" s="117"/>
      <c r="T80" s="117"/>
      <c r="U80" s="117">
        <v>0.0</v>
      </c>
      <c r="V80" s="117">
        <v>0.0</v>
      </c>
      <c r="W80" s="117">
        <v>5271.0</v>
      </c>
      <c r="X80" s="117">
        <v>4120.0</v>
      </c>
      <c r="Y80" s="117">
        <v>4161.0</v>
      </c>
      <c r="Z80" s="117">
        <v>2851.0</v>
      </c>
      <c r="AA80" s="117">
        <v>272.0</v>
      </c>
      <c r="AB80" s="117"/>
      <c r="AC80" s="117">
        <v>134170.0</v>
      </c>
      <c r="AD80" s="117">
        <v>57838.0</v>
      </c>
      <c r="AE80" s="117">
        <v>63698.0</v>
      </c>
      <c r="AF80" s="117">
        <v>73208.0</v>
      </c>
      <c r="AG80" s="117">
        <v>11606.0</v>
      </c>
    </row>
    <row r="81">
      <c r="A81" s="114">
        <v>46070.0</v>
      </c>
      <c r="B81" s="115">
        <v>0.8487394957983193</v>
      </c>
      <c r="C81" s="115">
        <v>505.0</v>
      </c>
      <c r="D81" s="115">
        <v>595.0</v>
      </c>
      <c r="E81" s="115">
        <v>0.18886064593301435</v>
      </c>
      <c r="F81" s="115">
        <v>12631.0</v>
      </c>
      <c r="G81" s="115">
        <v>66880.0</v>
      </c>
      <c r="H81" s="115">
        <v>7489174.0</v>
      </c>
      <c r="I81" s="115">
        <v>25535.721637241706</v>
      </c>
      <c r="J81" s="115">
        <v>3.225417E8</v>
      </c>
      <c r="K81" s="115">
        <v>12631.0</v>
      </c>
      <c r="L81" s="115">
        <v>19719.0</v>
      </c>
      <c r="M81" s="115"/>
      <c r="N81" s="115"/>
      <c r="O81" s="115">
        <v>3.225417E8</v>
      </c>
      <c r="P81" s="115"/>
      <c r="Q81" s="115"/>
      <c r="R81" s="115"/>
      <c r="S81" s="115"/>
      <c r="T81" s="115"/>
      <c r="U81" s="115">
        <v>0.0</v>
      </c>
      <c r="V81" s="115">
        <v>0.0</v>
      </c>
      <c r="W81" s="115">
        <v>4752.0</v>
      </c>
      <c r="X81" s="115">
        <v>3785.0</v>
      </c>
      <c r="Y81" s="115">
        <v>3796.0</v>
      </c>
      <c r="Z81" s="115">
        <v>2665.0</v>
      </c>
      <c r="AA81" s="115">
        <v>267.0</v>
      </c>
      <c r="AB81" s="115"/>
      <c r="AC81" s="115">
        <v>135326.0</v>
      </c>
      <c r="AD81" s="115">
        <v>56115.0</v>
      </c>
      <c r="AE81" s="115">
        <v>63084.0</v>
      </c>
      <c r="AF81" s="115">
        <v>73786.0</v>
      </c>
      <c r="AG81" s="115">
        <v>12364.0</v>
      </c>
    </row>
    <row r="82">
      <c r="A82" s="116">
        <v>46071.0</v>
      </c>
      <c r="B82" s="117">
        <v>0.8154761904761905</v>
      </c>
      <c r="C82" s="117">
        <v>548.0</v>
      </c>
      <c r="D82" s="117">
        <v>672.0</v>
      </c>
      <c r="E82" s="117">
        <v>0.19113356578666477</v>
      </c>
      <c r="F82" s="117">
        <v>13430.0</v>
      </c>
      <c r="G82" s="117">
        <v>70265.0</v>
      </c>
      <c r="H82" s="117">
        <v>8503292.0</v>
      </c>
      <c r="I82" s="117">
        <v>25256.366344005957</v>
      </c>
      <c r="J82" s="117">
        <v>3.39193E8</v>
      </c>
      <c r="K82" s="117">
        <v>13430.0</v>
      </c>
      <c r="L82" s="117">
        <v>21259.0</v>
      </c>
      <c r="M82" s="117"/>
      <c r="N82" s="117"/>
      <c r="O82" s="117">
        <v>3.39193E8</v>
      </c>
      <c r="P82" s="117"/>
      <c r="Q82" s="117"/>
      <c r="R82" s="117"/>
      <c r="S82" s="117"/>
      <c r="T82" s="117"/>
      <c r="U82" s="117">
        <v>0.0</v>
      </c>
      <c r="V82" s="117">
        <v>0.0</v>
      </c>
      <c r="W82" s="117">
        <v>4939.0</v>
      </c>
      <c r="X82" s="117">
        <v>3919.0</v>
      </c>
      <c r="Y82" s="117">
        <v>3964.0</v>
      </c>
      <c r="Z82" s="117">
        <v>2714.0</v>
      </c>
      <c r="AA82" s="117">
        <v>297.0</v>
      </c>
      <c r="AB82" s="117"/>
      <c r="AC82" s="117">
        <v>137296.0</v>
      </c>
      <c r="AD82" s="117">
        <v>61409.0</v>
      </c>
      <c r="AE82" s="117">
        <v>66301.0</v>
      </c>
      <c r="AF82" s="117">
        <v>75061.0</v>
      </c>
      <c r="AG82" s="117">
        <v>13133.0</v>
      </c>
    </row>
    <row r="83">
      <c r="A83" s="114">
        <v>46072.0</v>
      </c>
      <c r="B83" s="115">
        <v>0.85553772070626</v>
      </c>
      <c r="C83" s="115">
        <v>533.0</v>
      </c>
      <c r="D83" s="115">
        <v>623.0</v>
      </c>
      <c r="E83" s="115">
        <v>0.18022883428438338</v>
      </c>
      <c r="F83" s="115">
        <v>12381.0</v>
      </c>
      <c r="G83" s="115">
        <v>68696.0</v>
      </c>
      <c r="H83" s="115">
        <v>8064055.0</v>
      </c>
      <c r="I83" s="115">
        <v>24829.779500848075</v>
      </c>
      <c r="J83" s="115">
        <v>3.074175E8</v>
      </c>
      <c r="K83" s="115">
        <v>12381.0</v>
      </c>
      <c r="L83" s="115">
        <v>19871.0</v>
      </c>
      <c r="M83" s="115"/>
      <c r="N83" s="115"/>
      <c r="O83" s="115">
        <v>3.074175E8</v>
      </c>
      <c r="P83" s="115"/>
      <c r="Q83" s="115"/>
      <c r="R83" s="115"/>
      <c r="S83" s="115"/>
      <c r="T83" s="115"/>
      <c r="U83" s="115">
        <v>0.0</v>
      </c>
      <c r="V83" s="115">
        <v>0.0</v>
      </c>
      <c r="W83" s="115">
        <v>4924.0</v>
      </c>
      <c r="X83" s="115">
        <v>3880.0</v>
      </c>
      <c r="Y83" s="115">
        <v>3934.0</v>
      </c>
      <c r="Z83" s="115">
        <v>2667.0</v>
      </c>
      <c r="AA83" s="115">
        <v>290.0</v>
      </c>
      <c r="AB83" s="115"/>
      <c r="AC83" s="115">
        <v>136536.0</v>
      </c>
      <c r="AD83" s="115">
        <v>57932.0</v>
      </c>
      <c r="AE83" s="115">
        <v>64762.0</v>
      </c>
      <c r="AF83" s="115">
        <v>75719.0</v>
      </c>
      <c r="AG83" s="115">
        <v>12091.0</v>
      </c>
    </row>
    <row r="84">
      <c r="A84" s="116">
        <v>46073.0</v>
      </c>
      <c r="B84" s="117">
        <v>0.8278560250391236</v>
      </c>
      <c r="C84" s="117">
        <v>529.0</v>
      </c>
      <c r="D84" s="117">
        <v>639.0</v>
      </c>
      <c r="E84" s="117">
        <v>0.17268614920657716</v>
      </c>
      <c r="F84" s="117">
        <v>12025.0</v>
      </c>
      <c r="G84" s="117">
        <v>69635.0</v>
      </c>
      <c r="H84" s="117">
        <v>7973682.0</v>
      </c>
      <c r="I84" s="117">
        <v>24460.141372141374</v>
      </c>
      <c r="J84" s="117">
        <v>2.941332E8</v>
      </c>
      <c r="K84" s="117">
        <v>12025.0</v>
      </c>
      <c r="L84" s="117">
        <v>18992.0</v>
      </c>
      <c r="M84" s="117"/>
      <c r="N84" s="117"/>
      <c r="O84" s="117">
        <v>2.941332E8</v>
      </c>
      <c r="P84" s="117"/>
      <c r="Q84" s="117"/>
      <c r="R84" s="117"/>
      <c r="S84" s="117"/>
      <c r="T84" s="117"/>
      <c r="U84" s="117">
        <v>0.0</v>
      </c>
      <c r="V84" s="117">
        <v>0.0</v>
      </c>
      <c r="W84" s="117">
        <v>5347.0</v>
      </c>
      <c r="X84" s="117">
        <v>4280.0</v>
      </c>
      <c r="Y84" s="117">
        <v>4392.0</v>
      </c>
      <c r="Z84" s="117">
        <v>3014.0</v>
      </c>
      <c r="AA84" s="117">
        <v>299.0</v>
      </c>
      <c r="AB84" s="117"/>
      <c r="AC84" s="117">
        <v>135401.0</v>
      </c>
      <c r="AD84" s="117">
        <v>57686.0</v>
      </c>
      <c r="AE84" s="117">
        <v>65243.0</v>
      </c>
      <c r="AF84" s="117">
        <v>75283.0</v>
      </c>
      <c r="AG84" s="117">
        <v>11726.0</v>
      </c>
    </row>
    <row r="85">
      <c r="A85" s="114">
        <v>46074.0</v>
      </c>
      <c r="B85" s="115">
        <v>0.7762148337595908</v>
      </c>
      <c r="C85" s="115">
        <v>607.0</v>
      </c>
      <c r="D85" s="115">
        <v>782.0</v>
      </c>
      <c r="E85" s="115">
        <v>0.18318984134296984</v>
      </c>
      <c r="F85" s="115">
        <v>12724.0</v>
      </c>
      <c r="G85" s="115">
        <v>69458.0</v>
      </c>
      <c r="H85" s="115">
        <v>8121534.0</v>
      </c>
      <c r="I85" s="115">
        <v>24839.382269726502</v>
      </c>
      <c r="J85" s="115">
        <v>3.160563E8</v>
      </c>
      <c r="K85" s="115">
        <v>12724.0</v>
      </c>
      <c r="L85" s="115">
        <v>20080.0</v>
      </c>
      <c r="M85" s="115"/>
      <c r="N85" s="115"/>
      <c r="O85" s="115">
        <v>3.160563E8</v>
      </c>
      <c r="P85" s="115"/>
      <c r="Q85" s="115"/>
      <c r="R85" s="115"/>
      <c r="S85" s="115"/>
      <c r="T85" s="115"/>
      <c r="U85" s="115">
        <v>0.0</v>
      </c>
      <c r="V85" s="115">
        <v>0.0</v>
      </c>
      <c r="W85" s="115">
        <v>4941.0</v>
      </c>
      <c r="X85" s="115">
        <v>3906.0</v>
      </c>
      <c r="Y85" s="115">
        <v>4008.0</v>
      </c>
      <c r="Z85" s="115">
        <v>2803.0</v>
      </c>
      <c r="AA85" s="115">
        <v>395.0</v>
      </c>
      <c r="AB85" s="115"/>
      <c r="AC85" s="115">
        <v>130882.0</v>
      </c>
      <c r="AD85" s="115">
        <v>59537.0</v>
      </c>
      <c r="AE85" s="115">
        <v>65450.0</v>
      </c>
      <c r="AF85" s="115">
        <v>74045.0</v>
      </c>
      <c r="AG85" s="115">
        <v>12329.0</v>
      </c>
    </row>
    <row r="86">
      <c r="A86" s="116">
        <v>46075.0</v>
      </c>
      <c r="B86" s="117">
        <v>0.0</v>
      </c>
      <c r="C86" s="117">
        <v>0.0</v>
      </c>
      <c r="D86" s="117">
        <v>752.0</v>
      </c>
      <c r="E86" s="117">
        <v>0.18857233943890564</v>
      </c>
      <c r="F86" s="117">
        <v>13013.0</v>
      </c>
      <c r="G86" s="117">
        <v>69008.0</v>
      </c>
      <c r="H86" s="117">
        <v>8506206.0</v>
      </c>
      <c r="I86" s="117">
        <v>24899.070160608622</v>
      </c>
      <c r="J86" s="117">
        <v>3.240116E8</v>
      </c>
      <c r="K86" s="117">
        <v>13013.0</v>
      </c>
      <c r="L86" s="117">
        <v>20763.0</v>
      </c>
      <c r="M86" s="117"/>
      <c r="N86" s="117"/>
      <c r="O86" s="117">
        <v>3.240116E8</v>
      </c>
      <c r="P86" s="117"/>
      <c r="Q86" s="117"/>
      <c r="R86" s="117"/>
      <c r="S86" s="117"/>
      <c r="T86" s="117"/>
      <c r="U86" s="117">
        <v>0.0</v>
      </c>
      <c r="V86" s="117">
        <v>0.0</v>
      </c>
      <c r="W86" s="117">
        <v>4629.0</v>
      </c>
      <c r="X86" s="117">
        <v>3688.0</v>
      </c>
      <c r="Y86" s="117">
        <v>3875.0</v>
      </c>
      <c r="Z86" s="117">
        <v>2679.0</v>
      </c>
      <c r="AA86" s="117">
        <v>326.0</v>
      </c>
      <c r="AB86" s="117"/>
      <c r="AC86" s="117">
        <v>115594.0</v>
      </c>
      <c r="AD86" s="117">
        <v>55275.0</v>
      </c>
      <c r="AE86" s="117">
        <v>65133.0</v>
      </c>
      <c r="AF86" s="117">
        <v>65736.0</v>
      </c>
      <c r="AG86" s="117">
        <v>12687.0</v>
      </c>
    </row>
    <row r="87">
      <c r="A87" s="114">
        <v>46076.0</v>
      </c>
      <c r="B87" s="115"/>
      <c r="C87" s="115">
        <v>0.0</v>
      </c>
      <c r="D87" s="115">
        <v>0.0</v>
      </c>
      <c r="E87" s="115">
        <v>0.5971432735752805</v>
      </c>
      <c r="F87" s="115">
        <v>4097.0</v>
      </c>
      <c r="G87" s="115">
        <v>6861.0</v>
      </c>
      <c r="H87" s="115">
        <v>1614760.0</v>
      </c>
      <c r="I87" s="115">
        <v>17433.85403954113</v>
      </c>
      <c r="J87" s="115">
        <v>7.14265E7</v>
      </c>
      <c r="K87" s="115">
        <v>4097.0</v>
      </c>
      <c r="L87" s="115">
        <v>4941.0</v>
      </c>
      <c r="M87" s="115"/>
      <c r="N87" s="115"/>
      <c r="O87" s="115">
        <v>7.14265E7</v>
      </c>
      <c r="P87" s="115"/>
      <c r="Q87" s="115"/>
      <c r="R87" s="115"/>
      <c r="S87" s="115"/>
      <c r="T87" s="115"/>
      <c r="U87" s="115">
        <v>0.0</v>
      </c>
      <c r="V87" s="115">
        <v>0.0</v>
      </c>
      <c r="W87" s="115"/>
      <c r="X87" s="115"/>
      <c r="Y87" s="115">
        <v>0.0</v>
      </c>
      <c r="Z87" s="115"/>
      <c r="AA87" s="115">
        <v>0.0</v>
      </c>
      <c r="AB87" s="115"/>
      <c r="AC87" s="115"/>
      <c r="AD87" s="115"/>
      <c r="AE87" s="115">
        <v>6861.0</v>
      </c>
      <c r="AF87" s="115"/>
      <c r="AG87" s="115">
        <v>4097.0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129</v>
      </c>
      <c r="B1" s="125" t="s">
        <v>10</v>
      </c>
      <c r="C1" s="125" t="s">
        <v>62</v>
      </c>
      <c r="D1" s="125" t="s">
        <v>64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45992.0</v>
      </c>
      <c r="B2" s="127">
        <v>0.8273155416012559</v>
      </c>
      <c r="C2" s="127">
        <v>527.0</v>
      </c>
      <c r="D2" s="127">
        <v>637.0</v>
      </c>
      <c r="E2" s="127">
        <v>0.31869336976844526</v>
      </c>
      <c r="F2" s="127">
        <v>17727.0</v>
      </c>
      <c r="G2" s="127">
        <v>55624.0</v>
      </c>
      <c r="H2" s="127">
        <v>6357085.0</v>
      </c>
      <c r="I2" s="127">
        <v>64863.15789473684</v>
      </c>
      <c r="J2" s="127">
        <v>1.1498292E9</v>
      </c>
      <c r="K2" s="127">
        <v>17727.0</v>
      </c>
      <c r="L2" s="127">
        <v>28103.0</v>
      </c>
      <c r="M2" s="127">
        <v>0.7190469037634029</v>
      </c>
      <c r="N2" s="127">
        <v>3.230480738832496E8</v>
      </c>
      <c r="O2" s="127">
        <v>1.1498292E9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2714.0</v>
      </c>
      <c r="X2" s="127">
        <v>2165.0</v>
      </c>
      <c r="Y2" s="127">
        <v>2142.0</v>
      </c>
      <c r="Z2" s="127">
        <v>1615.0</v>
      </c>
      <c r="AA2" s="127">
        <v>216.0</v>
      </c>
      <c r="AB2" s="127"/>
      <c r="AC2" s="127">
        <v>91327.0</v>
      </c>
      <c r="AD2" s="127">
        <v>45608.0</v>
      </c>
      <c r="AE2" s="127">
        <v>53482.0</v>
      </c>
      <c r="AF2" s="127">
        <v>60289.0</v>
      </c>
      <c r="AG2" s="127">
        <v>17511.0</v>
      </c>
    </row>
    <row r="3">
      <c r="A3" s="126">
        <v>45993.0</v>
      </c>
      <c r="B3" s="127">
        <v>0.7991452991452992</v>
      </c>
      <c r="C3" s="127">
        <v>374.0</v>
      </c>
      <c r="D3" s="127">
        <v>468.0</v>
      </c>
      <c r="E3" s="127">
        <v>0.17618528693997207</v>
      </c>
      <c r="F3" s="127">
        <v>11479.0</v>
      </c>
      <c r="G3" s="127">
        <v>65153.0</v>
      </c>
      <c r="H3" s="127">
        <v>6163761.0</v>
      </c>
      <c r="I3" s="127">
        <v>32467.305514417632</v>
      </c>
      <c r="J3" s="127">
        <v>3.726922E8</v>
      </c>
      <c r="K3" s="127">
        <v>11479.0</v>
      </c>
      <c r="L3" s="127">
        <v>17215.0</v>
      </c>
      <c r="M3" s="127">
        <v>0.5128369897892782</v>
      </c>
      <c r="N3" s="127">
        <v>1.815618540340564E8</v>
      </c>
      <c r="O3" s="127">
        <v>3.726922E8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1997.0</v>
      </c>
      <c r="X3" s="127">
        <v>1607.0</v>
      </c>
      <c r="Y3" s="127">
        <v>1544.0</v>
      </c>
      <c r="Z3" s="127">
        <v>1162.0</v>
      </c>
      <c r="AA3" s="127">
        <v>173.0</v>
      </c>
      <c r="AB3" s="127"/>
      <c r="AC3" s="127">
        <v>88593.0</v>
      </c>
      <c r="AD3" s="127">
        <v>44808.0</v>
      </c>
      <c r="AE3" s="127">
        <v>63609.0</v>
      </c>
      <c r="AF3" s="127">
        <v>55901.0</v>
      </c>
      <c r="AG3" s="127">
        <v>11306.0</v>
      </c>
    </row>
    <row r="4">
      <c r="A4" s="126">
        <v>45994.0</v>
      </c>
      <c r="B4" s="127">
        <v>0.8127753303964758</v>
      </c>
      <c r="C4" s="127">
        <v>369.0</v>
      </c>
      <c r="D4" s="127">
        <v>454.0</v>
      </c>
      <c r="E4" s="127">
        <v>0.1773157300197684</v>
      </c>
      <c r="F4" s="127">
        <v>10046.0</v>
      </c>
      <c r="G4" s="127">
        <v>56656.0</v>
      </c>
      <c r="H4" s="127">
        <v>6113539.0</v>
      </c>
      <c r="I4" s="127">
        <v>26551.104917380053</v>
      </c>
      <c r="J4" s="127">
        <v>2.667324E8</v>
      </c>
      <c r="K4" s="127">
        <v>10046.0</v>
      </c>
      <c r="L4" s="127">
        <v>15086.0</v>
      </c>
      <c r="M4" s="127">
        <v>0.39798682286868403</v>
      </c>
      <c r="N4" s="127">
        <v>1.6057641956786102E8</v>
      </c>
      <c r="O4" s="127">
        <v>2.667324E8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1808.0</v>
      </c>
      <c r="X4" s="127">
        <v>1448.0</v>
      </c>
      <c r="Y4" s="127">
        <v>1378.0</v>
      </c>
      <c r="Z4" s="127">
        <v>1047.0</v>
      </c>
      <c r="AA4" s="127">
        <v>153.0</v>
      </c>
      <c r="AB4" s="127"/>
      <c r="AC4" s="127">
        <v>88547.0</v>
      </c>
      <c r="AD4" s="127">
        <v>45218.0</v>
      </c>
      <c r="AE4" s="127">
        <v>55278.0</v>
      </c>
      <c r="AF4" s="127">
        <v>55392.0</v>
      </c>
      <c r="AG4" s="127">
        <v>9893.0</v>
      </c>
    </row>
    <row r="5">
      <c r="A5" s="126">
        <v>45995.0</v>
      </c>
      <c r="B5" s="127">
        <v>0.8152866242038217</v>
      </c>
      <c r="C5" s="127">
        <v>256.0</v>
      </c>
      <c r="D5" s="127">
        <v>314.0</v>
      </c>
      <c r="E5" s="127">
        <v>0.15832936609660528</v>
      </c>
      <c r="F5" s="127">
        <v>8647.0</v>
      </c>
      <c r="G5" s="127">
        <v>54614.0</v>
      </c>
      <c r="H5" s="127">
        <v>5905966.0</v>
      </c>
      <c r="I5" s="127">
        <v>22973.805944258125</v>
      </c>
      <c r="J5" s="127">
        <v>1.986545E8</v>
      </c>
      <c r="K5" s="127">
        <v>8647.0</v>
      </c>
      <c r="L5" s="127">
        <v>13314.0</v>
      </c>
      <c r="M5" s="127">
        <v>0.2806738039017209</v>
      </c>
      <c r="N5" s="127">
        <v>1.4289738582280558E8</v>
      </c>
      <c r="O5" s="127">
        <v>1.986545E8</v>
      </c>
      <c r="P5" s="127"/>
      <c r="Q5" s="127"/>
      <c r="R5" s="127"/>
      <c r="S5" s="127"/>
      <c r="T5" s="127"/>
      <c r="U5" s="127">
        <v>0.0</v>
      </c>
      <c r="V5" s="127">
        <v>0.0</v>
      </c>
      <c r="W5" s="127">
        <v>1640.0</v>
      </c>
      <c r="X5" s="127">
        <v>1276.0</v>
      </c>
      <c r="Y5" s="127">
        <v>1271.0</v>
      </c>
      <c r="Z5" s="127">
        <v>892.0</v>
      </c>
      <c r="AA5" s="127">
        <v>134.0</v>
      </c>
      <c r="AB5" s="127"/>
      <c r="AC5" s="127">
        <v>88998.0</v>
      </c>
      <c r="AD5" s="127">
        <v>44079.0</v>
      </c>
      <c r="AE5" s="127">
        <v>53343.0</v>
      </c>
      <c r="AF5" s="127">
        <v>57052.0</v>
      </c>
      <c r="AG5" s="127">
        <v>8513.0</v>
      </c>
    </row>
    <row r="6">
      <c r="A6" s="126">
        <v>45996.0</v>
      </c>
      <c r="B6" s="127">
        <v>0.8353658536585366</v>
      </c>
      <c r="C6" s="127">
        <v>274.0</v>
      </c>
      <c r="D6" s="127">
        <v>328.0</v>
      </c>
      <c r="E6" s="127">
        <v>0.1373659815534435</v>
      </c>
      <c r="F6" s="127">
        <v>8802.0</v>
      </c>
      <c r="G6" s="127">
        <v>64077.0</v>
      </c>
      <c r="H6" s="127">
        <v>5786140.0</v>
      </c>
      <c r="I6" s="127">
        <v>24073.085662349466</v>
      </c>
      <c r="J6" s="127">
        <v>2.118913E8</v>
      </c>
      <c r="K6" s="127">
        <v>8802.0</v>
      </c>
      <c r="L6" s="127">
        <v>13384.0</v>
      </c>
      <c r="M6" s="127">
        <v>0.3618908431398816</v>
      </c>
      <c r="N6" s="127">
        <v>1.352097787889944E8</v>
      </c>
      <c r="O6" s="127">
        <v>2.118913E8</v>
      </c>
      <c r="P6" s="127"/>
      <c r="Q6" s="127"/>
      <c r="R6" s="127"/>
      <c r="S6" s="127"/>
      <c r="T6" s="127"/>
      <c r="U6" s="127">
        <v>0.0</v>
      </c>
      <c r="V6" s="127">
        <v>0.0</v>
      </c>
      <c r="W6" s="127">
        <v>1710.0</v>
      </c>
      <c r="X6" s="127">
        <v>1326.0</v>
      </c>
      <c r="Y6" s="127">
        <v>1324.0</v>
      </c>
      <c r="Z6" s="127">
        <v>936.0</v>
      </c>
      <c r="AA6" s="127">
        <v>124.0</v>
      </c>
      <c r="AB6" s="127"/>
      <c r="AC6" s="127">
        <v>88915.0</v>
      </c>
      <c r="AD6" s="127">
        <v>44219.0</v>
      </c>
      <c r="AE6" s="127">
        <v>62753.0</v>
      </c>
      <c r="AF6" s="127">
        <v>57711.0</v>
      </c>
      <c r="AG6" s="127">
        <v>8678.0</v>
      </c>
    </row>
    <row r="7">
      <c r="A7" s="126">
        <v>45997.0</v>
      </c>
      <c r="B7" s="127">
        <v>0.8271604938271605</v>
      </c>
      <c r="C7" s="127">
        <v>335.0</v>
      </c>
      <c r="D7" s="127">
        <v>405.0</v>
      </c>
      <c r="E7" s="127">
        <v>0.1587590012786863</v>
      </c>
      <c r="F7" s="127">
        <v>9436.0</v>
      </c>
      <c r="G7" s="127">
        <v>59436.0</v>
      </c>
      <c r="H7" s="127">
        <v>6764386.0</v>
      </c>
      <c r="I7" s="127">
        <v>23791.786774056804</v>
      </c>
      <c r="J7" s="127">
        <v>2.244993E8</v>
      </c>
      <c r="K7" s="127">
        <v>9436.0</v>
      </c>
      <c r="L7" s="127">
        <v>14889.0</v>
      </c>
      <c r="M7" s="127">
        <v>0.30973089366376283</v>
      </c>
      <c r="N7" s="127">
        <v>1.5496493118411082E8</v>
      </c>
      <c r="O7" s="127">
        <v>2.244993E8</v>
      </c>
      <c r="P7" s="127"/>
      <c r="Q7" s="127"/>
      <c r="R7" s="127"/>
      <c r="S7" s="127"/>
      <c r="T7" s="127"/>
      <c r="U7" s="127">
        <v>0.0</v>
      </c>
      <c r="V7" s="127">
        <v>0.0</v>
      </c>
      <c r="W7" s="127">
        <v>2414.0</v>
      </c>
      <c r="X7" s="127">
        <v>1908.0</v>
      </c>
      <c r="Y7" s="127">
        <v>1938.0</v>
      </c>
      <c r="Z7" s="127">
        <v>1395.0</v>
      </c>
      <c r="AA7" s="127">
        <v>181.0</v>
      </c>
      <c r="AB7" s="127"/>
      <c r="AC7" s="127">
        <v>89377.0</v>
      </c>
      <c r="AD7" s="127">
        <v>46699.0</v>
      </c>
      <c r="AE7" s="127">
        <v>57498.0</v>
      </c>
      <c r="AF7" s="127">
        <v>58732.0</v>
      </c>
      <c r="AG7" s="127">
        <v>9255.0</v>
      </c>
    </row>
    <row r="8">
      <c r="A8" s="126">
        <v>45998.0</v>
      </c>
      <c r="B8" s="127">
        <v>0.8059701492537313</v>
      </c>
      <c r="C8" s="127">
        <v>378.0</v>
      </c>
      <c r="D8" s="127">
        <v>469.0</v>
      </c>
      <c r="E8" s="127">
        <v>0.1697242413753317</v>
      </c>
      <c r="F8" s="127">
        <v>10297.0</v>
      </c>
      <c r="G8" s="127">
        <v>60669.0</v>
      </c>
      <c r="H8" s="127">
        <v>7550881.0</v>
      </c>
      <c r="I8" s="127">
        <v>24076.643682626007</v>
      </c>
      <c r="J8" s="127">
        <v>2.479172E8</v>
      </c>
      <c r="K8" s="127">
        <v>10297.0</v>
      </c>
      <c r="L8" s="127">
        <v>16842.0</v>
      </c>
      <c r="M8" s="127">
        <v>0.3070469846809588</v>
      </c>
      <c r="N8" s="127">
        <v>1.717949712894538E8</v>
      </c>
      <c r="O8" s="127">
        <v>2.479172E8</v>
      </c>
      <c r="P8" s="127"/>
      <c r="Q8" s="127"/>
      <c r="R8" s="127"/>
      <c r="S8" s="127"/>
      <c r="T8" s="127"/>
      <c r="U8" s="127">
        <v>0.0</v>
      </c>
      <c r="V8" s="127">
        <v>0.0</v>
      </c>
      <c r="W8" s="127">
        <v>2541.0</v>
      </c>
      <c r="X8" s="127">
        <v>2024.0</v>
      </c>
      <c r="Y8" s="127">
        <v>2038.0</v>
      </c>
      <c r="Z8" s="127">
        <v>1391.0</v>
      </c>
      <c r="AA8" s="127">
        <v>189.0</v>
      </c>
      <c r="AB8" s="127"/>
      <c r="AC8" s="127">
        <v>90776.0</v>
      </c>
      <c r="AD8" s="127">
        <v>49654.0</v>
      </c>
      <c r="AE8" s="127">
        <v>58631.0</v>
      </c>
      <c r="AF8" s="127">
        <v>60687.0</v>
      </c>
      <c r="AG8" s="127">
        <v>10108.0</v>
      </c>
    </row>
    <row r="9">
      <c r="A9" s="126">
        <v>45999.0</v>
      </c>
      <c r="B9" s="127">
        <v>0.8258426966292135</v>
      </c>
      <c r="C9" s="127">
        <v>294.0</v>
      </c>
      <c r="D9" s="127">
        <v>356.0</v>
      </c>
      <c r="E9" s="127">
        <v>0.14581113728785583</v>
      </c>
      <c r="F9" s="127">
        <v>9717.0</v>
      </c>
      <c r="G9" s="127">
        <v>66641.0</v>
      </c>
      <c r="H9" s="127">
        <v>6812304.0</v>
      </c>
      <c r="I9" s="127">
        <v>22619.028506740764</v>
      </c>
      <c r="J9" s="127">
        <v>2.197891E8</v>
      </c>
      <c r="K9" s="127">
        <v>9717.0</v>
      </c>
      <c r="L9" s="127">
        <v>15700.0</v>
      </c>
      <c r="M9" s="127">
        <v>0.2874857303142222</v>
      </c>
      <c r="N9" s="127">
        <v>1.5660287007139438E8</v>
      </c>
      <c r="O9" s="127">
        <v>2.197891E8</v>
      </c>
      <c r="P9" s="127"/>
      <c r="Q9" s="127"/>
      <c r="R9" s="127"/>
      <c r="S9" s="127"/>
      <c r="T9" s="127"/>
      <c r="U9" s="127">
        <v>0.0</v>
      </c>
      <c r="V9" s="127">
        <v>0.0</v>
      </c>
      <c r="W9" s="127">
        <v>2095.0</v>
      </c>
      <c r="X9" s="127">
        <v>1651.0</v>
      </c>
      <c r="Y9" s="127">
        <v>1686.0</v>
      </c>
      <c r="Z9" s="127">
        <v>1146.0</v>
      </c>
      <c r="AA9" s="127">
        <v>136.0</v>
      </c>
      <c r="AB9" s="127"/>
      <c r="AC9" s="127">
        <v>89434.0</v>
      </c>
      <c r="AD9" s="127">
        <v>47139.0</v>
      </c>
      <c r="AE9" s="127">
        <v>64955.0</v>
      </c>
      <c r="AF9" s="127">
        <v>60302.0</v>
      </c>
      <c r="AG9" s="127">
        <v>9581.0</v>
      </c>
    </row>
    <row r="10">
      <c r="A10" s="126">
        <v>46000.0</v>
      </c>
      <c r="B10" s="127">
        <v>0.8632218844984803</v>
      </c>
      <c r="C10" s="127">
        <v>284.0</v>
      </c>
      <c r="D10" s="127">
        <v>329.0</v>
      </c>
      <c r="E10" s="127">
        <v>0.1547847164218215</v>
      </c>
      <c r="F10" s="127">
        <v>9451.0</v>
      </c>
      <c r="G10" s="127">
        <v>61059.0</v>
      </c>
      <c r="H10" s="127">
        <v>6502094.0</v>
      </c>
      <c r="I10" s="127">
        <v>22971.8548301767</v>
      </c>
      <c r="J10" s="127">
        <v>2.17107E8</v>
      </c>
      <c r="K10" s="127">
        <v>9451.0</v>
      </c>
      <c r="L10" s="127">
        <v>14927.0</v>
      </c>
      <c r="M10" s="127">
        <v>0.29624366469717045</v>
      </c>
      <c r="N10" s="127">
        <v>1.5279042668859142E8</v>
      </c>
      <c r="O10" s="127">
        <v>2.17107E8</v>
      </c>
      <c r="P10" s="127"/>
      <c r="Q10" s="127"/>
      <c r="R10" s="127"/>
      <c r="S10" s="127"/>
      <c r="T10" s="127"/>
      <c r="U10" s="127">
        <v>0.0</v>
      </c>
      <c r="V10" s="127">
        <v>0.0</v>
      </c>
      <c r="W10" s="127">
        <v>1820.0</v>
      </c>
      <c r="X10" s="127">
        <v>1428.0</v>
      </c>
      <c r="Y10" s="127">
        <v>1432.0</v>
      </c>
      <c r="Z10" s="127">
        <v>982.0</v>
      </c>
      <c r="AA10" s="127">
        <v>127.0</v>
      </c>
      <c r="AB10" s="127"/>
      <c r="AC10" s="127">
        <v>89738.0</v>
      </c>
      <c r="AD10" s="127">
        <v>47640.0</v>
      </c>
      <c r="AE10" s="127">
        <v>59627.0</v>
      </c>
      <c r="AF10" s="127">
        <v>60535.0</v>
      </c>
      <c r="AG10" s="127">
        <v>9324.0</v>
      </c>
    </row>
    <row r="11">
      <c r="A11" s="126">
        <v>46001.0</v>
      </c>
      <c r="B11" s="127">
        <v>0.8302469135802469</v>
      </c>
      <c r="C11" s="127">
        <v>269.0</v>
      </c>
      <c r="D11" s="127">
        <v>324.0</v>
      </c>
      <c r="E11" s="127">
        <v>0.16124377024147132</v>
      </c>
      <c r="F11" s="127">
        <v>9609.0</v>
      </c>
      <c r="G11" s="127">
        <v>59593.0</v>
      </c>
      <c r="H11" s="127">
        <v>6428192.0</v>
      </c>
      <c r="I11" s="127">
        <v>25779.227807264022</v>
      </c>
      <c r="J11" s="127">
        <v>2.477126E8</v>
      </c>
      <c r="K11" s="127">
        <v>9609.0</v>
      </c>
      <c r="L11" s="127">
        <v>15024.0</v>
      </c>
      <c r="M11" s="127">
        <v>0.3541907212496539</v>
      </c>
      <c r="N11" s="127">
        <v>1.59975095543373E8</v>
      </c>
      <c r="O11" s="127">
        <v>2.477126E8</v>
      </c>
      <c r="P11" s="127"/>
      <c r="Q11" s="127"/>
      <c r="R11" s="127"/>
      <c r="S11" s="127"/>
      <c r="T11" s="127"/>
      <c r="U11" s="127">
        <v>0.0</v>
      </c>
      <c r="V11" s="127">
        <v>0.0</v>
      </c>
      <c r="W11" s="127">
        <v>1749.0</v>
      </c>
      <c r="X11" s="127">
        <v>1416.0</v>
      </c>
      <c r="Y11" s="127">
        <v>1386.0</v>
      </c>
      <c r="Z11" s="127">
        <v>927.0</v>
      </c>
      <c r="AA11" s="127">
        <v>132.0</v>
      </c>
      <c r="AB11" s="127"/>
      <c r="AC11" s="127">
        <v>88917.0</v>
      </c>
      <c r="AD11" s="127">
        <v>47535.0</v>
      </c>
      <c r="AE11" s="127">
        <v>58207.0</v>
      </c>
      <c r="AF11" s="127">
        <v>57053.0</v>
      </c>
      <c r="AG11" s="127">
        <v>9477.0</v>
      </c>
    </row>
    <row r="12">
      <c r="A12" s="126">
        <v>46002.0</v>
      </c>
      <c r="B12" s="127">
        <v>0.7850162866449512</v>
      </c>
      <c r="C12" s="127">
        <v>241.0</v>
      </c>
      <c r="D12" s="127">
        <v>307.0</v>
      </c>
      <c r="E12" s="127">
        <v>0.13739890445048025</v>
      </c>
      <c r="F12" s="127">
        <v>9055.0</v>
      </c>
      <c r="G12" s="127">
        <v>65903.0</v>
      </c>
      <c r="H12" s="127">
        <v>6312153.0</v>
      </c>
      <c r="I12" s="127">
        <v>24082.065157371617</v>
      </c>
      <c r="J12" s="127">
        <v>2.180631E8</v>
      </c>
      <c r="K12" s="127">
        <v>9055.0</v>
      </c>
      <c r="L12" s="127">
        <v>14001.0</v>
      </c>
      <c r="M12" s="127">
        <v>0.2991337765301062</v>
      </c>
      <c r="N12" s="127">
        <v>1.528330613751378E8</v>
      </c>
      <c r="O12" s="127">
        <v>2.180631E8</v>
      </c>
      <c r="P12" s="127"/>
      <c r="Q12" s="127"/>
      <c r="R12" s="127"/>
      <c r="S12" s="127"/>
      <c r="T12" s="127"/>
      <c r="U12" s="127">
        <v>0.0</v>
      </c>
      <c r="V12" s="127">
        <v>0.0</v>
      </c>
      <c r="W12" s="127">
        <v>1795.0</v>
      </c>
      <c r="X12" s="127">
        <v>1422.0</v>
      </c>
      <c r="Y12" s="127">
        <v>1409.0</v>
      </c>
      <c r="Z12" s="127">
        <v>947.0</v>
      </c>
      <c r="AA12" s="127">
        <v>133.0</v>
      </c>
      <c r="AB12" s="127"/>
      <c r="AC12" s="127">
        <v>90718.0</v>
      </c>
      <c r="AD12" s="127">
        <v>47806.0</v>
      </c>
      <c r="AE12" s="127">
        <v>64494.0</v>
      </c>
      <c r="AF12" s="127">
        <v>60595.0</v>
      </c>
      <c r="AG12" s="127">
        <v>8922.0</v>
      </c>
    </row>
    <row r="13">
      <c r="A13" s="126">
        <v>46003.0</v>
      </c>
      <c r="B13" s="127">
        <v>0.8142414860681114</v>
      </c>
      <c r="C13" s="127">
        <v>263.0</v>
      </c>
      <c r="D13" s="127">
        <v>323.0</v>
      </c>
      <c r="E13" s="127">
        <v>0.147578030327842</v>
      </c>
      <c r="F13" s="127">
        <v>9012.0</v>
      </c>
      <c r="G13" s="127">
        <v>61066.0</v>
      </c>
      <c r="H13" s="127">
        <v>6313342.0</v>
      </c>
      <c r="I13" s="127">
        <v>23316.766533510876</v>
      </c>
      <c r="J13" s="127">
        <v>2.101307E8</v>
      </c>
      <c r="K13" s="127">
        <v>9012.0</v>
      </c>
      <c r="L13" s="127">
        <v>13943.0</v>
      </c>
      <c r="M13" s="127">
        <v>0.26953584111134354</v>
      </c>
      <c r="N13" s="127">
        <v>1.534929450321846E8</v>
      </c>
      <c r="O13" s="127">
        <v>2.101307E8</v>
      </c>
      <c r="P13" s="127"/>
      <c r="Q13" s="127"/>
      <c r="R13" s="127"/>
      <c r="S13" s="127"/>
      <c r="T13" s="127"/>
      <c r="U13" s="127">
        <v>0.0</v>
      </c>
      <c r="V13" s="127">
        <v>0.0</v>
      </c>
      <c r="W13" s="127">
        <v>1812.0</v>
      </c>
      <c r="X13" s="127">
        <v>1403.0</v>
      </c>
      <c r="Y13" s="127">
        <v>1414.0</v>
      </c>
      <c r="Z13" s="127">
        <v>919.0</v>
      </c>
      <c r="AA13" s="127">
        <v>141.0</v>
      </c>
      <c r="AB13" s="127"/>
      <c r="AC13" s="127">
        <v>90361.0</v>
      </c>
      <c r="AD13" s="127">
        <v>47397.0</v>
      </c>
      <c r="AE13" s="127">
        <v>59652.0</v>
      </c>
      <c r="AF13" s="127">
        <v>60038.0</v>
      </c>
      <c r="AG13" s="127">
        <v>8871.0</v>
      </c>
    </row>
    <row r="14">
      <c r="A14" s="126">
        <v>46004.0</v>
      </c>
      <c r="B14" s="127">
        <v>0.8093841642228738</v>
      </c>
      <c r="C14" s="127">
        <v>276.0</v>
      </c>
      <c r="D14" s="127">
        <v>341.0</v>
      </c>
      <c r="E14" s="127">
        <v>0.15602939988692352</v>
      </c>
      <c r="F14" s="127">
        <v>9659.0</v>
      </c>
      <c r="G14" s="127">
        <v>61905.0</v>
      </c>
      <c r="H14" s="127">
        <v>6955034.0</v>
      </c>
      <c r="I14" s="127">
        <v>23295.537840356144</v>
      </c>
      <c r="J14" s="127">
        <v>2.250116E8</v>
      </c>
      <c r="K14" s="127">
        <v>9659.0</v>
      </c>
      <c r="L14" s="127">
        <v>15508.0</v>
      </c>
      <c r="M14" s="127">
        <v>0.2784920271416754</v>
      </c>
      <c r="N14" s="127">
        <v>1.623476633856082E8</v>
      </c>
      <c r="O14" s="127">
        <v>2.250116E8</v>
      </c>
      <c r="P14" s="127"/>
      <c r="Q14" s="127"/>
      <c r="R14" s="127"/>
      <c r="S14" s="127"/>
      <c r="T14" s="127"/>
      <c r="U14" s="127">
        <v>0.0</v>
      </c>
      <c r="V14" s="127">
        <v>0.0</v>
      </c>
      <c r="W14" s="127">
        <v>1989.0</v>
      </c>
      <c r="X14" s="127">
        <v>1606.0</v>
      </c>
      <c r="Y14" s="127">
        <v>1603.0</v>
      </c>
      <c r="Z14" s="127">
        <v>1035.0</v>
      </c>
      <c r="AA14" s="127">
        <v>126.0</v>
      </c>
      <c r="AB14" s="127"/>
      <c r="AC14" s="127">
        <v>91467.0</v>
      </c>
      <c r="AD14" s="127">
        <v>49969.0</v>
      </c>
      <c r="AE14" s="127">
        <v>60302.0</v>
      </c>
      <c r="AF14" s="127">
        <v>60565.0</v>
      </c>
      <c r="AG14" s="127">
        <v>9533.0</v>
      </c>
    </row>
    <row r="15">
      <c r="A15" s="126">
        <v>46005.0</v>
      </c>
      <c r="B15" s="127">
        <v>0.7874015748031497</v>
      </c>
      <c r="C15" s="127">
        <v>300.0</v>
      </c>
      <c r="D15" s="127">
        <v>381.0</v>
      </c>
      <c r="E15" s="127">
        <v>0.15491856485306266</v>
      </c>
      <c r="F15" s="127">
        <v>10501.0</v>
      </c>
      <c r="G15" s="127">
        <v>67784.0</v>
      </c>
      <c r="H15" s="127">
        <v>7707492.0</v>
      </c>
      <c r="I15" s="127">
        <v>23728.340158080184</v>
      </c>
      <c r="J15" s="127">
        <v>2.491713E8</v>
      </c>
      <c r="K15" s="127">
        <v>10501.0</v>
      </c>
      <c r="L15" s="127">
        <v>17187.0</v>
      </c>
      <c r="M15" s="127">
        <v>0.28487909415871093</v>
      </c>
      <c r="N15" s="127">
        <v>1.7818760576565158E8</v>
      </c>
      <c r="O15" s="127">
        <v>2.491713E8</v>
      </c>
      <c r="P15" s="127"/>
      <c r="Q15" s="127"/>
      <c r="R15" s="127"/>
      <c r="S15" s="127"/>
      <c r="T15" s="127"/>
      <c r="U15" s="127">
        <v>0.0</v>
      </c>
      <c r="V15" s="127">
        <v>0.0</v>
      </c>
      <c r="W15" s="127">
        <v>2123.0</v>
      </c>
      <c r="X15" s="127">
        <v>1724.0</v>
      </c>
      <c r="Y15" s="127">
        <v>1652.0</v>
      </c>
      <c r="Z15" s="127">
        <v>1132.0</v>
      </c>
      <c r="AA15" s="127">
        <v>151.0</v>
      </c>
      <c r="AB15" s="127"/>
      <c r="AC15" s="127">
        <v>91763.0</v>
      </c>
      <c r="AD15" s="127">
        <v>50271.0</v>
      </c>
      <c r="AE15" s="127">
        <v>66132.0</v>
      </c>
      <c r="AF15" s="127">
        <v>61969.0</v>
      </c>
      <c r="AG15" s="127">
        <v>10350.0</v>
      </c>
    </row>
    <row r="16">
      <c r="A16" s="126">
        <v>46006.0</v>
      </c>
      <c r="B16" s="127">
        <v>0.8408408408408409</v>
      </c>
      <c r="C16" s="127">
        <v>280.0</v>
      </c>
      <c r="D16" s="127">
        <v>333.0</v>
      </c>
      <c r="E16" s="127">
        <v>0.16094578197841497</v>
      </c>
      <c r="F16" s="127">
        <v>10081.0</v>
      </c>
      <c r="G16" s="127">
        <v>62636.0</v>
      </c>
      <c r="H16" s="127">
        <v>6926809.0</v>
      </c>
      <c r="I16" s="127">
        <v>23968.36623350858</v>
      </c>
      <c r="J16" s="127">
        <v>2.416251E8</v>
      </c>
      <c r="K16" s="127">
        <v>10081.0</v>
      </c>
      <c r="L16" s="127">
        <v>16247.0</v>
      </c>
      <c r="M16" s="127">
        <v>0.3162814117888513</v>
      </c>
      <c r="N16" s="127">
        <v>1.6520357224837762E8</v>
      </c>
      <c r="O16" s="127">
        <v>2.416251E8</v>
      </c>
      <c r="P16" s="127"/>
      <c r="Q16" s="127"/>
      <c r="R16" s="127"/>
      <c r="S16" s="127"/>
      <c r="T16" s="127"/>
      <c r="U16" s="127">
        <v>0.0</v>
      </c>
      <c r="V16" s="127">
        <v>0.0</v>
      </c>
      <c r="W16" s="127">
        <v>1705.0</v>
      </c>
      <c r="X16" s="127">
        <v>1335.0</v>
      </c>
      <c r="Y16" s="127">
        <v>1333.0</v>
      </c>
      <c r="Z16" s="127">
        <v>889.0</v>
      </c>
      <c r="AA16" s="127">
        <v>123.0</v>
      </c>
      <c r="AB16" s="127"/>
      <c r="AC16" s="127">
        <v>91013.0</v>
      </c>
      <c r="AD16" s="127">
        <v>48311.0</v>
      </c>
      <c r="AE16" s="127">
        <v>61303.0</v>
      </c>
      <c r="AF16" s="127">
        <v>61805.0</v>
      </c>
      <c r="AG16" s="127">
        <v>9958.0</v>
      </c>
    </row>
    <row r="17">
      <c r="A17" s="126">
        <v>46007.0</v>
      </c>
      <c r="B17" s="127">
        <v>0.8398692810457516</v>
      </c>
      <c r="C17" s="127">
        <v>257.0</v>
      </c>
      <c r="D17" s="127">
        <v>306.0</v>
      </c>
      <c r="E17" s="127">
        <v>0.1549567359108144</v>
      </c>
      <c r="F17" s="127">
        <v>9563.0</v>
      </c>
      <c r="G17" s="127">
        <v>61714.0</v>
      </c>
      <c r="H17" s="127">
        <v>6496621.0</v>
      </c>
      <c r="I17" s="127">
        <v>23872.487713060757</v>
      </c>
      <c r="J17" s="127">
        <v>2.282926E8</v>
      </c>
      <c r="K17" s="127">
        <v>9563.0</v>
      </c>
      <c r="L17" s="127">
        <v>15077.0</v>
      </c>
      <c r="M17" s="127">
        <v>0.3152739643542952</v>
      </c>
      <c r="N17" s="127">
        <v>1.563178869652506E8</v>
      </c>
      <c r="O17" s="127">
        <v>2.282926E8</v>
      </c>
      <c r="P17" s="127"/>
      <c r="Q17" s="127"/>
      <c r="R17" s="127"/>
      <c r="S17" s="127"/>
      <c r="T17" s="127"/>
      <c r="U17" s="127">
        <v>0.0</v>
      </c>
      <c r="V17" s="127">
        <v>0.0</v>
      </c>
      <c r="W17" s="127">
        <v>1624.0</v>
      </c>
      <c r="X17" s="127">
        <v>1350.0</v>
      </c>
      <c r="Y17" s="127">
        <v>1328.0</v>
      </c>
      <c r="Z17" s="127">
        <v>911.0</v>
      </c>
      <c r="AA17" s="127">
        <v>124.0</v>
      </c>
      <c r="AB17" s="127"/>
      <c r="AC17" s="127">
        <v>91264.0</v>
      </c>
      <c r="AD17" s="127">
        <v>48054.0</v>
      </c>
      <c r="AE17" s="127">
        <v>60386.0</v>
      </c>
      <c r="AF17" s="127">
        <v>61431.0</v>
      </c>
      <c r="AG17" s="127">
        <v>9439.0</v>
      </c>
    </row>
    <row r="18">
      <c r="A18" s="126">
        <v>46008.0</v>
      </c>
      <c r="B18" s="127">
        <v>0.8354838709677419</v>
      </c>
      <c r="C18" s="127">
        <v>259.0</v>
      </c>
      <c r="D18" s="127">
        <v>310.0</v>
      </c>
      <c r="E18" s="127">
        <v>0.1441126673849469</v>
      </c>
      <c r="F18" s="127">
        <v>9363.0</v>
      </c>
      <c r="G18" s="127">
        <v>64970.0</v>
      </c>
      <c r="H18" s="127">
        <v>6416770.0</v>
      </c>
      <c r="I18" s="127">
        <v>22633.055644558368</v>
      </c>
      <c r="J18" s="127">
        <v>2.119133E8</v>
      </c>
      <c r="K18" s="127">
        <v>9363.0</v>
      </c>
      <c r="L18" s="127">
        <v>14673.0</v>
      </c>
      <c r="M18" s="127">
        <v>0.28491931009340243</v>
      </c>
      <c r="N18" s="127">
        <v>1.515351087643838E8</v>
      </c>
      <c r="O18" s="127">
        <v>2.119133E8</v>
      </c>
      <c r="P18" s="127"/>
      <c r="Q18" s="127"/>
      <c r="R18" s="127"/>
      <c r="S18" s="127"/>
      <c r="T18" s="127"/>
      <c r="U18" s="127">
        <v>0.0</v>
      </c>
      <c r="V18" s="127">
        <v>0.0</v>
      </c>
      <c r="W18" s="127">
        <v>1550.0</v>
      </c>
      <c r="X18" s="127">
        <v>1243.0</v>
      </c>
      <c r="Y18" s="127">
        <v>1200.0</v>
      </c>
      <c r="Z18" s="127">
        <v>847.0</v>
      </c>
      <c r="AA18" s="127">
        <v>99.0</v>
      </c>
      <c r="AB18" s="127"/>
      <c r="AC18" s="127">
        <v>90896.0</v>
      </c>
      <c r="AD18" s="127">
        <v>48047.0</v>
      </c>
      <c r="AE18" s="127">
        <v>63770.0</v>
      </c>
      <c r="AF18" s="127">
        <v>61529.0</v>
      </c>
      <c r="AG18" s="127">
        <v>9264.0</v>
      </c>
    </row>
    <row r="19">
      <c r="A19" s="126">
        <v>46009.0</v>
      </c>
      <c r="B19" s="127">
        <v>0.7851239669421488</v>
      </c>
      <c r="C19" s="127">
        <v>190.0</v>
      </c>
      <c r="D19" s="127">
        <v>242.0</v>
      </c>
      <c r="E19" s="127">
        <v>0.14612468747479634</v>
      </c>
      <c r="F19" s="127">
        <v>9059.0</v>
      </c>
      <c r="G19" s="127">
        <v>61995.0</v>
      </c>
      <c r="H19" s="127">
        <v>6166005.0</v>
      </c>
      <c r="I19" s="127">
        <v>22840.721933988298</v>
      </c>
      <c r="J19" s="127">
        <v>2.069141E8</v>
      </c>
      <c r="K19" s="127">
        <v>9059.0</v>
      </c>
      <c r="L19" s="127">
        <v>14147.0</v>
      </c>
      <c r="M19" s="127">
        <v>0.31668565100148127</v>
      </c>
      <c r="N19" s="127">
        <v>1.413873735401144E8</v>
      </c>
      <c r="O19" s="127">
        <v>2.069141E8</v>
      </c>
      <c r="P19" s="127"/>
      <c r="Q19" s="127"/>
      <c r="R19" s="127"/>
      <c r="S19" s="127"/>
      <c r="T19" s="127"/>
      <c r="U19" s="127">
        <v>0.0</v>
      </c>
      <c r="V19" s="127">
        <v>0.0</v>
      </c>
      <c r="W19" s="127">
        <v>1410.0</v>
      </c>
      <c r="X19" s="127">
        <v>1123.0</v>
      </c>
      <c r="Y19" s="127">
        <v>1098.0</v>
      </c>
      <c r="Z19" s="127">
        <v>742.0</v>
      </c>
      <c r="AA19" s="127">
        <v>96.0</v>
      </c>
      <c r="AB19" s="127"/>
      <c r="AC19" s="127">
        <v>89393.0</v>
      </c>
      <c r="AD19" s="127">
        <v>47908.0</v>
      </c>
      <c r="AE19" s="127">
        <v>60897.0</v>
      </c>
      <c r="AF19" s="127">
        <v>60886.0</v>
      </c>
      <c r="AG19" s="127">
        <v>8963.0</v>
      </c>
    </row>
    <row r="20">
      <c r="A20" s="126">
        <v>46010.0</v>
      </c>
      <c r="B20" s="127">
        <v>0.8291814946619217</v>
      </c>
      <c r="C20" s="127">
        <v>233.0</v>
      </c>
      <c r="D20" s="127">
        <v>281.0</v>
      </c>
      <c r="E20" s="127">
        <v>0.14700432365657815</v>
      </c>
      <c r="F20" s="127">
        <v>9044.0</v>
      </c>
      <c r="G20" s="127">
        <v>61522.0</v>
      </c>
      <c r="H20" s="127">
        <v>6067006.0</v>
      </c>
      <c r="I20" s="127">
        <v>23070.090667846085</v>
      </c>
      <c r="J20" s="127">
        <v>2.086459E8</v>
      </c>
      <c r="K20" s="127">
        <v>9044.0</v>
      </c>
      <c r="L20" s="127">
        <v>14042.0</v>
      </c>
      <c r="M20" s="127">
        <v>0.29885828200569386</v>
      </c>
      <c r="N20" s="127">
        <v>1.462903447784682E8</v>
      </c>
      <c r="O20" s="127">
        <v>2.086459E8</v>
      </c>
      <c r="P20" s="127"/>
      <c r="Q20" s="127"/>
      <c r="R20" s="127"/>
      <c r="S20" s="127"/>
      <c r="T20" s="127"/>
      <c r="U20" s="127">
        <v>0.0</v>
      </c>
      <c r="V20" s="127">
        <v>0.0</v>
      </c>
      <c r="W20" s="127">
        <v>1733.0</v>
      </c>
      <c r="X20" s="127">
        <v>1353.0</v>
      </c>
      <c r="Y20" s="127">
        <v>1302.0</v>
      </c>
      <c r="Z20" s="127">
        <v>832.0</v>
      </c>
      <c r="AA20" s="127">
        <v>95.0</v>
      </c>
      <c r="AB20" s="127"/>
      <c r="AC20" s="127">
        <v>95368.0</v>
      </c>
      <c r="AD20" s="127">
        <v>47076.0</v>
      </c>
      <c r="AE20" s="127">
        <v>60220.0</v>
      </c>
      <c r="AF20" s="127">
        <v>60572.0</v>
      </c>
      <c r="AG20" s="127">
        <v>8949.0</v>
      </c>
    </row>
    <row r="21">
      <c r="A21" s="126">
        <v>46011.0</v>
      </c>
      <c r="B21" s="127">
        <v>0.8488745980707395</v>
      </c>
      <c r="C21" s="127">
        <v>264.0</v>
      </c>
      <c r="D21" s="127">
        <v>311.0</v>
      </c>
      <c r="E21" s="127">
        <v>0.1670073589533933</v>
      </c>
      <c r="F21" s="127">
        <v>9804.0</v>
      </c>
      <c r="G21" s="127">
        <v>58704.0</v>
      </c>
      <c r="H21" s="127">
        <v>6865719.0</v>
      </c>
      <c r="I21" s="127">
        <v>22391.064871481027</v>
      </c>
      <c r="J21" s="127">
        <v>2.19522E8</v>
      </c>
      <c r="K21" s="127">
        <v>9804.0</v>
      </c>
      <c r="L21" s="127">
        <v>15425.0</v>
      </c>
      <c r="M21" s="127">
        <v>0.2813168313328669</v>
      </c>
      <c r="N21" s="127">
        <v>1.577667665521464E8</v>
      </c>
      <c r="O21" s="127">
        <v>2.19522E8</v>
      </c>
      <c r="P21" s="127"/>
      <c r="Q21" s="127"/>
      <c r="R21" s="127"/>
      <c r="S21" s="127"/>
      <c r="T21" s="127"/>
      <c r="U21" s="127">
        <v>0.0</v>
      </c>
      <c r="V21" s="127">
        <v>0.0</v>
      </c>
      <c r="W21" s="127">
        <v>3123.0</v>
      </c>
      <c r="X21" s="127">
        <v>2427.0</v>
      </c>
      <c r="Y21" s="127">
        <v>2417.0</v>
      </c>
      <c r="Z21" s="127">
        <v>1446.0</v>
      </c>
      <c r="AA21" s="127">
        <v>129.0</v>
      </c>
      <c r="AB21" s="127"/>
      <c r="AC21" s="127">
        <v>98949.0</v>
      </c>
      <c r="AD21" s="127">
        <v>49436.0</v>
      </c>
      <c r="AE21" s="127">
        <v>56287.0</v>
      </c>
      <c r="AF21" s="127">
        <v>60965.0</v>
      </c>
      <c r="AG21" s="127">
        <v>9675.0</v>
      </c>
    </row>
    <row r="22">
      <c r="A22" s="126">
        <v>46012.0</v>
      </c>
      <c r="B22" s="127">
        <v>0.8097982708933718</v>
      </c>
      <c r="C22" s="127">
        <v>281.0</v>
      </c>
      <c r="D22" s="127">
        <v>347.0</v>
      </c>
      <c r="E22" s="127">
        <v>0.13584802514691813</v>
      </c>
      <c r="F22" s="127">
        <v>9940.0</v>
      </c>
      <c r="G22" s="127">
        <v>73170.0</v>
      </c>
      <c r="H22" s="127">
        <v>7470462.0</v>
      </c>
      <c r="I22" s="127">
        <v>22819.215291750505</v>
      </c>
      <c r="J22" s="127">
        <v>2.26823E8</v>
      </c>
      <c r="K22" s="127">
        <v>9940.0</v>
      </c>
      <c r="L22" s="127">
        <v>15445.0</v>
      </c>
      <c r="M22" s="127">
        <v>0.266218352260716</v>
      </c>
      <c r="N22" s="127">
        <v>1.664385546851676E8</v>
      </c>
      <c r="O22" s="127">
        <v>2.26823E8</v>
      </c>
      <c r="P22" s="127"/>
      <c r="Q22" s="127"/>
      <c r="R22" s="127"/>
      <c r="S22" s="127"/>
      <c r="T22" s="127"/>
      <c r="U22" s="127">
        <v>0.0</v>
      </c>
      <c r="V22" s="127">
        <v>0.0</v>
      </c>
      <c r="W22" s="127">
        <v>3429.0</v>
      </c>
      <c r="X22" s="127">
        <v>2713.0</v>
      </c>
      <c r="Y22" s="127">
        <v>2678.0</v>
      </c>
      <c r="Z22" s="127">
        <v>1538.0</v>
      </c>
      <c r="AA22" s="127">
        <v>142.0</v>
      </c>
      <c r="AB22" s="127"/>
      <c r="AC22" s="127">
        <v>103203.0</v>
      </c>
      <c r="AD22" s="127">
        <v>50853.0</v>
      </c>
      <c r="AE22" s="127">
        <v>70492.0</v>
      </c>
      <c r="AF22" s="127">
        <v>62475.0</v>
      </c>
      <c r="AG22" s="127">
        <v>9798.0</v>
      </c>
    </row>
    <row r="23">
      <c r="A23" s="126">
        <v>46013.0</v>
      </c>
      <c r="B23" s="127">
        <v>0.799163179916318</v>
      </c>
      <c r="C23" s="127">
        <v>191.0</v>
      </c>
      <c r="D23" s="127">
        <v>239.0</v>
      </c>
      <c r="E23" s="127">
        <v>0.5270203967197028</v>
      </c>
      <c r="F23" s="127">
        <v>7519.0</v>
      </c>
      <c r="G23" s="127">
        <v>14267.0</v>
      </c>
      <c r="H23" s="127">
        <v>1118352.0</v>
      </c>
      <c r="I23" s="127">
        <v>21734.831759542492</v>
      </c>
      <c r="J23" s="127">
        <v>1.634242E8</v>
      </c>
      <c r="K23" s="127">
        <v>7519.0</v>
      </c>
      <c r="L23" s="127">
        <v>10597.0</v>
      </c>
      <c r="M23" s="127">
        <v>0.6464947908057486</v>
      </c>
      <c r="N23" s="127">
        <v>5.77713060084032E7</v>
      </c>
      <c r="O23" s="127">
        <v>1.634242E8</v>
      </c>
      <c r="P23" s="127"/>
      <c r="Q23" s="127"/>
      <c r="R23" s="127"/>
      <c r="S23" s="127"/>
      <c r="T23" s="127"/>
      <c r="U23" s="127">
        <v>0.0</v>
      </c>
      <c r="V23" s="127">
        <v>0.0</v>
      </c>
      <c r="W23" s="127">
        <v>2470.0</v>
      </c>
      <c r="X23" s="127">
        <v>1936.0</v>
      </c>
      <c r="Y23" s="127">
        <v>515.0</v>
      </c>
      <c r="Z23" s="127">
        <v>1088.0</v>
      </c>
      <c r="AA23" s="127">
        <v>92.0</v>
      </c>
      <c r="AB23" s="127"/>
      <c r="AC23" s="127">
        <v>104173.0</v>
      </c>
      <c r="AD23" s="127">
        <v>47444.0</v>
      </c>
      <c r="AE23" s="127">
        <v>13752.0</v>
      </c>
      <c r="AF23" s="127">
        <v>58537.0</v>
      </c>
      <c r="AG23" s="127">
        <v>7427.0</v>
      </c>
    </row>
    <row r="24">
      <c r="A24" s="126">
        <v>46014.0</v>
      </c>
      <c r="B24" s="127">
        <v>0.8205128205128205</v>
      </c>
      <c r="C24" s="127">
        <v>224.0</v>
      </c>
      <c r="D24" s="127">
        <v>273.0</v>
      </c>
      <c r="E24" s="127">
        <v>1.188090466647581</v>
      </c>
      <c r="F24" s="127">
        <v>8300.0</v>
      </c>
      <c r="G24" s="127">
        <v>6986.0</v>
      </c>
      <c r="H24" s="127">
        <v>1317810.0</v>
      </c>
      <c r="I24" s="127">
        <v>22339.481927710844</v>
      </c>
      <c r="J24" s="127">
        <v>1.854177E8</v>
      </c>
      <c r="K24" s="127">
        <v>8300.0</v>
      </c>
      <c r="L24" s="127">
        <v>12533.0</v>
      </c>
      <c r="M24" s="127"/>
      <c r="N24" s="127"/>
      <c r="O24" s="127">
        <v>1.854177E8</v>
      </c>
      <c r="P24" s="127"/>
      <c r="Q24" s="127"/>
      <c r="R24" s="127"/>
      <c r="S24" s="127"/>
      <c r="T24" s="127"/>
      <c r="U24" s="127">
        <v>0.0</v>
      </c>
      <c r="V24" s="127">
        <v>0.0</v>
      </c>
      <c r="W24" s="127">
        <v>2608.0</v>
      </c>
      <c r="X24" s="127">
        <v>2018.0</v>
      </c>
      <c r="Y24" s="127">
        <v>474.0</v>
      </c>
      <c r="Z24" s="127">
        <v>1129.0</v>
      </c>
      <c r="AA24" s="127">
        <v>120.0</v>
      </c>
      <c r="AB24" s="127"/>
      <c r="AC24" s="127">
        <v>106324.0</v>
      </c>
      <c r="AD24" s="127">
        <v>48488.0</v>
      </c>
      <c r="AE24" s="127">
        <v>6512.0</v>
      </c>
      <c r="AF24" s="127">
        <v>61536.0</v>
      </c>
      <c r="AG24" s="127">
        <v>8180.0</v>
      </c>
    </row>
    <row r="25">
      <c r="A25" s="126">
        <v>46015.0</v>
      </c>
      <c r="B25" s="127">
        <v>0.8313725490196079</v>
      </c>
      <c r="C25" s="127">
        <v>212.0</v>
      </c>
      <c r="D25" s="127">
        <v>255.0</v>
      </c>
      <c r="E25" s="127">
        <v>0.19847345900312247</v>
      </c>
      <c r="F25" s="127">
        <v>8581.0</v>
      </c>
      <c r="G25" s="127">
        <v>43235.0</v>
      </c>
      <c r="H25" s="127">
        <v>3479289.0</v>
      </c>
      <c r="I25" s="127">
        <v>22552.26663559026</v>
      </c>
      <c r="J25" s="127">
        <v>1.93521E8</v>
      </c>
      <c r="K25" s="127">
        <v>8581.0</v>
      </c>
      <c r="L25" s="127">
        <v>13119.0</v>
      </c>
      <c r="M25" s="127">
        <v>0.25441622735583325</v>
      </c>
      <c r="N25" s="127">
        <v>1.442861172658718E8</v>
      </c>
      <c r="O25" s="127">
        <v>1.93521E8</v>
      </c>
      <c r="P25" s="127"/>
      <c r="Q25" s="127"/>
      <c r="R25" s="127"/>
      <c r="S25" s="127"/>
      <c r="T25" s="127"/>
      <c r="U25" s="127">
        <v>0.0</v>
      </c>
      <c r="V25" s="127">
        <v>0.0</v>
      </c>
      <c r="W25" s="127">
        <v>2781.0</v>
      </c>
      <c r="X25" s="127">
        <v>2228.0</v>
      </c>
      <c r="Y25" s="127">
        <v>1386.0</v>
      </c>
      <c r="Z25" s="127">
        <v>1219.0</v>
      </c>
      <c r="AA25" s="127">
        <v>91.0</v>
      </c>
      <c r="AB25" s="127"/>
      <c r="AC25" s="127">
        <v>107757.0</v>
      </c>
      <c r="AD25" s="127">
        <v>48440.0</v>
      </c>
      <c r="AE25" s="127">
        <v>41849.0</v>
      </c>
      <c r="AF25" s="127">
        <v>62211.0</v>
      </c>
      <c r="AG25" s="127">
        <v>8490.0</v>
      </c>
    </row>
    <row r="26">
      <c r="A26" s="126">
        <v>46016.0</v>
      </c>
      <c r="B26" s="127">
        <v>0.8126801152737753</v>
      </c>
      <c r="C26" s="127">
        <v>282.0</v>
      </c>
      <c r="D26" s="127">
        <v>347.0</v>
      </c>
      <c r="E26" s="127">
        <v>0.16744217074431714</v>
      </c>
      <c r="F26" s="127">
        <v>10040.0</v>
      </c>
      <c r="G26" s="127">
        <v>59961.0</v>
      </c>
      <c r="H26" s="127">
        <v>7219203.0</v>
      </c>
      <c r="I26" s="127">
        <v>23761.424302788844</v>
      </c>
      <c r="J26" s="127">
        <v>2.385647E8</v>
      </c>
      <c r="K26" s="127">
        <v>10040.0</v>
      </c>
      <c r="L26" s="127">
        <v>15703.0</v>
      </c>
      <c r="M26" s="127">
        <v>0.3180645500905884</v>
      </c>
      <c r="N26" s="127">
        <v>1.626857260270038E8</v>
      </c>
      <c r="O26" s="127">
        <v>2.385647E8</v>
      </c>
      <c r="P26" s="127"/>
      <c r="Q26" s="127"/>
      <c r="R26" s="127"/>
      <c r="S26" s="127"/>
      <c r="T26" s="127"/>
      <c r="U26" s="127">
        <v>0.0</v>
      </c>
      <c r="V26" s="127">
        <v>0.0</v>
      </c>
      <c r="W26" s="127">
        <v>3682.0</v>
      </c>
      <c r="X26" s="127">
        <v>3035.0</v>
      </c>
      <c r="Y26" s="127">
        <v>2741.0</v>
      </c>
      <c r="Z26" s="127">
        <v>1729.0</v>
      </c>
      <c r="AA26" s="127">
        <v>155.0</v>
      </c>
      <c r="AB26" s="127"/>
      <c r="AC26" s="127">
        <v>109898.0</v>
      </c>
      <c r="AD26" s="127">
        <v>51124.0</v>
      </c>
      <c r="AE26" s="127">
        <v>57220.0</v>
      </c>
      <c r="AF26" s="127">
        <v>63154.0</v>
      </c>
      <c r="AG26" s="127">
        <v>9885.0</v>
      </c>
    </row>
    <row r="27">
      <c r="A27" s="126">
        <v>46017.0</v>
      </c>
      <c r="B27" s="127">
        <v>0.8258064516129032</v>
      </c>
      <c r="C27" s="127">
        <v>256.0</v>
      </c>
      <c r="D27" s="127">
        <v>310.0</v>
      </c>
      <c r="E27" s="127">
        <v>0.1292328398384926</v>
      </c>
      <c r="F27" s="127">
        <v>9602.0</v>
      </c>
      <c r="G27" s="127">
        <v>74300.0</v>
      </c>
      <c r="H27" s="127">
        <v>6783773.0</v>
      </c>
      <c r="I27" s="127">
        <v>22798.302436992293</v>
      </c>
      <c r="J27" s="127">
        <v>2.189093E8</v>
      </c>
      <c r="K27" s="127">
        <v>9602.0</v>
      </c>
      <c r="L27" s="127">
        <v>15052.0</v>
      </c>
      <c r="M27" s="127">
        <v>0.29729731843017726</v>
      </c>
      <c r="N27" s="127">
        <v>1.538281521305728E8</v>
      </c>
      <c r="O27" s="127">
        <v>2.189093E8</v>
      </c>
      <c r="P27" s="127"/>
      <c r="Q27" s="127"/>
      <c r="R27" s="127"/>
      <c r="S27" s="127"/>
      <c r="T27" s="127"/>
      <c r="U27" s="127">
        <v>0.0</v>
      </c>
      <c r="V27" s="127">
        <v>0.0</v>
      </c>
      <c r="W27" s="127">
        <v>2874.0</v>
      </c>
      <c r="X27" s="127">
        <v>2301.0</v>
      </c>
      <c r="Y27" s="127">
        <v>2043.0</v>
      </c>
      <c r="Z27" s="127">
        <v>1365.0</v>
      </c>
      <c r="AA27" s="127">
        <v>106.0</v>
      </c>
      <c r="AB27" s="127"/>
      <c r="AC27" s="127">
        <v>109821.0</v>
      </c>
      <c r="AD27" s="127">
        <v>49137.0</v>
      </c>
      <c r="AE27" s="127">
        <v>72257.0</v>
      </c>
      <c r="AF27" s="127">
        <v>61637.0</v>
      </c>
      <c r="AG27" s="127">
        <v>9496.0</v>
      </c>
    </row>
    <row r="28">
      <c r="A28" s="126">
        <v>46018.0</v>
      </c>
      <c r="B28" s="127">
        <v>0.8348909657320872</v>
      </c>
      <c r="C28" s="127">
        <v>268.0</v>
      </c>
      <c r="D28" s="127">
        <v>321.0</v>
      </c>
      <c r="E28" s="127">
        <v>0.16406055268449127</v>
      </c>
      <c r="F28" s="127">
        <v>9873.0</v>
      </c>
      <c r="G28" s="127">
        <v>60179.0</v>
      </c>
      <c r="H28" s="127">
        <v>7196564.0</v>
      </c>
      <c r="I28" s="127">
        <v>22684.442418717714</v>
      </c>
      <c r="J28" s="127">
        <v>2.239635E8</v>
      </c>
      <c r="K28" s="127">
        <v>9873.0</v>
      </c>
      <c r="L28" s="127">
        <v>15472.0</v>
      </c>
      <c r="M28" s="127">
        <v>0.29355959428822287</v>
      </c>
      <c r="N28" s="127">
        <v>1.582168658046296E8</v>
      </c>
      <c r="O28" s="127">
        <v>2.239635E8</v>
      </c>
      <c r="P28" s="127"/>
      <c r="Q28" s="127"/>
      <c r="R28" s="127"/>
      <c r="S28" s="127"/>
      <c r="T28" s="127"/>
      <c r="U28" s="127">
        <v>0.0</v>
      </c>
      <c r="V28" s="127">
        <v>0.0</v>
      </c>
      <c r="W28" s="127">
        <v>3325.0</v>
      </c>
      <c r="X28" s="127">
        <v>2730.0</v>
      </c>
      <c r="Y28" s="127">
        <v>2434.0</v>
      </c>
      <c r="Z28" s="127">
        <v>1555.0</v>
      </c>
      <c r="AA28" s="127">
        <v>124.0</v>
      </c>
      <c r="AB28" s="127"/>
      <c r="AC28" s="127">
        <v>111042.0</v>
      </c>
      <c r="AD28" s="127">
        <v>49550.0</v>
      </c>
      <c r="AE28" s="127">
        <v>57745.0</v>
      </c>
      <c r="AF28" s="127">
        <v>61561.0</v>
      </c>
      <c r="AG28" s="127">
        <v>9749.0</v>
      </c>
    </row>
    <row r="29">
      <c r="A29" s="126">
        <v>46019.0</v>
      </c>
      <c r="B29" s="127">
        <v>0.8301886792452831</v>
      </c>
      <c r="C29" s="127">
        <v>264.0</v>
      </c>
      <c r="D29" s="127">
        <v>318.0</v>
      </c>
      <c r="E29" s="127">
        <v>0.17242114236999148</v>
      </c>
      <c r="F29" s="127">
        <v>10517.0</v>
      </c>
      <c r="G29" s="127">
        <v>60996.0</v>
      </c>
      <c r="H29" s="127">
        <v>7671150.0</v>
      </c>
      <c r="I29" s="127">
        <v>23257.678045069886</v>
      </c>
      <c r="J29" s="127">
        <v>2.44601E8</v>
      </c>
      <c r="K29" s="127">
        <v>10517.0</v>
      </c>
      <c r="L29" s="127">
        <v>16757.0</v>
      </c>
      <c r="M29" s="127">
        <v>0.31526815800038266</v>
      </c>
      <c r="N29" s="127">
        <v>1.674860932849484E8</v>
      </c>
      <c r="O29" s="127">
        <v>2.44601E8</v>
      </c>
      <c r="P29" s="127"/>
      <c r="Q29" s="127"/>
      <c r="R29" s="127"/>
      <c r="S29" s="127"/>
      <c r="T29" s="127"/>
      <c r="U29" s="127">
        <v>0.0</v>
      </c>
      <c r="V29" s="127">
        <v>0.0</v>
      </c>
      <c r="W29" s="127">
        <v>3802.0</v>
      </c>
      <c r="X29" s="127">
        <v>3186.0</v>
      </c>
      <c r="Y29" s="127">
        <v>2898.0</v>
      </c>
      <c r="Z29" s="127">
        <v>1845.0</v>
      </c>
      <c r="AA29" s="127">
        <v>128.0</v>
      </c>
      <c r="AB29" s="127"/>
      <c r="AC29" s="127">
        <v>111963.0</v>
      </c>
      <c r="AD29" s="127">
        <v>50685.0</v>
      </c>
      <c r="AE29" s="127">
        <v>58098.0</v>
      </c>
      <c r="AF29" s="127">
        <v>62819.0</v>
      </c>
      <c r="AG29" s="127">
        <v>10389.0</v>
      </c>
    </row>
    <row r="30">
      <c r="A30" s="126">
        <v>46020.0</v>
      </c>
      <c r="B30" s="127">
        <v>0.8388157894736842</v>
      </c>
      <c r="C30" s="127">
        <v>255.0</v>
      </c>
      <c r="D30" s="127">
        <v>304.0</v>
      </c>
      <c r="E30" s="127">
        <v>0.1355549202978451</v>
      </c>
      <c r="F30" s="127">
        <v>9958.0</v>
      </c>
      <c r="G30" s="127">
        <v>73461.0</v>
      </c>
      <c r="H30" s="127">
        <v>6927124.0</v>
      </c>
      <c r="I30" s="127">
        <v>22236.864832295643</v>
      </c>
      <c r="J30" s="127">
        <v>2.214347E8</v>
      </c>
      <c r="K30" s="127">
        <v>9958.0</v>
      </c>
      <c r="L30" s="127">
        <v>15782.0</v>
      </c>
      <c r="M30" s="127">
        <v>0.2978966674602671</v>
      </c>
      <c r="N30" s="127">
        <v>1.55470040809936E8</v>
      </c>
      <c r="O30" s="127">
        <v>2.214347E8</v>
      </c>
      <c r="P30" s="127"/>
      <c r="Q30" s="127"/>
      <c r="R30" s="127"/>
      <c r="S30" s="127"/>
      <c r="T30" s="127"/>
      <c r="U30" s="127">
        <v>0.0</v>
      </c>
      <c r="V30" s="127">
        <v>0.0</v>
      </c>
      <c r="W30" s="127">
        <v>2678.0</v>
      </c>
      <c r="X30" s="127">
        <v>2189.0</v>
      </c>
      <c r="Y30" s="127">
        <v>1983.0</v>
      </c>
      <c r="Z30" s="127">
        <v>1384.0</v>
      </c>
      <c r="AA30" s="127">
        <v>109.0</v>
      </c>
      <c r="AB30" s="127"/>
      <c r="AC30" s="127">
        <v>112062.0</v>
      </c>
      <c r="AD30" s="127">
        <v>48218.0</v>
      </c>
      <c r="AE30" s="127">
        <v>71478.0</v>
      </c>
      <c r="AF30" s="127">
        <v>62086.0</v>
      </c>
      <c r="AG30" s="127">
        <v>9849.0</v>
      </c>
    </row>
    <row r="31">
      <c r="A31" s="126">
        <v>46021.0</v>
      </c>
      <c r="B31" s="127">
        <v>0.8202247191011236</v>
      </c>
      <c r="C31" s="127">
        <v>219.0</v>
      </c>
      <c r="D31" s="127">
        <v>267.0</v>
      </c>
      <c r="E31" s="127">
        <v>0.16818269449848397</v>
      </c>
      <c r="F31" s="127">
        <v>9596.0</v>
      </c>
      <c r="G31" s="127">
        <v>57057.0</v>
      </c>
      <c r="H31" s="127">
        <v>6515825.0</v>
      </c>
      <c r="I31" s="127">
        <v>22114.360150062526</v>
      </c>
      <c r="J31" s="127">
        <v>2.122094E8</v>
      </c>
      <c r="K31" s="127">
        <v>9596.0</v>
      </c>
      <c r="L31" s="127">
        <v>15143.0</v>
      </c>
      <c r="M31" s="127">
        <v>0.3021976686134621</v>
      </c>
      <c r="N31" s="127">
        <v>1.4808021406213838E8</v>
      </c>
      <c r="O31" s="127">
        <v>2.122094E8</v>
      </c>
      <c r="P31" s="127"/>
      <c r="Q31" s="127"/>
      <c r="R31" s="127"/>
      <c r="S31" s="127"/>
      <c r="T31" s="127"/>
      <c r="U31" s="127">
        <v>0.0</v>
      </c>
      <c r="V31" s="127">
        <v>0.0</v>
      </c>
      <c r="W31" s="127">
        <v>2695.0</v>
      </c>
      <c r="X31" s="127">
        <v>2055.0</v>
      </c>
      <c r="Y31" s="127">
        <v>1944.0</v>
      </c>
      <c r="Z31" s="127">
        <v>1280.0</v>
      </c>
      <c r="AA31" s="127">
        <v>114.0</v>
      </c>
      <c r="AB31" s="127"/>
      <c r="AC31" s="127">
        <v>111269.0</v>
      </c>
      <c r="AD31" s="127">
        <v>47832.0</v>
      </c>
      <c r="AE31" s="127">
        <v>55113.0</v>
      </c>
      <c r="AF31" s="127">
        <v>59073.0</v>
      </c>
      <c r="AG31" s="127">
        <v>9482.0</v>
      </c>
    </row>
    <row r="32">
      <c r="A32" s="126">
        <v>46022.0</v>
      </c>
      <c r="B32" s="127">
        <v>0.84375</v>
      </c>
      <c r="C32" s="127">
        <v>216.0</v>
      </c>
      <c r="D32" s="127">
        <v>256.0</v>
      </c>
      <c r="E32" s="127">
        <v>0.16013631659708097</v>
      </c>
      <c r="F32" s="127">
        <v>8975.0</v>
      </c>
      <c r="G32" s="127">
        <v>56046.0</v>
      </c>
      <c r="H32" s="127">
        <v>6398626.0</v>
      </c>
      <c r="I32" s="127">
        <v>22452.713091922007</v>
      </c>
      <c r="J32" s="127">
        <v>2.015131E8</v>
      </c>
      <c r="K32" s="127">
        <v>8975.0</v>
      </c>
      <c r="L32" s="127">
        <v>13579.0</v>
      </c>
      <c r="M32" s="127">
        <v>0.2885950400943502</v>
      </c>
      <c r="N32" s="127">
        <v>1.433574188259632E8</v>
      </c>
      <c r="O32" s="127">
        <v>2.015131E8</v>
      </c>
      <c r="P32" s="127"/>
      <c r="Q32" s="127"/>
      <c r="R32" s="127"/>
      <c r="S32" s="127"/>
      <c r="T32" s="127"/>
      <c r="U32" s="127">
        <v>0.0</v>
      </c>
      <c r="V32" s="127">
        <v>0.0</v>
      </c>
      <c r="W32" s="127">
        <v>2596.0</v>
      </c>
      <c r="X32" s="127">
        <v>1993.0</v>
      </c>
      <c r="Y32" s="127">
        <v>1914.0</v>
      </c>
      <c r="Z32" s="127">
        <v>1288.0</v>
      </c>
      <c r="AA32" s="127">
        <v>96.0</v>
      </c>
      <c r="AB32" s="127"/>
      <c r="AC32" s="127">
        <v>111187.0</v>
      </c>
      <c r="AD32" s="127">
        <v>47272.0</v>
      </c>
      <c r="AE32" s="127">
        <v>54132.0</v>
      </c>
      <c r="AF32" s="127">
        <v>60243.0</v>
      </c>
      <c r="AG32" s="127">
        <v>8879.0</v>
      </c>
    </row>
    <row r="33">
      <c r="A33" s="126">
        <v>46023.0</v>
      </c>
      <c r="B33" s="127">
        <v>0.8492753623188406</v>
      </c>
      <c r="C33" s="127">
        <v>293.0</v>
      </c>
      <c r="D33" s="127">
        <v>345.0</v>
      </c>
      <c r="E33" s="127">
        <v>0.16632499195228978</v>
      </c>
      <c r="F33" s="127">
        <v>9817.0</v>
      </c>
      <c r="G33" s="127">
        <v>59023.0</v>
      </c>
      <c r="H33" s="127">
        <v>7254631.0</v>
      </c>
      <c r="I33" s="127">
        <v>27753.835183864725</v>
      </c>
      <c r="J33" s="127">
        <v>2.724594E8</v>
      </c>
      <c r="K33" s="127">
        <v>9817.0</v>
      </c>
      <c r="L33" s="127">
        <v>14889.0</v>
      </c>
      <c r="M33" s="127">
        <v>0.38180872590892434</v>
      </c>
      <c r="N33" s="127">
        <v>1.6843202362409002E8</v>
      </c>
      <c r="O33" s="127">
        <v>2.724594E8</v>
      </c>
      <c r="P33" s="127"/>
      <c r="Q33" s="127"/>
      <c r="R33" s="127"/>
      <c r="S33" s="127"/>
      <c r="T33" s="127"/>
      <c r="U33" s="127">
        <v>0.0</v>
      </c>
      <c r="V33" s="127">
        <v>0.0</v>
      </c>
      <c r="W33" s="127">
        <v>3797.0</v>
      </c>
      <c r="X33" s="127">
        <v>2954.0</v>
      </c>
      <c r="Y33" s="127">
        <v>2880.0</v>
      </c>
      <c r="Z33" s="127">
        <v>1847.0</v>
      </c>
      <c r="AA33" s="127">
        <v>146.0</v>
      </c>
      <c r="AB33" s="127"/>
      <c r="AC33" s="127">
        <v>112400.0</v>
      </c>
      <c r="AD33" s="127">
        <v>51050.0</v>
      </c>
      <c r="AE33" s="127">
        <v>56143.0</v>
      </c>
      <c r="AF33" s="127">
        <v>58519.0</v>
      </c>
      <c r="AG33" s="127">
        <v>9671.0</v>
      </c>
    </row>
    <row r="34">
      <c r="A34" s="126">
        <v>46024.0</v>
      </c>
      <c r="B34" s="127">
        <v>0.7958579881656804</v>
      </c>
      <c r="C34" s="127">
        <v>269.0</v>
      </c>
      <c r="D34" s="127">
        <v>338.0</v>
      </c>
      <c r="E34" s="127">
        <v>0.15730068064438896</v>
      </c>
      <c r="F34" s="127">
        <v>9198.0</v>
      </c>
      <c r="G34" s="127">
        <v>58474.0</v>
      </c>
      <c r="H34" s="127">
        <v>7096323.0</v>
      </c>
      <c r="I34" s="127">
        <v>24098.064796694933</v>
      </c>
      <c r="J34" s="127">
        <v>2.21654E8</v>
      </c>
      <c r="K34" s="127">
        <v>9198.0</v>
      </c>
      <c r="L34" s="127">
        <v>14344.0</v>
      </c>
      <c r="M34" s="127">
        <v>0.2879943757993475</v>
      </c>
      <c r="N34" s="127">
        <v>1.5781889462657142E8</v>
      </c>
      <c r="O34" s="127">
        <v>2.21654E8</v>
      </c>
      <c r="P34" s="127"/>
      <c r="Q34" s="127"/>
      <c r="R34" s="127"/>
      <c r="S34" s="127"/>
      <c r="T34" s="127"/>
      <c r="U34" s="127">
        <v>0.0</v>
      </c>
      <c r="V34" s="127">
        <v>0.0</v>
      </c>
      <c r="W34" s="127">
        <v>3262.0</v>
      </c>
      <c r="X34" s="127">
        <v>2613.0</v>
      </c>
      <c r="Y34" s="127">
        <v>2453.0</v>
      </c>
      <c r="Z34" s="127">
        <v>1625.0</v>
      </c>
      <c r="AA34" s="127">
        <v>137.0</v>
      </c>
      <c r="AB34" s="127"/>
      <c r="AC34" s="127">
        <v>114175.0</v>
      </c>
      <c r="AD34" s="127">
        <v>49569.0</v>
      </c>
      <c r="AE34" s="127">
        <v>56021.0</v>
      </c>
      <c r="AF34" s="127">
        <v>61747.0</v>
      </c>
      <c r="AG34" s="127">
        <v>9061.0</v>
      </c>
    </row>
    <row r="35">
      <c r="A35" s="126">
        <v>46025.0</v>
      </c>
      <c r="B35" s="127">
        <v>0.8473520249221184</v>
      </c>
      <c r="C35" s="127">
        <v>272.0</v>
      </c>
      <c r="D35" s="127">
        <v>321.0</v>
      </c>
      <c r="E35" s="127">
        <v>0.15925653540148427</v>
      </c>
      <c r="F35" s="127">
        <v>9528.0</v>
      </c>
      <c r="G35" s="127">
        <v>59828.0</v>
      </c>
      <c r="H35" s="127">
        <v>7522482.0</v>
      </c>
      <c r="I35" s="127">
        <v>23308.13392107473</v>
      </c>
      <c r="J35" s="127">
        <v>2.220799E8</v>
      </c>
      <c r="K35" s="127">
        <v>9528.0</v>
      </c>
      <c r="L35" s="127">
        <v>14877.0</v>
      </c>
      <c r="M35" s="127">
        <v>0.25852284393421565</v>
      </c>
      <c r="N35" s="127">
        <v>1.6466717267137378E8</v>
      </c>
      <c r="O35" s="127">
        <v>2.220799E8</v>
      </c>
      <c r="P35" s="127"/>
      <c r="Q35" s="127"/>
      <c r="R35" s="127"/>
      <c r="S35" s="127"/>
      <c r="T35" s="127"/>
      <c r="U35" s="127">
        <v>0.0</v>
      </c>
      <c r="V35" s="127">
        <v>0.0</v>
      </c>
      <c r="W35" s="127">
        <v>3353.0</v>
      </c>
      <c r="X35" s="127">
        <v>2690.0</v>
      </c>
      <c r="Y35" s="127">
        <v>2599.0</v>
      </c>
      <c r="Z35" s="127">
        <v>1747.0</v>
      </c>
      <c r="AA35" s="127">
        <v>124.0</v>
      </c>
      <c r="AB35" s="127"/>
      <c r="AC35" s="127">
        <v>115050.0</v>
      </c>
      <c r="AD35" s="127">
        <v>51285.0</v>
      </c>
      <c r="AE35" s="127">
        <v>57229.0</v>
      </c>
      <c r="AF35" s="127">
        <v>61804.0</v>
      </c>
      <c r="AG35" s="127">
        <v>9404.0</v>
      </c>
    </row>
    <row r="36">
      <c r="A36" s="126">
        <v>46026.0</v>
      </c>
      <c r="B36" s="127">
        <v>0.8186968838526912</v>
      </c>
      <c r="C36" s="127">
        <v>289.0</v>
      </c>
      <c r="D36" s="127">
        <v>353.0</v>
      </c>
      <c r="E36" s="127">
        <v>0.16845579465058902</v>
      </c>
      <c r="F36" s="127">
        <v>10310.0</v>
      </c>
      <c r="G36" s="127">
        <v>61203.0</v>
      </c>
      <c r="H36" s="127">
        <v>7938251.0</v>
      </c>
      <c r="I36" s="127">
        <v>24769.903006789526</v>
      </c>
      <c r="J36" s="127">
        <v>2.553777E8</v>
      </c>
      <c r="K36" s="127">
        <v>10310.0</v>
      </c>
      <c r="L36" s="127">
        <v>16230.0</v>
      </c>
      <c r="M36" s="127">
        <v>0.3137093615897787</v>
      </c>
      <c r="N36" s="127">
        <v>1.7526332476873398E8</v>
      </c>
      <c r="O36" s="127">
        <v>2.553777E8</v>
      </c>
      <c r="P36" s="127"/>
      <c r="Q36" s="127"/>
      <c r="R36" s="127"/>
      <c r="S36" s="127"/>
      <c r="T36" s="127"/>
      <c r="U36" s="127">
        <v>0.0</v>
      </c>
      <c r="V36" s="127">
        <v>0.0</v>
      </c>
      <c r="W36" s="127">
        <v>3479.0</v>
      </c>
      <c r="X36" s="127">
        <v>2847.0</v>
      </c>
      <c r="Y36" s="127">
        <v>2732.0</v>
      </c>
      <c r="Z36" s="127">
        <v>1858.0</v>
      </c>
      <c r="AA36" s="127">
        <v>142.0</v>
      </c>
      <c r="AB36" s="127"/>
      <c r="AC36" s="127">
        <v>116304.0</v>
      </c>
      <c r="AD36" s="127">
        <v>52546.0</v>
      </c>
      <c r="AE36" s="127">
        <v>58471.0</v>
      </c>
      <c r="AF36" s="127">
        <v>63183.0</v>
      </c>
      <c r="AG36" s="127">
        <v>10168.0</v>
      </c>
    </row>
    <row r="37">
      <c r="A37" s="126">
        <v>46027.0</v>
      </c>
      <c r="B37" s="127">
        <v>0.8746081504702194</v>
      </c>
      <c r="C37" s="127">
        <v>279.0</v>
      </c>
      <c r="D37" s="127">
        <v>319.0</v>
      </c>
      <c r="E37" s="127">
        <v>0.17662759859697152</v>
      </c>
      <c r="F37" s="127">
        <v>10323.0</v>
      </c>
      <c r="G37" s="127">
        <v>58445.0</v>
      </c>
      <c r="H37" s="127">
        <v>7052831.0</v>
      </c>
      <c r="I37" s="127">
        <v>28721.466627918242</v>
      </c>
      <c r="J37" s="127">
        <v>2.964917E8</v>
      </c>
      <c r="K37" s="127">
        <v>10323.0</v>
      </c>
      <c r="L37" s="127">
        <v>15462.0</v>
      </c>
      <c r="M37" s="127">
        <v>0.4342700114161503</v>
      </c>
      <c r="N37" s="127">
        <v>1.677342460562062E8</v>
      </c>
      <c r="O37" s="127">
        <v>2.964917E8</v>
      </c>
      <c r="P37" s="127"/>
      <c r="Q37" s="127"/>
      <c r="R37" s="127"/>
      <c r="S37" s="127"/>
      <c r="T37" s="127"/>
      <c r="U37" s="127">
        <v>0.0</v>
      </c>
      <c r="V37" s="127">
        <v>0.0</v>
      </c>
      <c r="W37" s="127">
        <v>2266.0</v>
      </c>
      <c r="X37" s="127">
        <v>1732.0</v>
      </c>
      <c r="Y37" s="127">
        <v>1689.0</v>
      </c>
      <c r="Z37" s="127">
        <v>1156.0</v>
      </c>
      <c r="AA37" s="127">
        <v>116.0</v>
      </c>
      <c r="AB37" s="127"/>
      <c r="AC37" s="127">
        <v>116188.0</v>
      </c>
      <c r="AD37" s="127">
        <v>50125.0</v>
      </c>
      <c r="AE37" s="127">
        <v>56756.0</v>
      </c>
      <c r="AF37" s="127">
        <v>63187.0</v>
      </c>
      <c r="AG37" s="127">
        <v>10207.0</v>
      </c>
    </row>
    <row r="38">
      <c r="A38" s="126">
        <v>46028.0</v>
      </c>
      <c r="B38" s="127">
        <v>0.8215767634854771</v>
      </c>
      <c r="C38" s="127">
        <v>198.0</v>
      </c>
      <c r="D38" s="127">
        <v>241.0</v>
      </c>
      <c r="E38" s="127">
        <v>0.15588871878794278</v>
      </c>
      <c r="F38" s="127">
        <v>8859.0</v>
      </c>
      <c r="G38" s="127">
        <v>56829.0</v>
      </c>
      <c r="H38" s="127">
        <v>6749609.0</v>
      </c>
      <c r="I38" s="127">
        <v>20982.277909470595</v>
      </c>
      <c r="J38" s="127">
        <v>1.85882E8</v>
      </c>
      <c r="K38" s="127">
        <v>8859.0</v>
      </c>
      <c r="L38" s="127">
        <v>13940.0</v>
      </c>
      <c r="M38" s="127">
        <v>0.190164473553323</v>
      </c>
      <c r="N38" s="127">
        <v>1.5053384732696122E8</v>
      </c>
      <c r="O38" s="127">
        <v>1.85882E8</v>
      </c>
      <c r="P38" s="127"/>
      <c r="Q38" s="127"/>
      <c r="R38" s="127"/>
      <c r="S38" s="127"/>
      <c r="T38" s="127"/>
      <c r="U38" s="127">
        <v>0.0</v>
      </c>
      <c r="V38" s="127">
        <v>0.0</v>
      </c>
      <c r="W38" s="127">
        <v>2083.0</v>
      </c>
      <c r="X38" s="127">
        <v>1582.0</v>
      </c>
      <c r="Y38" s="127">
        <v>1544.0</v>
      </c>
      <c r="Z38" s="127">
        <v>1055.0</v>
      </c>
      <c r="AA38" s="127">
        <v>99.0</v>
      </c>
      <c r="AB38" s="127"/>
      <c r="AC38" s="127">
        <v>115166.0</v>
      </c>
      <c r="AD38" s="127">
        <v>48765.0</v>
      </c>
      <c r="AE38" s="127">
        <v>55285.0</v>
      </c>
      <c r="AF38" s="127">
        <v>61856.0</v>
      </c>
      <c r="AG38" s="127">
        <v>8760.0</v>
      </c>
    </row>
    <row r="39">
      <c r="A39" s="126">
        <v>46029.0</v>
      </c>
      <c r="B39" s="127">
        <v>0.8878923766816144</v>
      </c>
      <c r="C39" s="127">
        <v>198.0</v>
      </c>
      <c r="D39" s="127">
        <v>223.0</v>
      </c>
      <c r="E39" s="127">
        <v>0.16020325346695366</v>
      </c>
      <c r="F39" s="127">
        <v>9080.0</v>
      </c>
      <c r="G39" s="127">
        <v>56678.0</v>
      </c>
      <c r="H39" s="127">
        <v>6510781.0</v>
      </c>
      <c r="I39" s="127">
        <v>21162.533039647577</v>
      </c>
      <c r="J39" s="127">
        <v>1.921558E8</v>
      </c>
      <c r="K39" s="127">
        <v>9080.0</v>
      </c>
      <c r="L39" s="127">
        <v>14261.0</v>
      </c>
      <c r="M39" s="127">
        <v>0.1854545870976072</v>
      </c>
      <c r="N39" s="127">
        <v>1.565196254525896E8</v>
      </c>
      <c r="O39" s="127">
        <v>1.921558E8</v>
      </c>
      <c r="P39" s="127"/>
      <c r="Q39" s="127"/>
      <c r="R39" s="127"/>
      <c r="S39" s="127"/>
      <c r="T39" s="127"/>
      <c r="U39" s="127">
        <v>0.0</v>
      </c>
      <c r="V39" s="127">
        <v>0.0</v>
      </c>
      <c r="W39" s="127">
        <v>2053.0</v>
      </c>
      <c r="X39" s="127">
        <v>1597.0</v>
      </c>
      <c r="Y39" s="127">
        <v>1549.0</v>
      </c>
      <c r="Z39" s="127">
        <v>1046.0</v>
      </c>
      <c r="AA39" s="127">
        <v>85.0</v>
      </c>
      <c r="AB39" s="127"/>
      <c r="AC39" s="127">
        <v>115476.0</v>
      </c>
      <c r="AD39" s="127">
        <v>48878.0</v>
      </c>
      <c r="AE39" s="127">
        <v>55129.0</v>
      </c>
      <c r="AF39" s="127">
        <v>61851.0</v>
      </c>
      <c r="AG39" s="127">
        <v>8995.0</v>
      </c>
    </row>
    <row r="40">
      <c r="A40" s="126">
        <v>46030.0</v>
      </c>
      <c r="B40" s="127">
        <v>0.8616600790513834</v>
      </c>
      <c r="C40" s="127">
        <v>218.0</v>
      </c>
      <c r="D40" s="127">
        <v>253.0</v>
      </c>
      <c r="E40" s="127">
        <v>0.16124642087030294</v>
      </c>
      <c r="F40" s="127">
        <v>9123.0</v>
      </c>
      <c r="G40" s="127">
        <v>56578.0</v>
      </c>
      <c r="H40" s="127">
        <v>6321031.0</v>
      </c>
      <c r="I40" s="127">
        <v>20977.529321495123</v>
      </c>
      <c r="J40" s="127">
        <v>1.91378E8</v>
      </c>
      <c r="K40" s="127">
        <v>9123.0</v>
      </c>
      <c r="L40" s="127">
        <v>14097.0</v>
      </c>
      <c r="M40" s="127">
        <v>0.2275526553881</v>
      </c>
      <c r="N40" s="127">
        <v>1.478294279171362E8</v>
      </c>
      <c r="O40" s="127">
        <v>1.91378E8</v>
      </c>
      <c r="P40" s="127"/>
      <c r="Q40" s="127"/>
      <c r="R40" s="127"/>
      <c r="S40" s="127"/>
      <c r="T40" s="127"/>
      <c r="U40" s="127">
        <v>0.0</v>
      </c>
      <c r="V40" s="127">
        <v>0.0</v>
      </c>
      <c r="W40" s="127">
        <v>2181.0</v>
      </c>
      <c r="X40" s="127">
        <v>1750.0</v>
      </c>
      <c r="Y40" s="127">
        <v>1592.0</v>
      </c>
      <c r="Z40" s="127">
        <v>1053.0</v>
      </c>
      <c r="AA40" s="127">
        <v>90.0</v>
      </c>
      <c r="AB40" s="127"/>
      <c r="AC40" s="127">
        <v>115509.0</v>
      </c>
      <c r="AD40" s="127">
        <v>49054.0</v>
      </c>
      <c r="AE40" s="127">
        <v>54986.0</v>
      </c>
      <c r="AF40" s="127">
        <v>61425.0</v>
      </c>
      <c r="AG40" s="127">
        <v>9033.0</v>
      </c>
    </row>
    <row r="41">
      <c r="A41" s="126">
        <v>46031.0</v>
      </c>
      <c r="B41" s="127">
        <v>0.8529411764705882</v>
      </c>
      <c r="C41" s="127">
        <v>290.0</v>
      </c>
      <c r="D41" s="127">
        <v>340.0</v>
      </c>
      <c r="E41" s="127">
        <v>0.17192451235828463</v>
      </c>
      <c r="F41" s="127">
        <v>9766.0</v>
      </c>
      <c r="G41" s="127">
        <v>56804.0</v>
      </c>
      <c r="H41" s="127">
        <v>6294395.0</v>
      </c>
      <c r="I41" s="127">
        <v>22464.530002047923</v>
      </c>
      <c r="J41" s="127">
        <v>2.193886E8</v>
      </c>
      <c r="K41" s="127">
        <v>9766.0</v>
      </c>
      <c r="L41" s="127">
        <v>15109.0</v>
      </c>
      <c r="M41" s="127">
        <v>0.29043468644152526</v>
      </c>
      <c r="N41" s="127">
        <v>1.556705407501548E8</v>
      </c>
      <c r="O41" s="127">
        <v>2.193886E8</v>
      </c>
      <c r="P41" s="127"/>
      <c r="Q41" s="127"/>
      <c r="R41" s="127"/>
      <c r="S41" s="127"/>
      <c r="T41" s="127"/>
      <c r="U41" s="127">
        <v>0.0</v>
      </c>
      <c r="V41" s="127">
        <v>0.0</v>
      </c>
      <c r="W41" s="127">
        <v>2561.0</v>
      </c>
      <c r="X41" s="127">
        <v>2063.0</v>
      </c>
      <c r="Y41" s="127">
        <v>1904.0</v>
      </c>
      <c r="Z41" s="127">
        <v>1290.0</v>
      </c>
      <c r="AA41" s="127">
        <v>151.0</v>
      </c>
      <c r="AB41" s="127"/>
      <c r="AC41" s="127">
        <v>115518.0</v>
      </c>
      <c r="AD41" s="127">
        <v>48506.0</v>
      </c>
      <c r="AE41" s="127">
        <v>54900.0</v>
      </c>
      <c r="AF41" s="127">
        <v>61411.0</v>
      </c>
      <c r="AG41" s="127">
        <v>9615.0</v>
      </c>
    </row>
    <row r="42">
      <c r="A42" s="126">
        <v>46032.0</v>
      </c>
      <c r="B42" s="127">
        <v>0.8320209973753281</v>
      </c>
      <c r="C42" s="127">
        <v>317.0</v>
      </c>
      <c r="D42" s="127">
        <v>381.0</v>
      </c>
      <c r="E42" s="127">
        <v>0.177092647362267</v>
      </c>
      <c r="F42" s="127">
        <v>10299.0</v>
      </c>
      <c r="G42" s="127">
        <v>58156.0</v>
      </c>
      <c r="H42" s="127">
        <v>7115010.0</v>
      </c>
      <c r="I42" s="127">
        <v>22696.553063404215</v>
      </c>
      <c r="J42" s="127">
        <v>2.337518E8</v>
      </c>
      <c r="K42" s="127">
        <v>10299.0</v>
      </c>
      <c r="L42" s="127">
        <v>16324.0</v>
      </c>
      <c r="M42" s="127">
        <v>0.2719370349536354</v>
      </c>
      <c r="N42" s="127">
        <v>1.701860285929248E8</v>
      </c>
      <c r="O42" s="127">
        <v>2.337518E8</v>
      </c>
      <c r="P42" s="127"/>
      <c r="Q42" s="127"/>
      <c r="R42" s="127"/>
      <c r="S42" s="127"/>
      <c r="T42" s="127"/>
      <c r="U42" s="127">
        <v>0.0</v>
      </c>
      <c r="V42" s="127">
        <v>0.0</v>
      </c>
      <c r="W42" s="127">
        <v>2438.0</v>
      </c>
      <c r="X42" s="127">
        <v>1998.0</v>
      </c>
      <c r="Y42" s="127">
        <v>1900.0</v>
      </c>
      <c r="Z42" s="127">
        <v>1332.0</v>
      </c>
      <c r="AA42" s="127">
        <v>156.0</v>
      </c>
      <c r="AB42" s="127"/>
      <c r="AC42" s="127">
        <v>116648.0</v>
      </c>
      <c r="AD42" s="127">
        <v>51491.0</v>
      </c>
      <c r="AE42" s="127">
        <v>56256.0</v>
      </c>
      <c r="AF42" s="127">
        <v>61768.0</v>
      </c>
      <c r="AG42" s="127">
        <v>10143.0</v>
      </c>
    </row>
    <row r="43">
      <c r="A43" s="126">
        <v>46033.0</v>
      </c>
      <c r="B43" s="127">
        <v>0.8367346938775511</v>
      </c>
      <c r="C43" s="127">
        <v>287.0</v>
      </c>
      <c r="D43" s="127">
        <v>343.0</v>
      </c>
      <c r="E43" s="127">
        <v>0.18619151416839863</v>
      </c>
      <c r="F43" s="127">
        <v>11019.0</v>
      </c>
      <c r="G43" s="127">
        <v>59181.0</v>
      </c>
      <c r="H43" s="127">
        <v>7800660.0</v>
      </c>
      <c r="I43" s="127">
        <v>23097.994373355115</v>
      </c>
      <c r="J43" s="127">
        <v>2.545168E8</v>
      </c>
      <c r="K43" s="127">
        <v>11019.0</v>
      </c>
      <c r="L43" s="127">
        <v>17636.0</v>
      </c>
      <c r="M43" s="127">
        <v>0.28113733931274076</v>
      </c>
      <c r="N43" s="127">
        <v>1.82962624037607E8</v>
      </c>
      <c r="O43" s="127">
        <v>2.545168E8</v>
      </c>
      <c r="P43" s="127"/>
      <c r="Q43" s="127"/>
      <c r="R43" s="127"/>
      <c r="S43" s="127"/>
      <c r="T43" s="127"/>
      <c r="U43" s="127">
        <v>0.0</v>
      </c>
      <c r="V43" s="127">
        <v>0.0</v>
      </c>
      <c r="W43" s="127">
        <v>2605.0</v>
      </c>
      <c r="X43" s="127">
        <v>2130.0</v>
      </c>
      <c r="Y43" s="127">
        <v>1994.0</v>
      </c>
      <c r="Z43" s="127">
        <v>1346.0</v>
      </c>
      <c r="AA43" s="127">
        <v>155.0</v>
      </c>
      <c r="AB43" s="127"/>
      <c r="AC43" s="127">
        <v>117027.0</v>
      </c>
      <c r="AD43" s="127">
        <v>51318.0</v>
      </c>
      <c r="AE43" s="127">
        <v>57187.0</v>
      </c>
      <c r="AF43" s="127">
        <v>62544.0</v>
      </c>
      <c r="AG43" s="127">
        <v>10864.0</v>
      </c>
    </row>
    <row r="44">
      <c r="A44" s="126">
        <v>46034.0</v>
      </c>
      <c r="B44" s="127">
        <v>0.8093645484949833</v>
      </c>
      <c r="C44" s="127">
        <v>242.0</v>
      </c>
      <c r="D44" s="127">
        <v>299.0</v>
      </c>
      <c r="E44" s="127">
        <v>0.18010353134129464</v>
      </c>
      <c r="F44" s="127">
        <v>10542.0</v>
      </c>
      <c r="G44" s="127">
        <v>58533.0</v>
      </c>
      <c r="H44" s="127">
        <v>7238894.0</v>
      </c>
      <c r="I44" s="127">
        <v>22802.91216088029</v>
      </c>
      <c r="J44" s="127">
        <v>2.403883E8</v>
      </c>
      <c r="K44" s="127">
        <v>10542.0</v>
      </c>
      <c r="L44" s="127">
        <v>16455.0</v>
      </c>
      <c r="M44" s="127">
        <v>0.2922616866142628</v>
      </c>
      <c r="N44" s="127">
        <v>1.701320099996646E8</v>
      </c>
      <c r="O44" s="127">
        <v>2.403883E8</v>
      </c>
      <c r="P44" s="127"/>
      <c r="Q44" s="127"/>
      <c r="R44" s="127"/>
      <c r="S44" s="127"/>
      <c r="T44" s="127"/>
      <c r="U44" s="127">
        <v>0.0</v>
      </c>
      <c r="V44" s="127">
        <v>0.0</v>
      </c>
      <c r="W44" s="127">
        <v>2296.0</v>
      </c>
      <c r="X44" s="127">
        <v>1865.0</v>
      </c>
      <c r="Y44" s="127">
        <v>1762.0</v>
      </c>
      <c r="Z44" s="127">
        <v>1202.0</v>
      </c>
      <c r="AA44" s="127">
        <v>109.0</v>
      </c>
      <c r="AB44" s="127"/>
      <c r="AC44" s="127">
        <v>117111.0</v>
      </c>
      <c r="AD44" s="127">
        <v>49980.0</v>
      </c>
      <c r="AE44" s="127">
        <v>56771.0</v>
      </c>
      <c r="AF44" s="127">
        <v>62346.0</v>
      </c>
      <c r="AG44" s="127">
        <v>10433.0</v>
      </c>
    </row>
    <row r="45">
      <c r="A45" s="126">
        <v>46035.0</v>
      </c>
      <c r="B45" s="127">
        <v>0.8528428093645485</v>
      </c>
      <c r="C45" s="127">
        <v>255.0</v>
      </c>
      <c r="D45" s="127">
        <v>299.0</v>
      </c>
      <c r="E45" s="127">
        <v>0.1761511094305897</v>
      </c>
      <c r="F45" s="127">
        <v>10249.0</v>
      </c>
      <c r="G45" s="127">
        <v>58183.0</v>
      </c>
      <c r="H45" s="127">
        <v>6995747.0</v>
      </c>
      <c r="I45" s="127">
        <v>22522.831495755683</v>
      </c>
      <c r="J45" s="127">
        <v>2.308365E8</v>
      </c>
      <c r="K45" s="127">
        <v>10249.0</v>
      </c>
      <c r="L45" s="127">
        <v>15921.0</v>
      </c>
      <c r="M45" s="127">
        <v>0.2813034646949256</v>
      </c>
      <c r="N45" s="127">
        <v>1.659013927719498E8</v>
      </c>
      <c r="O45" s="127">
        <v>2.308365E8</v>
      </c>
      <c r="P45" s="127"/>
      <c r="Q45" s="127"/>
      <c r="R45" s="127"/>
      <c r="S45" s="127"/>
      <c r="T45" s="127"/>
      <c r="U45" s="127">
        <v>0.0</v>
      </c>
      <c r="V45" s="127">
        <v>0.0</v>
      </c>
      <c r="W45" s="127">
        <v>2261.0</v>
      </c>
      <c r="X45" s="127">
        <v>1809.0</v>
      </c>
      <c r="Y45" s="127">
        <v>1729.0</v>
      </c>
      <c r="Z45" s="127">
        <v>1205.0</v>
      </c>
      <c r="AA45" s="127">
        <v>113.0</v>
      </c>
      <c r="AB45" s="127"/>
      <c r="AC45" s="127">
        <v>117158.0</v>
      </c>
      <c r="AD45" s="127">
        <v>49990.0</v>
      </c>
      <c r="AE45" s="127">
        <v>56454.0</v>
      </c>
      <c r="AF45" s="127">
        <v>62213.0</v>
      </c>
      <c r="AG45" s="127">
        <v>10136.0</v>
      </c>
    </row>
    <row r="46">
      <c r="A46" s="126">
        <v>46036.0</v>
      </c>
      <c r="B46" s="127">
        <v>0.823076923076923</v>
      </c>
      <c r="C46" s="127">
        <v>214.0</v>
      </c>
      <c r="D46" s="127">
        <v>260.0</v>
      </c>
      <c r="E46" s="127">
        <v>0.13069448043534596</v>
      </c>
      <c r="F46" s="127">
        <v>10087.0</v>
      </c>
      <c r="G46" s="127">
        <v>77180.0</v>
      </c>
      <c r="H46" s="127">
        <v>6986299.0</v>
      </c>
      <c r="I46" s="127">
        <v>21924.338257162686</v>
      </c>
      <c r="J46" s="127">
        <v>2.211508E8</v>
      </c>
      <c r="K46" s="127">
        <v>10087.0</v>
      </c>
      <c r="L46" s="127">
        <v>15892.0</v>
      </c>
      <c r="M46" s="127">
        <v>0.27428414755142927</v>
      </c>
      <c r="N46" s="127">
        <v>1.604926413416834E8</v>
      </c>
      <c r="O46" s="127">
        <v>2.211508E8</v>
      </c>
      <c r="P46" s="127"/>
      <c r="Q46" s="127"/>
      <c r="R46" s="127"/>
      <c r="S46" s="127"/>
      <c r="T46" s="127"/>
      <c r="U46" s="127">
        <v>0.0</v>
      </c>
      <c r="V46" s="127">
        <v>0.0</v>
      </c>
      <c r="W46" s="127">
        <v>2349.0</v>
      </c>
      <c r="X46" s="127">
        <v>1867.0</v>
      </c>
      <c r="Y46" s="127">
        <v>1812.0</v>
      </c>
      <c r="Z46" s="127">
        <v>1226.0</v>
      </c>
      <c r="AA46" s="127">
        <v>100.0</v>
      </c>
      <c r="AB46" s="127"/>
      <c r="AC46" s="127">
        <v>117077.0</v>
      </c>
      <c r="AD46" s="127">
        <v>50637.0</v>
      </c>
      <c r="AE46" s="127">
        <v>75368.0</v>
      </c>
      <c r="AF46" s="127">
        <v>62470.0</v>
      </c>
      <c r="AG46" s="127">
        <v>9987.0</v>
      </c>
    </row>
    <row r="47">
      <c r="A47" s="126">
        <v>46037.0</v>
      </c>
      <c r="B47" s="127">
        <v>0.8197879858657244</v>
      </c>
      <c r="C47" s="127">
        <v>232.0</v>
      </c>
      <c r="D47" s="127">
        <v>283.0</v>
      </c>
      <c r="E47" s="127">
        <v>0.16385645632751475</v>
      </c>
      <c r="F47" s="127">
        <v>9922.0</v>
      </c>
      <c r="G47" s="127">
        <v>60553.0</v>
      </c>
      <c r="H47" s="127">
        <v>6793359.0</v>
      </c>
      <c r="I47" s="127">
        <v>22596.341463414636</v>
      </c>
      <c r="J47" s="127">
        <v>2.242009E8</v>
      </c>
      <c r="K47" s="127">
        <v>9922.0</v>
      </c>
      <c r="L47" s="127">
        <v>15496.0</v>
      </c>
      <c r="M47" s="127">
        <v>0.29627147101551066</v>
      </c>
      <c r="N47" s="127">
        <v>1.577765695539986E8</v>
      </c>
      <c r="O47" s="127">
        <v>2.242009E8</v>
      </c>
      <c r="P47" s="127"/>
      <c r="Q47" s="127"/>
      <c r="R47" s="127"/>
      <c r="S47" s="127"/>
      <c r="T47" s="127"/>
      <c r="U47" s="127">
        <v>0.0</v>
      </c>
      <c r="V47" s="127">
        <v>0.0</v>
      </c>
      <c r="W47" s="127">
        <v>2503.0</v>
      </c>
      <c r="X47" s="127">
        <v>1995.0</v>
      </c>
      <c r="Y47" s="127">
        <v>1967.0</v>
      </c>
      <c r="Z47" s="127">
        <v>1239.0</v>
      </c>
      <c r="AA47" s="127">
        <v>100.0</v>
      </c>
      <c r="AB47" s="127"/>
      <c r="AC47" s="127">
        <v>115814.0</v>
      </c>
      <c r="AD47" s="127">
        <v>49449.0</v>
      </c>
      <c r="AE47" s="127">
        <v>58586.0</v>
      </c>
      <c r="AF47" s="127">
        <v>62010.0</v>
      </c>
      <c r="AG47" s="127">
        <v>9822.0</v>
      </c>
    </row>
    <row r="48">
      <c r="A48" s="126">
        <v>46038.0</v>
      </c>
      <c r="B48" s="127">
        <v>0.823321554770318</v>
      </c>
      <c r="C48" s="127">
        <v>233.0</v>
      </c>
      <c r="D48" s="127">
        <v>283.0</v>
      </c>
      <c r="E48" s="127">
        <v>0.16905300175835217</v>
      </c>
      <c r="F48" s="127">
        <v>10095.0</v>
      </c>
      <c r="G48" s="127">
        <v>59715.0</v>
      </c>
      <c r="H48" s="127">
        <v>6751905.0</v>
      </c>
      <c r="I48" s="127">
        <v>22283.68499257058</v>
      </c>
      <c r="J48" s="127">
        <v>2.249538E8</v>
      </c>
      <c r="K48" s="127">
        <v>10095.0</v>
      </c>
      <c r="L48" s="127">
        <v>15603.0</v>
      </c>
      <c r="M48" s="127">
        <v>0.30005777161884517</v>
      </c>
      <c r="N48" s="127">
        <v>1.5745466405480862E8</v>
      </c>
      <c r="O48" s="127">
        <v>2.249538E8</v>
      </c>
      <c r="P48" s="127"/>
      <c r="Q48" s="127"/>
      <c r="R48" s="127"/>
      <c r="S48" s="127"/>
      <c r="T48" s="127"/>
      <c r="U48" s="127">
        <v>0.0</v>
      </c>
      <c r="V48" s="127">
        <v>0.0</v>
      </c>
      <c r="W48" s="127">
        <v>2734.0</v>
      </c>
      <c r="X48" s="127">
        <v>2237.0</v>
      </c>
      <c r="Y48" s="127">
        <v>2184.0</v>
      </c>
      <c r="Z48" s="127">
        <v>1505.0</v>
      </c>
      <c r="AA48" s="127">
        <v>116.0</v>
      </c>
      <c r="AB48" s="127"/>
      <c r="AC48" s="127">
        <v>114119.0</v>
      </c>
      <c r="AD48" s="127">
        <v>49068.0</v>
      </c>
      <c r="AE48" s="127">
        <v>57531.0</v>
      </c>
      <c r="AF48" s="127">
        <v>61538.0</v>
      </c>
      <c r="AG48" s="127">
        <v>9979.0</v>
      </c>
    </row>
    <row r="49">
      <c r="A49" s="126">
        <v>46039.0</v>
      </c>
      <c r="B49" s="127">
        <v>0.8319148936170213</v>
      </c>
      <c r="C49" s="127">
        <v>391.0</v>
      </c>
      <c r="D49" s="127">
        <v>470.0</v>
      </c>
      <c r="E49" s="127">
        <v>0.15250620563515221</v>
      </c>
      <c r="F49" s="127">
        <v>10506.0</v>
      </c>
      <c r="G49" s="127">
        <v>68889.0</v>
      </c>
      <c r="H49" s="127">
        <v>7167054.0</v>
      </c>
      <c r="I49" s="127">
        <v>21881.70569198553</v>
      </c>
      <c r="J49" s="127">
        <v>2.298892E8</v>
      </c>
      <c r="K49" s="127">
        <v>10506.0</v>
      </c>
      <c r="L49" s="127">
        <v>16409.0</v>
      </c>
      <c r="M49" s="127">
        <v>0.28585958824510593</v>
      </c>
      <c r="N49" s="127">
        <v>1.641731679460032E8</v>
      </c>
      <c r="O49" s="127">
        <v>2.298892E8</v>
      </c>
      <c r="P49" s="127"/>
      <c r="Q49" s="127"/>
      <c r="R49" s="127"/>
      <c r="S49" s="127"/>
      <c r="T49" s="127"/>
      <c r="U49" s="127">
        <v>0.0</v>
      </c>
      <c r="V49" s="127">
        <v>0.0</v>
      </c>
      <c r="W49" s="127">
        <v>3299.0</v>
      </c>
      <c r="X49" s="127">
        <v>2721.0</v>
      </c>
      <c r="Y49" s="127">
        <v>2648.0</v>
      </c>
      <c r="Z49" s="127">
        <v>1832.0</v>
      </c>
      <c r="AA49" s="127">
        <v>221.0</v>
      </c>
      <c r="AB49" s="127"/>
      <c r="AC49" s="127">
        <v>115210.0</v>
      </c>
      <c r="AD49" s="127">
        <v>50480.0</v>
      </c>
      <c r="AE49" s="127">
        <v>66241.0</v>
      </c>
      <c r="AF49" s="127">
        <v>62037.0</v>
      </c>
      <c r="AG49" s="127">
        <v>10285.0</v>
      </c>
    </row>
    <row r="50">
      <c r="A50" s="126">
        <v>46040.0</v>
      </c>
      <c r="B50" s="127">
        <v>0.8494208494208494</v>
      </c>
      <c r="C50" s="127">
        <v>440.0</v>
      </c>
      <c r="D50" s="127">
        <v>518.0</v>
      </c>
      <c r="E50" s="127">
        <v>0.17599711865203024</v>
      </c>
      <c r="F50" s="127">
        <v>11239.0</v>
      </c>
      <c r="G50" s="127">
        <v>63859.0</v>
      </c>
      <c r="H50" s="127">
        <v>7844328.0</v>
      </c>
      <c r="I50" s="127">
        <v>23135.892873031407</v>
      </c>
      <c r="J50" s="127">
        <v>2.600243E8</v>
      </c>
      <c r="K50" s="127">
        <v>11239.0</v>
      </c>
      <c r="L50" s="127">
        <v>17796.0</v>
      </c>
      <c r="M50" s="127">
        <v>0.30611413079054994</v>
      </c>
      <c r="N50" s="127">
        <v>1.804271874210788E8</v>
      </c>
      <c r="O50" s="127">
        <v>2.600243E8</v>
      </c>
      <c r="P50" s="127"/>
      <c r="Q50" s="127"/>
      <c r="R50" s="127"/>
      <c r="S50" s="127"/>
      <c r="T50" s="127"/>
      <c r="U50" s="127">
        <v>0.0</v>
      </c>
      <c r="V50" s="127">
        <v>0.0</v>
      </c>
      <c r="W50" s="127">
        <v>3392.0</v>
      </c>
      <c r="X50" s="127">
        <v>2801.0</v>
      </c>
      <c r="Y50" s="127">
        <v>2716.0</v>
      </c>
      <c r="Z50" s="127">
        <v>1929.0</v>
      </c>
      <c r="AA50" s="127">
        <v>250.0</v>
      </c>
      <c r="AB50" s="127"/>
      <c r="AC50" s="127">
        <v>115805.0</v>
      </c>
      <c r="AD50" s="127">
        <v>51861.0</v>
      </c>
      <c r="AE50" s="127">
        <v>61143.0</v>
      </c>
      <c r="AF50" s="127">
        <v>63388.0</v>
      </c>
      <c r="AG50" s="127">
        <v>10989.0</v>
      </c>
    </row>
    <row r="51">
      <c r="A51" s="126">
        <v>46041.0</v>
      </c>
      <c r="B51" s="127">
        <v>0.821522309711286</v>
      </c>
      <c r="C51" s="127">
        <v>313.0</v>
      </c>
      <c r="D51" s="127">
        <v>381.0</v>
      </c>
      <c r="E51" s="127">
        <v>0.1781223532477686</v>
      </c>
      <c r="F51" s="127">
        <v>10936.0</v>
      </c>
      <c r="G51" s="127">
        <v>61396.0</v>
      </c>
      <c r="H51" s="127">
        <v>7419353.0</v>
      </c>
      <c r="I51" s="127">
        <v>22520.327359180686</v>
      </c>
      <c r="J51" s="127">
        <v>2.462823E8</v>
      </c>
      <c r="K51" s="127">
        <v>10936.0</v>
      </c>
      <c r="L51" s="127">
        <v>17352.0</v>
      </c>
      <c r="M51" s="127">
        <v>0.30494586303702054</v>
      </c>
      <c r="N51" s="127">
        <v>1.711795314757576E8</v>
      </c>
      <c r="O51" s="127">
        <v>2.462823E8</v>
      </c>
      <c r="P51" s="127"/>
      <c r="Q51" s="127"/>
      <c r="R51" s="127"/>
      <c r="S51" s="127"/>
      <c r="T51" s="127"/>
      <c r="U51" s="127">
        <v>0.0</v>
      </c>
      <c r="V51" s="127">
        <v>0.0</v>
      </c>
      <c r="W51" s="127">
        <v>2824.0</v>
      </c>
      <c r="X51" s="127">
        <v>2330.0</v>
      </c>
      <c r="Y51" s="127">
        <v>2278.0</v>
      </c>
      <c r="Z51" s="127">
        <v>1601.0</v>
      </c>
      <c r="AA51" s="127">
        <v>171.0</v>
      </c>
      <c r="AB51" s="127"/>
      <c r="AC51" s="127">
        <v>115356.0</v>
      </c>
      <c r="AD51" s="127">
        <v>50258.0</v>
      </c>
      <c r="AE51" s="127">
        <v>59118.0</v>
      </c>
      <c r="AF51" s="127">
        <v>63183.0</v>
      </c>
      <c r="AG51" s="127">
        <v>10765.0</v>
      </c>
    </row>
    <row r="52">
      <c r="A52" s="126">
        <v>46042.0</v>
      </c>
      <c r="B52" s="127">
        <v>0.8247978436657682</v>
      </c>
      <c r="C52" s="127">
        <v>306.0</v>
      </c>
      <c r="D52" s="127">
        <v>371.0</v>
      </c>
      <c r="E52" s="127">
        <v>0.15761889163515083</v>
      </c>
      <c r="F52" s="127">
        <v>10586.0</v>
      </c>
      <c r="G52" s="127">
        <v>67162.0</v>
      </c>
      <c r="H52" s="127">
        <v>7145419.0</v>
      </c>
      <c r="I52" s="127">
        <v>22776.39334970716</v>
      </c>
      <c r="J52" s="127">
        <v>2.411109E8</v>
      </c>
      <c r="K52" s="127">
        <v>10586.0</v>
      </c>
      <c r="L52" s="127">
        <v>16699.0</v>
      </c>
      <c r="M52" s="127">
        <v>0.31540155041217954</v>
      </c>
      <c r="N52" s="127">
        <v>1.65064148318724E8</v>
      </c>
      <c r="O52" s="127">
        <v>2.411109E8</v>
      </c>
      <c r="P52" s="127"/>
      <c r="Q52" s="127"/>
      <c r="R52" s="127"/>
      <c r="S52" s="127"/>
      <c r="T52" s="127"/>
      <c r="U52" s="127">
        <v>0.0</v>
      </c>
      <c r="V52" s="127">
        <v>0.0</v>
      </c>
      <c r="W52" s="127">
        <v>2601.0</v>
      </c>
      <c r="X52" s="127">
        <v>2079.0</v>
      </c>
      <c r="Y52" s="127">
        <v>2044.0</v>
      </c>
      <c r="Z52" s="127">
        <v>1407.0</v>
      </c>
      <c r="AA52" s="127">
        <v>156.0</v>
      </c>
      <c r="AB52" s="127"/>
      <c r="AC52" s="127">
        <v>115041.0</v>
      </c>
      <c r="AD52" s="127">
        <v>50318.0</v>
      </c>
      <c r="AE52" s="127">
        <v>65118.0</v>
      </c>
      <c r="AF52" s="127">
        <v>63434.0</v>
      </c>
      <c r="AG52" s="127">
        <v>10430.0</v>
      </c>
    </row>
    <row r="53">
      <c r="A53" s="126">
        <v>46043.0</v>
      </c>
      <c r="B53" s="127">
        <v>0.8398876404494382</v>
      </c>
      <c r="C53" s="127">
        <v>299.0</v>
      </c>
      <c r="D53" s="127">
        <v>356.0</v>
      </c>
      <c r="E53" s="127">
        <v>0.16729584099635403</v>
      </c>
      <c r="F53" s="127">
        <v>10370.0</v>
      </c>
      <c r="G53" s="127">
        <v>61986.0</v>
      </c>
      <c r="H53" s="127">
        <v>6942344.0</v>
      </c>
      <c r="I53" s="127">
        <v>22330.26036644166</v>
      </c>
      <c r="J53" s="127">
        <v>2.315648E8</v>
      </c>
      <c r="K53" s="127">
        <v>10370.0</v>
      </c>
      <c r="L53" s="127">
        <v>16192.0</v>
      </c>
      <c r="M53" s="127">
        <v>0.29915933873841705</v>
      </c>
      <c r="N53" s="127">
        <v>1.622900275569062E8</v>
      </c>
      <c r="O53" s="127">
        <v>2.315648E8</v>
      </c>
      <c r="P53" s="127"/>
      <c r="Q53" s="127"/>
      <c r="R53" s="127"/>
      <c r="S53" s="127"/>
      <c r="T53" s="127"/>
      <c r="U53" s="127">
        <v>0.0</v>
      </c>
      <c r="V53" s="127">
        <v>0.0</v>
      </c>
      <c r="W53" s="127">
        <v>2681.0</v>
      </c>
      <c r="X53" s="127">
        <v>2148.0</v>
      </c>
      <c r="Y53" s="127">
        <v>2088.0</v>
      </c>
      <c r="Z53" s="127">
        <v>1492.0</v>
      </c>
      <c r="AA53" s="127">
        <v>139.0</v>
      </c>
      <c r="AB53" s="127"/>
      <c r="AC53" s="127">
        <v>115530.0</v>
      </c>
      <c r="AD53" s="127">
        <v>50867.0</v>
      </c>
      <c r="AE53" s="127">
        <v>59898.0</v>
      </c>
      <c r="AF53" s="127">
        <v>63158.0</v>
      </c>
      <c r="AG53" s="127">
        <v>10231.0</v>
      </c>
    </row>
    <row r="54">
      <c r="A54" s="126">
        <v>46044.0</v>
      </c>
      <c r="B54" s="127">
        <v>0.794392523364486</v>
      </c>
      <c r="C54" s="127">
        <v>255.0</v>
      </c>
      <c r="D54" s="127">
        <v>321.0</v>
      </c>
      <c r="E54" s="127">
        <v>0.16579949133101718</v>
      </c>
      <c r="F54" s="127">
        <v>9974.0</v>
      </c>
      <c r="G54" s="127">
        <v>60157.0</v>
      </c>
      <c r="H54" s="127">
        <v>6895484.0</v>
      </c>
      <c r="I54" s="127">
        <v>22435.061159013436</v>
      </c>
      <c r="J54" s="127">
        <v>2.237673E8</v>
      </c>
      <c r="K54" s="127">
        <v>9974.0</v>
      </c>
      <c r="L54" s="127">
        <v>15684.0</v>
      </c>
      <c r="M54" s="127">
        <v>0.2928854312980753</v>
      </c>
      <c r="N54" s="127">
        <v>1.582291178290942E8</v>
      </c>
      <c r="O54" s="127">
        <v>2.237673E8</v>
      </c>
      <c r="P54" s="127"/>
      <c r="Q54" s="127"/>
      <c r="R54" s="127"/>
      <c r="S54" s="127"/>
      <c r="T54" s="127"/>
      <c r="U54" s="127">
        <v>0.0</v>
      </c>
      <c r="V54" s="127">
        <v>0.0</v>
      </c>
      <c r="W54" s="127">
        <v>2375.0</v>
      </c>
      <c r="X54" s="127">
        <v>1884.0</v>
      </c>
      <c r="Y54" s="127">
        <v>1806.0</v>
      </c>
      <c r="Z54" s="127">
        <v>1261.0</v>
      </c>
      <c r="AA54" s="127">
        <v>118.0</v>
      </c>
      <c r="AB54" s="127"/>
      <c r="AC54" s="127">
        <v>115325.0</v>
      </c>
      <c r="AD54" s="127">
        <v>49719.0</v>
      </c>
      <c r="AE54" s="127">
        <v>58351.0</v>
      </c>
      <c r="AF54" s="127">
        <v>62584.0</v>
      </c>
      <c r="AG54" s="127">
        <v>9856.0</v>
      </c>
    </row>
    <row r="55">
      <c r="A55" s="126">
        <v>46045.0</v>
      </c>
      <c r="B55" s="127">
        <v>0.8553459119496856</v>
      </c>
      <c r="C55" s="127">
        <v>272.0</v>
      </c>
      <c r="D55" s="127">
        <v>318.0</v>
      </c>
      <c r="E55" s="127">
        <v>0.15794961436435284</v>
      </c>
      <c r="F55" s="127">
        <v>10301.0</v>
      </c>
      <c r="G55" s="127">
        <v>65217.0</v>
      </c>
      <c r="H55" s="127">
        <v>6781562.0</v>
      </c>
      <c r="I55" s="127">
        <v>22789.098145811087</v>
      </c>
      <c r="J55" s="127">
        <v>2.347505E8</v>
      </c>
      <c r="K55" s="127">
        <v>10301.0</v>
      </c>
      <c r="L55" s="127">
        <v>16011.0</v>
      </c>
      <c r="M55" s="127">
        <v>0.31807450117522396</v>
      </c>
      <c r="N55" s="127">
        <v>1.600823518118656E8</v>
      </c>
      <c r="O55" s="127">
        <v>2.347505E8</v>
      </c>
      <c r="P55" s="127"/>
      <c r="Q55" s="127"/>
      <c r="R55" s="127"/>
      <c r="S55" s="127"/>
      <c r="T55" s="127"/>
      <c r="U55" s="127">
        <v>0.0</v>
      </c>
      <c r="V55" s="127">
        <v>0.0</v>
      </c>
      <c r="W55" s="127">
        <v>2624.0</v>
      </c>
      <c r="X55" s="127">
        <v>2086.0</v>
      </c>
      <c r="Y55" s="127">
        <v>2050.0</v>
      </c>
      <c r="Z55" s="127">
        <v>1450.0</v>
      </c>
      <c r="AA55" s="127">
        <v>136.0</v>
      </c>
      <c r="AB55" s="127"/>
      <c r="AC55" s="127">
        <v>115194.0</v>
      </c>
      <c r="AD55" s="127">
        <v>49986.0</v>
      </c>
      <c r="AE55" s="127">
        <v>63167.0</v>
      </c>
      <c r="AF55" s="127">
        <v>62630.0</v>
      </c>
      <c r="AG55" s="127">
        <v>10165.0</v>
      </c>
    </row>
    <row r="56">
      <c r="A56" s="126">
        <v>46046.0</v>
      </c>
      <c r="B56" s="127">
        <v>0.8323353293413174</v>
      </c>
      <c r="C56" s="127">
        <v>417.0</v>
      </c>
      <c r="D56" s="127">
        <v>501.0</v>
      </c>
      <c r="E56" s="127">
        <v>0.16640302720138953</v>
      </c>
      <c r="F56" s="127">
        <v>10730.0</v>
      </c>
      <c r="G56" s="127">
        <v>64482.0</v>
      </c>
      <c r="H56" s="127">
        <v>7257870.0</v>
      </c>
      <c r="I56" s="127">
        <v>22752.54426840634</v>
      </c>
      <c r="J56" s="127">
        <v>2.441348E8</v>
      </c>
      <c r="K56" s="127">
        <v>10730.0</v>
      </c>
      <c r="L56" s="127">
        <v>16951.0</v>
      </c>
      <c r="M56" s="127">
        <v>0.3026183377310733</v>
      </c>
      <c r="N56" s="127">
        <v>1.7025513264169198E8</v>
      </c>
      <c r="O56" s="127">
        <v>2.441348E8</v>
      </c>
      <c r="P56" s="127"/>
      <c r="Q56" s="127"/>
      <c r="R56" s="127"/>
      <c r="S56" s="127"/>
      <c r="T56" s="127"/>
      <c r="U56" s="127">
        <v>0.0</v>
      </c>
      <c r="V56" s="127">
        <v>0.0</v>
      </c>
      <c r="W56" s="127">
        <v>4175.0</v>
      </c>
      <c r="X56" s="127">
        <v>3377.0</v>
      </c>
      <c r="Y56" s="127">
        <v>3208.0</v>
      </c>
      <c r="Z56" s="127">
        <v>2430.0</v>
      </c>
      <c r="AA56" s="127">
        <v>278.0</v>
      </c>
      <c r="AB56" s="127"/>
      <c r="AC56" s="127">
        <v>116923.0</v>
      </c>
      <c r="AD56" s="127">
        <v>51827.0</v>
      </c>
      <c r="AE56" s="127">
        <v>61274.0</v>
      </c>
      <c r="AF56" s="127">
        <v>63664.0</v>
      </c>
      <c r="AG56" s="127">
        <v>10452.0</v>
      </c>
    </row>
    <row r="57">
      <c r="A57" s="126">
        <v>46047.0</v>
      </c>
      <c r="B57" s="127">
        <v>0.8090452261306532</v>
      </c>
      <c r="C57" s="127">
        <v>483.0</v>
      </c>
      <c r="D57" s="127">
        <v>597.0</v>
      </c>
      <c r="E57" s="127">
        <v>0.1778747825025184</v>
      </c>
      <c r="F57" s="127">
        <v>11654.0</v>
      </c>
      <c r="G57" s="127">
        <v>65518.0</v>
      </c>
      <c r="H57" s="127">
        <v>7922189.0</v>
      </c>
      <c r="I57" s="127">
        <v>23563.488930839198</v>
      </c>
      <c r="J57" s="127">
        <v>2.746089E8</v>
      </c>
      <c r="K57" s="127">
        <v>11654.0</v>
      </c>
      <c r="L57" s="127">
        <v>18525.0</v>
      </c>
      <c r="M57" s="127">
        <v>0.31343916555085294</v>
      </c>
      <c r="N57" s="127">
        <v>1.8853571553116238E8</v>
      </c>
      <c r="O57" s="127">
        <v>2.746089E8</v>
      </c>
      <c r="P57" s="127"/>
      <c r="Q57" s="127"/>
      <c r="R57" s="127"/>
      <c r="S57" s="127"/>
      <c r="T57" s="127"/>
      <c r="U57" s="127">
        <v>0.0</v>
      </c>
      <c r="V57" s="127">
        <v>0.0</v>
      </c>
      <c r="W57" s="127">
        <v>4317.0</v>
      </c>
      <c r="X57" s="127">
        <v>3544.0</v>
      </c>
      <c r="Y57" s="127">
        <v>3352.0</v>
      </c>
      <c r="Z57" s="127">
        <v>2612.0</v>
      </c>
      <c r="AA57" s="127">
        <v>300.0</v>
      </c>
      <c r="AB57" s="127"/>
      <c r="AC57" s="127">
        <v>118796.0</v>
      </c>
      <c r="AD57" s="127">
        <v>53159.0</v>
      </c>
      <c r="AE57" s="127">
        <v>62166.0</v>
      </c>
      <c r="AF57" s="127">
        <v>65141.0</v>
      </c>
      <c r="AG57" s="127">
        <v>11354.0</v>
      </c>
    </row>
    <row r="58">
      <c r="A58" s="126">
        <v>46048.0</v>
      </c>
      <c r="B58" s="127">
        <v>0.8199152542372882</v>
      </c>
      <c r="C58" s="127">
        <v>387.0</v>
      </c>
      <c r="D58" s="127">
        <v>472.0</v>
      </c>
      <c r="E58" s="127">
        <v>0.166651867637483</v>
      </c>
      <c r="F58" s="127">
        <v>11261.0</v>
      </c>
      <c r="G58" s="127">
        <v>67572.0</v>
      </c>
      <c r="H58" s="127">
        <v>7541827.0</v>
      </c>
      <c r="I58" s="127">
        <v>22903.205754373503</v>
      </c>
      <c r="J58" s="127">
        <v>2.57913E8</v>
      </c>
      <c r="K58" s="127">
        <v>11261.0</v>
      </c>
      <c r="L58" s="127">
        <v>17926.0</v>
      </c>
      <c r="M58" s="127">
        <v>0.31905096834290003</v>
      </c>
      <c r="N58" s="127">
        <v>1.756256076017776E8</v>
      </c>
      <c r="O58" s="127">
        <v>2.57913E8</v>
      </c>
      <c r="P58" s="127"/>
      <c r="Q58" s="127"/>
      <c r="R58" s="127"/>
      <c r="S58" s="127"/>
      <c r="T58" s="127"/>
      <c r="U58" s="127">
        <v>0.0</v>
      </c>
      <c r="V58" s="127">
        <v>0.0</v>
      </c>
      <c r="W58" s="127">
        <v>3457.0</v>
      </c>
      <c r="X58" s="127">
        <v>2835.0</v>
      </c>
      <c r="Y58" s="127">
        <v>2680.0</v>
      </c>
      <c r="Z58" s="127">
        <v>2021.0</v>
      </c>
      <c r="AA58" s="127">
        <v>190.0</v>
      </c>
      <c r="AB58" s="127"/>
      <c r="AC58" s="127">
        <v>118846.0</v>
      </c>
      <c r="AD58" s="127">
        <v>51940.0</v>
      </c>
      <c r="AE58" s="127">
        <v>64892.0</v>
      </c>
      <c r="AF58" s="127">
        <v>65059.0</v>
      </c>
      <c r="AG58" s="127">
        <v>11071.0</v>
      </c>
    </row>
    <row r="59">
      <c r="A59" s="126">
        <v>46049.0</v>
      </c>
      <c r="B59" s="127">
        <v>0.8519417475728155</v>
      </c>
      <c r="C59" s="127">
        <v>351.0</v>
      </c>
      <c r="D59" s="127">
        <v>412.0</v>
      </c>
      <c r="E59" s="127">
        <v>0.17731292068100832</v>
      </c>
      <c r="F59" s="127">
        <v>10748.0</v>
      </c>
      <c r="G59" s="127">
        <v>60616.0</v>
      </c>
      <c r="H59" s="127">
        <v>7284975.0</v>
      </c>
      <c r="I59" s="127">
        <v>22555.480089318942</v>
      </c>
      <c r="J59" s="127">
        <v>2.424263E8</v>
      </c>
      <c r="K59" s="127">
        <v>10748.0</v>
      </c>
      <c r="L59" s="127">
        <v>16957.0</v>
      </c>
      <c r="M59" s="127">
        <v>0.2997319138502612</v>
      </c>
      <c r="N59" s="127">
        <v>1.697634011333624E8</v>
      </c>
      <c r="O59" s="127">
        <v>2.424263E8</v>
      </c>
      <c r="P59" s="127"/>
      <c r="Q59" s="127"/>
      <c r="R59" s="127"/>
      <c r="S59" s="127"/>
      <c r="T59" s="127"/>
      <c r="U59" s="127">
        <v>0.0</v>
      </c>
      <c r="V59" s="127">
        <v>0.0</v>
      </c>
      <c r="W59" s="127">
        <v>2974.0</v>
      </c>
      <c r="X59" s="127">
        <v>2386.0</v>
      </c>
      <c r="Y59" s="127">
        <v>2297.0</v>
      </c>
      <c r="Z59" s="127">
        <v>1750.0</v>
      </c>
      <c r="AA59" s="127">
        <v>189.0</v>
      </c>
      <c r="AB59" s="127"/>
      <c r="AC59" s="127">
        <v>119236.0</v>
      </c>
      <c r="AD59" s="127">
        <v>52088.0</v>
      </c>
      <c r="AE59" s="127">
        <v>58319.0</v>
      </c>
      <c r="AF59" s="127">
        <v>64905.0</v>
      </c>
      <c r="AG59" s="127">
        <v>10559.0</v>
      </c>
    </row>
    <row r="60">
      <c r="A60" s="126">
        <v>46050.0</v>
      </c>
      <c r="B60" s="127">
        <v>0.8406169665809768</v>
      </c>
      <c r="C60" s="127">
        <v>327.0</v>
      </c>
      <c r="D60" s="127">
        <v>389.0</v>
      </c>
      <c r="E60" s="127">
        <v>0.17427063165036655</v>
      </c>
      <c r="F60" s="127">
        <v>10531.0</v>
      </c>
      <c r="G60" s="127">
        <v>60429.0</v>
      </c>
      <c r="H60" s="127">
        <v>7150259.0</v>
      </c>
      <c r="I60" s="127">
        <v>21803.162092868675</v>
      </c>
      <c r="J60" s="127">
        <v>2.296091E8</v>
      </c>
      <c r="K60" s="127">
        <v>10531.0</v>
      </c>
      <c r="L60" s="127">
        <v>16326.0</v>
      </c>
      <c r="M60" s="127">
        <v>0.28431198033644733</v>
      </c>
      <c r="N60" s="127">
        <v>1.6432848207573062E8</v>
      </c>
      <c r="O60" s="127">
        <v>2.296091E8</v>
      </c>
      <c r="P60" s="127"/>
      <c r="Q60" s="127"/>
      <c r="R60" s="127"/>
      <c r="S60" s="127"/>
      <c r="T60" s="127"/>
      <c r="U60" s="127">
        <v>0.0</v>
      </c>
      <c r="V60" s="127">
        <v>0.0</v>
      </c>
      <c r="W60" s="127">
        <v>2903.0</v>
      </c>
      <c r="X60" s="127">
        <v>2316.0</v>
      </c>
      <c r="Y60" s="127">
        <v>2210.0</v>
      </c>
      <c r="Z60" s="127">
        <v>1588.0</v>
      </c>
      <c r="AA60" s="127">
        <v>149.0</v>
      </c>
      <c r="AB60" s="127"/>
      <c r="AC60" s="127">
        <v>119507.0</v>
      </c>
      <c r="AD60" s="127">
        <v>52300.0</v>
      </c>
      <c r="AE60" s="127">
        <v>58219.0</v>
      </c>
      <c r="AF60" s="127">
        <v>65312.0</v>
      </c>
      <c r="AG60" s="127">
        <v>10382.0</v>
      </c>
    </row>
    <row r="61">
      <c r="A61" s="126">
        <v>46051.0</v>
      </c>
      <c r="B61" s="127">
        <v>0.8588235294117647</v>
      </c>
      <c r="C61" s="127">
        <v>292.0</v>
      </c>
      <c r="D61" s="127">
        <v>340.0</v>
      </c>
      <c r="E61" s="127">
        <v>0.1742387906653656</v>
      </c>
      <c r="F61" s="127">
        <v>10535.0</v>
      </c>
      <c r="G61" s="127">
        <v>60463.0</v>
      </c>
      <c r="H61" s="127">
        <v>7090489.0</v>
      </c>
      <c r="I61" s="127">
        <v>21599.667774086378</v>
      </c>
      <c r="J61" s="127">
        <v>2.275525E8</v>
      </c>
      <c r="K61" s="127">
        <v>10535.0</v>
      </c>
      <c r="L61" s="127">
        <v>16442.0</v>
      </c>
      <c r="M61" s="127">
        <v>0.2872962258495749</v>
      </c>
      <c r="N61" s="127">
        <v>1.621775255673646E8</v>
      </c>
      <c r="O61" s="127">
        <v>2.275525E8</v>
      </c>
      <c r="P61" s="127"/>
      <c r="Q61" s="127"/>
      <c r="R61" s="127"/>
      <c r="S61" s="127"/>
      <c r="T61" s="127"/>
      <c r="U61" s="127">
        <v>0.0</v>
      </c>
      <c r="V61" s="127">
        <v>0.0</v>
      </c>
      <c r="W61" s="127">
        <v>2720.0</v>
      </c>
      <c r="X61" s="127">
        <v>2195.0</v>
      </c>
      <c r="Y61" s="127">
        <v>2097.0</v>
      </c>
      <c r="Z61" s="127">
        <v>1537.0</v>
      </c>
      <c r="AA61" s="127">
        <v>145.0</v>
      </c>
      <c r="AB61" s="127"/>
      <c r="AC61" s="127">
        <v>120037.0</v>
      </c>
      <c r="AD61" s="127">
        <v>52352.0</v>
      </c>
      <c r="AE61" s="127">
        <v>58366.0</v>
      </c>
      <c r="AF61" s="127">
        <v>64978.0</v>
      </c>
      <c r="AG61" s="127">
        <v>10390.0</v>
      </c>
    </row>
    <row r="62">
      <c r="A62" s="126">
        <v>46052.0</v>
      </c>
      <c r="B62" s="127">
        <v>0.7928802588996764</v>
      </c>
      <c r="C62" s="127">
        <v>245.0</v>
      </c>
      <c r="D62" s="127">
        <v>309.0</v>
      </c>
      <c r="E62" s="127">
        <v>0.17597306893548603</v>
      </c>
      <c r="F62" s="127">
        <v>10507.0</v>
      </c>
      <c r="G62" s="127">
        <v>59708.0</v>
      </c>
      <c r="H62" s="127">
        <v>6971214.0</v>
      </c>
      <c r="I62" s="127">
        <v>22320.462548777006</v>
      </c>
      <c r="J62" s="127">
        <v>2.345211E8</v>
      </c>
      <c r="K62" s="127">
        <v>10507.0</v>
      </c>
      <c r="L62" s="127">
        <v>16391.0</v>
      </c>
      <c r="M62" s="127">
        <v>0.31439383081008665</v>
      </c>
      <c r="N62" s="127">
        <v>1.607891129652046E8</v>
      </c>
      <c r="O62" s="127">
        <v>2.345211E8</v>
      </c>
      <c r="P62" s="127"/>
      <c r="Q62" s="127"/>
      <c r="R62" s="127"/>
      <c r="S62" s="127"/>
      <c r="T62" s="127"/>
      <c r="U62" s="127">
        <v>0.0</v>
      </c>
      <c r="V62" s="127">
        <v>0.0</v>
      </c>
      <c r="W62" s="127">
        <v>2590.0</v>
      </c>
      <c r="X62" s="127">
        <v>2102.0</v>
      </c>
      <c r="Y62" s="127">
        <v>1985.0</v>
      </c>
      <c r="Z62" s="127">
        <v>1410.0</v>
      </c>
      <c r="AA62" s="127">
        <v>124.0</v>
      </c>
      <c r="AB62" s="127"/>
      <c r="AC62" s="127">
        <v>119124.0</v>
      </c>
      <c r="AD62" s="127">
        <v>51479.0</v>
      </c>
      <c r="AE62" s="127">
        <v>57723.0</v>
      </c>
      <c r="AF62" s="127">
        <v>64387.0</v>
      </c>
      <c r="AG62" s="127">
        <v>10383.0</v>
      </c>
    </row>
    <row r="63">
      <c r="A63" s="126">
        <v>46053.0</v>
      </c>
      <c r="B63" s="127">
        <v>0.8548387096774194</v>
      </c>
      <c r="C63" s="127">
        <v>318.0</v>
      </c>
      <c r="D63" s="127">
        <v>372.0</v>
      </c>
      <c r="E63" s="127">
        <v>0.18163863084776968</v>
      </c>
      <c r="F63" s="127">
        <v>10852.0</v>
      </c>
      <c r="G63" s="127">
        <v>59745.0</v>
      </c>
      <c r="H63" s="127">
        <v>7303716.0</v>
      </c>
      <c r="I63" s="127">
        <v>22686.01179506082</v>
      </c>
      <c r="J63" s="127">
        <v>2.461886E8</v>
      </c>
      <c r="K63" s="127">
        <v>10852.0</v>
      </c>
      <c r="L63" s="127">
        <v>17116.0</v>
      </c>
      <c r="M63" s="127">
        <v>0.31082714074858786</v>
      </c>
      <c r="N63" s="127">
        <v>1.696665013771022E8</v>
      </c>
      <c r="O63" s="127">
        <v>2.461886E8</v>
      </c>
      <c r="P63" s="127"/>
      <c r="Q63" s="127"/>
      <c r="R63" s="127"/>
      <c r="S63" s="127"/>
      <c r="T63" s="127"/>
      <c r="U63" s="127">
        <v>0.0</v>
      </c>
      <c r="V63" s="127">
        <v>0.0</v>
      </c>
      <c r="W63" s="127">
        <v>2672.0</v>
      </c>
      <c r="X63" s="127">
        <v>2167.0</v>
      </c>
      <c r="Y63" s="127">
        <v>2108.0</v>
      </c>
      <c r="Z63" s="127">
        <v>1557.0</v>
      </c>
      <c r="AA63" s="127">
        <v>143.0</v>
      </c>
      <c r="AB63" s="127"/>
      <c r="AC63" s="127">
        <v>118438.0</v>
      </c>
      <c r="AD63" s="127">
        <v>51360.0</v>
      </c>
      <c r="AE63" s="127">
        <v>57637.0</v>
      </c>
      <c r="AF63" s="127">
        <v>64396.0</v>
      </c>
      <c r="AG63" s="127">
        <v>10709.0</v>
      </c>
    </row>
    <row r="64">
      <c r="A64" s="126">
        <v>46054.0</v>
      </c>
      <c r="B64" s="127">
        <v>0.823394495412844</v>
      </c>
      <c r="C64" s="127">
        <v>359.0</v>
      </c>
      <c r="D64" s="127">
        <v>436.0</v>
      </c>
      <c r="E64" s="127">
        <v>0.20061439390205837</v>
      </c>
      <c r="F64" s="127">
        <v>12212.0</v>
      </c>
      <c r="G64" s="127">
        <v>60873.0</v>
      </c>
      <c r="H64" s="127">
        <v>7913189.0</v>
      </c>
      <c r="I64" s="127">
        <v>27422.420569931215</v>
      </c>
      <c r="J64" s="127">
        <v>3.348826E8</v>
      </c>
      <c r="K64" s="127">
        <v>12212.0</v>
      </c>
      <c r="L64" s="127">
        <v>19070.0</v>
      </c>
      <c r="M64" s="127">
        <v>0.4088631516308492</v>
      </c>
      <c r="N64" s="127">
        <v>1.97961444737667E8</v>
      </c>
      <c r="O64" s="127">
        <v>3.348826E8</v>
      </c>
      <c r="P64" s="127"/>
      <c r="Q64" s="127"/>
      <c r="R64" s="127"/>
      <c r="S64" s="127"/>
      <c r="T64" s="127"/>
      <c r="U64" s="127">
        <v>0.0</v>
      </c>
      <c r="V64" s="127">
        <v>0.0</v>
      </c>
      <c r="W64" s="127">
        <v>2901.0</v>
      </c>
      <c r="X64" s="127">
        <v>2338.0</v>
      </c>
      <c r="Y64" s="127">
        <v>2280.0</v>
      </c>
      <c r="Z64" s="127">
        <v>1645.0</v>
      </c>
      <c r="AA64" s="127">
        <v>170.0</v>
      </c>
      <c r="AB64" s="127"/>
      <c r="AC64" s="127">
        <v>119400.0</v>
      </c>
      <c r="AD64" s="127">
        <v>52412.0</v>
      </c>
      <c r="AE64" s="127">
        <v>58593.0</v>
      </c>
      <c r="AF64" s="127">
        <v>65470.0</v>
      </c>
      <c r="AG64" s="127">
        <v>12042.0</v>
      </c>
    </row>
    <row r="65">
      <c r="A65" s="126">
        <v>46055.0</v>
      </c>
      <c r="B65" s="127">
        <v>0.8517520215633423</v>
      </c>
      <c r="C65" s="127">
        <v>316.0</v>
      </c>
      <c r="D65" s="127">
        <v>371.0</v>
      </c>
      <c r="E65" s="127">
        <v>0.18655924673430144</v>
      </c>
      <c r="F65" s="127">
        <v>11254.0</v>
      </c>
      <c r="G65" s="127">
        <v>60324.0</v>
      </c>
      <c r="H65" s="127">
        <v>7452047.0</v>
      </c>
      <c r="I65" s="127">
        <v>24011.00053314377</v>
      </c>
      <c r="J65" s="127">
        <v>2.702198E8</v>
      </c>
      <c r="K65" s="127">
        <v>11254.0</v>
      </c>
      <c r="L65" s="127">
        <v>17659.0</v>
      </c>
      <c r="M65" s="127">
        <v>0.34121328653732774</v>
      </c>
      <c r="N65" s="127">
        <v>1.780172139545406E8</v>
      </c>
      <c r="O65" s="127">
        <v>2.702198E8</v>
      </c>
      <c r="P65" s="127"/>
      <c r="Q65" s="127"/>
      <c r="R65" s="127"/>
      <c r="S65" s="127"/>
      <c r="T65" s="127"/>
      <c r="U65" s="127">
        <v>0.0</v>
      </c>
      <c r="V65" s="127">
        <v>0.0</v>
      </c>
      <c r="W65" s="127">
        <v>2755.0</v>
      </c>
      <c r="X65" s="127">
        <v>2185.0</v>
      </c>
      <c r="Y65" s="127">
        <v>2140.0</v>
      </c>
      <c r="Z65" s="127">
        <v>1541.0</v>
      </c>
      <c r="AA65" s="127">
        <v>148.0</v>
      </c>
      <c r="AB65" s="127"/>
      <c r="AC65" s="127">
        <v>119476.0</v>
      </c>
      <c r="AD65" s="127">
        <v>52365.0</v>
      </c>
      <c r="AE65" s="127">
        <v>58184.0</v>
      </c>
      <c r="AF65" s="127">
        <v>65461.0</v>
      </c>
      <c r="AG65" s="127">
        <v>11106.0</v>
      </c>
    </row>
    <row r="66">
      <c r="A66" s="126">
        <v>46056.0</v>
      </c>
      <c r="B66" s="127">
        <v>0.8526315789473684</v>
      </c>
      <c r="C66" s="127">
        <v>324.0</v>
      </c>
      <c r="D66" s="127">
        <v>380.0</v>
      </c>
      <c r="E66" s="127">
        <v>0.17579678808985427</v>
      </c>
      <c r="F66" s="127">
        <v>10651.0</v>
      </c>
      <c r="G66" s="127">
        <v>60587.0</v>
      </c>
      <c r="H66" s="127">
        <v>7193642.0</v>
      </c>
      <c r="I66" s="127">
        <v>22844.643695427658</v>
      </c>
      <c r="J66" s="127">
        <v>2.433183E8</v>
      </c>
      <c r="K66" s="127">
        <v>10651.0</v>
      </c>
      <c r="L66" s="127">
        <v>16578.0</v>
      </c>
      <c r="M66" s="127">
        <v>0.30696422846788085</v>
      </c>
      <c r="N66" s="127">
        <v>1.6862828576838362E8</v>
      </c>
      <c r="O66" s="127">
        <v>2.433183E8</v>
      </c>
      <c r="P66" s="127"/>
      <c r="Q66" s="127"/>
      <c r="R66" s="127"/>
      <c r="S66" s="127"/>
      <c r="T66" s="127"/>
      <c r="U66" s="127">
        <v>0.0</v>
      </c>
      <c r="V66" s="127">
        <v>0.0</v>
      </c>
      <c r="W66" s="127">
        <v>3000.0</v>
      </c>
      <c r="X66" s="127">
        <v>2456.0</v>
      </c>
      <c r="Y66" s="127">
        <v>2410.0</v>
      </c>
      <c r="Z66" s="127">
        <v>1684.0</v>
      </c>
      <c r="AA66" s="127">
        <v>160.0</v>
      </c>
      <c r="AB66" s="127"/>
      <c r="AC66" s="127">
        <v>119036.0</v>
      </c>
      <c r="AD66" s="127">
        <v>52415.0</v>
      </c>
      <c r="AE66" s="127">
        <v>58177.0</v>
      </c>
      <c r="AF66" s="127">
        <v>65124.0</v>
      </c>
      <c r="AG66" s="127">
        <v>10491.0</v>
      </c>
    </row>
    <row r="67">
      <c r="A67" s="126">
        <v>46057.0</v>
      </c>
      <c r="B67" s="127">
        <v>0.8192771084337349</v>
      </c>
      <c r="C67" s="127">
        <v>272.0</v>
      </c>
      <c r="D67" s="127">
        <v>332.0</v>
      </c>
      <c r="E67" s="127">
        <v>0.17619245817031548</v>
      </c>
      <c r="F67" s="127">
        <v>10583.0</v>
      </c>
      <c r="G67" s="127">
        <v>60065.0</v>
      </c>
      <c r="H67" s="127">
        <v>6999318.0</v>
      </c>
      <c r="I67" s="127">
        <v>22689.927241802892</v>
      </c>
      <c r="J67" s="127">
        <v>2.401275E8</v>
      </c>
      <c r="K67" s="127">
        <v>10583.0</v>
      </c>
      <c r="L67" s="127">
        <v>16415.0</v>
      </c>
      <c r="M67" s="127">
        <v>0.30336062121174445</v>
      </c>
      <c r="N67" s="127">
        <v>1.6728227242997682E8</v>
      </c>
      <c r="O67" s="127">
        <v>2.401275E8</v>
      </c>
      <c r="P67" s="127"/>
      <c r="Q67" s="127"/>
      <c r="R67" s="127"/>
      <c r="S67" s="127"/>
      <c r="T67" s="127"/>
      <c r="U67" s="127">
        <v>0.0</v>
      </c>
      <c r="V67" s="127">
        <v>0.0</v>
      </c>
      <c r="W67" s="127">
        <v>2644.0</v>
      </c>
      <c r="X67" s="127">
        <v>2115.0</v>
      </c>
      <c r="Y67" s="127">
        <v>2101.0</v>
      </c>
      <c r="Z67" s="127">
        <v>1482.0</v>
      </c>
      <c r="AA67" s="127">
        <v>143.0</v>
      </c>
      <c r="AB67" s="127"/>
      <c r="AC67" s="127">
        <v>118720.0</v>
      </c>
      <c r="AD67" s="127">
        <v>52290.0</v>
      </c>
      <c r="AE67" s="127">
        <v>57964.0</v>
      </c>
      <c r="AF67" s="127">
        <v>64946.0</v>
      </c>
      <c r="AG67" s="127">
        <v>10440.0</v>
      </c>
    </row>
    <row r="68">
      <c r="A68" s="126">
        <v>46058.0</v>
      </c>
      <c r="B68" s="127">
        <v>0.8238482384823849</v>
      </c>
      <c r="C68" s="127">
        <v>304.0</v>
      </c>
      <c r="D68" s="127">
        <v>369.0</v>
      </c>
      <c r="E68" s="127">
        <v>0.1752437613617584</v>
      </c>
      <c r="F68" s="127">
        <v>10604.0</v>
      </c>
      <c r="G68" s="127">
        <v>60510.0</v>
      </c>
      <c r="H68" s="127">
        <v>6817467.0</v>
      </c>
      <c r="I68" s="127">
        <v>22964.739720860052</v>
      </c>
      <c r="J68" s="127">
        <v>2.435181E8</v>
      </c>
      <c r="K68" s="127">
        <v>10604.0</v>
      </c>
      <c r="L68" s="127">
        <v>16183.0</v>
      </c>
      <c r="M68" s="127">
        <v>0.32009544225231634</v>
      </c>
      <c r="N68" s="127">
        <v>1.655690660840562E8</v>
      </c>
      <c r="O68" s="127">
        <v>2.435181E8</v>
      </c>
      <c r="P68" s="127"/>
      <c r="Q68" s="127"/>
      <c r="R68" s="127"/>
      <c r="S68" s="127"/>
      <c r="T68" s="127"/>
      <c r="U68" s="127">
        <v>0.0</v>
      </c>
      <c r="V68" s="127">
        <v>0.0</v>
      </c>
      <c r="W68" s="127">
        <v>3141.0</v>
      </c>
      <c r="X68" s="127">
        <v>2517.0</v>
      </c>
      <c r="Y68" s="127">
        <v>2483.0</v>
      </c>
      <c r="Z68" s="127">
        <v>1671.0</v>
      </c>
      <c r="AA68" s="127">
        <v>153.0</v>
      </c>
      <c r="AB68" s="127"/>
      <c r="AC68" s="127">
        <v>119088.0</v>
      </c>
      <c r="AD68" s="127">
        <v>51891.0</v>
      </c>
      <c r="AE68" s="127">
        <v>58027.0</v>
      </c>
      <c r="AF68" s="127">
        <v>64759.0</v>
      </c>
      <c r="AG68" s="127">
        <v>10451.0</v>
      </c>
    </row>
    <row r="69">
      <c r="A69" s="126">
        <v>46059.0</v>
      </c>
      <c r="B69" s="127">
        <v>0.8010899182561307</v>
      </c>
      <c r="C69" s="127">
        <v>294.0</v>
      </c>
      <c r="D69" s="127">
        <v>367.0</v>
      </c>
      <c r="E69" s="127">
        <v>0.1692635024549918</v>
      </c>
      <c r="F69" s="127">
        <v>10342.0</v>
      </c>
      <c r="G69" s="127">
        <v>61100.0</v>
      </c>
      <c r="H69" s="127">
        <v>6801474.0</v>
      </c>
      <c r="I69" s="127">
        <v>21610.578224714754</v>
      </c>
      <c r="J69" s="127">
        <v>2.234966E8</v>
      </c>
      <c r="K69" s="127">
        <v>10342.0</v>
      </c>
      <c r="L69" s="127">
        <v>15886.0</v>
      </c>
      <c r="M69" s="127">
        <v>0.27999883275554893</v>
      </c>
      <c r="N69" s="127">
        <v>1.6091781287516618E8</v>
      </c>
      <c r="O69" s="127">
        <v>2.234966E8</v>
      </c>
      <c r="P69" s="127"/>
      <c r="Q69" s="127"/>
      <c r="R69" s="127"/>
      <c r="S69" s="127"/>
      <c r="T69" s="127"/>
      <c r="U69" s="127">
        <v>0.0</v>
      </c>
      <c r="V69" s="127">
        <v>0.0</v>
      </c>
      <c r="W69" s="127">
        <v>3506.0</v>
      </c>
      <c r="X69" s="127">
        <v>2760.0</v>
      </c>
      <c r="Y69" s="127">
        <v>2749.0</v>
      </c>
      <c r="Z69" s="127">
        <v>1826.0</v>
      </c>
      <c r="AA69" s="127">
        <v>166.0</v>
      </c>
      <c r="AB69" s="127"/>
      <c r="AC69" s="127">
        <v>119575.0</v>
      </c>
      <c r="AD69" s="127">
        <v>51750.0</v>
      </c>
      <c r="AE69" s="127">
        <v>58351.0</v>
      </c>
      <c r="AF69" s="127">
        <v>64792.0</v>
      </c>
      <c r="AG69" s="127">
        <v>10176.0</v>
      </c>
    </row>
    <row r="70">
      <c r="A70" s="126">
        <v>46060.0</v>
      </c>
      <c r="B70" s="127">
        <v>0.8408071748878924</v>
      </c>
      <c r="C70" s="127">
        <v>375.0</v>
      </c>
      <c r="D70" s="127">
        <v>446.0</v>
      </c>
      <c r="E70" s="127">
        <v>0.1694169416941694</v>
      </c>
      <c r="F70" s="127">
        <v>10626.0</v>
      </c>
      <c r="G70" s="127">
        <v>62721.0</v>
      </c>
      <c r="H70" s="127">
        <v>7058467.0</v>
      </c>
      <c r="I70" s="127">
        <v>22257.396950875212</v>
      </c>
      <c r="J70" s="127">
        <v>2.365071E8</v>
      </c>
      <c r="K70" s="127">
        <v>10626.0</v>
      </c>
      <c r="L70" s="127">
        <v>16095.0</v>
      </c>
      <c r="M70" s="127">
        <v>0.3044878502456603</v>
      </c>
      <c r="N70" s="127">
        <v>1.644935615531646E8</v>
      </c>
      <c r="O70" s="127">
        <v>2.365071E8</v>
      </c>
      <c r="P70" s="127"/>
      <c r="Q70" s="127"/>
      <c r="R70" s="127"/>
      <c r="S70" s="127"/>
      <c r="T70" s="127"/>
      <c r="U70" s="127">
        <v>0.0</v>
      </c>
      <c r="V70" s="127">
        <v>0.0</v>
      </c>
      <c r="W70" s="127">
        <v>3951.0</v>
      </c>
      <c r="X70" s="127">
        <v>3172.0</v>
      </c>
      <c r="Y70" s="127">
        <v>3151.0</v>
      </c>
      <c r="Z70" s="127">
        <v>2087.0</v>
      </c>
      <c r="AA70" s="127">
        <v>206.0</v>
      </c>
      <c r="AB70" s="127"/>
      <c r="AC70" s="127">
        <v>121211.0</v>
      </c>
      <c r="AD70" s="127">
        <v>53147.0</v>
      </c>
      <c r="AE70" s="127">
        <v>59570.0</v>
      </c>
      <c r="AF70" s="127">
        <v>65177.0</v>
      </c>
      <c r="AG70" s="127">
        <v>10420.0</v>
      </c>
    </row>
    <row r="71">
      <c r="A71" s="126">
        <v>46061.0</v>
      </c>
      <c r="B71" s="127">
        <v>0.8214285714285714</v>
      </c>
      <c r="C71" s="127">
        <v>322.0</v>
      </c>
      <c r="D71" s="127">
        <v>392.0</v>
      </c>
      <c r="E71" s="127">
        <v>0.17648834585868858</v>
      </c>
      <c r="F71" s="127">
        <v>11108.0</v>
      </c>
      <c r="G71" s="127">
        <v>62939.0</v>
      </c>
      <c r="H71" s="127">
        <v>7572325.0</v>
      </c>
      <c r="I71" s="127">
        <v>22960.460929060137</v>
      </c>
      <c r="J71" s="127">
        <v>2.550448E8</v>
      </c>
      <c r="K71" s="127">
        <v>11108.0</v>
      </c>
      <c r="L71" s="127">
        <v>17185.0</v>
      </c>
      <c r="M71" s="127">
        <v>0.3001491448835145</v>
      </c>
      <c r="N71" s="127">
        <v>1.7849332137301302E8</v>
      </c>
      <c r="O71" s="127">
        <v>2.550448E8</v>
      </c>
      <c r="P71" s="127"/>
      <c r="Q71" s="127"/>
      <c r="R71" s="127"/>
      <c r="S71" s="127"/>
      <c r="T71" s="127"/>
      <c r="U71" s="127">
        <v>0.0</v>
      </c>
      <c r="V71" s="127">
        <v>0.0</v>
      </c>
      <c r="W71" s="127">
        <v>3796.0</v>
      </c>
      <c r="X71" s="127">
        <v>3024.0</v>
      </c>
      <c r="Y71" s="127">
        <v>2992.0</v>
      </c>
      <c r="Z71" s="127">
        <v>2089.0</v>
      </c>
      <c r="AA71" s="127">
        <v>185.0</v>
      </c>
      <c r="AB71" s="127"/>
      <c r="AC71" s="127">
        <v>122390.0</v>
      </c>
      <c r="AD71" s="127">
        <v>53673.0</v>
      </c>
      <c r="AE71" s="127">
        <v>59947.0</v>
      </c>
      <c r="AF71" s="127">
        <v>66150.0</v>
      </c>
      <c r="AG71" s="127">
        <v>10923.0</v>
      </c>
    </row>
    <row r="72">
      <c r="A72" s="126">
        <v>46062.0</v>
      </c>
      <c r="B72" s="127">
        <v>0.8609112709832134</v>
      </c>
      <c r="C72" s="127">
        <v>359.0</v>
      </c>
      <c r="D72" s="127">
        <v>417.0</v>
      </c>
      <c r="E72" s="127">
        <v>0.18305775026472265</v>
      </c>
      <c r="F72" s="127">
        <v>11237.0</v>
      </c>
      <c r="G72" s="127">
        <v>61385.0</v>
      </c>
      <c r="H72" s="127">
        <v>7200661.0</v>
      </c>
      <c r="I72" s="127">
        <v>22806.60318590371</v>
      </c>
      <c r="J72" s="127">
        <v>2.562778E8</v>
      </c>
      <c r="K72" s="127">
        <v>11237.0</v>
      </c>
      <c r="L72" s="127">
        <v>17365.0</v>
      </c>
      <c r="M72" s="127">
        <v>0.3359395040860216</v>
      </c>
      <c r="N72" s="127">
        <v>1.7018396295974338E8</v>
      </c>
      <c r="O72" s="127">
        <v>2.562778E8</v>
      </c>
      <c r="P72" s="127"/>
      <c r="Q72" s="127"/>
      <c r="R72" s="127"/>
      <c r="S72" s="127"/>
      <c r="T72" s="127"/>
      <c r="U72" s="127">
        <v>0.0</v>
      </c>
      <c r="V72" s="127">
        <v>0.0</v>
      </c>
      <c r="W72" s="127">
        <v>3240.0</v>
      </c>
      <c r="X72" s="127">
        <v>2577.0</v>
      </c>
      <c r="Y72" s="127">
        <v>2590.0</v>
      </c>
      <c r="Z72" s="127">
        <v>1759.0</v>
      </c>
      <c r="AA72" s="127">
        <v>177.0</v>
      </c>
      <c r="AB72" s="127"/>
      <c r="AC72" s="127">
        <v>121969.0</v>
      </c>
      <c r="AD72" s="127">
        <v>51570.0</v>
      </c>
      <c r="AE72" s="127">
        <v>58795.0</v>
      </c>
      <c r="AF72" s="127">
        <v>66202.0</v>
      </c>
      <c r="AG72" s="127">
        <v>11060.0</v>
      </c>
    </row>
    <row r="73">
      <c r="A73" s="126">
        <v>46063.0</v>
      </c>
      <c r="B73" s="127">
        <v>0.8436018957345972</v>
      </c>
      <c r="C73" s="127">
        <v>356.0</v>
      </c>
      <c r="D73" s="127">
        <v>422.0</v>
      </c>
      <c r="E73" s="127">
        <v>0.18351343907457512</v>
      </c>
      <c r="F73" s="127">
        <v>11327.0</v>
      </c>
      <c r="G73" s="127">
        <v>61723.0</v>
      </c>
      <c r="H73" s="127">
        <v>6962122.0</v>
      </c>
      <c r="I73" s="127">
        <v>24289.21161825726</v>
      </c>
      <c r="J73" s="127">
        <v>2.751239E8</v>
      </c>
      <c r="K73" s="127">
        <v>11327.0</v>
      </c>
      <c r="L73" s="127">
        <v>17158.0</v>
      </c>
      <c r="M73" s="127">
        <v>0.3868851276636345</v>
      </c>
      <c r="N73" s="127">
        <v>1.68682554825183E8</v>
      </c>
      <c r="O73" s="127">
        <v>2.751239E8</v>
      </c>
      <c r="P73" s="127"/>
      <c r="Q73" s="127"/>
      <c r="R73" s="127"/>
      <c r="S73" s="127"/>
      <c r="T73" s="127"/>
      <c r="U73" s="127">
        <v>0.0</v>
      </c>
      <c r="V73" s="127">
        <v>0.0</v>
      </c>
      <c r="W73" s="127">
        <v>3349.0</v>
      </c>
      <c r="X73" s="127">
        <v>2696.0</v>
      </c>
      <c r="Y73" s="127">
        <v>2681.0</v>
      </c>
      <c r="Z73" s="127">
        <v>1814.0</v>
      </c>
      <c r="AA73" s="127">
        <v>197.0</v>
      </c>
      <c r="AB73" s="127"/>
      <c r="AC73" s="127">
        <v>123577.0</v>
      </c>
      <c r="AD73" s="127">
        <v>52504.0</v>
      </c>
      <c r="AE73" s="127">
        <v>59042.0</v>
      </c>
      <c r="AF73" s="127">
        <v>66357.0</v>
      </c>
      <c r="AG73" s="127">
        <v>11130.0</v>
      </c>
    </row>
    <row r="74">
      <c r="A74" s="126">
        <v>46064.0</v>
      </c>
      <c r="B74" s="127">
        <v>0.8428184281842819</v>
      </c>
      <c r="C74" s="127">
        <v>311.0</v>
      </c>
      <c r="D74" s="127">
        <v>369.0</v>
      </c>
      <c r="E74" s="127">
        <v>0.176756906347165</v>
      </c>
      <c r="F74" s="127">
        <v>10858.0</v>
      </c>
      <c r="G74" s="127">
        <v>61429.0</v>
      </c>
      <c r="H74" s="127">
        <v>6922090.0</v>
      </c>
      <c r="I74" s="127">
        <v>22624.525695339842</v>
      </c>
      <c r="J74" s="127">
        <v>2.456571E8</v>
      </c>
      <c r="K74" s="127">
        <v>10858.0</v>
      </c>
      <c r="L74" s="127">
        <v>16456.0</v>
      </c>
      <c r="M74" s="127">
        <v>0.3344173785810449</v>
      </c>
      <c r="N74" s="127">
        <v>1.635050965881784E8</v>
      </c>
      <c r="O74" s="127">
        <v>2.456571E8</v>
      </c>
      <c r="P74" s="127"/>
      <c r="Q74" s="127"/>
      <c r="R74" s="127"/>
      <c r="S74" s="127"/>
      <c r="T74" s="127"/>
      <c r="U74" s="127">
        <v>0.0</v>
      </c>
      <c r="V74" s="127">
        <v>0.0</v>
      </c>
      <c r="W74" s="127">
        <v>3127.0</v>
      </c>
      <c r="X74" s="127">
        <v>2494.0</v>
      </c>
      <c r="Y74" s="127">
        <v>2438.0</v>
      </c>
      <c r="Z74" s="127">
        <v>1617.0</v>
      </c>
      <c r="AA74" s="127">
        <v>153.0</v>
      </c>
      <c r="AB74" s="127"/>
      <c r="AC74" s="127">
        <v>124106.0</v>
      </c>
      <c r="AD74" s="127">
        <v>52938.0</v>
      </c>
      <c r="AE74" s="127">
        <v>58991.0</v>
      </c>
      <c r="AF74" s="127">
        <v>66225.0</v>
      </c>
      <c r="AG74" s="127">
        <v>10705.0</v>
      </c>
    </row>
    <row r="75">
      <c r="A75" s="126">
        <v>46065.0</v>
      </c>
      <c r="B75" s="127">
        <v>0.8609467455621301</v>
      </c>
      <c r="C75" s="127">
        <v>291.0</v>
      </c>
      <c r="D75" s="127">
        <v>338.0</v>
      </c>
      <c r="E75" s="127">
        <v>0.16979178463380304</v>
      </c>
      <c r="F75" s="127">
        <v>10495.0</v>
      </c>
      <c r="G75" s="127">
        <v>61811.0</v>
      </c>
      <c r="H75" s="127">
        <v>6689626.0</v>
      </c>
      <c r="I75" s="127">
        <v>22003.18246784183</v>
      </c>
      <c r="J75" s="127">
        <v>2.309234E8</v>
      </c>
      <c r="K75" s="127">
        <v>10495.0</v>
      </c>
      <c r="L75" s="127">
        <v>16023.0</v>
      </c>
      <c r="M75" s="127"/>
      <c r="N75" s="127"/>
      <c r="O75" s="127">
        <v>2.309234E8</v>
      </c>
      <c r="P75" s="127"/>
      <c r="Q75" s="127"/>
      <c r="R75" s="127"/>
      <c r="S75" s="127"/>
      <c r="T75" s="127"/>
      <c r="U75" s="127">
        <v>0.0</v>
      </c>
      <c r="V75" s="127">
        <v>0.0</v>
      </c>
      <c r="W75" s="127">
        <v>3082.0</v>
      </c>
      <c r="X75" s="127">
        <v>2437.0</v>
      </c>
      <c r="Y75" s="127">
        <v>2400.0</v>
      </c>
      <c r="Z75" s="127">
        <v>1639.0</v>
      </c>
      <c r="AA75" s="127">
        <v>142.0</v>
      </c>
      <c r="AB75" s="127"/>
      <c r="AC75" s="127">
        <v>124985.0</v>
      </c>
      <c r="AD75" s="127">
        <v>52968.0</v>
      </c>
      <c r="AE75" s="127">
        <v>59411.0</v>
      </c>
      <c r="AF75" s="127">
        <v>66183.0</v>
      </c>
      <c r="AG75" s="127">
        <v>10353.0</v>
      </c>
    </row>
    <row r="76">
      <c r="A76" s="126">
        <v>46066.0</v>
      </c>
      <c r="B76" s="127">
        <v>0.8484848484848485</v>
      </c>
      <c r="C76" s="127">
        <v>392.0</v>
      </c>
      <c r="D76" s="127">
        <v>462.0</v>
      </c>
      <c r="E76" s="127">
        <v>0.17286821705426356</v>
      </c>
      <c r="F76" s="127">
        <v>10927.0</v>
      </c>
      <c r="G76" s="127">
        <v>63210.0</v>
      </c>
      <c r="H76" s="127">
        <v>6486025.0</v>
      </c>
      <c r="I76" s="127">
        <v>22193.374210670816</v>
      </c>
      <c r="J76" s="127">
        <v>2.42507E8</v>
      </c>
      <c r="K76" s="127">
        <v>10927.0</v>
      </c>
      <c r="L76" s="127">
        <v>16466.0</v>
      </c>
      <c r="M76" s="127"/>
      <c r="N76" s="127"/>
      <c r="O76" s="127">
        <v>2.42507E8</v>
      </c>
      <c r="P76" s="127"/>
      <c r="Q76" s="127"/>
      <c r="R76" s="127"/>
      <c r="S76" s="127"/>
      <c r="T76" s="127"/>
      <c r="U76" s="127">
        <v>0.0</v>
      </c>
      <c r="V76" s="127">
        <v>0.0</v>
      </c>
      <c r="W76" s="127">
        <v>4392.0</v>
      </c>
      <c r="X76" s="127">
        <v>3578.0</v>
      </c>
      <c r="Y76" s="127">
        <v>3480.0</v>
      </c>
      <c r="Z76" s="127">
        <v>2487.0</v>
      </c>
      <c r="AA76" s="127">
        <v>191.0</v>
      </c>
      <c r="AB76" s="127"/>
      <c r="AC76" s="127">
        <v>125787.0</v>
      </c>
      <c r="AD76" s="127">
        <v>53352.0</v>
      </c>
      <c r="AE76" s="127">
        <v>59730.0</v>
      </c>
      <c r="AF76" s="127">
        <v>66045.0</v>
      </c>
      <c r="AG76" s="127">
        <v>10736.0</v>
      </c>
    </row>
    <row r="77">
      <c r="A77" s="126">
        <v>46067.0</v>
      </c>
      <c r="B77" s="127">
        <v>0.8145454545454546</v>
      </c>
      <c r="C77" s="127">
        <v>448.0</v>
      </c>
      <c r="D77" s="127">
        <v>550.0</v>
      </c>
      <c r="E77" s="127">
        <v>0.16759239799441558</v>
      </c>
      <c r="F77" s="127">
        <v>11164.0</v>
      </c>
      <c r="G77" s="127">
        <v>66614.0</v>
      </c>
      <c r="H77" s="127">
        <v>6867075.0</v>
      </c>
      <c r="I77" s="127">
        <v>23869.35686134002</v>
      </c>
      <c r="J77" s="127">
        <v>2.664775E8</v>
      </c>
      <c r="K77" s="127">
        <v>11164.0</v>
      </c>
      <c r="L77" s="127">
        <v>17280.0</v>
      </c>
      <c r="M77" s="127"/>
      <c r="N77" s="127"/>
      <c r="O77" s="127">
        <v>2.664775E8</v>
      </c>
      <c r="P77" s="127"/>
      <c r="Q77" s="127"/>
      <c r="R77" s="127"/>
      <c r="S77" s="127"/>
      <c r="T77" s="127"/>
      <c r="U77" s="127">
        <v>0.0</v>
      </c>
      <c r="V77" s="127">
        <v>0.0</v>
      </c>
      <c r="W77" s="127">
        <v>5994.0</v>
      </c>
      <c r="X77" s="127">
        <v>4719.0</v>
      </c>
      <c r="Y77" s="127">
        <v>4877.0</v>
      </c>
      <c r="Z77" s="127">
        <v>3298.0</v>
      </c>
      <c r="AA77" s="127">
        <v>278.0</v>
      </c>
      <c r="AB77" s="127"/>
      <c r="AC77" s="127">
        <v>129026.0</v>
      </c>
      <c r="AD77" s="127">
        <v>55661.0</v>
      </c>
      <c r="AE77" s="127">
        <v>61737.0</v>
      </c>
      <c r="AF77" s="127">
        <v>69644.0</v>
      </c>
      <c r="AG77" s="127">
        <v>10886.0</v>
      </c>
    </row>
    <row r="78">
      <c r="A78" s="126">
        <v>46068.0</v>
      </c>
      <c r="B78" s="127">
        <v>0.8255813953488372</v>
      </c>
      <c r="C78" s="127">
        <v>497.0</v>
      </c>
      <c r="D78" s="127">
        <v>602.0</v>
      </c>
      <c r="E78" s="127">
        <v>0.17052881758764113</v>
      </c>
      <c r="F78" s="127">
        <v>11480.0</v>
      </c>
      <c r="G78" s="127">
        <v>67320.0</v>
      </c>
      <c r="H78" s="127">
        <v>7165232.0</v>
      </c>
      <c r="I78" s="127">
        <v>24432.003484320558</v>
      </c>
      <c r="J78" s="127">
        <v>2.804794E8</v>
      </c>
      <c r="K78" s="127">
        <v>11480.0</v>
      </c>
      <c r="L78" s="127">
        <v>17831.0</v>
      </c>
      <c r="M78" s="127"/>
      <c r="N78" s="127"/>
      <c r="O78" s="127">
        <v>2.804794E8</v>
      </c>
      <c r="P78" s="127"/>
      <c r="Q78" s="127"/>
      <c r="R78" s="127"/>
      <c r="S78" s="127"/>
      <c r="T78" s="127"/>
      <c r="U78" s="127">
        <v>0.0</v>
      </c>
      <c r="V78" s="127">
        <v>0.0</v>
      </c>
      <c r="W78" s="127">
        <v>5967.0</v>
      </c>
      <c r="X78" s="127">
        <v>4664.0</v>
      </c>
      <c r="Y78" s="127">
        <v>4746.0</v>
      </c>
      <c r="Z78" s="127">
        <v>3206.0</v>
      </c>
      <c r="AA78" s="127">
        <v>273.0</v>
      </c>
      <c r="AB78" s="127"/>
      <c r="AC78" s="127">
        <v>131366.0</v>
      </c>
      <c r="AD78" s="127">
        <v>55595.0</v>
      </c>
      <c r="AE78" s="127">
        <v>62574.0</v>
      </c>
      <c r="AF78" s="127">
        <v>71491.0</v>
      </c>
      <c r="AG78" s="127">
        <v>11207.0</v>
      </c>
    </row>
    <row r="79">
      <c r="A79" s="126">
        <v>46069.0</v>
      </c>
      <c r="B79" s="127">
        <v>0.806873977086743</v>
      </c>
      <c r="C79" s="127">
        <v>493.0</v>
      </c>
      <c r="D79" s="127">
        <v>611.0</v>
      </c>
      <c r="E79" s="127">
        <v>0.17503941997376915</v>
      </c>
      <c r="F79" s="127">
        <v>11878.0</v>
      </c>
      <c r="G79" s="127">
        <v>67859.0</v>
      </c>
      <c r="H79" s="127">
        <v>7335980.0</v>
      </c>
      <c r="I79" s="127">
        <v>24644.999158107425</v>
      </c>
      <c r="J79" s="127">
        <v>2.927333E8</v>
      </c>
      <c r="K79" s="127">
        <v>11878.0</v>
      </c>
      <c r="L79" s="127">
        <v>18542.0</v>
      </c>
      <c r="M79" s="127"/>
      <c r="N79" s="127"/>
      <c r="O79" s="127">
        <v>2.927333E8</v>
      </c>
      <c r="P79" s="127"/>
      <c r="Q79" s="127"/>
      <c r="R79" s="127"/>
      <c r="S79" s="127"/>
      <c r="T79" s="127"/>
      <c r="U79" s="127">
        <v>0.0</v>
      </c>
      <c r="V79" s="127">
        <v>0.0</v>
      </c>
      <c r="W79" s="127">
        <v>5271.0</v>
      </c>
      <c r="X79" s="127">
        <v>4120.0</v>
      </c>
      <c r="Y79" s="127">
        <v>4161.0</v>
      </c>
      <c r="Z79" s="127">
        <v>2851.0</v>
      </c>
      <c r="AA79" s="127">
        <v>272.0</v>
      </c>
      <c r="AB79" s="127"/>
      <c r="AC79" s="127">
        <v>134170.0</v>
      </c>
      <c r="AD79" s="127">
        <v>57838.0</v>
      </c>
      <c r="AE79" s="127">
        <v>63698.0</v>
      </c>
      <c r="AF79" s="127">
        <v>73208.0</v>
      </c>
      <c r="AG79" s="127">
        <v>11606.0</v>
      </c>
    </row>
    <row r="80">
      <c r="A80" s="126">
        <v>46070.0</v>
      </c>
      <c r="B80" s="127">
        <v>0.8487394957983193</v>
      </c>
      <c r="C80" s="127">
        <v>505.0</v>
      </c>
      <c r="D80" s="127">
        <v>595.0</v>
      </c>
      <c r="E80" s="127">
        <v>0.18886064593301435</v>
      </c>
      <c r="F80" s="127">
        <v>12631.0</v>
      </c>
      <c r="G80" s="127">
        <v>66880.0</v>
      </c>
      <c r="H80" s="127">
        <v>7489174.0</v>
      </c>
      <c r="I80" s="127">
        <v>25535.721637241706</v>
      </c>
      <c r="J80" s="127">
        <v>3.225417E8</v>
      </c>
      <c r="K80" s="127">
        <v>12631.0</v>
      </c>
      <c r="L80" s="127">
        <v>19719.0</v>
      </c>
      <c r="M80" s="127"/>
      <c r="N80" s="127"/>
      <c r="O80" s="127">
        <v>3.225417E8</v>
      </c>
      <c r="P80" s="127"/>
      <c r="Q80" s="127"/>
      <c r="R80" s="127"/>
      <c r="S80" s="127"/>
      <c r="T80" s="127"/>
      <c r="U80" s="127">
        <v>0.0</v>
      </c>
      <c r="V80" s="127">
        <v>0.0</v>
      </c>
      <c r="W80" s="127">
        <v>4752.0</v>
      </c>
      <c r="X80" s="127">
        <v>3785.0</v>
      </c>
      <c r="Y80" s="127">
        <v>3796.0</v>
      </c>
      <c r="Z80" s="127">
        <v>2665.0</v>
      </c>
      <c r="AA80" s="127">
        <v>267.0</v>
      </c>
      <c r="AB80" s="127"/>
      <c r="AC80" s="127">
        <v>135326.0</v>
      </c>
      <c r="AD80" s="127">
        <v>56115.0</v>
      </c>
      <c r="AE80" s="127">
        <v>63084.0</v>
      </c>
      <c r="AF80" s="127">
        <v>73786.0</v>
      </c>
      <c r="AG80" s="127">
        <v>12364.0</v>
      </c>
    </row>
    <row r="81">
      <c r="A81" s="126">
        <v>46071.0</v>
      </c>
      <c r="B81" s="127">
        <v>0.8154761904761905</v>
      </c>
      <c r="C81" s="127">
        <v>548.0</v>
      </c>
      <c r="D81" s="127">
        <v>672.0</v>
      </c>
      <c r="E81" s="127">
        <v>0.19113356578666477</v>
      </c>
      <c r="F81" s="127">
        <v>13430.0</v>
      </c>
      <c r="G81" s="127">
        <v>70265.0</v>
      </c>
      <c r="H81" s="127">
        <v>8503292.0</v>
      </c>
      <c r="I81" s="127">
        <v>25256.366344005957</v>
      </c>
      <c r="J81" s="127">
        <v>3.39193E8</v>
      </c>
      <c r="K81" s="127">
        <v>13430.0</v>
      </c>
      <c r="L81" s="127">
        <v>21259.0</v>
      </c>
      <c r="M81" s="127"/>
      <c r="N81" s="127"/>
      <c r="O81" s="127">
        <v>3.39193E8</v>
      </c>
      <c r="P81" s="127"/>
      <c r="Q81" s="127"/>
      <c r="R81" s="127"/>
      <c r="S81" s="127"/>
      <c r="T81" s="127"/>
      <c r="U81" s="127">
        <v>0.0</v>
      </c>
      <c r="V81" s="127">
        <v>0.0</v>
      </c>
      <c r="W81" s="127">
        <v>4939.0</v>
      </c>
      <c r="X81" s="127">
        <v>3919.0</v>
      </c>
      <c r="Y81" s="127">
        <v>3964.0</v>
      </c>
      <c r="Z81" s="127">
        <v>2714.0</v>
      </c>
      <c r="AA81" s="127">
        <v>297.0</v>
      </c>
      <c r="AB81" s="127"/>
      <c r="AC81" s="127">
        <v>137296.0</v>
      </c>
      <c r="AD81" s="127">
        <v>61409.0</v>
      </c>
      <c r="AE81" s="127">
        <v>66301.0</v>
      </c>
      <c r="AF81" s="127">
        <v>75061.0</v>
      </c>
      <c r="AG81" s="127">
        <v>13133.0</v>
      </c>
    </row>
    <row r="82">
      <c r="A82" s="126">
        <v>46072.0</v>
      </c>
      <c r="B82" s="127">
        <v>0.85553772070626</v>
      </c>
      <c r="C82" s="127">
        <v>533.0</v>
      </c>
      <c r="D82" s="127">
        <v>623.0</v>
      </c>
      <c r="E82" s="127">
        <v>0.18022883428438338</v>
      </c>
      <c r="F82" s="127">
        <v>12381.0</v>
      </c>
      <c r="G82" s="127">
        <v>68696.0</v>
      </c>
      <c r="H82" s="127">
        <v>8064055.0</v>
      </c>
      <c r="I82" s="127">
        <v>24829.779500848075</v>
      </c>
      <c r="J82" s="127">
        <v>3.074175E8</v>
      </c>
      <c r="K82" s="127">
        <v>12381.0</v>
      </c>
      <c r="L82" s="127">
        <v>19871.0</v>
      </c>
      <c r="M82" s="127"/>
      <c r="N82" s="127"/>
      <c r="O82" s="127">
        <v>3.074175E8</v>
      </c>
      <c r="P82" s="127"/>
      <c r="Q82" s="127"/>
      <c r="R82" s="127"/>
      <c r="S82" s="127"/>
      <c r="T82" s="127"/>
      <c r="U82" s="127">
        <v>0.0</v>
      </c>
      <c r="V82" s="127">
        <v>0.0</v>
      </c>
      <c r="W82" s="127">
        <v>4924.0</v>
      </c>
      <c r="X82" s="127">
        <v>3880.0</v>
      </c>
      <c r="Y82" s="127">
        <v>3934.0</v>
      </c>
      <c r="Z82" s="127">
        <v>2667.0</v>
      </c>
      <c r="AA82" s="127">
        <v>290.0</v>
      </c>
      <c r="AB82" s="127"/>
      <c r="AC82" s="127">
        <v>136536.0</v>
      </c>
      <c r="AD82" s="127">
        <v>57932.0</v>
      </c>
      <c r="AE82" s="127">
        <v>64762.0</v>
      </c>
      <c r="AF82" s="127">
        <v>75719.0</v>
      </c>
      <c r="AG82" s="127">
        <v>12091.0</v>
      </c>
    </row>
    <row r="83">
      <c r="A83" s="126">
        <v>46073.0</v>
      </c>
      <c r="B83" s="127">
        <v>0.8278560250391236</v>
      </c>
      <c r="C83" s="127">
        <v>529.0</v>
      </c>
      <c r="D83" s="127">
        <v>639.0</v>
      </c>
      <c r="E83" s="127">
        <v>0.17268614920657716</v>
      </c>
      <c r="F83" s="127">
        <v>12025.0</v>
      </c>
      <c r="G83" s="127">
        <v>69635.0</v>
      </c>
      <c r="H83" s="127">
        <v>7973682.0</v>
      </c>
      <c r="I83" s="127">
        <v>24460.141372141374</v>
      </c>
      <c r="J83" s="127">
        <v>2.941332E8</v>
      </c>
      <c r="K83" s="127">
        <v>12025.0</v>
      </c>
      <c r="L83" s="127">
        <v>18992.0</v>
      </c>
      <c r="M83" s="127"/>
      <c r="N83" s="127"/>
      <c r="O83" s="127">
        <v>2.941332E8</v>
      </c>
      <c r="P83" s="127"/>
      <c r="Q83" s="127"/>
      <c r="R83" s="127"/>
      <c r="S83" s="127"/>
      <c r="T83" s="127"/>
      <c r="U83" s="127">
        <v>0.0</v>
      </c>
      <c r="V83" s="127">
        <v>0.0</v>
      </c>
      <c r="W83" s="127">
        <v>5347.0</v>
      </c>
      <c r="X83" s="127">
        <v>4280.0</v>
      </c>
      <c r="Y83" s="127">
        <v>4392.0</v>
      </c>
      <c r="Z83" s="127">
        <v>3014.0</v>
      </c>
      <c r="AA83" s="127">
        <v>299.0</v>
      </c>
      <c r="AB83" s="127"/>
      <c r="AC83" s="127">
        <v>135401.0</v>
      </c>
      <c r="AD83" s="127">
        <v>57686.0</v>
      </c>
      <c r="AE83" s="127">
        <v>65243.0</v>
      </c>
      <c r="AF83" s="127">
        <v>75283.0</v>
      </c>
      <c r="AG83" s="127">
        <v>11726.0</v>
      </c>
    </row>
    <row r="84">
      <c r="A84" s="126">
        <v>46074.0</v>
      </c>
      <c r="B84" s="127">
        <v>0.7762148337595908</v>
      </c>
      <c r="C84" s="127">
        <v>607.0</v>
      </c>
      <c r="D84" s="127">
        <v>782.0</v>
      </c>
      <c r="E84" s="127">
        <v>0.18318984134296984</v>
      </c>
      <c r="F84" s="127">
        <v>12724.0</v>
      </c>
      <c r="G84" s="127">
        <v>69458.0</v>
      </c>
      <c r="H84" s="127">
        <v>8121534.0</v>
      </c>
      <c r="I84" s="127">
        <v>24839.382269726502</v>
      </c>
      <c r="J84" s="127">
        <v>3.160563E8</v>
      </c>
      <c r="K84" s="127">
        <v>12724.0</v>
      </c>
      <c r="L84" s="127">
        <v>20080.0</v>
      </c>
      <c r="M84" s="127"/>
      <c r="N84" s="127"/>
      <c r="O84" s="127">
        <v>3.160563E8</v>
      </c>
      <c r="P84" s="127"/>
      <c r="Q84" s="127"/>
      <c r="R84" s="127"/>
      <c r="S84" s="127"/>
      <c r="T84" s="127"/>
      <c r="U84" s="127">
        <v>0.0</v>
      </c>
      <c r="V84" s="127">
        <v>0.0</v>
      </c>
      <c r="W84" s="127">
        <v>4941.0</v>
      </c>
      <c r="X84" s="127">
        <v>3906.0</v>
      </c>
      <c r="Y84" s="127">
        <v>4008.0</v>
      </c>
      <c r="Z84" s="127">
        <v>2803.0</v>
      </c>
      <c r="AA84" s="127">
        <v>395.0</v>
      </c>
      <c r="AB84" s="127"/>
      <c r="AC84" s="127">
        <v>130882.0</v>
      </c>
      <c r="AD84" s="127">
        <v>59537.0</v>
      </c>
      <c r="AE84" s="127">
        <v>65450.0</v>
      </c>
      <c r="AF84" s="127">
        <v>74045.0</v>
      </c>
      <c r="AG84" s="127">
        <v>12329.0</v>
      </c>
    </row>
    <row r="85">
      <c r="A85" s="126">
        <v>46075.0</v>
      </c>
      <c r="B85" s="127">
        <v>0.0</v>
      </c>
      <c r="C85" s="127">
        <v>0.0</v>
      </c>
      <c r="D85" s="127">
        <v>752.0</v>
      </c>
      <c r="E85" s="127">
        <v>0.18857233943890564</v>
      </c>
      <c r="F85" s="127">
        <v>13013.0</v>
      </c>
      <c r="G85" s="127">
        <v>69008.0</v>
      </c>
      <c r="H85" s="127">
        <v>8506206.0</v>
      </c>
      <c r="I85" s="127">
        <v>24899.070160608622</v>
      </c>
      <c r="J85" s="127">
        <v>3.240116E8</v>
      </c>
      <c r="K85" s="127">
        <v>13013.0</v>
      </c>
      <c r="L85" s="127">
        <v>20763.0</v>
      </c>
      <c r="M85" s="127"/>
      <c r="N85" s="127"/>
      <c r="O85" s="127">
        <v>3.240116E8</v>
      </c>
      <c r="P85" s="127"/>
      <c r="Q85" s="127"/>
      <c r="R85" s="127"/>
      <c r="S85" s="127"/>
      <c r="T85" s="127"/>
      <c r="U85" s="127">
        <v>0.0</v>
      </c>
      <c r="V85" s="127">
        <v>0.0</v>
      </c>
      <c r="W85" s="127">
        <v>4629.0</v>
      </c>
      <c r="X85" s="127">
        <v>3688.0</v>
      </c>
      <c r="Y85" s="127">
        <v>3875.0</v>
      </c>
      <c r="Z85" s="127">
        <v>2679.0</v>
      </c>
      <c r="AA85" s="127">
        <v>326.0</v>
      </c>
      <c r="AB85" s="127"/>
      <c r="AC85" s="127">
        <v>115594.0</v>
      </c>
      <c r="AD85" s="127">
        <v>55275.0</v>
      </c>
      <c r="AE85" s="127">
        <v>65133.0</v>
      </c>
      <c r="AF85" s="127">
        <v>65736.0</v>
      </c>
      <c r="AG85" s="127">
        <v>12687.0</v>
      </c>
    </row>
    <row r="86">
      <c r="A86" s="126">
        <v>46076.0</v>
      </c>
      <c r="B86" s="127"/>
      <c r="C86" s="127">
        <v>0.0</v>
      </c>
      <c r="D86" s="127">
        <v>0.0</v>
      </c>
      <c r="E86" s="127">
        <v>0.5971432735752805</v>
      </c>
      <c r="F86" s="127">
        <v>4097.0</v>
      </c>
      <c r="G86" s="127">
        <v>6861.0</v>
      </c>
      <c r="H86" s="127">
        <v>1614760.0</v>
      </c>
      <c r="I86" s="127">
        <v>17433.85403954113</v>
      </c>
      <c r="J86" s="127">
        <v>7.14265E7</v>
      </c>
      <c r="K86" s="127">
        <v>4097.0</v>
      </c>
      <c r="L86" s="127">
        <v>4941.0</v>
      </c>
      <c r="M86" s="127"/>
      <c r="N86" s="127"/>
      <c r="O86" s="127">
        <v>7.14265E7</v>
      </c>
      <c r="P86" s="127"/>
      <c r="Q86" s="127"/>
      <c r="R86" s="127"/>
      <c r="S86" s="127"/>
      <c r="T86" s="127"/>
      <c r="U86" s="127">
        <v>0.0</v>
      </c>
      <c r="V86" s="127">
        <v>0.0</v>
      </c>
      <c r="W86" s="127"/>
      <c r="X86" s="127"/>
      <c r="Y86" s="127">
        <v>0.0</v>
      </c>
      <c r="Z86" s="127"/>
      <c r="AA86" s="127">
        <v>0.0</v>
      </c>
      <c r="AB86" s="127"/>
      <c r="AC86" s="127"/>
      <c r="AD86" s="127"/>
      <c r="AE86" s="127">
        <v>6861.0</v>
      </c>
      <c r="AF86" s="127"/>
      <c r="AG86" s="127">
        <v>4097.0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5" width="15.13"/>
    <col customWidth="1" min="6" max="6" width="16.63"/>
    <col min="7" max="33" width="15.13"/>
  </cols>
  <sheetData>
    <row r="1" ht="36.0">
      <c r="A1" s="112" t="s">
        <v>160</v>
      </c>
    </row>
    <row r="2">
      <c r="A2" s="113" t="s">
        <v>161</v>
      </c>
      <c r="B2" s="113" t="s">
        <v>10</v>
      </c>
      <c r="C2" s="113" t="s">
        <v>13</v>
      </c>
      <c r="D2" s="113" t="s">
        <v>16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45992.0</v>
      </c>
      <c r="B3" s="115"/>
      <c r="C3" s="115"/>
      <c r="D3" s="115"/>
      <c r="E3" s="115">
        <v>0.15228134697161247</v>
      </c>
      <c r="F3" s="115">
        <v>1325.0</v>
      </c>
      <c r="G3" s="115">
        <v>8701.0</v>
      </c>
      <c r="H3" s="115">
        <v>49506.0</v>
      </c>
      <c r="I3" s="115">
        <v>7363.773584905661</v>
      </c>
      <c r="J3" s="115">
        <v>9757000.0</v>
      </c>
      <c r="K3" s="115">
        <v>1325.0</v>
      </c>
      <c r="L3" s="115">
        <v>1655.0</v>
      </c>
      <c r="M3" s="115">
        <v>0.18009901609101608</v>
      </c>
      <c r="N3" s="115">
        <v>7999773.899999956</v>
      </c>
      <c r="O3" s="115">
        <v>9757000.0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12297.0</v>
      </c>
      <c r="X3" s="115">
        <v>5198.0</v>
      </c>
      <c r="Y3" s="115">
        <v>1380.0</v>
      </c>
      <c r="Z3" s="115">
        <v>1676.0</v>
      </c>
      <c r="AA3" s="115">
        <v>307.0</v>
      </c>
      <c r="AB3" s="115"/>
      <c r="AC3" s="115">
        <v>59351.0</v>
      </c>
      <c r="AD3" s="115">
        <v>38007.0</v>
      </c>
      <c r="AE3" s="115">
        <v>7321.0</v>
      </c>
      <c r="AF3" s="115">
        <v>10997.0</v>
      </c>
      <c r="AG3" s="115">
        <v>1018.0</v>
      </c>
    </row>
    <row r="4">
      <c r="A4" s="116">
        <v>46023.0</v>
      </c>
      <c r="B4" s="117">
        <v>0.6079654510556622</v>
      </c>
      <c r="C4" s="117">
        <v>1267.0</v>
      </c>
      <c r="D4" s="117">
        <v>2084.0</v>
      </c>
      <c r="E4" s="117">
        <v>0.17133464825772518</v>
      </c>
      <c r="F4" s="117">
        <v>1303.0</v>
      </c>
      <c r="G4" s="117">
        <v>7605.0</v>
      </c>
      <c r="H4" s="117">
        <v>29720.0</v>
      </c>
      <c r="I4" s="117">
        <v>8511.28165771297</v>
      </c>
      <c r="J4" s="117">
        <v>1.10902E7</v>
      </c>
      <c r="K4" s="117">
        <v>1303.0</v>
      </c>
      <c r="L4" s="117">
        <v>1700.0</v>
      </c>
      <c r="M4" s="117">
        <v>0.11811166615570567</v>
      </c>
      <c r="N4" s="117">
        <v>9780317.999999993</v>
      </c>
      <c r="O4" s="117">
        <v>1.10902E7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11015.0</v>
      </c>
      <c r="X4" s="117">
        <v>3611.0</v>
      </c>
      <c r="Y4" s="117">
        <v>618.0</v>
      </c>
      <c r="Z4" s="117">
        <v>902.0</v>
      </c>
      <c r="AA4" s="117">
        <v>141.0</v>
      </c>
      <c r="AB4" s="117"/>
      <c r="AC4" s="117">
        <v>74836.0</v>
      </c>
      <c r="AD4" s="117">
        <v>55609.0</v>
      </c>
      <c r="AE4" s="117">
        <v>6987.0</v>
      </c>
      <c r="AF4" s="117">
        <v>9576.0</v>
      </c>
      <c r="AG4" s="117">
        <v>1162.0</v>
      </c>
    </row>
    <row r="5">
      <c r="A5" s="114">
        <v>46054.0</v>
      </c>
      <c r="B5" s="115">
        <v>0.48663101604278075</v>
      </c>
      <c r="C5" s="115">
        <v>637.0</v>
      </c>
      <c r="D5" s="115">
        <v>1309.0</v>
      </c>
      <c r="E5" s="115">
        <v>0.16825396825396827</v>
      </c>
      <c r="F5" s="115">
        <v>1060.0</v>
      </c>
      <c r="G5" s="115">
        <v>6300.0</v>
      </c>
      <c r="H5" s="115">
        <v>26580.0</v>
      </c>
      <c r="I5" s="115">
        <v>18036.132075471698</v>
      </c>
      <c r="J5" s="115">
        <v>1.91183E7</v>
      </c>
      <c r="K5" s="115">
        <v>1060.0</v>
      </c>
      <c r="L5" s="115">
        <v>1460.0</v>
      </c>
      <c r="M5" s="115">
        <v>0.2965745960676405</v>
      </c>
      <c r="N5" s="115">
        <v>1.3448297900000028E7</v>
      </c>
      <c r="O5" s="115">
        <v>1.91183E7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13278.0</v>
      </c>
      <c r="X5" s="115">
        <v>8504.0</v>
      </c>
      <c r="Y5" s="115">
        <v>4011.0</v>
      </c>
      <c r="Z5" s="115">
        <v>4475.0</v>
      </c>
      <c r="AA5" s="115">
        <v>840.0</v>
      </c>
      <c r="AB5" s="115"/>
      <c r="AC5" s="115">
        <v>12716.0</v>
      </c>
      <c r="AD5" s="115">
        <v>8325.0</v>
      </c>
      <c r="AE5" s="115">
        <v>2289.0</v>
      </c>
      <c r="AF5" s="115">
        <v>1016.0</v>
      </c>
      <c r="AG5" s="115">
        <v>220.0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161</v>
      </c>
      <c r="B1" s="125" t="s">
        <v>10</v>
      </c>
      <c r="C1" s="125" t="s">
        <v>13</v>
      </c>
      <c r="D1" s="125" t="s">
        <v>16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45992.0</v>
      </c>
      <c r="B2" s="127"/>
      <c r="C2" s="127"/>
      <c r="D2" s="127"/>
      <c r="E2" s="127">
        <v>0.15228134697161247</v>
      </c>
      <c r="F2" s="127">
        <v>1325.0</v>
      </c>
      <c r="G2" s="127">
        <v>8701.0</v>
      </c>
      <c r="H2" s="127">
        <v>49506.0</v>
      </c>
      <c r="I2" s="127">
        <v>7363.773584905661</v>
      </c>
      <c r="J2" s="127">
        <v>9757000.0</v>
      </c>
      <c r="K2" s="127">
        <v>1325.0</v>
      </c>
      <c r="L2" s="127">
        <v>1655.0</v>
      </c>
      <c r="M2" s="127">
        <v>0.18009901609101608</v>
      </c>
      <c r="N2" s="127">
        <v>7999773.899999957</v>
      </c>
      <c r="O2" s="127">
        <v>9757000.0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12297.0</v>
      </c>
      <c r="X2" s="127">
        <v>5198.0</v>
      </c>
      <c r="Y2" s="127">
        <v>1380.0</v>
      </c>
      <c r="Z2" s="127">
        <v>1676.0</v>
      </c>
      <c r="AA2" s="127">
        <v>307.0</v>
      </c>
      <c r="AB2" s="127"/>
      <c r="AC2" s="127">
        <v>59351.0</v>
      </c>
      <c r="AD2" s="127">
        <v>38007.0</v>
      </c>
      <c r="AE2" s="127">
        <v>7321.0</v>
      </c>
      <c r="AF2" s="127">
        <v>10997.0</v>
      </c>
      <c r="AG2" s="127">
        <v>1018.0</v>
      </c>
    </row>
    <row r="3">
      <c r="A3" s="126">
        <v>46023.0</v>
      </c>
      <c r="B3" s="127">
        <v>0.6079654510556622</v>
      </c>
      <c r="C3" s="127">
        <v>1267.0</v>
      </c>
      <c r="D3" s="127">
        <v>2084.0</v>
      </c>
      <c r="E3" s="127">
        <v>0.17133464825772518</v>
      </c>
      <c r="F3" s="127">
        <v>1303.0</v>
      </c>
      <c r="G3" s="127">
        <v>7605.0</v>
      </c>
      <c r="H3" s="127">
        <v>29720.0</v>
      </c>
      <c r="I3" s="127">
        <v>8511.28165771297</v>
      </c>
      <c r="J3" s="127">
        <v>1.10902E7</v>
      </c>
      <c r="K3" s="127">
        <v>1303.0</v>
      </c>
      <c r="L3" s="127">
        <v>1700.0</v>
      </c>
      <c r="M3" s="127">
        <v>0.11811166615570567</v>
      </c>
      <c r="N3" s="127">
        <v>9780317.999999993</v>
      </c>
      <c r="O3" s="127">
        <v>1.10902E7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11015.0</v>
      </c>
      <c r="X3" s="127">
        <v>3611.0</v>
      </c>
      <c r="Y3" s="127">
        <v>618.0</v>
      </c>
      <c r="Z3" s="127">
        <v>902.0</v>
      </c>
      <c r="AA3" s="127">
        <v>141.0</v>
      </c>
      <c r="AB3" s="127"/>
      <c r="AC3" s="127">
        <v>74836.0</v>
      </c>
      <c r="AD3" s="127">
        <v>55609.0</v>
      </c>
      <c r="AE3" s="127">
        <v>6987.0</v>
      </c>
      <c r="AF3" s="127">
        <v>9576.0</v>
      </c>
      <c r="AG3" s="127">
        <v>1162.0</v>
      </c>
    </row>
    <row r="4">
      <c r="A4" s="126">
        <v>46054.0</v>
      </c>
      <c r="B4" s="127">
        <v>0.48663101604278075</v>
      </c>
      <c r="C4" s="127">
        <v>637.0</v>
      </c>
      <c r="D4" s="127">
        <v>1309.0</v>
      </c>
      <c r="E4" s="127">
        <v>0.16825396825396827</v>
      </c>
      <c r="F4" s="127">
        <v>1060.0</v>
      </c>
      <c r="G4" s="127">
        <v>6300.0</v>
      </c>
      <c r="H4" s="127">
        <v>26580.0</v>
      </c>
      <c r="I4" s="127">
        <v>18036.132075471698</v>
      </c>
      <c r="J4" s="127">
        <v>1.91183E7</v>
      </c>
      <c r="K4" s="127">
        <v>1060.0</v>
      </c>
      <c r="L4" s="127">
        <v>1460.0</v>
      </c>
      <c r="M4" s="127">
        <v>0.2965745960676405</v>
      </c>
      <c r="N4" s="127">
        <v>1.3448297900000028E7</v>
      </c>
      <c r="O4" s="127">
        <v>1.91183E7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13278.0</v>
      </c>
      <c r="X4" s="127">
        <v>8504.0</v>
      </c>
      <c r="Y4" s="127">
        <v>4011.0</v>
      </c>
      <c r="Z4" s="127">
        <v>4475.0</v>
      </c>
      <c r="AA4" s="127">
        <v>840.0</v>
      </c>
      <c r="AB4" s="127"/>
      <c r="AC4" s="127">
        <v>12716.0</v>
      </c>
      <c r="AD4" s="127">
        <v>8325.0</v>
      </c>
      <c r="AE4" s="127">
        <v>2289.0</v>
      </c>
      <c r="AF4" s="127">
        <v>1016.0</v>
      </c>
      <c r="AG4" s="127">
        <v>220.0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3" width="15.13"/>
  </cols>
  <sheetData>
    <row r="1" ht="36.0">
      <c r="A1" s="112" t="s">
        <v>162</v>
      </c>
    </row>
    <row r="2">
      <c r="A2" s="113" t="s">
        <v>161</v>
      </c>
      <c r="B2" s="113" t="s">
        <v>10</v>
      </c>
      <c r="C2" s="113" t="s">
        <v>13</v>
      </c>
      <c r="D2" s="113" t="s">
        <v>16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45992.0</v>
      </c>
      <c r="B3" s="115"/>
      <c r="C3" s="115"/>
      <c r="D3" s="115"/>
      <c r="E3" s="115">
        <v>6.137416761285175E-5</v>
      </c>
      <c r="F3" s="115">
        <v>2.0</v>
      </c>
      <c r="G3" s="115">
        <v>32587.0</v>
      </c>
      <c r="H3" s="115">
        <v>845326.0</v>
      </c>
      <c r="I3" s="115">
        <v>64500.0</v>
      </c>
      <c r="J3" s="115">
        <v>129000.0</v>
      </c>
      <c r="K3" s="115">
        <v>2.0</v>
      </c>
      <c r="L3" s="115">
        <v>2.0</v>
      </c>
      <c r="M3" s="115">
        <v>-37.62573708835504</v>
      </c>
      <c r="N3" s="115">
        <v>4982720.0843978</v>
      </c>
      <c r="O3" s="115">
        <v>129000.0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10394.0</v>
      </c>
      <c r="X3" s="115">
        <v>3740.0</v>
      </c>
      <c r="Y3" s="115">
        <v>3681.0</v>
      </c>
      <c r="Z3" s="115">
        <v>81.0</v>
      </c>
      <c r="AA3" s="115">
        <v>1.0</v>
      </c>
      <c r="AB3" s="115"/>
      <c r="AC3" s="115">
        <v>50369.0</v>
      </c>
      <c r="AD3" s="115">
        <v>29884.0</v>
      </c>
      <c r="AE3" s="115">
        <v>28906.0</v>
      </c>
      <c r="AF3" s="115">
        <v>253.0</v>
      </c>
      <c r="AG3" s="115">
        <v>1.0</v>
      </c>
    </row>
    <row r="4">
      <c r="A4" s="116">
        <v>46023.0</v>
      </c>
      <c r="B4" s="117">
        <v>0.8536585365853658</v>
      </c>
      <c r="C4" s="117">
        <v>35.0</v>
      </c>
      <c r="D4" s="117">
        <v>41.0</v>
      </c>
      <c r="E4" s="117">
        <v>0.005038547926910703</v>
      </c>
      <c r="F4" s="117">
        <v>166.0</v>
      </c>
      <c r="G4" s="117">
        <v>32946.0</v>
      </c>
      <c r="H4" s="117">
        <v>634217.0</v>
      </c>
      <c r="I4" s="117">
        <v>83102.40963855422</v>
      </c>
      <c r="J4" s="117">
        <v>1.3795E7</v>
      </c>
      <c r="K4" s="117">
        <v>166.0</v>
      </c>
      <c r="L4" s="117">
        <v>167.0</v>
      </c>
      <c r="M4" s="117">
        <v>0.5639115277651758</v>
      </c>
      <c r="N4" s="117">
        <v>6015840.4744794</v>
      </c>
      <c r="O4" s="117">
        <v>1.3795E7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10369.0</v>
      </c>
      <c r="X4" s="117">
        <v>3789.0</v>
      </c>
      <c r="Y4" s="117">
        <v>3614.0</v>
      </c>
      <c r="Z4" s="117">
        <v>2478.0</v>
      </c>
      <c r="AA4" s="117">
        <v>35.0</v>
      </c>
      <c r="AB4" s="117"/>
      <c r="AC4" s="117">
        <v>58277.0</v>
      </c>
      <c r="AD4" s="117">
        <v>31706.0</v>
      </c>
      <c r="AE4" s="117">
        <v>29332.0</v>
      </c>
      <c r="AF4" s="117">
        <v>13575.0</v>
      </c>
      <c r="AG4" s="117">
        <v>131.0</v>
      </c>
    </row>
    <row r="5">
      <c r="A5" s="114">
        <v>46054.0</v>
      </c>
      <c r="B5" s="115">
        <v>0.8291457286432161</v>
      </c>
      <c r="C5" s="115">
        <v>165.0</v>
      </c>
      <c r="D5" s="115">
        <v>199.0</v>
      </c>
      <c r="E5" s="115">
        <v>0.004438388164298228</v>
      </c>
      <c r="F5" s="115">
        <v>114.0</v>
      </c>
      <c r="G5" s="115">
        <v>25685.0</v>
      </c>
      <c r="H5" s="115">
        <v>299855.0</v>
      </c>
      <c r="I5" s="115">
        <v>72833.33333333333</v>
      </c>
      <c r="J5" s="115">
        <v>8303000.0</v>
      </c>
      <c r="K5" s="115">
        <v>114.0</v>
      </c>
      <c r="L5" s="115">
        <v>115.0</v>
      </c>
      <c r="M5" s="115">
        <v>0.598433186970589</v>
      </c>
      <c r="N5" s="115">
        <v>3334209.2485832</v>
      </c>
      <c r="O5" s="115">
        <v>8303000.0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10502.0</v>
      </c>
      <c r="X5" s="115">
        <v>2975.0</v>
      </c>
      <c r="Y5" s="115">
        <v>2847.0</v>
      </c>
      <c r="Z5" s="115">
        <v>1931.0</v>
      </c>
      <c r="AA5" s="115">
        <v>20.0</v>
      </c>
      <c r="AB5" s="115"/>
      <c r="AC5" s="115">
        <v>38069.0</v>
      </c>
      <c r="AD5" s="115">
        <v>22372.0</v>
      </c>
      <c r="AE5" s="115">
        <v>22838.0</v>
      </c>
      <c r="AF5" s="115">
        <v>9514.0</v>
      </c>
      <c r="AG5" s="115">
        <v>94.0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161</v>
      </c>
      <c r="B1" s="125" t="s">
        <v>10</v>
      </c>
      <c r="C1" s="125" t="s">
        <v>13</v>
      </c>
      <c r="D1" s="125" t="s">
        <v>16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45992.0</v>
      </c>
      <c r="B2" s="127"/>
      <c r="C2" s="127"/>
      <c r="D2" s="127"/>
      <c r="E2" s="127">
        <v>6.137416761285175E-5</v>
      </c>
      <c r="F2" s="127">
        <v>2.0</v>
      </c>
      <c r="G2" s="127">
        <v>32587.0</v>
      </c>
      <c r="H2" s="127">
        <v>845326.0</v>
      </c>
      <c r="I2" s="127">
        <v>64500.0</v>
      </c>
      <c r="J2" s="127">
        <v>129000.0</v>
      </c>
      <c r="K2" s="127">
        <v>2.0</v>
      </c>
      <c r="L2" s="127">
        <v>2.0</v>
      </c>
      <c r="M2" s="127">
        <v>-37.62573708835504</v>
      </c>
      <c r="N2" s="127">
        <v>4982720.0843978</v>
      </c>
      <c r="O2" s="127">
        <v>129000.0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10394.0</v>
      </c>
      <c r="X2" s="127">
        <v>3740.0</v>
      </c>
      <c r="Y2" s="127">
        <v>3681.0</v>
      </c>
      <c r="Z2" s="127">
        <v>81.0</v>
      </c>
      <c r="AA2" s="127">
        <v>1.0</v>
      </c>
      <c r="AB2" s="127"/>
      <c r="AC2" s="127">
        <v>50369.0</v>
      </c>
      <c r="AD2" s="127">
        <v>29884.0</v>
      </c>
      <c r="AE2" s="127">
        <v>28906.0</v>
      </c>
      <c r="AF2" s="127">
        <v>253.0</v>
      </c>
      <c r="AG2" s="127">
        <v>1.0</v>
      </c>
    </row>
    <row r="3">
      <c r="A3" s="126">
        <v>46023.0</v>
      </c>
      <c r="B3" s="127">
        <v>0.8536585365853658</v>
      </c>
      <c r="C3" s="127">
        <v>35.0</v>
      </c>
      <c r="D3" s="127">
        <v>41.0</v>
      </c>
      <c r="E3" s="127">
        <v>0.005038547926910703</v>
      </c>
      <c r="F3" s="127">
        <v>166.0</v>
      </c>
      <c r="G3" s="127">
        <v>32946.0</v>
      </c>
      <c r="H3" s="127">
        <v>634217.0</v>
      </c>
      <c r="I3" s="127">
        <v>83102.40963855422</v>
      </c>
      <c r="J3" s="127">
        <v>1.3795E7</v>
      </c>
      <c r="K3" s="127">
        <v>166.0</v>
      </c>
      <c r="L3" s="127">
        <v>167.0</v>
      </c>
      <c r="M3" s="127">
        <v>0.5639115277651758</v>
      </c>
      <c r="N3" s="127">
        <v>6015840.4744794</v>
      </c>
      <c r="O3" s="127">
        <v>1.3795E7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10369.0</v>
      </c>
      <c r="X3" s="127">
        <v>3789.0</v>
      </c>
      <c r="Y3" s="127">
        <v>3614.0</v>
      </c>
      <c r="Z3" s="127">
        <v>2478.0</v>
      </c>
      <c r="AA3" s="127">
        <v>35.0</v>
      </c>
      <c r="AB3" s="127"/>
      <c r="AC3" s="127">
        <v>58277.0</v>
      </c>
      <c r="AD3" s="127">
        <v>31706.0</v>
      </c>
      <c r="AE3" s="127">
        <v>29332.0</v>
      </c>
      <c r="AF3" s="127">
        <v>13575.0</v>
      </c>
      <c r="AG3" s="127">
        <v>131.0</v>
      </c>
    </row>
    <row r="4">
      <c r="A4" s="126">
        <v>46054.0</v>
      </c>
      <c r="B4" s="127">
        <v>0.8291457286432161</v>
      </c>
      <c r="C4" s="127">
        <v>165.0</v>
      </c>
      <c r="D4" s="127">
        <v>199.0</v>
      </c>
      <c r="E4" s="127">
        <v>0.004438388164298228</v>
      </c>
      <c r="F4" s="127">
        <v>114.0</v>
      </c>
      <c r="G4" s="127">
        <v>25685.0</v>
      </c>
      <c r="H4" s="127">
        <v>299855.0</v>
      </c>
      <c r="I4" s="127">
        <v>72833.33333333333</v>
      </c>
      <c r="J4" s="127">
        <v>8303000.0</v>
      </c>
      <c r="K4" s="127">
        <v>114.0</v>
      </c>
      <c r="L4" s="127">
        <v>115.0</v>
      </c>
      <c r="M4" s="127">
        <v>0.598433186970589</v>
      </c>
      <c r="N4" s="127">
        <v>3334209.2485832</v>
      </c>
      <c r="O4" s="127">
        <v>8303000.0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10502.0</v>
      </c>
      <c r="X4" s="127">
        <v>2975.0</v>
      </c>
      <c r="Y4" s="127">
        <v>2847.0</v>
      </c>
      <c r="Z4" s="127">
        <v>1931.0</v>
      </c>
      <c r="AA4" s="127">
        <v>20.0</v>
      </c>
      <c r="AB4" s="127"/>
      <c r="AC4" s="127">
        <v>38069.0</v>
      </c>
      <c r="AD4" s="127">
        <v>22372.0</v>
      </c>
      <c r="AE4" s="127">
        <v>22838.0</v>
      </c>
      <c r="AF4" s="127">
        <v>9514.0</v>
      </c>
      <c r="AG4" s="127">
        <v>94.0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3" width="15.13"/>
  </cols>
  <sheetData>
    <row r="1" ht="36.0">
      <c r="A1" s="112" t="s">
        <v>163</v>
      </c>
    </row>
    <row r="2">
      <c r="A2" s="113" t="s">
        <v>161</v>
      </c>
      <c r="B2" s="113" t="s">
        <v>10</v>
      </c>
      <c r="C2" s="113" t="s">
        <v>164</v>
      </c>
      <c r="D2" s="113" t="s">
        <v>16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45992.0</v>
      </c>
      <c r="B3" s="115"/>
      <c r="C3" s="115"/>
      <c r="D3" s="115"/>
      <c r="E3" s="115">
        <v>2.076104042471157E-4</v>
      </c>
      <c r="F3" s="115">
        <v>7.0</v>
      </c>
      <c r="G3" s="115">
        <v>33717.0</v>
      </c>
      <c r="H3" s="115">
        <v>114122.0</v>
      </c>
      <c r="I3" s="115">
        <v>16571.428571428572</v>
      </c>
      <c r="J3" s="115">
        <v>116000.0</v>
      </c>
      <c r="K3" s="115">
        <v>7.0</v>
      </c>
      <c r="L3" s="115">
        <v>7.0</v>
      </c>
      <c r="M3" s="115">
        <v>-7.304074899268965</v>
      </c>
      <c r="N3" s="115">
        <v>963272.6883152</v>
      </c>
      <c r="O3" s="115">
        <v>116000.0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11359.0</v>
      </c>
      <c r="X3" s="115">
        <v>7868.0</v>
      </c>
      <c r="Y3" s="115">
        <v>5769.0</v>
      </c>
      <c r="Z3" s="115">
        <v>30.0</v>
      </c>
      <c r="AA3" s="115">
        <v>0.0</v>
      </c>
      <c r="AB3" s="115"/>
      <c r="AC3" s="115">
        <v>58878.0</v>
      </c>
      <c r="AD3" s="115">
        <v>41268.0</v>
      </c>
      <c r="AE3" s="115">
        <v>27948.0</v>
      </c>
      <c r="AF3" s="115">
        <v>148.0</v>
      </c>
      <c r="AG3" s="115">
        <v>7.0</v>
      </c>
    </row>
    <row r="4">
      <c r="A4" s="116">
        <v>46023.0</v>
      </c>
      <c r="B4" s="117">
        <v>0.4169184290030212</v>
      </c>
      <c r="C4" s="117">
        <v>138.0</v>
      </c>
      <c r="D4" s="117">
        <v>331.0</v>
      </c>
      <c r="E4" s="117">
        <v>0.11255141468278698</v>
      </c>
      <c r="F4" s="117">
        <v>903.0</v>
      </c>
      <c r="G4" s="117">
        <v>8023.0</v>
      </c>
      <c r="H4" s="117">
        <v>25804.0</v>
      </c>
      <c r="I4" s="117">
        <v>23157.918050941305</v>
      </c>
      <c r="J4" s="117">
        <v>2.09116E7</v>
      </c>
      <c r="K4" s="117">
        <v>903.0</v>
      </c>
      <c r="L4" s="117">
        <v>1242.0</v>
      </c>
      <c r="M4" s="117">
        <v>0.751905712010291</v>
      </c>
      <c r="N4" s="117">
        <v>5188048.5127256</v>
      </c>
      <c r="O4" s="117">
        <v>2.09116E7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14126.0</v>
      </c>
      <c r="X4" s="117">
        <v>7312.0</v>
      </c>
      <c r="Y4" s="117">
        <v>1196.0</v>
      </c>
      <c r="Z4" s="117">
        <v>2517.0</v>
      </c>
      <c r="AA4" s="117">
        <v>168.0</v>
      </c>
      <c r="AB4" s="117"/>
      <c r="AC4" s="117">
        <v>74690.0</v>
      </c>
      <c r="AD4" s="117">
        <v>50079.0</v>
      </c>
      <c r="AE4" s="117">
        <v>6827.0</v>
      </c>
      <c r="AF4" s="117">
        <v>12366.0</v>
      </c>
      <c r="AG4" s="117">
        <v>735.0</v>
      </c>
    </row>
    <row r="5">
      <c r="A5" s="114">
        <v>46054.0</v>
      </c>
      <c r="B5" s="115">
        <v>0.44333333333333336</v>
      </c>
      <c r="C5" s="115">
        <v>532.0</v>
      </c>
      <c r="D5" s="115">
        <v>1200.0</v>
      </c>
      <c r="E5" s="115">
        <v>0.15896151218401275</v>
      </c>
      <c r="F5" s="115">
        <v>698.0</v>
      </c>
      <c r="G5" s="115">
        <v>4391.0</v>
      </c>
      <c r="H5" s="115">
        <v>11965.0</v>
      </c>
      <c r="I5" s="115">
        <v>24889.398280802292</v>
      </c>
      <c r="J5" s="115">
        <v>1.73728E7</v>
      </c>
      <c r="K5" s="115">
        <v>698.0</v>
      </c>
      <c r="L5" s="115">
        <v>1028.0</v>
      </c>
      <c r="M5" s="115">
        <v>0.7234989596961687</v>
      </c>
      <c r="N5" s="115">
        <v>4803597.2729904</v>
      </c>
      <c r="O5" s="115">
        <v>1.73728E7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13219.0</v>
      </c>
      <c r="X5" s="115">
        <v>4487.0</v>
      </c>
      <c r="Y5" s="115">
        <v>825.0</v>
      </c>
      <c r="Z5" s="115">
        <v>2699.0</v>
      </c>
      <c r="AA5" s="115">
        <v>159.0</v>
      </c>
      <c r="AB5" s="115"/>
      <c r="AC5" s="115">
        <v>65321.0</v>
      </c>
      <c r="AD5" s="115">
        <v>32715.0</v>
      </c>
      <c r="AE5" s="115">
        <v>3566.0</v>
      </c>
      <c r="AF5" s="115">
        <v>9761.0</v>
      </c>
      <c r="AG5" s="115">
        <v>539.0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161</v>
      </c>
      <c r="B1" s="125" t="s">
        <v>10</v>
      </c>
      <c r="C1" s="125" t="s">
        <v>164</v>
      </c>
      <c r="D1" s="125" t="s">
        <v>16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45992.0</v>
      </c>
      <c r="B2" s="127"/>
      <c r="C2" s="127"/>
      <c r="D2" s="127"/>
      <c r="E2" s="127">
        <v>2.076104042471157E-4</v>
      </c>
      <c r="F2" s="127">
        <v>7.0</v>
      </c>
      <c r="G2" s="127">
        <v>33717.0</v>
      </c>
      <c r="H2" s="127">
        <v>114122.0</v>
      </c>
      <c r="I2" s="127">
        <v>16571.428571428572</v>
      </c>
      <c r="J2" s="127">
        <v>116000.0</v>
      </c>
      <c r="K2" s="127">
        <v>7.0</v>
      </c>
      <c r="L2" s="127">
        <v>7.0</v>
      </c>
      <c r="M2" s="127">
        <v>-7.304074899268965</v>
      </c>
      <c r="N2" s="127">
        <v>963272.6883152</v>
      </c>
      <c r="O2" s="127">
        <v>116000.0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11359.0</v>
      </c>
      <c r="X2" s="127">
        <v>7868.0</v>
      </c>
      <c r="Y2" s="127">
        <v>5769.0</v>
      </c>
      <c r="Z2" s="127">
        <v>30.0</v>
      </c>
      <c r="AA2" s="127">
        <v>0.0</v>
      </c>
      <c r="AB2" s="127"/>
      <c r="AC2" s="127">
        <v>58878.0</v>
      </c>
      <c r="AD2" s="127">
        <v>41268.0</v>
      </c>
      <c r="AE2" s="127">
        <v>27948.0</v>
      </c>
      <c r="AF2" s="127">
        <v>148.0</v>
      </c>
      <c r="AG2" s="127">
        <v>7.0</v>
      </c>
    </row>
    <row r="3">
      <c r="A3" s="126">
        <v>46023.0</v>
      </c>
      <c r="B3" s="127">
        <v>0.4169184290030212</v>
      </c>
      <c r="C3" s="127">
        <v>138.0</v>
      </c>
      <c r="D3" s="127">
        <v>331.0</v>
      </c>
      <c r="E3" s="127">
        <v>0.11255141468278698</v>
      </c>
      <c r="F3" s="127">
        <v>903.0</v>
      </c>
      <c r="G3" s="127">
        <v>8023.0</v>
      </c>
      <c r="H3" s="127">
        <v>25804.0</v>
      </c>
      <c r="I3" s="127">
        <v>23157.918050941305</v>
      </c>
      <c r="J3" s="127">
        <v>2.09116E7</v>
      </c>
      <c r="K3" s="127">
        <v>903.0</v>
      </c>
      <c r="L3" s="127">
        <v>1242.0</v>
      </c>
      <c r="M3" s="127">
        <v>0.751905712010291</v>
      </c>
      <c r="N3" s="127">
        <v>5188048.5127256</v>
      </c>
      <c r="O3" s="127">
        <v>2.09116E7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14126.0</v>
      </c>
      <c r="X3" s="127">
        <v>7312.0</v>
      </c>
      <c r="Y3" s="127">
        <v>1196.0</v>
      </c>
      <c r="Z3" s="127">
        <v>2517.0</v>
      </c>
      <c r="AA3" s="127">
        <v>168.0</v>
      </c>
      <c r="AB3" s="127"/>
      <c r="AC3" s="127">
        <v>74690.0</v>
      </c>
      <c r="AD3" s="127">
        <v>50079.0</v>
      </c>
      <c r="AE3" s="127">
        <v>6827.0</v>
      </c>
      <c r="AF3" s="127">
        <v>12366.0</v>
      </c>
      <c r="AG3" s="127">
        <v>735.0</v>
      </c>
    </row>
    <row r="4">
      <c r="A4" s="126">
        <v>46054.0</v>
      </c>
      <c r="B4" s="127">
        <v>0.44333333333333336</v>
      </c>
      <c r="C4" s="127">
        <v>532.0</v>
      </c>
      <c r="D4" s="127">
        <v>1200.0</v>
      </c>
      <c r="E4" s="127">
        <v>0.15896151218401275</v>
      </c>
      <c r="F4" s="127">
        <v>698.0</v>
      </c>
      <c r="G4" s="127">
        <v>4391.0</v>
      </c>
      <c r="H4" s="127">
        <v>11965.0</v>
      </c>
      <c r="I4" s="127">
        <v>24889.398280802292</v>
      </c>
      <c r="J4" s="127">
        <v>1.73728E7</v>
      </c>
      <c r="K4" s="127">
        <v>698.0</v>
      </c>
      <c r="L4" s="127">
        <v>1028.0</v>
      </c>
      <c r="M4" s="127">
        <v>0.7234989596961687</v>
      </c>
      <c r="N4" s="127">
        <v>4803597.2729904</v>
      </c>
      <c r="O4" s="127">
        <v>1.73728E7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13219.0</v>
      </c>
      <c r="X4" s="127">
        <v>4487.0</v>
      </c>
      <c r="Y4" s="127">
        <v>825.0</v>
      </c>
      <c r="Z4" s="127">
        <v>2699.0</v>
      </c>
      <c r="AA4" s="127">
        <v>159.0</v>
      </c>
      <c r="AB4" s="127"/>
      <c r="AC4" s="127">
        <v>65321.0</v>
      </c>
      <c r="AD4" s="127">
        <v>32715.0</v>
      </c>
      <c r="AE4" s="127">
        <v>3566.0</v>
      </c>
      <c r="AF4" s="127">
        <v>9761.0</v>
      </c>
      <c r="AG4" s="127">
        <v>539.0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3" width="15.13"/>
  </cols>
  <sheetData>
    <row r="1" ht="36.0">
      <c r="A1" s="112" t="s">
        <v>165</v>
      </c>
    </row>
    <row r="2">
      <c r="A2" s="113" t="s">
        <v>166</v>
      </c>
      <c r="B2" s="113" t="s">
        <v>10</v>
      </c>
      <c r="C2" s="113" t="s">
        <v>12</v>
      </c>
      <c r="D2" s="113" t="s">
        <v>15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45992.0</v>
      </c>
      <c r="B3" s="115">
        <v>0.7730081300813008</v>
      </c>
      <c r="C3" s="115">
        <v>2377.0</v>
      </c>
      <c r="D3" s="115">
        <v>3075.0</v>
      </c>
      <c r="E3" s="115">
        <v>0.32655206134218007</v>
      </c>
      <c r="F3" s="115">
        <v>35731.0</v>
      </c>
      <c r="G3" s="115">
        <v>109419.0</v>
      </c>
      <c r="H3" s="115">
        <v>4.9952046E7</v>
      </c>
      <c r="I3" s="115">
        <v>74787.05046038453</v>
      </c>
      <c r="J3" s="115">
        <v>2.6722161E9</v>
      </c>
      <c r="K3" s="115">
        <v>35731.0</v>
      </c>
      <c r="L3" s="115">
        <v>118833.0</v>
      </c>
      <c r="M3" s="115">
        <v>0.5247190470222332</v>
      </c>
      <c r="N3" s="115">
        <v>1.2700534145705316E9</v>
      </c>
      <c r="O3" s="115">
        <v>2.6722161E9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14824.0</v>
      </c>
      <c r="X3" s="115">
        <v>12095.0</v>
      </c>
      <c r="Y3" s="115">
        <v>12031.0</v>
      </c>
      <c r="Z3" s="115">
        <v>9037.0</v>
      </c>
      <c r="AA3" s="115">
        <v>1501.0</v>
      </c>
      <c r="AB3" s="115"/>
      <c r="AC3" s="115">
        <v>119448.0</v>
      </c>
      <c r="AD3" s="115">
        <v>84386.0</v>
      </c>
      <c r="AE3" s="115">
        <v>97388.0</v>
      </c>
      <c r="AF3" s="115">
        <v>85964.0</v>
      </c>
      <c r="AG3" s="115">
        <v>34230.0</v>
      </c>
    </row>
    <row r="4">
      <c r="A4" s="116">
        <v>45999.0</v>
      </c>
      <c r="B4" s="117">
        <v>0.783989834815756</v>
      </c>
      <c r="C4" s="117">
        <v>1851.0</v>
      </c>
      <c r="D4" s="117">
        <v>2361.0</v>
      </c>
      <c r="E4" s="117">
        <v>0.2633565385414127</v>
      </c>
      <c r="F4" s="117">
        <v>29167.0</v>
      </c>
      <c r="G4" s="117">
        <v>110751.0</v>
      </c>
      <c r="H4" s="117">
        <v>5.083798E7</v>
      </c>
      <c r="I4" s="117">
        <v>54410.306167929506</v>
      </c>
      <c r="J4" s="117">
        <v>1.5869854E9</v>
      </c>
      <c r="K4" s="117">
        <v>29167.0</v>
      </c>
      <c r="L4" s="117">
        <v>106290.0</v>
      </c>
      <c r="M4" s="117">
        <v>0.29663520038562363</v>
      </c>
      <c r="N4" s="117">
        <v>1.1162296678619409E9</v>
      </c>
      <c r="O4" s="117">
        <v>1.5869854E9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13383.0</v>
      </c>
      <c r="X4" s="117">
        <v>10951.0</v>
      </c>
      <c r="Y4" s="117">
        <v>10916.0</v>
      </c>
      <c r="Z4" s="117">
        <v>7595.0</v>
      </c>
      <c r="AA4" s="117">
        <v>1249.0</v>
      </c>
      <c r="AB4" s="117"/>
      <c r="AC4" s="117">
        <v>117571.0</v>
      </c>
      <c r="AD4" s="117">
        <v>85945.0</v>
      </c>
      <c r="AE4" s="117">
        <v>99835.0</v>
      </c>
      <c r="AF4" s="117">
        <v>84682.0</v>
      </c>
      <c r="AG4" s="117">
        <v>27918.0</v>
      </c>
    </row>
    <row r="5">
      <c r="A5" s="114">
        <v>46006.0</v>
      </c>
      <c r="B5" s="115">
        <v>0.812206572769953</v>
      </c>
      <c r="C5" s="115">
        <v>1730.0</v>
      </c>
      <c r="D5" s="115">
        <v>2130.0</v>
      </c>
      <c r="E5" s="115">
        <v>0.25735711750088747</v>
      </c>
      <c r="F5" s="115">
        <v>28999.0</v>
      </c>
      <c r="G5" s="115">
        <v>112680.0</v>
      </c>
      <c r="H5" s="115">
        <v>5.0186454E7</v>
      </c>
      <c r="I5" s="115">
        <v>53234.11152108693</v>
      </c>
      <c r="J5" s="115">
        <v>1.543736E9</v>
      </c>
      <c r="K5" s="115">
        <v>28999.0</v>
      </c>
      <c r="L5" s="115">
        <v>105056.0</v>
      </c>
      <c r="M5" s="115">
        <v>0.29719873894635573</v>
      </c>
      <c r="N5" s="115">
        <v>1.0849396075339086E9</v>
      </c>
      <c r="O5" s="115">
        <v>1.543736E9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14574.0</v>
      </c>
      <c r="X5" s="115">
        <v>11802.0</v>
      </c>
      <c r="Y5" s="115">
        <v>11674.0</v>
      </c>
      <c r="Z5" s="115">
        <v>7719.0</v>
      </c>
      <c r="AA5" s="115">
        <v>1074.0</v>
      </c>
      <c r="AB5" s="115"/>
      <c r="AC5" s="115">
        <v>125687.0</v>
      </c>
      <c r="AD5" s="115">
        <v>87135.0</v>
      </c>
      <c r="AE5" s="115">
        <v>101006.0</v>
      </c>
      <c r="AF5" s="115">
        <v>85265.0</v>
      </c>
      <c r="AG5" s="115">
        <v>27925.0</v>
      </c>
    </row>
    <row r="6">
      <c r="A6" s="116">
        <v>46013.0</v>
      </c>
      <c r="B6" s="117">
        <v>0.8061076102762966</v>
      </c>
      <c r="C6" s="117">
        <v>1663.0</v>
      </c>
      <c r="D6" s="117">
        <v>2063.0</v>
      </c>
      <c r="E6" s="117">
        <v>0.2637320399011623</v>
      </c>
      <c r="F6" s="117">
        <v>28818.0</v>
      </c>
      <c r="G6" s="117">
        <v>109270.0</v>
      </c>
      <c r="H6" s="117">
        <v>3.7213623E7</v>
      </c>
      <c r="I6" s="117">
        <v>50954.31327642446</v>
      </c>
      <c r="J6" s="117">
        <v>1.4684014E9</v>
      </c>
      <c r="K6" s="117">
        <v>28818.0</v>
      </c>
      <c r="L6" s="117">
        <v>99233.0</v>
      </c>
      <c r="M6" s="117">
        <v>0.39748444088828183</v>
      </c>
      <c r="N6" s="117">
        <v>8.847346905214297E8</v>
      </c>
      <c r="O6" s="117">
        <v>1.4684014E9</v>
      </c>
      <c r="P6" s="117"/>
      <c r="Q6" s="117"/>
      <c r="R6" s="117"/>
      <c r="S6" s="117"/>
      <c r="T6" s="117"/>
      <c r="U6" s="117">
        <v>0.0</v>
      </c>
      <c r="V6" s="117">
        <v>0.0</v>
      </c>
      <c r="W6" s="117">
        <v>21542.0</v>
      </c>
      <c r="X6" s="117">
        <v>17859.0</v>
      </c>
      <c r="Y6" s="117">
        <v>13612.0</v>
      </c>
      <c r="Z6" s="117">
        <v>10733.0</v>
      </c>
      <c r="AA6" s="117">
        <v>1097.0</v>
      </c>
      <c r="AB6" s="117"/>
      <c r="AC6" s="117">
        <v>137724.0</v>
      </c>
      <c r="AD6" s="117">
        <v>89643.0</v>
      </c>
      <c r="AE6" s="117">
        <v>95658.0</v>
      </c>
      <c r="AF6" s="117">
        <v>87792.0</v>
      </c>
      <c r="AG6" s="117">
        <v>27721.0</v>
      </c>
    </row>
    <row r="7">
      <c r="A7" s="114">
        <v>46020.0</v>
      </c>
      <c r="B7" s="115">
        <v>0.7861721611721612</v>
      </c>
      <c r="C7" s="115">
        <v>1717.0</v>
      </c>
      <c r="D7" s="115">
        <v>2184.0</v>
      </c>
      <c r="E7" s="115">
        <v>0.25649334253539147</v>
      </c>
      <c r="F7" s="115">
        <v>30475.0</v>
      </c>
      <c r="G7" s="115">
        <v>118814.0</v>
      </c>
      <c r="H7" s="115">
        <v>5.3944768E7</v>
      </c>
      <c r="I7" s="115">
        <v>52722.82854799015</v>
      </c>
      <c r="J7" s="115">
        <v>1.6067282E9</v>
      </c>
      <c r="K7" s="115">
        <v>30475.0</v>
      </c>
      <c r="L7" s="115">
        <v>104844.0</v>
      </c>
      <c r="M7" s="115">
        <v>0.30723249309447187</v>
      </c>
      <c r="N7" s="115">
        <v>1.1130890893888068E9</v>
      </c>
      <c r="O7" s="115">
        <v>1.6067282E9</v>
      </c>
      <c r="P7" s="115"/>
      <c r="Q7" s="115"/>
      <c r="R7" s="115"/>
      <c r="S7" s="115"/>
      <c r="T7" s="115"/>
      <c r="U7" s="115">
        <v>0.0</v>
      </c>
      <c r="V7" s="115">
        <v>0.0</v>
      </c>
      <c r="W7" s="115">
        <v>21860.0</v>
      </c>
      <c r="X7" s="115">
        <v>17739.0</v>
      </c>
      <c r="Y7" s="115">
        <v>17013.0</v>
      </c>
      <c r="Z7" s="115">
        <v>11860.0</v>
      </c>
      <c r="AA7" s="115">
        <v>1134.0</v>
      </c>
      <c r="AB7" s="115"/>
      <c r="AC7" s="115">
        <v>142857.0</v>
      </c>
      <c r="AD7" s="115">
        <v>91010.0</v>
      </c>
      <c r="AE7" s="115">
        <v>101801.0</v>
      </c>
      <c r="AF7" s="115">
        <v>89502.0</v>
      </c>
      <c r="AG7" s="115">
        <v>29341.0</v>
      </c>
    </row>
    <row r="8">
      <c r="A8" s="116">
        <v>46027.0</v>
      </c>
      <c r="B8" s="117">
        <v>0.8076190476190476</v>
      </c>
      <c r="C8" s="117">
        <v>1696.0</v>
      </c>
      <c r="D8" s="117">
        <v>2100.0</v>
      </c>
      <c r="E8" s="117">
        <v>0.2930867459269044</v>
      </c>
      <c r="F8" s="117">
        <v>29952.0</v>
      </c>
      <c r="G8" s="117">
        <v>102195.0</v>
      </c>
      <c r="H8" s="117">
        <v>5.1803139E7</v>
      </c>
      <c r="I8" s="117">
        <v>52536.214610042734</v>
      </c>
      <c r="J8" s="117">
        <v>1.5735647E9</v>
      </c>
      <c r="K8" s="117">
        <v>29952.0</v>
      </c>
      <c r="L8" s="117">
        <v>106829.0</v>
      </c>
      <c r="M8" s="117">
        <v>0.2809724696203596</v>
      </c>
      <c r="N8" s="117">
        <v>1.1314363401335797E9</v>
      </c>
      <c r="O8" s="117">
        <v>1.5735647E9</v>
      </c>
      <c r="P8" s="117"/>
      <c r="Q8" s="117"/>
      <c r="R8" s="117"/>
      <c r="S8" s="117"/>
      <c r="T8" s="117"/>
      <c r="U8" s="117">
        <v>0.0</v>
      </c>
      <c r="V8" s="117">
        <v>0.0</v>
      </c>
      <c r="W8" s="117">
        <v>16187.0</v>
      </c>
      <c r="X8" s="117">
        <v>13172.0</v>
      </c>
      <c r="Y8" s="117">
        <v>12583.0</v>
      </c>
      <c r="Z8" s="117">
        <v>8828.0</v>
      </c>
      <c r="AA8" s="117">
        <v>1077.0</v>
      </c>
      <c r="AB8" s="117"/>
      <c r="AC8" s="117">
        <v>145167.0</v>
      </c>
      <c r="AD8" s="117">
        <v>91388.0</v>
      </c>
      <c r="AE8" s="117">
        <v>89612.0</v>
      </c>
      <c r="AF8" s="117">
        <v>89866.0</v>
      </c>
      <c r="AG8" s="117">
        <v>28875.0</v>
      </c>
    </row>
    <row r="9">
      <c r="A9" s="114">
        <v>46034.0</v>
      </c>
      <c r="B9" s="115">
        <v>0.798922056384743</v>
      </c>
      <c r="C9" s="115">
        <v>1927.0</v>
      </c>
      <c r="D9" s="115">
        <v>2412.0</v>
      </c>
      <c r="E9" s="115">
        <v>0.2503300958290468</v>
      </c>
      <c r="F9" s="115">
        <v>30903.0</v>
      </c>
      <c r="G9" s="115">
        <v>123449.0</v>
      </c>
      <c r="H9" s="115">
        <v>5.4010776E7</v>
      </c>
      <c r="I9" s="115">
        <v>52792.40850402873</v>
      </c>
      <c r="J9" s="115">
        <v>1.6314438E9</v>
      </c>
      <c r="K9" s="115">
        <v>30903.0</v>
      </c>
      <c r="L9" s="115">
        <v>113572.0</v>
      </c>
      <c r="M9" s="115">
        <v>0.2912059654833423</v>
      </c>
      <c r="N9" s="115">
        <v>1.1563576330891871E9</v>
      </c>
      <c r="O9" s="115">
        <v>1.6314438E9</v>
      </c>
      <c r="P9" s="115"/>
      <c r="Q9" s="115"/>
      <c r="R9" s="115"/>
      <c r="S9" s="115"/>
      <c r="T9" s="115"/>
      <c r="U9" s="115">
        <v>0.0</v>
      </c>
      <c r="V9" s="115">
        <v>0.0</v>
      </c>
      <c r="W9" s="115">
        <v>18834.0</v>
      </c>
      <c r="X9" s="115">
        <v>15651.0</v>
      </c>
      <c r="Y9" s="115">
        <v>15305.0</v>
      </c>
      <c r="Z9" s="115">
        <v>10811.0</v>
      </c>
      <c r="AA9" s="115">
        <v>1298.0</v>
      </c>
      <c r="AB9" s="115"/>
      <c r="AC9" s="115">
        <v>147137.0</v>
      </c>
      <c r="AD9" s="115">
        <v>93050.0</v>
      </c>
      <c r="AE9" s="115">
        <v>108144.0</v>
      </c>
      <c r="AF9" s="115">
        <v>90891.0</v>
      </c>
      <c r="AG9" s="115">
        <v>29605.0</v>
      </c>
    </row>
    <row r="10">
      <c r="A10" s="116">
        <v>46041.0</v>
      </c>
      <c r="B10" s="117">
        <v>0.7852372583479789</v>
      </c>
      <c r="C10" s="117">
        <v>2234.0</v>
      </c>
      <c r="D10" s="117">
        <v>2845.0</v>
      </c>
      <c r="E10" s="117">
        <v>0.2640823843225343</v>
      </c>
      <c r="F10" s="117">
        <v>31978.0</v>
      </c>
      <c r="G10" s="117">
        <v>121091.0</v>
      </c>
      <c r="H10" s="117">
        <v>5.4711907E7</v>
      </c>
      <c r="I10" s="117">
        <v>53043.32666208018</v>
      </c>
      <c r="J10" s="117">
        <v>1.6962195E9</v>
      </c>
      <c r="K10" s="117">
        <v>31978.0</v>
      </c>
      <c r="L10" s="117">
        <v>117414.0</v>
      </c>
      <c r="M10" s="117">
        <v>0.30690808284823856</v>
      </c>
      <c r="N10" s="117">
        <v>1.1756360251652021E9</v>
      </c>
      <c r="O10" s="117">
        <v>1.6962195E9</v>
      </c>
      <c r="P10" s="117"/>
      <c r="Q10" s="117"/>
      <c r="R10" s="117"/>
      <c r="S10" s="117"/>
      <c r="T10" s="117"/>
      <c r="U10" s="117">
        <v>0.0</v>
      </c>
      <c r="V10" s="117">
        <v>0.0</v>
      </c>
      <c r="W10" s="117">
        <v>21597.0</v>
      </c>
      <c r="X10" s="117">
        <v>17874.0</v>
      </c>
      <c r="Y10" s="117">
        <v>17361.0</v>
      </c>
      <c r="Z10" s="117">
        <v>12991.0</v>
      </c>
      <c r="AA10" s="117">
        <v>1649.0</v>
      </c>
      <c r="AB10" s="117"/>
      <c r="AC10" s="117">
        <v>148266.0</v>
      </c>
      <c r="AD10" s="117">
        <v>95329.0</v>
      </c>
      <c r="AE10" s="117">
        <v>103730.0</v>
      </c>
      <c r="AF10" s="117">
        <v>93570.0</v>
      </c>
      <c r="AG10" s="117">
        <v>30329.0</v>
      </c>
    </row>
    <row r="11">
      <c r="A11" s="114">
        <v>46048.0</v>
      </c>
      <c r="B11" s="115">
        <v>0.789010989010989</v>
      </c>
      <c r="C11" s="115">
        <v>2154.0</v>
      </c>
      <c r="D11" s="115">
        <v>2730.0</v>
      </c>
      <c r="E11" s="115">
        <v>0.2816416471560391</v>
      </c>
      <c r="F11" s="115">
        <v>32720.0</v>
      </c>
      <c r="G11" s="115">
        <v>116176.0</v>
      </c>
      <c r="H11" s="115">
        <v>5.5925598E7</v>
      </c>
      <c r="I11" s="115">
        <v>54189.88997555012</v>
      </c>
      <c r="J11" s="115">
        <v>1.7730932E9</v>
      </c>
      <c r="K11" s="115">
        <v>32720.0</v>
      </c>
      <c r="L11" s="115">
        <v>120228.0</v>
      </c>
      <c r="M11" s="115">
        <v>0.3230406188133771</v>
      </c>
      <c r="N11" s="115">
        <v>1.200312075458209E9</v>
      </c>
      <c r="O11" s="115">
        <v>1.7730932E9</v>
      </c>
      <c r="P11" s="115"/>
      <c r="Q11" s="115"/>
      <c r="R11" s="115"/>
      <c r="S11" s="115"/>
      <c r="T11" s="115"/>
      <c r="U11" s="115">
        <v>0.0</v>
      </c>
      <c r="V11" s="115">
        <v>0.0</v>
      </c>
      <c r="W11" s="115">
        <v>20217.0</v>
      </c>
      <c r="X11" s="115">
        <v>16744.0</v>
      </c>
      <c r="Y11" s="115">
        <v>16186.0</v>
      </c>
      <c r="Z11" s="115">
        <v>12254.0</v>
      </c>
      <c r="AA11" s="115">
        <v>1435.0</v>
      </c>
      <c r="AB11" s="115"/>
      <c r="AC11" s="115">
        <v>150872.0</v>
      </c>
      <c r="AD11" s="115">
        <v>97087.0</v>
      </c>
      <c r="AE11" s="115">
        <v>99990.0</v>
      </c>
      <c r="AF11" s="115">
        <v>94907.0</v>
      </c>
      <c r="AG11" s="115">
        <v>31285.0</v>
      </c>
    </row>
    <row r="12">
      <c r="A12" s="116">
        <v>46055.0</v>
      </c>
      <c r="B12" s="117">
        <v>0.7877305231464057</v>
      </c>
      <c r="C12" s="117">
        <v>2093.0</v>
      </c>
      <c r="D12" s="117">
        <v>2657.0</v>
      </c>
      <c r="E12" s="117">
        <v>0.28592157510144145</v>
      </c>
      <c r="F12" s="117">
        <v>32907.0</v>
      </c>
      <c r="G12" s="117">
        <v>115091.0</v>
      </c>
      <c r="H12" s="117">
        <v>5.4034973E7</v>
      </c>
      <c r="I12" s="117">
        <v>52032.461178472666</v>
      </c>
      <c r="J12" s="117">
        <v>1.7122322E9</v>
      </c>
      <c r="K12" s="117">
        <v>32907.0</v>
      </c>
      <c r="L12" s="117">
        <v>116001.0</v>
      </c>
      <c r="M12" s="117">
        <v>0.3088545268344439</v>
      </c>
      <c r="N12" s="117">
        <v>1.183401534038301E9</v>
      </c>
      <c r="O12" s="117">
        <v>1.7122322E9</v>
      </c>
      <c r="P12" s="117"/>
      <c r="Q12" s="117"/>
      <c r="R12" s="117"/>
      <c r="S12" s="117"/>
      <c r="T12" s="117"/>
      <c r="U12" s="117">
        <v>0.0</v>
      </c>
      <c r="V12" s="117">
        <v>0.0</v>
      </c>
      <c r="W12" s="117">
        <v>22793.0</v>
      </c>
      <c r="X12" s="117">
        <v>18718.0</v>
      </c>
      <c r="Y12" s="117">
        <v>18585.0</v>
      </c>
      <c r="Z12" s="117">
        <v>13171.0</v>
      </c>
      <c r="AA12" s="117">
        <v>1472.0</v>
      </c>
      <c r="AB12" s="117"/>
      <c r="AC12" s="117">
        <v>153541.0</v>
      </c>
      <c r="AD12" s="117">
        <v>98770.0</v>
      </c>
      <c r="AE12" s="117">
        <v>96506.0</v>
      </c>
      <c r="AF12" s="117">
        <v>95933.0</v>
      </c>
      <c r="AG12" s="117">
        <v>31435.0</v>
      </c>
    </row>
    <row r="13">
      <c r="A13" s="114">
        <v>46062.0</v>
      </c>
      <c r="B13" s="115">
        <v>0.8088607594936709</v>
      </c>
      <c r="C13" s="115">
        <v>2556.0</v>
      </c>
      <c r="D13" s="115">
        <v>3160.0</v>
      </c>
      <c r="E13" s="115">
        <v>0.2760448554764283</v>
      </c>
      <c r="F13" s="115">
        <v>34266.0</v>
      </c>
      <c r="G13" s="115">
        <v>124132.0</v>
      </c>
      <c r="H13" s="115">
        <v>5.2866427E7</v>
      </c>
      <c r="I13" s="115">
        <v>52455.673262125725</v>
      </c>
      <c r="J13" s="115">
        <v>1.7974461E9</v>
      </c>
      <c r="K13" s="115">
        <v>34266.0</v>
      </c>
      <c r="L13" s="115">
        <v>118579.0</v>
      </c>
      <c r="M13" s="115">
        <v>0.6039562052107683</v>
      </c>
      <c r="N13" s="115">
        <v>7.118673743731048E8</v>
      </c>
      <c r="O13" s="115">
        <v>1.7974461E9</v>
      </c>
      <c r="P13" s="115"/>
      <c r="Q13" s="115"/>
      <c r="R13" s="115"/>
      <c r="S13" s="115"/>
      <c r="T13" s="115"/>
      <c r="U13" s="115">
        <v>0.0</v>
      </c>
      <c r="V13" s="115">
        <v>0.0</v>
      </c>
      <c r="W13" s="115">
        <v>29151.0</v>
      </c>
      <c r="X13" s="115">
        <v>23664.0</v>
      </c>
      <c r="Y13" s="115">
        <v>23791.0</v>
      </c>
      <c r="Z13" s="115">
        <v>16741.0</v>
      </c>
      <c r="AA13" s="115">
        <v>1782.0</v>
      </c>
      <c r="AB13" s="115"/>
      <c r="AC13" s="115">
        <v>164082.0</v>
      </c>
      <c r="AD13" s="115">
        <v>102430.0</v>
      </c>
      <c r="AE13" s="115">
        <v>100341.0</v>
      </c>
      <c r="AF13" s="115">
        <v>100474.0</v>
      </c>
      <c r="AG13" s="115">
        <v>32484.0</v>
      </c>
    </row>
    <row r="14">
      <c r="A14" s="116">
        <v>46069.0</v>
      </c>
      <c r="B14" s="117">
        <v>0.0</v>
      </c>
      <c r="C14" s="117">
        <v>0.0</v>
      </c>
      <c r="D14" s="117">
        <v>4674.0</v>
      </c>
      <c r="E14" s="117">
        <v>0.2735898064907141</v>
      </c>
      <c r="F14" s="117">
        <v>37919.0</v>
      </c>
      <c r="G14" s="117">
        <v>138598.0</v>
      </c>
      <c r="H14" s="117">
        <v>6.1295648E7</v>
      </c>
      <c r="I14" s="117">
        <v>57915.20346000686</v>
      </c>
      <c r="J14" s="117">
        <v>2.1960866E9</v>
      </c>
      <c r="K14" s="117">
        <v>37919.0</v>
      </c>
      <c r="L14" s="117">
        <v>139226.0</v>
      </c>
      <c r="M14" s="117"/>
      <c r="N14" s="117"/>
      <c r="O14" s="117">
        <v>2.1960866E9</v>
      </c>
      <c r="P14" s="117"/>
      <c r="Q14" s="117"/>
      <c r="R14" s="117"/>
      <c r="S14" s="117"/>
      <c r="T14" s="117"/>
      <c r="U14" s="117">
        <v>0.0</v>
      </c>
      <c r="V14" s="117">
        <v>0.0</v>
      </c>
      <c r="W14" s="117">
        <v>34803.0</v>
      </c>
      <c r="X14" s="117">
        <v>28288.0</v>
      </c>
      <c r="Y14" s="117">
        <v>28884.0</v>
      </c>
      <c r="Z14" s="117">
        <v>20662.0</v>
      </c>
      <c r="AA14" s="117">
        <v>2722.0</v>
      </c>
      <c r="AB14" s="117"/>
      <c r="AC14" s="117">
        <v>175256.0</v>
      </c>
      <c r="AD14" s="117">
        <v>111632.0</v>
      </c>
      <c r="AE14" s="117">
        <v>109714.0</v>
      </c>
      <c r="AF14" s="117">
        <v>109416.0</v>
      </c>
      <c r="AG14" s="117">
        <v>35197.0</v>
      </c>
    </row>
    <row r="15">
      <c r="A15" s="114">
        <v>46076.0</v>
      </c>
      <c r="B15" s="115"/>
      <c r="C15" s="115">
        <v>0.0</v>
      </c>
      <c r="D15" s="115">
        <v>0.0</v>
      </c>
      <c r="E15" s="115">
        <v>0.5971432735752805</v>
      </c>
      <c r="F15" s="115">
        <v>4097.0</v>
      </c>
      <c r="G15" s="115">
        <v>6861.0</v>
      </c>
      <c r="H15" s="115">
        <v>1614760.0</v>
      </c>
      <c r="I15" s="115">
        <v>17433.85403954113</v>
      </c>
      <c r="J15" s="115">
        <v>7.14265E7</v>
      </c>
      <c r="K15" s="115">
        <v>4097.0</v>
      </c>
      <c r="L15" s="115">
        <v>4941.0</v>
      </c>
      <c r="M15" s="115"/>
      <c r="N15" s="115"/>
      <c r="O15" s="115">
        <v>7.14265E7</v>
      </c>
      <c r="P15" s="115"/>
      <c r="Q15" s="115"/>
      <c r="R15" s="115"/>
      <c r="S15" s="115"/>
      <c r="T15" s="115"/>
      <c r="U15" s="115">
        <v>0.0</v>
      </c>
      <c r="V15" s="115">
        <v>0.0</v>
      </c>
      <c r="W15" s="115"/>
      <c r="X15" s="115"/>
      <c r="Y15" s="115">
        <v>0.0</v>
      </c>
      <c r="Z15" s="115"/>
      <c r="AA15" s="115">
        <v>0.0</v>
      </c>
      <c r="AB15" s="115"/>
      <c r="AC15" s="115"/>
      <c r="AD15" s="115"/>
      <c r="AE15" s="115">
        <v>6861.0</v>
      </c>
      <c r="AF15" s="115"/>
      <c r="AG15" s="115">
        <v>4097.0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166</v>
      </c>
      <c r="B1" s="125" t="s">
        <v>10</v>
      </c>
      <c r="C1" s="125" t="s">
        <v>12</v>
      </c>
      <c r="D1" s="125" t="s">
        <v>15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45992.0</v>
      </c>
      <c r="B2" s="127">
        <v>0.7730081300813008</v>
      </c>
      <c r="C2" s="127">
        <v>2377.0</v>
      </c>
      <c r="D2" s="127">
        <v>3075.0</v>
      </c>
      <c r="E2" s="127">
        <v>0.32655206134218007</v>
      </c>
      <c r="F2" s="127">
        <v>35731.0</v>
      </c>
      <c r="G2" s="127">
        <v>109419.0</v>
      </c>
      <c r="H2" s="127">
        <v>4.9952046E7</v>
      </c>
      <c r="I2" s="127">
        <v>74787.05046038453</v>
      </c>
      <c r="J2" s="127">
        <v>2.6722161E9</v>
      </c>
      <c r="K2" s="127">
        <v>35731.0</v>
      </c>
      <c r="L2" s="127">
        <v>118833.0</v>
      </c>
      <c r="M2" s="127">
        <v>0.5247190470222332</v>
      </c>
      <c r="N2" s="127">
        <v>1.2700534145705316E9</v>
      </c>
      <c r="O2" s="127">
        <v>2.6722161E9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14824.0</v>
      </c>
      <c r="X2" s="127">
        <v>12095.0</v>
      </c>
      <c r="Y2" s="127">
        <v>12031.0</v>
      </c>
      <c r="Z2" s="127">
        <v>9037.0</v>
      </c>
      <c r="AA2" s="127">
        <v>1501.0</v>
      </c>
      <c r="AB2" s="127"/>
      <c r="AC2" s="127">
        <v>119448.0</v>
      </c>
      <c r="AD2" s="127">
        <v>84386.0</v>
      </c>
      <c r="AE2" s="127">
        <v>97388.0</v>
      </c>
      <c r="AF2" s="127">
        <v>85964.0</v>
      </c>
      <c r="AG2" s="127">
        <v>34230.0</v>
      </c>
    </row>
    <row r="3">
      <c r="A3" s="126">
        <v>45999.0</v>
      </c>
      <c r="B3" s="127">
        <v>0.783989834815756</v>
      </c>
      <c r="C3" s="127">
        <v>1851.0</v>
      </c>
      <c r="D3" s="127">
        <v>2361.0</v>
      </c>
      <c r="E3" s="127">
        <v>0.2633565385414127</v>
      </c>
      <c r="F3" s="127">
        <v>29167.0</v>
      </c>
      <c r="G3" s="127">
        <v>110751.0</v>
      </c>
      <c r="H3" s="127">
        <v>5.083798E7</v>
      </c>
      <c r="I3" s="127">
        <v>54410.306167929506</v>
      </c>
      <c r="J3" s="127">
        <v>1.5869854E9</v>
      </c>
      <c r="K3" s="127">
        <v>29167.0</v>
      </c>
      <c r="L3" s="127">
        <v>106290.0</v>
      </c>
      <c r="M3" s="127">
        <v>0.29663520038562363</v>
      </c>
      <c r="N3" s="127">
        <v>1.1162296678619409E9</v>
      </c>
      <c r="O3" s="127">
        <v>1.5869854E9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13383.0</v>
      </c>
      <c r="X3" s="127">
        <v>10951.0</v>
      </c>
      <c r="Y3" s="127">
        <v>10916.0</v>
      </c>
      <c r="Z3" s="127">
        <v>7595.0</v>
      </c>
      <c r="AA3" s="127">
        <v>1249.0</v>
      </c>
      <c r="AB3" s="127"/>
      <c r="AC3" s="127">
        <v>117571.0</v>
      </c>
      <c r="AD3" s="127">
        <v>85945.0</v>
      </c>
      <c r="AE3" s="127">
        <v>99835.0</v>
      </c>
      <c r="AF3" s="127">
        <v>84682.0</v>
      </c>
      <c r="AG3" s="127">
        <v>27918.0</v>
      </c>
    </row>
    <row r="4">
      <c r="A4" s="126">
        <v>46006.0</v>
      </c>
      <c r="B4" s="127">
        <v>0.812206572769953</v>
      </c>
      <c r="C4" s="127">
        <v>1730.0</v>
      </c>
      <c r="D4" s="127">
        <v>2130.0</v>
      </c>
      <c r="E4" s="127">
        <v>0.25735711750088747</v>
      </c>
      <c r="F4" s="127">
        <v>28999.0</v>
      </c>
      <c r="G4" s="127">
        <v>112680.0</v>
      </c>
      <c r="H4" s="127">
        <v>5.0186454E7</v>
      </c>
      <c r="I4" s="127">
        <v>53234.11152108693</v>
      </c>
      <c r="J4" s="127">
        <v>1.543736E9</v>
      </c>
      <c r="K4" s="127">
        <v>28999.0</v>
      </c>
      <c r="L4" s="127">
        <v>105056.0</v>
      </c>
      <c r="M4" s="127">
        <v>0.29719873894635573</v>
      </c>
      <c r="N4" s="127">
        <v>1.0849396075339086E9</v>
      </c>
      <c r="O4" s="127">
        <v>1.543736E9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14574.0</v>
      </c>
      <c r="X4" s="127">
        <v>11802.0</v>
      </c>
      <c r="Y4" s="127">
        <v>11674.0</v>
      </c>
      <c r="Z4" s="127">
        <v>7719.0</v>
      </c>
      <c r="AA4" s="127">
        <v>1074.0</v>
      </c>
      <c r="AB4" s="127"/>
      <c r="AC4" s="127">
        <v>125687.0</v>
      </c>
      <c r="AD4" s="127">
        <v>87135.0</v>
      </c>
      <c r="AE4" s="127">
        <v>101006.0</v>
      </c>
      <c r="AF4" s="127">
        <v>85265.0</v>
      </c>
      <c r="AG4" s="127">
        <v>27925.0</v>
      </c>
    </row>
    <row r="5">
      <c r="A5" s="126">
        <v>46013.0</v>
      </c>
      <c r="B5" s="127">
        <v>0.8061076102762966</v>
      </c>
      <c r="C5" s="127">
        <v>1663.0</v>
      </c>
      <c r="D5" s="127">
        <v>2063.0</v>
      </c>
      <c r="E5" s="127">
        <v>0.2637320399011623</v>
      </c>
      <c r="F5" s="127">
        <v>28818.0</v>
      </c>
      <c r="G5" s="127">
        <v>109270.0</v>
      </c>
      <c r="H5" s="127">
        <v>3.7213623E7</v>
      </c>
      <c r="I5" s="127">
        <v>50954.31327642446</v>
      </c>
      <c r="J5" s="127">
        <v>1.4684014E9</v>
      </c>
      <c r="K5" s="127">
        <v>28818.0</v>
      </c>
      <c r="L5" s="127">
        <v>99233.0</v>
      </c>
      <c r="M5" s="127">
        <v>0.39748444088828183</v>
      </c>
      <c r="N5" s="127">
        <v>8.847346905214297E8</v>
      </c>
      <c r="O5" s="127">
        <v>1.4684014E9</v>
      </c>
      <c r="P5" s="127"/>
      <c r="Q5" s="127"/>
      <c r="R5" s="127"/>
      <c r="S5" s="127"/>
      <c r="T5" s="127"/>
      <c r="U5" s="127">
        <v>0.0</v>
      </c>
      <c r="V5" s="127">
        <v>0.0</v>
      </c>
      <c r="W5" s="127">
        <v>21542.0</v>
      </c>
      <c r="X5" s="127">
        <v>17859.0</v>
      </c>
      <c r="Y5" s="127">
        <v>13612.0</v>
      </c>
      <c r="Z5" s="127">
        <v>10733.0</v>
      </c>
      <c r="AA5" s="127">
        <v>1097.0</v>
      </c>
      <c r="AB5" s="127"/>
      <c r="AC5" s="127">
        <v>137724.0</v>
      </c>
      <c r="AD5" s="127">
        <v>89643.0</v>
      </c>
      <c r="AE5" s="127">
        <v>95658.0</v>
      </c>
      <c r="AF5" s="127">
        <v>87792.0</v>
      </c>
      <c r="AG5" s="127">
        <v>27721.0</v>
      </c>
    </row>
    <row r="6">
      <c r="A6" s="126">
        <v>46020.0</v>
      </c>
      <c r="B6" s="127">
        <v>0.7861721611721612</v>
      </c>
      <c r="C6" s="127">
        <v>1717.0</v>
      </c>
      <c r="D6" s="127">
        <v>2184.0</v>
      </c>
      <c r="E6" s="127">
        <v>0.25649334253539147</v>
      </c>
      <c r="F6" s="127">
        <v>30475.0</v>
      </c>
      <c r="G6" s="127">
        <v>118814.0</v>
      </c>
      <c r="H6" s="127">
        <v>5.3944768E7</v>
      </c>
      <c r="I6" s="127">
        <v>52722.82854799015</v>
      </c>
      <c r="J6" s="127">
        <v>1.6067282E9</v>
      </c>
      <c r="K6" s="127">
        <v>30475.0</v>
      </c>
      <c r="L6" s="127">
        <v>104844.0</v>
      </c>
      <c r="M6" s="127">
        <v>0.30723249309447187</v>
      </c>
      <c r="N6" s="127">
        <v>1.1130890893888068E9</v>
      </c>
      <c r="O6" s="127">
        <v>1.6067282E9</v>
      </c>
      <c r="P6" s="127"/>
      <c r="Q6" s="127"/>
      <c r="R6" s="127"/>
      <c r="S6" s="127"/>
      <c r="T6" s="127"/>
      <c r="U6" s="127">
        <v>0.0</v>
      </c>
      <c r="V6" s="127">
        <v>0.0</v>
      </c>
      <c r="W6" s="127">
        <v>21860.0</v>
      </c>
      <c r="X6" s="127">
        <v>17739.0</v>
      </c>
      <c r="Y6" s="127">
        <v>17013.0</v>
      </c>
      <c r="Z6" s="127">
        <v>11860.0</v>
      </c>
      <c r="AA6" s="127">
        <v>1134.0</v>
      </c>
      <c r="AB6" s="127"/>
      <c r="AC6" s="127">
        <v>142857.0</v>
      </c>
      <c r="AD6" s="127">
        <v>91010.0</v>
      </c>
      <c r="AE6" s="127">
        <v>101801.0</v>
      </c>
      <c r="AF6" s="127">
        <v>89502.0</v>
      </c>
      <c r="AG6" s="127">
        <v>29341.0</v>
      </c>
    </row>
    <row r="7">
      <c r="A7" s="126">
        <v>46027.0</v>
      </c>
      <c r="B7" s="127">
        <v>0.8076190476190476</v>
      </c>
      <c r="C7" s="127">
        <v>1696.0</v>
      </c>
      <c r="D7" s="127">
        <v>2100.0</v>
      </c>
      <c r="E7" s="127">
        <v>0.2930867459269044</v>
      </c>
      <c r="F7" s="127">
        <v>29952.0</v>
      </c>
      <c r="G7" s="127">
        <v>102195.0</v>
      </c>
      <c r="H7" s="127">
        <v>5.1803139E7</v>
      </c>
      <c r="I7" s="127">
        <v>52536.214610042734</v>
      </c>
      <c r="J7" s="127">
        <v>1.5735647E9</v>
      </c>
      <c r="K7" s="127">
        <v>29952.0</v>
      </c>
      <c r="L7" s="127">
        <v>106829.0</v>
      </c>
      <c r="M7" s="127">
        <v>0.2809724696203596</v>
      </c>
      <c r="N7" s="127">
        <v>1.1314363401335797E9</v>
      </c>
      <c r="O7" s="127">
        <v>1.5735647E9</v>
      </c>
      <c r="P7" s="127"/>
      <c r="Q7" s="127"/>
      <c r="R7" s="127"/>
      <c r="S7" s="127"/>
      <c r="T7" s="127"/>
      <c r="U7" s="127">
        <v>0.0</v>
      </c>
      <c r="V7" s="127">
        <v>0.0</v>
      </c>
      <c r="W7" s="127">
        <v>16187.0</v>
      </c>
      <c r="X7" s="127">
        <v>13172.0</v>
      </c>
      <c r="Y7" s="127">
        <v>12583.0</v>
      </c>
      <c r="Z7" s="127">
        <v>8828.0</v>
      </c>
      <c r="AA7" s="127">
        <v>1077.0</v>
      </c>
      <c r="AB7" s="127"/>
      <c r="AC7" s="127">
        <v>145167.0</v>
      </c>
      <c r="AD7" s="127">
        <v>91388.0</v>
      </c>
      <c r="AE7" s="127">
        <v>89612.0</v>
      </c>
      <c r="AF7" s="127">
        <v>89866.0</v>
      </c>
      <c r="AG7" s="127">
        <v>28875.0</v>
      </c>
    </row>
    <row r="8">
      <c r="A8" s="126">
        <v>46034.0</v>
      </c>
      <c r="B8" s="127">
        <v>0.798922056384743</v>
      </c>
      <c r="C8" s="127">
        <v>1927.0</v>
      </c>
      <c r="D8" s="127">
        <v>2412.0</v>
      </c>
      <c r="E8" s="127">
        <v>0.2503300958290468</v>
      </c>
      <c r="F8" s="127">
        <v>30903.0</v>
      </c>
      <c r="G8" s="127">
        <v>123449.0</v>
      </c>
      <c r="H8" s="127">
        <v>5.4010776E7</v>
      </c>
      <c r="I8" s="127">
        <v>52792.40850402873</v>
      </c>
      <c r="J8" s="127">
        <v>1.6314438E9</v>
      </c>
      <c r="K8" s="127">
        <v>30903.0</v>
      </c>
      <c r="L8" s="127">
        <v>113572.0</v>
      </c>
      <c r="M8" s="127">
        <v>0.2912059654833423</v>
      </c>
      <c r="N8" s="127">
        <v>1.1563576330891871E9</v>
      </c>
      <c r="O8" s="127">
        <v>1.6314438E9</v>
      </c>
      <c r="P8" s="127"/>
      <c r="Q8" s="127"/>
      <c r="R8" s="127"/>
      <c r="S8" s="127"/>
      <c r="T8" s="127"/>
      <c r="U8" s="127">
        <v>0.0</v>
      </c>
      <c r="V8" s="127">
        <v>0.0</v>
      </c>
      <c r="W8" s="127">
        <v>18834.0</v>
      </c>
      <c r="X8" s="127">
        <v>15651.0</v>
      </c>
      <c r="Y8" s="127">
        <v>15305.0</v>
      </c>
      <c r="Z8" s="127">
        <v>10811.0</v>
      </c>
      <c r="AA8" s="127">
        <v>1298.0</v>
      </c>
      <c r="AB8" s="127"/>
      <c r="AC8" s="127">
        <v>147137.0</v>
      </c>
      <c r="AD8" s="127">
        <v>93050.0</v>
      </c>
      <c r="AE8" s="127">
        <v>108144.0</v>
      </c>
      <c r="AF8" s="127">
        <v>90891.0</v>
      </c>
      <c r="AG8" s="127">
        <v>29605.0</v>
      </c>
    </row>
    <row r="9">
      <c r="A9" s="126">
        <v>46041.0</v>
      </c>
      <c r="B9" s="127">
        <v>0.7852372583479789</v>
      </c>
      <c r="C9" s="127">
        <v>2234.0</v>
      </c>
      <c r="D9" s="127">
        <v>2845.0</v>
      </c>
      <c r="E9" s="127">
        <v>0.2640823843225343</v>
      </c>
      <c r="F9" s="127">
        <v>31978.0</v>
      </c>
      <c r="G9" s="127">
        <v>121091.0</v>
      </c>
      <c r="H9" s="127">
        <v>5.4711907E7</v>
      </c>
      <c r="I9" s="127">
        <v>53043.32666208018</v>
      </c>
      <c r="J9" s="127">
        <v>1.6962195E9</v>
      </c>
      <c r="K9" s="127">
        <v>31978.0</v>
      </c>
      <c r="L9" s="127">
        <v>117414.0</v>
      </c>
      <c r="M9" s="127">
        <v>0.30690808284823856</v>
      </c>
      <c r="N9" s="127">
        <v>1.1756360251652021E9</v>
      </c>
      <c r="O9" s="127">
        <v>1.6962195E9</v>
      </c>
      <c r="P9" s="127"/>
      <c r="Q9" s="127"/>
      <c r="R9" s="127"/>
      <c r="S9" s="127"/>
      <c r="T9" s="127"/>
      <c r="U9" s="127">
        <v>0.0</v>
      </c>
      <c r="V9" s="127">
        <v>0.0</v>
      </c>
      <c r="W9" s="127">
        <v>21597.0</v>
      </c>
      <c r="X9" s="127">
        <v>17874.0</v>
      </c>
      <c r="Y9" s="127">
        <v>17361.0</v>
      </c>
      <c r="Z9" s="127">
        <v>12991.0</v>
      </c>
      <c r="AA9" s="127">
        <v>1649.0</v>
      </c>
      <c r="AB9" s="127"/>
      <c r="AC9" s="127">
        <v>148266.0</v>
      </c>
      <c r="AD9" s="127">
        <v>95329.0</v>
      </c>
      <c r="AE9" s="127">
        <v>103730.0</v>
      </c>
      <c r="AF9" s="127">
        <v>93570.0</v>
      </c>
      <c r="AG9" s="127">
        <v>30329.0</v>
      </c>
    </row>
    <row r="10">
      <c r="A10" s="126">
        <v>46048.0</v>
      </c>
      <c r="B10" s="127">
        <v>0.789010989010989</v>
      </c>
      <c r="C10" s="127">
        <v>2154.0</v>
      </c>
      <c r="D10" s="127">
        <v>2730.0</v>
      </c>
      <c r="E10" s="127">
        <v>0.2816416471560391</v>
      </c>
      <c r="F10" s="127">
        <v>32720.0</v>
      </c>
      <c r="G10" s="127">
        <v>116176.0</v>
      </c>
      <c r="H10" s="127">
        <v>5.5925598E7</v>
      </c>
      <c r="I10" s="127">
        <v>54189.88997555012</v>
      </c>
      <c r="J10" s="127">
        <v>1.7730932E9</v>
      </c>
      <c r="K10" s="127">
        <v>32720.0</v>
      </c>
      <c r="L10" s="127">
        <v>120228.0</v>
      </c>
      <c r="M10" s="127">
        <v>0.3230406188133771</v>
      </c>
      <c r="N10" s="127">
        <v>1.200312075458209E9</v>
      </c>
      <c r="O10" s="127">
        <v>1.7730932E9</v>
      </c>
      <c r="P10" s="127"/>
      <c r="Q10" s="127"/>
      <c r="R10" s="127"/>
      <c r="S10" s="127"/>
      <c r="T10" s="127"/>
      <c r="U10" s="127">
        <v>0.0</v>
      </c>
      <c r="V10" s="127">
        <v>0.0</v>
      </c>
      <c r="W10" s="127">
        <v>20217.0</v>
      </c>
      <c r="X10" s="127">
        <v>16744.0</v>
      </c>
      <c r="Y10" s="127">
        <v>16186.0</v>
      </c>
      <c r="Z10" s="127">
        <v>12254.0</v>
      </c>
      <c r="AA10" s="127">
        <v>1435.0</v>
      </c>
      <c r="AB10" s="127"/>
      <c r="AC10" s="127">
        <v>150872.0</v>
      </c>
      <c r="AD10" s="127">
        <v>97087.0</v>
      </c>
      <c r="AE10" s="127">
        <v>99990.0</v>
      </c>
      <c r="AF10" s="127">
        <v>94907.0</v>
      </c>
      <c r="AG10" s="127">
        <v>31285.0</v>
      </c>
    </row>
    <row r="11">
      <c r="A11" s="126">
        <v>46055.0</v>
      </c>
      <c r="B11" s="127">
        <v>0.7877305231464057</v>
      </c>
      <c r="C11" s="127">
        <v>2093.0</v>
      </c>
      <c r="D11" s="127">
        <v>2657.0</v>
      </c>
      <c r="E11" s="127">
        <v>0.28592157510144145</v>
      </c>
      <c r="F11" s="127">
        <v>32907.0</v>
      </c>
      <c r="G11" s="127">
        <v>115091.0</v>
      </c>
      <c r="H11" s="127">
        <v>5.4034973E7</v>
      </c>
      <c r="I11" s="127">
        <v>52032.461178472666</v>
      </c>
      <c r="J11" s="127">
        <v>1.7122322E9</v>
      </c>
      <c r="K11" s="127">
        <v>32907.0</v>
      </c>
      <c r="L11" s="127">
        <v>116001.0</v>
      </c>
      <c r="M11" s="127">
        <v>0.3088545268344439</v>
      </c>
      <c r="N11" s="127">
        <v>1.183401534038301E9</v>
      </c>
      <c r="O11" s="127">
        <v>1.7122322E9</v>
      </c>
      <c r="P11" s="127"/>
      <c r="Q11" s="127"/>
      <c r="R11" s="127"/>
      <c r="S11" s="127"/>
      <c r="T11" s="127"/>
      <c r="U11" s="127">
        <v>0.0</v>
      </c>
      <c r="V11" s="127">
        <v>0.0</v>
      </c>
      <c r="W11" s="127">
        <v>22793.0</v>
      </c>
      <c r="X11" s="127">
        <v>18718.0</v>
      </c>
      <c r="Y11" s="127">
        <v>18585.0</v>
      </c>
      <c r="Z11" s="127">
        <v>13171.0</v>
      </c>
      <c r="AA11" s="127">
        <v>1472.0</v>
      </c>
      <c r="AB11" s="127"/>
      <c r="AC11" s="127">
        <v>153541.0</v>
      </c>
      <c r="AD11" s="127">
        <v>98770.0</v>
      </c>
      <c r="AE11" s="127">
        <v>96506.0</v>
      </c>
      <c r="AF11" s="127">
        <v>95933.0</v>
      </c>
      <c r="AG11" s="127">
        <v>31435.0</v>
      </c>
    </row>
    <row r="12">
      <c r="A12" s="126">
        <v>46062.0</v>
      </c>
      <c r="B12" s="127">
        <v>0.8088607594936709</v>
      </c>
      <c r="C12" s="127">
        <v>2556.0</v>
      </c>
      <c r="D12" s="127">
        <v>3160.0</v>
      </c>
      <c r="E12" s="127">
        <v>0.2760448554764283</v>
      </c>
      <c r="F12" s="127">
        <v>34266.0</v>
      </c>
      <c r="G12" s="127">
        <v>124132.0</v>
      </c>
      <c r="H12" s="127">
        <v>5.2866427E7</v>
      </c>
      <c r="I12" s="127">
        <v>52455.673262125725</v>
      </c>
      <c r="J12" s="127">
        <v>1.7974461E9</v>
      </c>
      <c r="K12" s="127">
        <v>34266.0</v>
      </c>
      <c r="L12" s="127">
        <v>118579.0</v>
      </c>
      <c r="M12" s="127">
        <v>0.6039562052107683</v>
      </c>
      <c r="N12" s="127">
        <v>7.118673743731048E8</v>
      </c>
      <c r="O12" s="127">
        <v>1.7974461E9</v>
      </c>
      <c r="P12" s="127"/>
      <c r="Q12" s="127"/>
      <c r="R12" s="127"/>
      <c r="S12" s="127"/>
      <c r="T12" s="127"/>
      <c r="U12" s="127">
        <v>0.0</v>
      </c>
      <c r="V12" s="127">
        <v>0.0</v>
      </c>
      <c r="W12" s="127">
        <v>29151.0</v>
      </c>
      <c r="X12" s="127">
        <v>23664.0</v>
      </c>
      <c r="Y12" s="127">
        <v>23791.0</v>
      </c>
      <c r="Z12" s="127">
        <v>16741.0</v>
      </c>
      <c r="AA12" s="127">
        <v>1782.0</v>
      </c>
      <c r="AB12" s="127"/>
      <c r="AC12" s="127">
        <v>164082.0</v>
      </c>
      <c r="AD12" s="127">
        <v>102430.0</v>
      </c>
      <c r="AE12" s="127">
        <v>100341.0</v>
      </c>
      <c r="AF12" s="127">
        <v>100474.0</v>
      </c>
      <c r="AG12" s="127">
        <v>32484.0</v>
      </c>
    </row>
    <row r="13">
      <c r="A13" s="126">
        <v>46069.0</v>
      </c>
      <c r="B13" s="127">
        <v>0.0</v>
      </c>
      <c r="C13" s="127">
        <v>0.0</v>
      </c>
      <c r="D13" s="127">
        <v>4674.0</v>
      </c>
      <c r="E13" s="127">
        <v>0.2735898064907141</v>
      </c>
      <c r="F13" s="127">
        <v>37919.0</v>
      </c>
      <c r="G13" s="127">
        <v>138598.0</v>
      </c>
      <c r="H13" s="127">
        <v>6.1295648E7</v>
      </c>
      <c r="I13" s="127">
        <v>57915.20346000686</v>
      </c>
      <c r="J13" s="127">
        <v>2.1960866E9</v>
      </c>
      <c r="K13" s="127">
        <v>37919.0</v>
      </c>
      <c r="L13" s="127">
        <v>139226.0</v>
      </c>
      <c r="M13" s="127"/>
      <c r="N13" s="127"/>
      <c r="O13" s="127">
        <v>2.1960866E9</v>
      </c>
      <c r="P13" s="127"/>
      <c r="Q13" s="127"/>
      <c r="R13" s="127"/>
      <c r="S13" s="127"/>
      <c r="T13" s="127"/>
      <c r="U13" s="127">
        <v>0.0</v>
      </c>
      <c r="V13" s="127">
        <v>0.0</v>
      </c>
      <c r="W13" s="127">
        <v>34803.0</v>
      </c>
      <c r="X13" s="127">
        <v>28288.0</v>
      </c>
      <c r="Y13" s="127">
        <v>28884.0</v>
      </c>
      <c r="Z13" s="127">
        <v>20662.0</v>
      </c>
      <c r="AA13" s="127">
        <v>2722.0</v>
      </c>
      <c r="AB13" s="127"/>
      <c r="AC13" s="127">
        <v>175256.0</v>
      </c>
      <c r="AD13" s="127">
        <v>111632.0</v>
      </c>
      <c r="AE13" s="127">
        <v>109714.0</v>
      </c>
      <c r="AF13" s="127">
        <v>109416.0</v>
      </c>
      <c r="AG13" s="127">
        <v>35197.0</v>
      </c>
    </row>
    <row r="14">
      <c r="A14" s="126">
        <v>46076.0</v>
      </c>
      <c r="B14" s="127"/>
      <c r="C14" s="127">
        <v>0.0</v>
      </c>
      <c r="D14" s="127">
        <v>0.0</v>
      </c>
      <c r="E14" s="127">
        <v>0.5971432735752805</v>
      </c>
      <c r="F14" s="127">
        <v>4097.0</v>
      </c>
      <c r="G14" s="127">
        <v>6861.0</v>
      </c>
      <c r="H14" s="127">
        <v>1614760.0</v>
      </c>
      <c r="I14" s="127">
        <v>17433.85403954113</v>
      </c>
      <c r="J14" s="127">
        <v>7.14265E7</v>
      </c>
      <c r="K14" s="127">
        <v>4097.0</v>
      </c>
      <c r="L14" s="127">
        <v>4941.0</v>
      </c>
      <c r="M14" s="127"/>
      <c r="N14" s="127"/>
      <c r="O14" s="127">
        <v>7.14265E7</v>
      </c>
      <c r="P14" s="127"/>
      <c r="Q14" s="127"/>
      <c r="R14" s="127"/>
      <c r="S14" s="127"/>
      <c r="T14" s="127"/>
      <c r="U14" s="127">
        <v>0.0</v>
      </c>
      <c r="V14" s="127">
        <v>0.0</v>
      </c>
      <c r="W14" s="127"/>
      <c r="X14" s="127"/>
      <c r="Y14" s="127">
        <v>0.0</v>
      </c>
      <c r="Z14" s="127"/>
      <c r="AA14" s="127">
        <v>0.0</v>
      </c>
      <c r="AB14" s="127"/>
      <c r="AC14" s="127"/>
      <c r="AD14" s="127"/>
      <c r="AE14" s="127">
        <v>6861.0</v>
      </c>
      <c r="AF14" s="127"/>
      <c r="AG14" s="127">
        <v>4097.0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3" width="15.13"/>
  </cols>
  <sheetData>
    <row r="1" ht="36.0">
      <c r="A1" s="112" t="s">
        <v>167</v>
      </c>
    </row>
    <row r="2">
      <c r="A2" s="113" t="s">
        <v>161</v>
      </c>
      <c r="B2" s="113" t="s">
        <v>10</v>
      </c>
      <c r="C2" s="113" t="s">
        <v>13</v>
      </c>
      <c r="D2" s="113" t="s">
        <v>16</v>
      </c>
      <c r="E2" s="113" t="s">
        <v>18</v>
      </c>
      <c r="F2" s="113" t="s">
        <v>19</v>
      </c>
      <c r="G2" s="113" t="s">
        <v>21</v>
      </c>
      <c r="H2" s="113" t="s">
        <v>23</v>
      </c>
      <c r="I2" s="113" t="s">
        <v>25</v>
      </c>
      <c r="J2" s="113" t="s">
        <v>26</v>
      </c>
      <c r="K2" s="113" t="s">
        <v>28</v>
      </c>
      <c r="L2" s="113" t="s">
        <v>29</v>
      </c>
      <c r="M2" s="113" t="s">
        <v>31</v>
      </c>
      <c r="N2" s="113" t="s">
        <v>33</v>
      </c>
      <c r="O2" s="113" t="s">
        <v>35</v>
      </c>
      <c r="P2" s="113" t="s">
        <v>123</v>
      </c>
      <c r="Q2" s="113" t="s">
        <v>125</v>
      </c>
      <c r="R2" s="113" t="s">
        <v>126</v>
      </c>
      <c r="S2" s="113" t="s">
        <v>127</v>
      </c>
      <c r="T2" s="113" t="s">
        <v>130</v>
      </c>
      <c r="U2" s="113" t="s">
        <v>37</v>
      </c>
      <c r="V2" s="113" t="s">
        <v>39</v>
      </c>
      <c r="W2" s="113" t="s">
        <v>41</v>
      </c>
      <c r="X2" s="113" t="s">
        <v>43</v>
      </c>
      <c r="Y2" s="113" t="s">
        <v>45</v>
      </c>
      <c r="Z2" s="113" t="s">
        <v>46</v>
      </c>
      <c r="AA2" s="113" t="s">
        <v>48</v>
      </c>
      <c r="AB2" s="113" t="s">
        <v>131</v>
      </c>
      <c r="AC2" s="113" t="s">
        <v>50</v>
      </c>
      <c r="AD2" s="113" t="s">
        <v>51</v>
      </c>
      <c r="AE2" s="113" t="s">
        <v>52</v>
      </c>
      <c r="AF2" s="113" t="s">
        <v>53</v>
      </c>
      <c r="AG2" s="113" t="s">
        <v>54</v>
      </c>
    </row>
    <row r="3">
      <c r="A3" s="114">
        <v>45992.0</v>
      </c>
      <c r="B3" s="115">
        <v>0.7731446059678654</v>
      </c>
      <c r="C3" s="115">
        <v>8084.0</v>
      </c>
      <c r="D3" s="115">
        <v>10456.0</v>
      </c>
      <c r="E3" s="115">
        <v>0.2933182572307172</v>
      </c>
      <c r="F3" s="115">
        <v>55514.0</v>
      </c>
      <c r="G3" s="115">
        <v>189262.0</v>
      </c>
      <c r="H3" s="115">
        <v>2.43060608E8</v>
      </c>
      <c r="I3" s="115">
        <v>142423.4625499874</v>
      </c>
      <c r="J3" s="115">
        <v>7.9064961E9</v>
      </c>
      <c r="K3" s="115">
        <v>55514.0</v>
      </c>
      <c r="L3" s="115">
        <v>473916.0</v>
      </c>
      <c r="M3" s="115">
        <v>0.39254190561279756</v>
      </c>
      <c r="N3" s="115">
        <v>4.802865054185848E9</v>
      </c>
      <c r="O3" s="115">
        <v>7.9064961E9</v>
      </c>
      <c r="P3" s="115"/>
      <c r="Q3" s="115"/>
      <c r="R3" s="115"/>
      <c r="S3" s="115"/>
      <c r="T3" s="115"/>
      <c r="U3" s="115">
        <v>0.0</v>
      </c>
      <c r="V3" s="115">
        <v>0.0</v>
      </c>
      <c r="W3" s="115">
        <v>72292.0</v>
      </c>
      <c r="X3" s="115">
        <v>59955.0</v>
      </c>
      <c r="Y3" s="115">
        <v>55262.0</v>
      </c>
      <c r="Z3" s="115">
        <v>40850.0</v>
      </c>
      <c r="AA3" s="115">
        <v>6214.0</v>
      </c>
      <c r="AB3" s="115"/>
      <c r="AC3" s="115">
        <v>179998.0</v>
      </c>
      <c r="AD3" s="115">
        <v>128849.0</v>
      </c>
      <c r="AE3" s="115">
        <v>134000.0</v>
      </c>
      <c r="AF3" s="115">
        <v>116381.0</v>
      </c>
      <c r="AG3" s="115">
        <v>49300.0</v>
      </c>
    </row>
    <row r="4">
      <c r="A4" s="116">
        <v>46023.0</v>
      </c>
      <c r="B4" s="117">
        <v>0.7480922965116279</v>
      </c>
      <c r="C4" s="117">
        <v>8235.0</v>
      </c>
      <c r="D4" s="117">
        <v>11008.0</v>
      </c>
      <c r="E4" s="117">
        <v>0.25918233646032257</v>
      </c>
      <c r="F4" s="117">
        <v>55782.0</v>
      </c>
      <c r="G4" s="117">
        <v>215223.0</v>
      </c>
      <c r="H4" s="117">
        <v>2.71445928E8</v>
      </c>
      <c r="I4" s="117">
        <v>131063.95611487576</v>
      </c>
      <c r="J4" s="117">
        <v>7.3110096E9</v>
      </c>
      <c r="K4" s="117">
        <v>55782.0</v>
      </c>
      <c r="L4" s="117">
        <v>499313.0</v>
      </c>
      <c r="M4" s="117">
        <v>0.2980501564654928</v>
      </c>
      <c r="N4" s="117">
        <v>5.13196204479928E9</v>
      </c>
      <c r="O4" s="117">
        <v>7.3110096E9</v>
      </c>
      <c r="P4" s="117"/>
      <c r="Q4" s="117"/>
      <c r="R4" s="117"/>
      <c r="S4" s="117"/>
      <c r="T4" s="117"/>
      <c r="U4" s="117">
        <v>0.0</v>
      </c>
      <c r="V4" s="117">
        <v>0.0</v>
      </c>
      <c r="W4" s="117">
        <v>87825.0</v>
      </c>
      <c r="X4" s="117">
        <v>73461.0</v>
      </c>
      <c r="Y4" s="117">
        <v>71424.0</v>
      </c>
      <c r="Z4" s="117">
        <v>52786.0</v>
      </c>
      <c r="AA4" s="117">
        <v>6889.0</v>
      </c>
      <c r="AB4" s="117"/>
      <c r="AC4" s="117">
        <v>204546.0</v>
      </c>
      <c r="AD4" s="117">
        <v>142352.0</v>
      </c>
      <c r="AE4" s="117">
        <v>143799.0</v>
      </c>
      <c r="AF4" s="117">
        <v>127442.0</v>
      </c>
      <c r="AG4" s="117">
        <v>48893.0</v>
      </c>
    </row>
    <row r="5">
      <c r="A5" s="114">
        <v>46054.0</v>
      </c>
      <c r="B5" s="115">
        <v>0.0</v>
      </c>
      <c r="C5" s="115">
        <v>0.0</v>
      </c>
      <c r="D5" s="115">
        <v>10927.0</v>
      </c>
      <c r="E5" s="115">
        <v>0.25825557098245794</v>
      </c>
      <c r="F5" s="115">
        <v>55988.0</v>
      </c>
      <c r="G5" s="115">
        <v>216793.0</v>
      </c>
      <c r="H5" s="115">
        <v>1.99615545E8</v>
      </c>
      <c r="I5" s="115">
        <v>109167.57162249053</v>
      </c>
      <c r="J5" s="115">
        <v>6.112074E9</v>
      </c>
      <c r="K5" s="115">
        <v>55988.0</v>
      </c>
      <c r="L5" s="115">
        <v>397817.0</v>
      </c>
      <c r="M5" s="115">
        <v>0.5802613821185619</v>
      </c>
      <c r="N5" s="115">
        <v>2.5654734931490726E9</v>
      </c>
      <c r="O5" s="115">
        <v>6.112074E9</v>
      </c>
      <c r="P5" s="115"/>
      <c r="Q5" s="115"/>
      <c r="R5" s="115"/>
      <c r="S5" s="115"/>
      <c r="T5" s="115"/>
      <c r="U5" s="115">
        <v>0.0</v>
      </c>
      <c r="V5" s="115">
        <v>0.0</v>
      </c>
      <c r="W5" s="115">
        <v>89648.0</v>
      </c>
      <c r="X5" s="115">
        <v>74017.0</v>
      </c>
      <c r="Y5" s="115">
        <v>74655.0</v>
      </c>
      <c r="Z5" s="115">
        <v>54050.0</v>
      </c>
      <c r="AA5" s="115">
        <v>6960.0</v>
      </c>
      <c r="AB5" s="115"/>
      <c r="AC5" s="115">
        <v>214307.0</v>
      </c>
      <c r="AD5" s="115">
        <v>146141.0</v>
      </c>
      <c r="AE5" s="115">
        <v>142138.0</v>
      </c>
      <c r="AF5" s="115">
        <v>131912.0</v>
      </c>
      <c r="AG5" s="115">
        <v>49028.0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161</v>
      </c>
      <c r="B1" s="125" t="s">
        <v>10</v>
      </c>
      <c r="C1" s="125" t="s">
        <v>13</v>
      </c>
      <c r="D1" s="125" t="s">
        <v>16</v>
      </c>
      <c r="E1" s="125" t="s">
        <v>18</v>
      </c>
      <c r="F1" s="125" t="s">
        <v>19</v>
      </c>
      <c r="G1" s="125" t="s">
        <v>21</v>
      </c>
      <c r="H1" s="125" t="s">
        <v>23</v>
      </c>
      <c r="I1" s="125" t="s">
        <v>25</v>
      </c>
      <c r="J1" s="125" t="s">
        <v>26</v>
      </c>
      <c r="K1" s="125" t="s">
        <v>28</v>
      </c>
      <c r="L1" s="125" t="s">
        <v>29</v>
      </c>
      <c r="M1" s="125" t="s">
        <v>31</v>
      </c>
      <c r="N1" s="125" t="s">
        <v>33</v>
      </c>
      <c r="O1" s="125" t="s">
        <v>35</v>
      </c>
      <c r="P1" s="125" t="s">
        <v>123</v>
      </c>
      <c r="Q1" s="125" t="s">
        <v>125</v>
      </c>
      <c r="R1" s="125" t="s">
        <v>126</v>
      </c>
      <c r="S1" s="125" t="s">
        <v>127</v>
      </c>
      <c r="T1" s="125" t="s">
        <v>130</v>
      </c>
      <c r="U1" s="125" t="s">
        <v>37</v>
      </c>
      <c r="V1" s="125" t="s">
        <v>39</v>
      </c>
      <c r="W1" s="125" t="s">
        <v>41</v>
      </c>
      <c r="X1" s="125" t="s">
        <v>43</v>
      </c>
      <c r="Y1" s="125" t="s">
        <v>45</v>
      </c>
      <c r="Z1" s="125" t="s">
        <v>46</v>
      </c>
      <c r="AA1" s="125" t="s">
        <v>48</v>
      </c>
      <c r="AB1" s="125" t="s">
        <v>131</v>
      </c>
      <c r="AC1" s="125" t="s">
        <v>50</v>
      </c>
      <c r="AD1" s="125" t="s">
        <v>51</v>
      </c>
      <c r="AE1" s="125" t="s">
        <v>52</v>
      </c>
      <c r="AF1" s="125" t="s">
        <v>53</v>
      </c>
      <c r="AG1" s="125" t="s">
        <v>54</v>
      </c>
    </row>
    <row r="2">
      <c r="A2" s="126">
        <v>45992.0</v>
      </c>
      <c r="B2" s="127">
        <v>0.7731446059678654</v>
      </c>
      <c r="C2" s="127">
        <v>8084.0</v>
      </c>
      <c r="D2" s="127">
        <v>10456.0</v>
      </c>
      <c r="E2" s="127">
        <v>0.2933182572307172</v>
      </c>
      <c r="F2" s="127">
        <v>55514.0</v>
      </c>
      <c r="G2" s="127">
        <v>189262.0</v>
      </c>
      <c r="H2" s="127">
        <v>2.43060608E8</v>
      </c>
      <c r="I2" s="127">
        <v>142423.4625499874</v>
      </c>
      <c r="J2" s="127">
        <v>7.9064961E9</v>
      </c>
      <c r="K2" s="127">
        <v>55514.0</v>
      </c>
      <c r="L2" s="127">
        <v>473916.0</v>
      </c>
      <c r="M2" s="127">
        <v>0.39254190561279756</v>
      </c>
      <c r="N2" s="127">
        <v>4.802865054185848E9</v>
      </c>
      <c r="O2" s="127">
        <v>7.9064961E9</v>
      </c>
      <c r="P2" s="127"/>
      <c r="Q2" s="127"/>
      <c r="R2" s="127"/>
      <c r="S2" s="127"/>
      <c r="T2" s="127"/>
      <c r="U2" s="127">
        <v>0.0</v>
      </c>
      <c r="V2" s="127">
        <v>0.0</v>
      </c>
      <c r="W2" s="127">
        <v>72292.0</v>
      </c>
      <c r="X2" s="127">
        <v>59955.0</v>
      </c>
      <c r="Y2" s="127">
        <v>55262.0</v>
      </c>
      <c r="Z2" s="127">
        <v>40850.0</v>
      </c>
      <c r="AA2" s="127">
        <v>6214.0</v>
      </c>
      <c r="AB2" s="127"/>
      <c r="AC2" s="127">
        <v>179998.0</v>
      </c>
      <c r="AD2" s="127">
        <v>128849.0</v>
      </c>
      <c r="AE2" s="127">
        <v>134000.0</v>
      </c>
      <c r="AF2" s="127">
        <v>116381.0</v>
      </c>
      <c r="AG2" s="127">
        <v>49300.0</v>
      </c>
    </row>
    <row r="3">
      <c r="A3" s="126">
        <v>46023.0</v>
      </c>
      <c r="B3" s="127">
        <v>0.7480922965116279</v>
      </c>
      <c r="C3" s="127">
        <v>8235.0</v>
      </c>
      <c r="D3" s="127">
        <v>11008.0</v>
      </c>
      <c r="E3" s="127">
        <v>0.25918233646032257</v>
      </c>
      <c r="F3" s="127">
        <v>55782.0</v>
      </c>
      <c r="G3" s="127">
        <v>215223.0</v>
      </c>
      <c r="H3" s="127">
        <v>2.71445928E8</v>
      </c>
      <c r="I3" s="127">
        <v>131063.95611487576</v>
      </c>
      <c r="J3" s="127">
        <v>7.3110096E9</v>
      </c>
      <c r="K3" s="127">
        <v>55782.0</v>
      </c>
      <c r="L3" s="127">
        <v>499313.0</v>
      </c>
      <c r="M3" s="127">
        <v>0.2980501564654928</v>
      </c>
      <c r="N3" s="127">
        <v>5.13196204479928E9</v>
      </c>
      <c r="O3" s="127">
        <v>7.3110096E9</v>
      </c>
      <c r="P3" s="127"/>
      <c r="Q3" s="127"/>
      <c r="R3" s="127"/>
      <c r="S3" s="127"/>
      <c r="T3" s="127"/>
      <c r="U3" s="127">
        <v>0.0</v>
      </c>
      <c r="V3" s="127">
        <v>0.0</v>
      </c>
      <c r="W3" s="127">
        <v>87825.0</v>
      </c>
      <c r="X3" s="127">
        <v>73461.0</v>
      </c>
      <c r="Y3" s="127">
        <v>71424.0</v>
      </c>
      <c r="Z3" s="127">
        <v>52786.0</v>
      </c>
      <c r="AA3" s="127">
        <v>6889.0</v>
      </c>
      <c r="AB3" s="127"/>
      <c r="AC3" s="127">
        <v>204546.0</v>
      </c>
      <c r="AD3" s="127">
        <v>142352.0</v>
      </c>
      <c r="AE3" s="127">
        <v>143799.0</v>
      </c>
      <c r="AF3" s="127">
        <v>127442.0</v>
      </c>
      <c r="AG3" s="127">
        <v>48893.0</v>
      </c>
    </row>
    <row r="4">
      <c r="A4" s="126">
        <v>46054.0</v>
      </c>
      <c r="B4" s="127">
        <v>0.0</v>
      </c>
      <c r="C4" s="127">
        <v>0.0</v>
      </c>
      <c r="D4" s="127">
        <v>10927.0</v>
      </c>
      <c r="E4" s="127">
        <v>0.25825557098245794</v>
      </c>
      <c r="F4" s="127">
        <v>55988.0</v>
      </c>
      <c r="G4" s="127">
        <v>216793.0</v>
      </c>
      <c r="H4" s="127">
        <v>1.99615545E8</v>
      </c>
      <c r="I4" s="127">
        <v>109167.57162249053</v>
      </c>
      <c r="J4" s="127">
        <v>6.112074E9</v>
      </c>
      <c r="K4" s="127">
        <v>55988.0</v>
      </c>
      <c r="L4" s="127">
        <v>397817.0</v>
      </c>
      <c r="M4" s="127">
        <v>0.5802613821185619</v>
      </c>
      <c r="N4" s="127">
        <v>2.5654734931490726E9</v>
      </c>
      <c r="O4" s="127">
        <v>6.112074E9</v>
      </c>
      <c r="P4" s="127"/>
      <c r="Q4" s="127"/>
      <c r="R4" s="127"/>
      <c r="S4" s="127"/>
      <c r="T4" s="127"/>
      <c r="U4" s="127">
        <v>0.0</v>
      </c>
      <c r="V4" s="127">
        <v>0.0</v>
      </c>
      <c r="W4" s="127">
        <v>89648.0</v>
      </c>
      <c r="X4" s="127">
        <v>74017.0</v>
      </c>
      <c r="Y4" s="127">
        <v>74655.0</v>
      </c>
      <c r="Z4" s="127">
        <v>54050.0</v>
      </c>
      <c r="AA4" s="127">
        <v>6960.0</v>
      </c>
      <c r="AB4" s="127"/>
      <c r="AC4" s="127">
        <v>214307.0</v>
      </c>
      <c r="AD4" s="127">
        <v>146141.0</v>
      </c>
      <c r="AE4" s="127">
        <v>142138.0</v>
      </c>
      <c r="AF4" s="127">
        <v>131912.0</v>
      </c>
      <c r="AG4" s="127">
        <v>49028.0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5" width="15.13"/>
  </cols>
  <sheetData>
    <row r="1" ht="36.0">
      <c r="A1" s="112" t="s">
        <v>168</v>
      </c>
    </row>
    <row r="2">
      <c r="A2" s="113" t="s">
        <v>129</v>
      </c>
      <c r="B2" s="113" t="s">
        <v>169</v>
      </c>
      <c r="C2" s="113" t="s">
        <v>170</v>
      </c>
      <c r="D2" s="113" t="s">
        <v>171</v>
      </c>
      <c r="E2" s="113" t="s">
        <v>172</v>
      </c>
    </row>
    <row r="3">
      <c r="A3" s="114">
        <v>45962.0</v>
      </c>
      <c r="B3" s="115">
        <v>0.0</v>
      </c>
      <c r="C3" s="115">
        <v>2769800.0</v>
      </c>
      <c r="D3" s="115">
        <v>415.0</v>
      </c>
      <c r="E3" s="115">
        <v>6674.21686746988</v>
      </c>
    </row>
    <row r="4">
      <c r="A4" s="116">
        <v>45962.0</v>
      </c>
      <c r="B4" s="117">
        <v>1.0</v>
      </c>
      <c r="C4" s="117">
        <v>1593900.0</v>
      </c>
      <c r="D4" s="117">
        <v>119.0</v>
      </c>
      <c r="E4" s="117">
        <v>13394.117647058823</v>
      </c>
    </row>
    <row r="5">
      <c r="A5" s="114">
        <v>45962.0</v>
      </c>
      <c r="B5" s="115">
        <v>2.0</v>
      </c>
      <c r="C5" s="115">
        <v>933600.0</v>
      </c>
      <c r="D5" s="115">
        <v>64.0</v>
      </c>
      <c r="E5" s="115">
        <v>14587.5</v>
      </c>
    </row>
    <row r="6">
      <c r="A6" s="116">
        <v>45962.0</v>
      </c>
      <c r="B6" s="117">
        <v>3.0</v>
      </c>
      <c r="C6" s="117">
        <v>825400.0</v>
      </c>
      <c r="D6" s="117">
        <v>31.0</v>
      </c>
      <c r="E6" s="117">
        <v>26625.8064516129</v>
      </c>
    </row>
    <row r="7">
      <c r="A7" s="114">
        <v>45992.0</v>
      </c>
      <c r="B7" s="115">
        <v>0.0</v>
      </c>
      <c r="C7" s="115">
        <v>1.60743E7</v>
      </c>
      <c r="D7" s="115">
        <v>2084.0</v>
      </c>
      <c r="E7" s="115">
        <v>7713.195777351248</v>
      </c>
    </row>
    <row r="8">
      <c r="A8" s="116">
        <v>45992.0</v>
      </c>
      <c r="B8" s="117">
        <v>1.0</v>
      </c>
      <c r="C8" s="117">
        <v>3235900.0</v>
      </c>
      <c r="D8" s="117">
        <v>260.0</v>
      </c>
      <c r="E8" s="117">
        <v>12445.76923076923</v>
      </c>
    </row>
    <row r="9">
      <c r="A9" s="114">
        <v>45992.0</v>
      </c>
      <c r="B9" s="115">
        <v>2.0</v>
      </c>
      <c r="C9" s="115">
        <v>2127500.0</v>
      </c>
      <c r="D9" s="115">
        <v>101.0</v>
      </c>
      <c r="E9" s="115">
        <v>21064.356435643564</v>
      </c>
    </row>
    <row r="10">
      <c r="A10" s="116">
        <v>46023.0</v>
      </c>
      <c r="B10" s="117">
        <v>0.0</v>
      </c>
      <c r="C10" s="117">
        <v>1.06372E7</v>
      </c>
      <c r="D10" s="117">
        <v>1309.0</v>
      </c>
      <c r="E10" s="117">
        <v>8126.20320855615</v>
      </c>
    </row>
    <row r="11">
      <c r="A11" s="114">
        <v>46023.0</v>
      </c>
      <c r="B11" s="115">
        <v>1.0</v>
      </c>
      <c r="C11" s="115">
        <v>1410700.0</v>
      </c>
      <c r="D11" s="115">
        <v>69.0</v>
      </c>
      <c r="E11" s="115">
        <v>20444.927536231884</v>
      </c>
    </row>
    <row r="12">
      <c r="A12" s="116">
        <v>46054.0</v>
      </c>
      <c r="B12" s="117">
        <v>0.0</v>
      </c>
      <c r="C12" s="117">
        <v>1.47547E7</v>
      </c>
      <c r="D12" s="117">
        <v>859.0</v>
      </c>
      <c r="E12" s="117">
        <v>17176.60069848661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5" width="15.13"/>
  </cols>
  <sheetData>
    <row r="1" ht="36.0">
      <c r="A1" s="112" t="s">
        <v>173</v>
      </c>
    </row>
    <row r="2">
      <c r="A2" s="113" t="s">
        <v>129</v>
      </c>
      <c r="B2" s="113" t="s">
        <v>169</v>
      </c>
      <c r="C2" s="113" t="s">
        <v>170</v>
      </c>
      <c r="D2" s="113" t="s">
        <v>171</v>
      </c>
      <c r="E2" s="113" t="s">
        <v>172</v>
      </c>
    </row>
    <row r="3">
      <c r="A3" s="114">
        <v>45985.0</v>
      </c>
      <c r="B3" s="115">
        <v>0.0</v>
      </c>
      <c r="C3" s="115">
        <v>2769800.0</v>
      </c>
      <c r="D3" s="115">
        <v>415.0</v>
      </c>
      <c r="E3" s="115">
        <v>6674.21686746988</v>
      </c>
    </row>
    <row r="4">
      <c r="A4" s="116">
        <v>45985.0</v>
      </c>
      <c r="B4" s="117">
        <v>1.0</v>
      </c>
      <c r="C4" s="117">
        <v>397100.0</v>
      </c>
      <c r="D4" s="117">
        <v>48.0</v>
      </c>
      <c r="E4" s="117">
        <v>8272.916666666666</v>
      </c>
    </row>
    <row r="5">
      <c r="A5" s="114">
        <v>45985.0</v>
      </c>
      <c r="B5" s="115">
        <v>2.0</v>
      </c>
      <c r="C5" s="115">
        <v>295900.0</v>
      </c>
      <c r="D5" s="115">
        <v>40.0</v>
      </c>
      <c r="E5" s="115">
        <v>7397.5</v>
      </c>
    </row>
    <row r="6">
      <c r="A6" s="116">
        <v>45985.0</v>
      </c>
      <c r="B6" s="117">
        <v>3.0</v>
      </c>
      <c r="C6" s="117">
        <v>374000.0</v>
      </c>
      <c r="D6" s="117">
        <v>43.0</v>
      </c>
      <c r="E6" s="117">
        <v>8697.67441860465</v>
      </c>
    </row>
    <row r="7">
      <c r="A7" s="114">
        <v>45985.0</v>
      </c>
      <c r="B7" s="115">
        <v>4.0</v>
      </c>
      <c r="C7" s="115">
        <v>392700.0</v>
      </c>
      <c r="D7" s="115">
        <v>41.0</v>
      </c>
      <c r="E7" s="115">
        <v>9578.048780487805</v>
      </c>
    </row>
    <row r="8">
      <c r="A8" s="116">
        <v>45985.0</v>
      </c>
      <c r="B8" s="117">
        <v>5.0</v>
      </c>
      <c r="C8" s="117">
        <v>317900.0</v>
      </c>
      <c r="D8" s="117">
        <v>32.0</v>
      </c>
      <c r="E8" s="117">
        <v>9934.375</v>
      </c>
    </row>
    <row r="9">
      <c r="A9" s="114">
        <v>45985.0</v>
      </c>
      <c r="B9" s="115">
        <v>6.0</v>
      </c>
      <c r="C9" s="115">
        <v>229900.0</v>
      </c>
      <c r="D9" s="115">
        <v>24.0</v>
      </c>
      <c r="E9" s="115">
        <v>9579.166666666666</v>
      </c>
    </row>
    <row r="10">
      <c r="A10" s="116">
        <v>45985.0</v>
      </c>
      <c r="B10" s="117">
        <v>7.0</v>
      </c>
      <c r="C10" s="117">
        <v>174900.0</v>
      </c>
      <c r="D10" s="117">
        <v>19.0</v>
      </c>
      <c r="E10" s="117">
        <v>9205.263157894737</v>
      </c>
    </row>
    <row r="11">
      <c r="A11" s="114">
        <v>45985.0</v>
      </c>
      <c r="B11" s="115">
        <v>8.0</v>
      </c>
      <c r="C11" s="115">
        <v>199100.0</v>
      </c>
      <c r="D11" s="115">
        <v>21.0</v>
      </c>
      <c r="E11" s="115">
        <v>9480.952380952382</v>
      </c>
    </row>
    <row r="12">
      <c r="A12" s="116">
        <v>45985.0</v>
      </c>
      <c r="B12" s="117">
        <v>9.0</v>
      </c>
      <c r="C12" s="117">
        <v>202200.0</v>
      </c>
      <c r="D12" s="117">
        <v>17.0</v>
      </c>
      <c r="E12" s="117">
        <v>11894.117647058823</v>
      </c>
    </row>
    <row r="13">
      <c r="A13" s="114">
        <v>45985.0</v>
      </c>
      <c r="B13" s="115">
        <v>10.0</v>
      </c>
      <c r="C13" s="115">
        <v>299400.0</v>
      </c>
      <c r="D13" s="115">
        <v>17.0</v>
      </c>
      <c r="E13" s="115">
        <v>17611.764705882353</v>
      </c>
    </row>
    <row r="14">
      <c r="A14" s="116">
        <v>45992.0</v>
      </c>
      <c r="B14" s="117">
        <v>0.0</v>
      </c>
      <c r="C14" s="117">
        <v>3345100.0</v>
      </c>
      <c r="D14" s="117">
        <v>501.0</v>
      </c>
      <c r="E14" s="117">
        <v>6676.84630738523</v>
      </c>
    </row>
    <row r="15">
      <c r="A15" s="114">
        <v>45992.0</v>
      </c>
      <c r="B15" s="115">
        <v>1.0</v>
      </c>
      <c r="C15" s="115">
        <v>201300.0</v>
      </c>
      <c r="D15" s="115">
        <v>29.0</v>
      </c>
      <c r="E15" s="115">
        <v>6941.379310344828</v>
      </c>
    </row>
    <row r="16">
      <c r="A16" s="116">
        <v>45992.0</v>
      </c>
      <c r="B16" s="117">
        <v>2.0</v>
      </c>
      <c r="C16" s="117">
        <v>220000.0</v>
      </c>
      <c r="D16" s="117">
        <v>28.0</v>
      </c>
      <c r="E16" s="117">
        <v>7857.142857142857</v>
      </c>
    </row>
    <row r="17">
      <c r="A17" s="114">
        <v>45992.0</v>
      </c>
      <c r="B17" s="115">
        <v>3.0</v>
      </c>
      <c r="C17" s="115">
        <v>233200.0</v>
      </c>
      <c r="D17" s="115">
        <v>29.0</v>
      </c>
      <c r="E17" s="115">
        <v>8041.379310344828</v>
      </c>
    </row>
    <row r="18">
      <c r="A18" s="116">
        <v>45992.0</v>
      </c>
      <c r="B18" s="117">
        <v>4.0</v>
      </c>
      <c r="C18" s="117">
        <v>232100.0</v>
      </c>
      <c r="D18" s="117">
        <v>30.0</v>
      </c>
      <c r="E18" s="117">
        <v>7736.666666666667</v>
      </c>
    </row>
    <row r="19">
      <c r="A19" s="114">
        <v>45992.0</v>
      </c>
      <c r="B19" s="115">
        <v>5.0</v>
      </c>
      <c r="C19" s="115">
        <v>201300.0</v>
      </c>
      <c r="D19" s="115">
        <v>27.0</v>
      </c>
      <c r="E19" s="115">
        <v>7455.555555555556</v>
      </c>
    </row>
    <row r="20">
      <c r="A20" s="116">
        <v>45992.0</v>
      </c>
      <c r="B20" s="117">
        <v>6.0</v>
      </c>
      <c r="C20" s="117">
        <v>151800.0</v>
      </c>
      <c r="D20" s="117">
        <v>20.0</v>
      </c>
      <c r="E20" s="117">
        <v>7590.0</v>
      </c>
    </row>
    <row r="21">
      <c r="A21" s="114">
        <v>45992.0</v>
      </c>
      <c r="B21" s="115">
        <v>7.0</v>
      </c>
      <c r="C21" s="115">
        <v>132000.0</v>
      </c>
      <c r="D21" s="115">
        <v>17.0</v>
      </c>
      <c r="E21" s="115">
        <v>7764.705882352941</v>
      </c>
    </row>
    <row r="22">
      <c r="A22" s="116">
        <v>45992.0</v>
      </c>
      <c r="B22" s="117">
        <v>8.0</v>
      </c>
      <c r="C22" s="117">
        <v>140800.0</v>
      </c>
      <c r="D22" s="117">
        <v>17.0</v>
      </c>
      <c r="E22" s="117">
        <v>8282.35294117647</v>
      </c>
    </row>
    <row r="23">
      <c r="A23" s="114">
        <v>45992.0</v>
      </c>
      <c r="B23" s="115">
        <v>9.0</v>
      </c>
      <c r="C23" s="115">
        <v>122900.0</v>
      </c>
      <c r="D23" s="115">
        <v>13.0</v>
      </c>
      <c r="E23" s="115">
        <v>9453.846153846154</v>
      </c>
    </row>
    <row r="24">
      <c r="A24" s="116">
        <v>45992.0</v>
      </c>
      <c r="B24" s="117">
        <v>10.0</v>
      </c>
      <c r="C24" s="117">
        <v>119000.0</v>
      </c>
      <c r="D24" s="117">
        <v>8.0</v>
      </c>
      <c r="E24" s="117">
        <v>14875.0</v>
      </c>
    </row>
    <row r="25">
      <c r="A25" s="114">
        <v>45999.0</v>
      </c>
      <c r="B25" s="115">
        <v>0.0</v>
      </c>
      <c r="C25" s="115">
        <v>2097700.0</v>
      </c>
      <c r="D25" s="115">
        <v>351.0</v>
      </c>
      <c r="E25" s="115">
        <v>5976.353276353277</v>
      </c>
    </row>
    <row r="26">
      <c r="A26" s="116">
        <v>45999.0</v>
      </c>
      <c r="B26" s="117">
        <v>1.0</v>
      </c>
      <c r="C26" s="117">
        <v>181500.0</v>
      </c>
      <c r="D26" s="117">
        <v>25.0</v>
      </c>
      <c r="E26" s="117">
        <v>7260.0</v>
      </c>
    </row>
    <row r="27">
      <c r="A27" s="114">
        <v>45999.0</v>
      </c>
      <c r="B27" s="115">
        <v>2.0</v>
      </c>
      <c r="C27" s="115">
        <v>129800.0</v>
      </c>
      <c r="D27" s="115">
        <v>20.0</v>
      </c>
      <c r="E27" s="115">
        <v>6490.0</v>
      </c>
    </row>
    <row r="28">
      <c r="A28" s="116">
        <v>45999.0</v>
      </c>
      <c r="B28" s="117">
        <v>3.0</v>
      </c>
      <c r="C28" s="117">
        <v>103400.0</v>
      </c>
      <c r="D28" s="117">
        <v>13.0</v>
      </c>
      <c r="E28" s="117">
        <v>7953.846153846154</v>
      </c>
    </row>
    <row r="29">
      <c r="A29" s="114">
        <v>45999.0</v>
      </c>
      <c r="B29" s="115">
        <v>4.0</v>
      </c>
      <c r="C29" s="115">
        <v>132000.0</v>
      </c>
      <c r="D29" s="115">
        <v>19.0</v>
      </c>
      <c r="E29" s="115">
        <v>6947.368421052632</v>
      </c>
    </row>
    <row r="30">
      <c r="A30" s="116">
        <v>45999.0</v>
      </c>
      <c r="B30" s="117">
        <v>5.0</v>
      </c>
      <c r="C30" s="117">
        <v>69300.0</v>
      </c>
      <c r="D30" s="117">
        <v>10.0</v>
      </c>
      <c r="E30" s="117">
        <v>6930.0</v>
      </c>
    </row>
    <row r="31">
      <c r="A31" s="114">
        <v>45999.0</v>
      </c>
      <c r="B31" s="115">
        <v>6.0</v>
      </c>
      <c r="C31" s="115">
        <v>79200.0</v>
      </c>
      <c r="D31" s="115">
        <v>12.0</v>
      </c>
      <c r="E31" s="115">
        <v>6600.0</v>
      </c>
    </row>
    <row r="32">
      <c r="A32" s="116">
        <v>45999.0</v>
      </c>
      <c r="B32" s="117">
        <v>7.0</v>
      </c>
      <c r="C32" s="117">
        <v>151200.0</v>
      </c>
      <c r="D32" s="117">
        <v>12.0</v>
      </c>
      <c r="E32" s="117">
        <v>12600.0</v>
      </c>
    </row>
    <row r="33">
      <c r="A33" s="114">
        <v>45999.0</v>
      </c>
      <c r="B33" s="115">
        <v>8.0</v>
      </c>
      <c r="C33" s="115">
        <v>54400.0</v>
      </c>
      <c r="D33" s="115">
        <v>5.0</v>
      </c>
      <c r="E33" s="115">
        <v>10880.0</v>
      </c>
    </row>
    <row r="34">
      <c r="A34" s="116">
        <v>45999.0</v>
      </c>
      <c r="B34" s="117">
        <v>9.0</v>
      </c>
      <c r="C34" s="117">
        <v>47000.0</v>
      </c>
      <c r="D34" s="117">
        <v>4.0</v>
      </c>
      <c r="E34" s="117">
        <v>11750.0</v>
      </c>
    </row>
    <row r="35">
      <c r="A35" s="114">
        <v>45999.0</v>
      </c>
      <c r="B35" s="115">
        <v>10.0</v>
      </c>
      <c r="C35" s="115">
        <v>39600.0</v>
      </c>
      <c r="D35" s="115">
        <v>4.0</v>
      </c>
      <c r="E35" s="115">
        <v>9900.0</v>
      </c>
    </row>
    <row r="36">
      <c r="A36" s="116">
        <v>46006.0</v>
      </c>
      <c r="B36" s="117">
        <v>0.0</v>
      </c>
      <c r="C36" s="117">
        <v>1579600.0</v>
      </c>
      <c r="D36" s="117">
        <v>257.0</v>
      </c>
      <c r="E36" s="117">
        <v>6146.303501945526</v>
      </c>
    </row>
    <row r="37">
      <c r="A37" s="114">
        <v>46006.0</v>
      </c>
      <c r="B37" s="115">
        <v>1.0</v>
      </c>
      <c r="C37" s="115">
        <v>156200.0</v>
      </c>
      <c r="D37" s="115">
        <v>17.0</v>
      </c>
      <c r="E37" s="115">
        <v>9188.235294117647</v>
      </c>
    </row>
    <row r="38">
      <c r="A38" s="116">
        <v>46006.0</v>
      </c>
      <c r="B38" s="117">
        <v>2.0</v>
      </c>
      <c r="C38" s="117">
        <v>102300.0</v>
      </c>
      <c r="D38" s="117">
        <v>14.0</v>
      </c>
      <c r="E38" s="117">
        <v>7307.142857142857</v>
      </c>
    </row>
    <row r="39">
      <c r="A39" s="114">
        <v>46006.0</v>
      </c>
      <c r="B39" s="115">
        <v>3.0</v>
      </c>
      <c r="C39" s="115">
        <v>77000.0</v>
      </c>
      <c r="D39" s="115">
        <v>7.0</v>
      </c>
      <c r="E39" s="115">
        <v>11000.0</v>
      </c>
    </row>
    <row r="40">
      <c r="A40" s="116">
        <v>46006.0</v>
      </c>
      <c r="B40" s="117">
        <v>4.0</v>
      </c>
      <c r="C40" s="117">
        <v>118800.0</v>
      </c>
      <c r="D40" s="117">
        <v>11.0</v>
      </c>
      <c r="E40" s="117">
        <v>10800.0</v>
      </c>
    </row>
    <row r="41">
      <c r="A41" s="114">
        <v>46006.0</v>
      </c>
      <c r="B41" s="115">
        <v>5.0</v>
      </c>
      <c r="C41" s="115">
        <v>71500.0</v>
      </c>
      <c r="D41" s="115">
        <v>7.0</v>
      </c>
      <c r="E41" s="115">
        <v>10214.285714285714</v>
      </c>
    </row>
    <row r="42">
      <c r="A42" s="116">
        <v>46006.0</v>
      </c>
      <c r="B42" s="117">
        <v>6.0</v>
      </c>
      <c r="C42" s="117">
        <v>60500.0</v>
      </c>
      <c r="D42" s="117">
        <v>5.0</v>
      </c>
      <c r="E42" s="117">
        <v>12100.0</v>
      </c>
    </row>
    <row r="43">
      <c r="A43" s="114">
        <v>46006.0</v>
      </c>
      <c r="B43" s="115">
        <v>7.0</v>
      </c>
      <c r="C43" s="115">
        <v>84800.0</v>
      </c>
      <c r="D43" s="115">
        <v>8.0</v>
      </c>
      <c r="E43" s="115">
        <v>10600.0</v>
      </c>
    </row>
    <row r="44">
      <c r="A44" s="116">
        <v>46006.0</v>
      </c>
      <c r="B44" s="117">
        <v>8.0</v>
      </c>
      <c r="C44" s="117">
        <v>97600.0</v>
      </c>
      <c r="D44" s="117">
        <v>7.0</v>
      </c>
      <c r="E44" s="117">
        <v>13942.857142857143</v>
      </c>
    </row>
    <row r="45">
      <c r="A45" s="114">
        <v>46006.0</v>
      </c>
      <c r="B45" s="115">
        <v>9.0</v>
      </c>
      <c r="C45" s="115">
        <v>27200.0</v>
      </c>
      <c r="D45" s="115">
        <v>3.0</v>
      </c>
      <c r="E45" s="115">
        <v>9066.666666666666</v>
      </c>
    </row>
    <row r="46">
      <c r="A46" s="116">
        <v>46013.0</v>
      </c>
      <c r="B46" s="117">
        <v>0.0</v>
      </c>
      <c r="C46" s="117">
        <v>6109400.0</v>
      </c>
      <c r="D46" s="117">
        <v>811.0</v>
      </c>
      <c r="E46" s="117">
        <v>7533.168927250308</v>
      </c>
    </row>
    <row r="47">
      <c r="A47" s="114">
        <v>46013.0</v>
      </c>
      <c r="B47" s="115">
        <v>1.0</v>
      </c>
      <c r="C47" s="115">
        <v>777700.0</v>
      </c>
      <c r="D47" s="115">
        <v>81.0</v>
      </c>
      <c r="E47" s="115">
        <v>9601.234567901234</v>
      </c>
    </row>
    <row r="48">
      <c r="A48" s="116">
        <v>46013.0</v>
      </c>
      <c r="B48" s="117">
        <v>2.0</v>
      </c>
      <c r="C48" s="117">
        <v>298100.0</v>
      </c>
      <c r="D48" s="117">
        <v>29.0</v>
      </c>
      <c r="E48" s="117">
        <v>10279.310344827587</v>
      </c>
    </row>
    <row r="49">
      <c r="A49" s="114">
        <v>46013.0</v>
      </c>
      <c r="B49" s="115">
        <v>3.0</v>
      </c>
      <c r="C49" s="115">
        <v>242000.0</v>
      </c>
      <c r="D49" s="115">
        <v>24.0</v>
      </c>
      <c r="E49" s="115">
        <v>10083.333333333334</v>
      </c>
    </row>
    <row r="50">
      <c r="A50" s="116">
        <v>46013.0</v>
      </c>
      <c r="B50" s="117">
        <v>4.0</v>
      </c>
      <c r="C50" s="117">
        <v>196900.0</v>
      </c>
      <c r="D50" s="117">
        <v>21.0</v>
      </c>
      <c r="E50" s="117">
        <v>9376.190476190477</v>
      </c>
    </row>
    <row r="51">
      <c r="A51" s="114">
        <v>46013.0</v>
      </c>
      <c r="B51" s="115">
        <v>5.0</v>
      </c>
      <c r="C51" s="115">
        <v>376400.0</v>
      </c>
      <c r="D51" s="115">
        <v>26.0</v>
      </c>
      <c r="E51" s="115">
        <v>14476.923076923076</v>
      </c>
    </row>
    <row r="52">
      <c r="A52" s="116">
        <v>46013.0</v>
      </c>
      <c r="B52" s="117">
        <v>6.0</v>
      </c>
      <c r="C52" s="117">
        <v>500200.0</v>
      </c>
      <c r="D52" s="117">
        <v>21.0</v>
      </c>
      <c r="E52" s="117">
        <v>23819.04761904762</v>
      </c>
    </row>
    <row r="53">
      <c r="A53" s="114">
        <v>46013.0</v>
      </c>
      <c r="B53" s="115">
        <v>7.0</v>
      </c>
      <c r="C53" s="115">
        <v>324800.0</v>
      </c>
      <c r="D53" s="115">
        <v>10.0</v>
      </c>
      <c r="E53" s="115">
        <v>32480.0</v>
      </c>
    </row>
    <row r="54">
      <c r="A54" s="116">
        <v>46013.0</v>
      </c>
      <c r="B54" s="117">
        <v>8.0</v>
      </c>
      <c r="C54" s="117">
        <v>354800.0</v>
      </c>
      <c r="D54" s="117">
        <v>17.0</v>
      </c>
      <c r="E54" s="117">
        <v>20870.58823529412</v>
      </c>
    </row>
    <row r="55">
      <c r="A55" s="114">
        <v>46020.0</v>
      </c>
      <c r="B55" s="115">
        <v>0.0</v>
      </c>
      <c r="C55" s="115">
        <v>3081100.0</v>
      </c>
      <c r="D55" s="115">
        <v>423.0</v>
      </c>
      <c r="E55" s="115">
        <v>7283.924349881797</v>
      </c>
    </row>
    <row r="56">
      <c r="A56" s="116">
        <v>46020.0</v>
      </c>
      <c r="B56" s="117">
        <v>1.0</v>
      </c>
      <c r="C56" s="117">
        <v>165000.0</v>
      </c>
      <c r="D56" s="117">
        <v>17.0</v>
      </c>
      <c r="E56" s="117">
        <v>9705.882352941177</v>
      </c>
    </row>
    <row r="57">
      <c r="A57" s="114">
        <v>46020.0</v>
      </c>
      <c r="B57" s="115">
        <v>2.0</v>
      </c>
      <c r="C57" s="115">
        <v>96800.0</v>
      </c>
      <c r="D57" s="115">
        <v>15.0</v>
      </c>
      <c r="E57" s="115">
        <v>6453.333333333333</v>
      </c>
    </row>
    <row r="58">
      <c r="A58" s="116">
        <v>46020.0</v>
      </c>
      <c r="B58" s="117">
        <v>3.0</v>
      </c>
      <c r="C58" s="117">
        <v>135300.0</v>
      </c>
      <c r="D58" s="117">
        <v>18.0</v>
      </c>
      <c r="E58" s="117">
        <v>7516.666666666667</v>
      </c>
    </row>
    <row r="59">
      <c r="A59" s="114">
        <v>46020.0</v>
      </c>
      <c r="B59" s="115">
        <v>4.0</v>
      </c>
      <c r="C59" s="115">
        <v>28600.0</v>
      </c>
      <c r="D59" s="115">
        <v>5.0</v>
      </c>
      <c r="E59" s="115">
        <v>5720.0</v>
      </c>
    </row>
    <row r="60">
      <c r="A60" s="116">
        <v>46020.0</v>
      </c>
      <c r="B60" s="117">
        <v>5.0</v>
      </c>
      <c r="C60" s="117">
        <v>39600.0</v>
      </c>
      <c r="D60" s="117">
        <v>5.0</v>
      </c>
      <c r="E60" s="117">
        <v>7920.0</v>
      </c>
    </row>
    <row r="61">
      <c r="A61" s="114">
        <v>46020.0</v>
      </c>
      <c r="B61" s="115">
        <v>6.0</v>
      </c>
      <c r="C61" s="115">
        <v>6600.0</v>
      </c>
      <c r="D61" s="115">
        <v>1.0</v>
      </c>
      <c r="E61" s="115">
        <v>6600.0</v>
      </c>
    </row>
    <row r="62">
      <c r="A62" s="116">
        <v>46020.0</v>
      </c>
      <c r="B62" s="117">
        <v>7.0</v>
      </c>
      <c r="C62" s="117">
        <v>33000.0</v>
      </c>
      <c r="D62" s="117">
        <v>4.0</v>
      </c>
      <c r="E62" s="117">
        <v>8250.0</v>
      </c>
    </row>
    <row r="63">
      <c r="A63" s="114">
        <v>46027.0</v>
      </c>
      <c r="B63" s="115">
        <v>0.0</v>
      </c>
      <c r="C63" s="115">
        <v>1720400.0</v>
      </c>
      <c r="D63" s="115">
        <v>232.0</v>
      </c>
      <c r="E63" s="115">
        <v>7415.517241379311</v>
      </c>
    </row>
    <row r="64">
      <c r="A64" s="116">
        <v>46027.0</v>
      </c>
      <c r="B64" s="117">
        <v>1.0</v>
      </c>
      <c r="C64" s="117">
        <v>116600.0</v>
      </c>
      <c r="D64" s="117">
        <v>16.0</v>
      </c>
      <c r="E64" s="117">
        <v>7287.5</v>
      </c>
    </row>
    <row r="65">
      <c r="A65" s="114">
        <v>46027.0</v>
      </c>
      <c r="B65" s="115">
        <v>2.0</v>
      </c>
      <c r="C65" s="115">
        <v>160600.0</v>
      </c>
      <c r="D65" s="115">
        <v>14.0</v>
      </c>
      <c r="E65" s="115">
        <v>11471.42857142857</v>
      </c>
    </row>
    <row r="66">
      <c r="A66" s="116">
        <v>46027.0</v>
      </c>
      <c r="B66" s="117">
        <v>3.0</v>
      </c>
      <c r="C66" s="117">
        <v>149300.0</v>
      </c>
      <c r="D66" s="117">
        <v>11.0</v>
      </c>
      <c r="E66" s="117">
        <v>13572.727272727272</v>
      </c>
    </row>
    <row r="67">
      <c r="A67" s="114">
        <v>46027.0</v>
      </c>
      <c r="B67" s="115">
        <v>4.0</v>
      </c>
      <c r="C67" s="115">
        <v>180000.0</v>
      </c>
      <c r="D67" s="115">
        <v>6.0</v>
      </c>
      <c r="E67" s="115">
        <v>30000.0</v>
      </c>
    </row>
    <row r="68">
      <c r="A68" s="116">
        <v>46027.0</v>
      </c>
      <c r="B68" s="117">
        <v>5.0</v>
      </c>
      <c r="C68" s="117">
        <v>75200.0</v>
      </c>
      <c r="D68" s="117">
        <v>3.0</v>
      </c>
      <c r="E68" s="117">
        <v>25066.666666666668</v>
      </c>
    </row>
    <row r="69">
      <c r="A69" s="114">
        <v>46027.0</v>
      </c>
      <c r="B69" s="115">
        <v>6.0</v>
      </c>
      <c r="C69" s="115">
        <v>46200.0</v>
      </c>
      <c r="D69" s="115">
        <v>3.0</v>
      </c>
      <c r="E69" s="115">
        <v>15400.0</v>
      </c>
    </row>
    <row r="70">
      <c r="A70" s="116">
        <v>46027.0</v>
      </c>
      <c r="B70" s="117">
        <v>7.0</v>
      </c>
      <c r="C70" s="117">
        <v>35600.0</v>
      </c>
      <c r="D70" s="117">
        <v>2.0</v>
      </c>
      <c r="E70" s="117">
        <v>17800.0</v>
      </c>
    </row>
    <row r="71">
      <c r="A71" s="114">
        <v>46034.0</v>
      </c>
      <c r="B71" s="115">
        <v>0.0</v>
      </c>
      <c r="C71" s="115">
        <v>2270400.0</v>
      </c>
      <c r="D71" s="115">
        <v>309.0</v>
      </c>
      <c r="E71" s="115">
        <v>7347.57281553398</v>
      </c>
    </row>
    <row r="72">
      <c r="A72" s="116">
        <v>46034.0</v>
      </c>
      <c r="B72" s="117">
        <v>1.0</v>
      </c>
      <c r="C72" s="117">
        <v>191400.0</v>
      </c>
      <c r="D72" s="117">
        <v>23.0</v>
      </c>
      <c r="E72" s="117">
        <v>8321.739130434782</v>
      </c>
    </row>
    <row r="73">
      <c r="A73" s="114">
        <v>46034.0</v>
      </c>
      <c r="B73" s="115">
        <v>2.0</v>
      </c>
      <c r="C73" s="115">
        <v>217500.0</v>
      </c>
      <c r="D73" s="115">
        <v>18.0</v>
      </c>
      <c r="E73" s="115">
        <v>12083.333333333334</v>
      </c>
    </row>
    <row r="74">
      <c r="A74" s="116">
        <v>46034.0</v>
      </c>
      <c r="B74" s="117">
        <v>3.0</v>
      </c>
      <c r="C74" s="117">
        <v>72300.0</v>
      </c>
      <c r="D74" s="117">
        <v>6.0</v>
      </c>
      <c r="E74" s="117">
        <v>12050.0</v>
      </c>
    </row>
    <row r="75">
      <c r="A75" s="114">
        <v>46034.0</v>
      </c>
      <c r="B75" s="115">
        <v>4.0</v>
      </c>
      <c r="C75" s="115">
        <v>13200.0</v>
      </c>
      <c r="D75" s="115">
        <v>1.0</v>
      </c>
      <c r="E75" s="115">
        <v>13200.0</v>
      </c>
    </row>
    <row r="76">
      <c r="A76" s="116">
        <v>46034.0</v>
      </c>
      <c r="B76" s="117">
        <v>5.0</v>
      </c>
      <c r="C76" s="117">
        <v>91800.0</v>
      </c>
      <c r="D76" s="117">
        <v>4.0</v>
      </c>
      <c r="E76" s="117">
        <v>22950.0</v>
      </c>
    </row>
    <row r="77">
      <c r="A77" s="114">
        <v>46041.0</v>
      </c>
      <c r="B77" s="115">
        <v>0.0</v>
      </c>
      <c r="C77" s="115">
        <v>2389200.0</v>
      </c>
      <c r="D77" s="115">
        <v>342.0</v>
      </c>
      <c r="E77" s="115">
        <v>6985.964912280701</v>
      </c>
    </row>
    <row r="78">
      <c r="A78" s="116">
        <v>46041.0</v>
      </c>
      <c r="B78" s="117">
        <v>1.0</v>
      </c>
      <c r="C78" s="117">
        <v>128700.0</v>
      </c>
      <c r="D78" s="117">
        <v>16.0</v>
      </c>
      <c r="E78" s="117">
        <v>8043.75</v>
      </c>
    </row>
    <row r="79">
      <c r="A79" s="114">
        <v>46041.0</v>
      </c>
      <c r="B79" s="115">
        <v>2.0</v>
      </c>
      <c r="C79" s="115">
        <v>220600.0</v>
      </c>
      <c r="D79" s="115">
        <v>10.0</v>
      </c>
      <c r="E79" s="115">
        <v>22060.0</v>
      </c>
    </row>
    <row r="80">
      <c r="A80" s="116">
        <v>46041.0</v>
      </c>
      <c r="B80" s="117">
        <v>3.0</v>
      </c>
      <c r="C80" s="117">
        <v>146000.0</v>
      </c>
      <c r="D80" s="117">
        <v>8.0</v>
      </c>
      <c r="E80" s="117">
        <v>18250.0</v>
      </c>
    </row>
    <row r="81">
      <c r="A81" s="114">
        <v>46041.0</v>
      </c>
      <c r="B81" s="115">
        <v>4.0</v>
      </c>
      <c r="C81" s="115">
        <v>164600.0</v>
      </c>
      <c r="D81" s="115">
        <v>5.0</v>
      </c>
      <c r="E81" s="115">
        <v>32920.0</v>
      </c>
    </row>
    <row r="82">
      <c r="A82" s="116">
        <v>46048.0</v>
      </c>
      <c r="B82" s="117">
        <v>0.0</v>
      </c>
      <c r="C82" s="117">
        <v>1547200.0</v>
      </c>
      <c r="D82" s="117">
        <v>189.0</v>
      </c>
      <c r="E82" s="117">
        <v>8186.243386243386</v>
      </c>
    </row>
    <row r="83">
      <c r="A83" s="114">
        <v>46048.0</v>
      </c>
      <c r="B83" s="115">
        <v>1.0</v>
      </c>
      <c r="C83" s="115">
        <v>103900.0</v>
      </c>
      <c r="D83" s="115">
        <v>12.0</v>
      </c>
      <c r="E83" s="115">
        <v>8658.333333333334</v>
      </c>
    </row>
    <row r="84">
      <c r="A84" s="116">
        <v>46048.0</v>
      </c>
      <c r="B84" s="117">
        <v>2.0</v>
      </c>
      <c r="C84" s="117">
        <v>89200.0</v>
      </c>
      <c r="D84" s="117">
        <v>7.0</v>
      </c>
      <c r="E84" s="117">
        <v>12742.857142857143</v>
      </c>
    </row>
    <row r="85">
      <c r="A85" s="114">
        <v>46048.0</v>
      </c>
      <c r="B85" s="115">
        <v>3.0</v>
      </c>
      <c r="C85" s="115">
        <v>26400.0</v>
      </c>
      <c r="D85" s="115">
        <v>4.0</v>
      </c>
      <c r="E85" s="115">
        <v>6600.0</v>
      </c>
    </row>
    <row r="86">
      <c r="A86" s="116">
        <v>46055.0</v>
      </c>
      <c r="B86" s="117">
        <v>0.0</v>
      </c>
      <c r="C86" s="117">
        <v>2076400.0</v>
      </c>
      <c r="D86" s="117">
        <v>188.0</v>
      </c>
      <c r="E86" s="117">
        <v>11044.68085106383</v>
      </c>
    </row>
    <row r="87">
      <c r="A87" s="114">
        <v>46055.0</v>
      </c>
      <c r="B87" s="115">
        <v>1.0</v>
      </c>
      <c r="C87" s="115">
        <v>261200.0</v>
      </c>
      <c r="D87" s="115">
        <v>16.0</v>
      </c>
      <c r="E87" s="115">
        <v>16325.0</v>
      </c>
    </row>
    <row r="88">
      <c r="A88" s="116">
        <v>46055.0</v>
      </c>
      <c r="B88" s="117">
        <v>2.0</v>
      </c>
      <c r="C88" s="117">
        <v>82600.0</v>
      </c>
      <c r="D88" s="117">
        <v>7.0</v>
      </c>
      <c r="E88" s="117">
        <v>11800.0</v>
      </c>
    </row>
    <row r="89">
      <c r="A89" s="114">
        <v>46062.0</v>
      </c>
      <c r="B89" s="115">
        <v>0.0</v>
      </c>
      <c r="C89" s="115">
        <v>4543800.0</v>
      </c>
      <c r="D89" s="115">
        <v>252.0</v>
      </c>
      <c r="E89" s="115">
        <v>18030.95238095238</v>
      </c>
    </row>
    <row r="90">
      <c r="A90" s="116">
        <v>46062.0</v>
      </c>
      <c r="B90" s="117">
        <v>1.0</v>
      </c>
      <c r="C90" s="117">
        <v>518200.0</v>
      </c>
      <c r="D90" s="117">
        <v>27.0</v>
      </c>
      <c r="E90" s="117">
        <v>19192.59259259259</v>
      </c>
    </row>
    <row r="91">
      <c r="A91" s="114">
        <v>46062.0</v>
      </c>
      <c r="B91" s="115">
        <v>2.0</v>
      </c>
      <c r="C91" s="115">
        <v>29000.0</v>
      </c>
      <c r="D91" s="115">
        <v>1.0</v>
      </c>
      <c r="E91" s="115">
        <v>29000.0</v>
      </c>
    </row>
    <row r="92">
      <c r="A92" s="116">
        <v>46069.0</v>
      </c>
      <c r="B92" s="117">
        <v>0.0</v>
      </c>
      <c r="C92" s="117">
        <v>6832000.0</v>
      </c>
      <c r="D92" s="117">
        <v>383.0</v>
      </c>
      <c r="E92" s="117">
        <v>17838.120104438643</v>
      </c>
    </row>
    <row r="93">
      <c r="A93" s="114">
        <v>46069.0</v>
      </c>
      <c r="B93" s="115">
        <v>1.0</v>
      </c>
      <c r="C93" s="115">
        <v>55200.0</v>
      </c>
      <c r="D93" s="115">
        <v>4.0</v>
      </c>
      <c r="E93" s="115">
        <v>13800.0</v>
      </c>
    </row>
    <row r="94">
      <c r="A94" s="116">
        <v>46076.0</v>
      </c>
      <c r="B94" s="117">
        <v>0.0</v>
      </c>
      <c r="C94" s="117">
        <v>143600.0</v>
      </c>
      <c r="D94" s="117">
        <v>14.0</v>
      </c>
      <c r="E94" s="117">
        <v>10257.142857142857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5" width="15.13"/>
  </cols>
  <sheetData>
    <row r="1" ht="36.0">
      <c r="A1" s="112" t="s">
        <v>174</v>
      </c>
    </row>
    <row r="2">
      <c r="A2" s="113" t="s">
        <v>129</v>
      </c>
      <c r="B2" s="113" t="s">
        <v>169</v>
      </c>
      <c r="C2" s="113" t="s">
        <v>175</v>
      </c>
      <c r="D2" s="113" t="s">
        <v>176</v>
      </c>
      <c r="E2" s="113" t="s">
        <v>177</v>
      </c>
    </row>
    <row r="3">
      <c r="A3" s="114">
        <v>45985.0</v>
      </c>
      <c r="B3" s="115">
        <v>0.0</v>
      </c>
      <c r="C3" s="115">
        <v>415.0</v>
      </c>
      <c r="D3" s="115">
        <v>415.0</v>
      </c>
      <c r="E3" s="115">
        <v>100.0</v>
      </c>
    </row>
    <row r="4">
      <c r="A4" s="116">
        <v>45985.0</v>
      </c>
      <c r="B4" s="117">
        <v>1.0</v>
      </c>
      <c r="C4" s="117">
        <v>415.0</v>
      </c>
      <c r="D4" s="117">
        <v>48.0</v>
      </c>
      <c r="E4" s="117">
        <v>11.566265060240964</v>
      </c>
    </row>
    <row r="5">
      <c r="A5" s="114">
        <v>45985.0</v>
      </c>
      <c r="B5" s="115">
        <v>2.0</v>
      </c>
      <c r="C5" s="115">
        <v>415.0</v>
      </c>
      <c r="D5" s="115">
        <v>40.0</v>
      </c>
      <c r="E5" s="115">
        <v>9.63855421686747</v>
      </c>
    </row>
    <row r="6">
      <c r="A6" s="116">
        <v>45985.0</v>
      </c>
      <c r="B6" s="117">
        <v>3.0</v>
      </c>
      <c r="C6" s="117">
        <v>415.0</v>
      </c>
      <c r="D6" s="117">
        <v>43.0</v>
      </c>
      <c r="E6" s="117">
        <v>10.361445783132531</v>
      </c>
    </row>
    <row r="7">
      <c r="A7" s="114">
        <v>45985.0</v>
      </c>
      <c r="B7" s="115">
        <v>4.0</v>
      </c>
      <c r="C7" s="115">
        <v>415.0</v>
      </c>
      <c r="D7" s="115">
        <v>41.0</v>
      </c>
      <c r="E7" s="115">
        <v>9.879518072289157</v>
      </c>
    </row>
    <row r="8">
      <c r="A8" s="116">
        <v>45985.0</v>
      </c>
      <c r="B8" s="117">
        <v>5.0</v>
      </c>
      <c r="C8" s="117">
        <v>415.0</v>
      </c>
      <c r="D8" s="117">
        <v>32.0</v>
      </c>
      <c r="E8" s="117">
        <v>7.710843373493977</v>
      </c>
    </row>
    <row r="9">
      <c r="A9" s="114">
        <v>45985.0</v>
      </c>
      <c r="B9" s="115">
        <v>6.0</v>
      </c>
      <c r="C9" s="115">
        <v>415.0</v>
      </c>
      <c r="D9" s="115">
        <v>24.0</v>
      </c>
      <c r="E9" s="115">
        <v>5.783132530120482</v>
      </c>
    </row>
    <row r="10">
      <c r="A10" s="116">
        <v>45985.0</v>
      </c>
      <c r="B10" s="117">
        <v>7.0</v>
      </c>
      <c r="C10" s="117">
        <v>415.0</v>
      </c>
      <c r="D10" s="117">
        <v>19.0</v>
      </c>
      <c r="E10" s="117">
        <v>4.578313253012048</v>
      </c>
    </row>
    <row r="11">
      <c r="A11" s="114">
        <v>45985.0</v>
      </c>
      <c r="B11" s="115">
        <v>8.0</v>
      </c>
      <c r="C11" s="115">
        <v>415.0</v>
      </c>
      <c r="D11" s="115">
        <v>21.0</v>
      </c>
      <c r="E11" s="115">
        <v>5.0602409638554215</v>
      </c>
    </row>
    <row r="12">
      <c r="A12" s="116">
        <v>45985.0</v>
      </c>
      <c r="B12" s="117">
        <v>9.0</v>
      </c>
      <c r="C12" s="117">
        <v>415.0</v>
      </c>
      <c r="D12" s="117">
        <v>17.0</v>
      </c>
      <c r="E12" s="117">
        <v>4.096385542168675</v>
      </c>
    </row>
    <row r="13">
      <c r="A13" s="114">
        <v>45985.0</v>
      </c>
      <c r="B13" s="115">
        <v>10.0</v>
      </c>
      <c r="C13" s="115">
        <v>415.0</v>
      </c>
      <c r="D13" s="115">
        <v>17.0</v>
      </c>
      <c r="E13" s="115">
        <v>4.096385542168675</v>
      </c>
    </row>
    <row r="14">
      <c r="A14" s="116">
        <v>45992.0</v>
      </c>
      <c r="B14" s="117">
        <v>0.0</v>
      </c>
      <c r="C14" s="117">
        <v>501.0</v>
      </c>
      <c r="D14" s="117">
        <v>501.0</v>
      </c>
      <c r="E14" s="117">
        <v>100.0</v>
      </c>
    </row>
    <row r="15">
      <c r="A15" s="114">
        <v>45992.0</v>
      </c>
      <c r="B15" s="115">
        <v>1.0</v>
      </c>
      <c r="C15" s="115">
        <v>501.0</v>
      </c>
      <c r="D15" s="115">
        <v>29.0</v>
      </c>
      <c r="E15" s="115">
        <v>5.788423153692615</v>
      </c>
    </row>
    <row r="16">
      <c r="A16" s="116">
        <v>45992.0</v>
      </c>
      <c r="B16" s="117">
        <v>2.0</v>
      </c>
      <c r="C16" s="117">
        <v>501.0</v>
      </c>
      <c r="D16" s="117">
        <v>28.0</v>
      </c>
      <c r="E16" s="117">
        <v>5.588822355289421</v>
      </c>
    </row>
    <row r="17">
      <c r="A17" s="114">
        <v>45992.0</v>
      </c>
      <c r="B17" s="115">
        <v>3.0</v>
      </c>
      <c r="C17" s="115">
        <v>501.0</v>
      </c>
      <c r="D17" s="115">
        <v>29.0</v>
      </c>
      <c r="E17" s="115">
        <v>5.788423153692615</v>
      </c>
    </row>
    <row r="18">
      <c r="A18" s="116">
        <v>45992.0</v>
      </c>
      <c r="B18" s="117">
        <v>4.0</v>
      </c>
      <c r="C18" s="117">
        <v>501.0</v>
      </c>
      <c r="D18" s="117">
        <v>30.0</v>
      </c>
      <c r="E18" s="117">
        <v>5.9880239520958085</v>
      </c>
    </row>
    <row r="19">
      <c r="A19" s="114">
        <v>45992.0</v>
      </c>
      <c r="B19" s="115">
        <v>5.0</v>
      </c>
      <c r="C19" s="115">
        <v>501.0</v>
      </c>
      <c r="D19" s="115">
        <v>27.0</v>
      </c>
      <c r="E19" s="115">
        <v>5.389221556886228</v>
      </c>
    </row>
    <row r="20">
      <c r="A20" s="116">
        <v>45992.0</v>
      </c>
      <c r="B20" s="117">
        <v>6.0</v>
      </c>
      <c r="C20" s="117">
        <v>501.0</v>
      </c>
      <c r="D20" s="117">
        <v>20.0</v>
      </c>
      <c r="E20" s="117">
        <v>3.992015968063872</v>
      </c>
    </row>
    <row r="21">
      <c r="A21" s="114">
        <v>45992.0</v>
      </c>
      <c r="B21" s="115">
        <v>7.0</v>
      </c>
      <c r="C21" s="115">
        <v>501.0</v>
      </c>
      <c r="D21" s="115">
        <v>17.0</v>
      </c>
      <c r="E21" s="115">
        <v>3.3932135728542914</v>
      </c>
    </row>
    <row r="22">
      <c r="A22" s="116">
        <v>45992.0</v>
      </c>
      <c r="B22" s="117">
        <v>8.0</v>
      </c>
      <c r="C22" s="117">
        <v>501.0</v>
      </c>
      <c r="D22" s="117">
        <v>17.0</v>
      </c>
      <c r="E22" s="117">
        <v>3.3932135728542914</v>
      </c>
    </row>
    <row r="23">
      <c r="A23" s="114">
        <v>45992.0</v>
      </c>
      <c r="B23" s="115">
        <v>9.0</v>
      </c>
      <c r="C23" s="115">
        <v>501.0</v>
      </c>
      <c r="D23" s="115">
        <v>13.0</v>
      </c>
      <c r="E23" s="115">
        <v>2.5948103792415167</v>
      </c>
    </row>
    <row r="24">
      <c r="A24" s="116">
        <v>45992.0</v>
      </c>
      <c r="B24" s="117">
        <v>10.0</v>
      </c>
      <c r="C24" s="117">
        <v>501.0</v>
      </c>
      <c r="D24" s="117">
        <v>8.0</v>
      </c>
      <c r="E24" s="117">
        <v>1.5968063872255487</v>
      </c>
    </row>
    <row r="25">
      <c r="A25" s="114">
        <v>45999.0</v>
      </c>
      <c r="B25" s="115">
        <v>0.0</v>
      </c>
      <c r="C25" s="115">
        <v>351.0</v>
      </c>
      <c r="D25" s="115">
        <v>351.0</v>
      </c>
      <c r="E25" s="115">
        <v>100.0</v>
      </c>
    </row>
    <row r="26">
      <c r="A26" s="116">
        <v>45999.0</v>
      </c>
      <c r="B26" s="117">
        <v>1.0</v>
      </c>
      <c r="C26" s="117">
        <v>351.0</v>
      </c>
      <c r="D26" s="117">
        <v>25.0</v>
      </c>
      <c r="E26" s="117">
        <v>7.122507122507122</v>
      </c>
    </row>
    <row r="27">
      <c r="A27" s="114">
        <v>45999.0</v>
      </c>
      <c r="B27" s="115">
        <v>2.0</v>
      </c>
      <c r="C27" s="115">
        <v>351.0</v>
      </c>
      <c r="D27" s="115">
        <v>20.0</v>
      </c>
      <c r="E27" s="115">
        <v>5.698005698005698</v>
      </c>
    </row>
    <row r="28">
      <c r="A28" s="116">
        <v>45999.0</v>
      </c>
      <c r="B28" s="117">
        <v>3.0</v>
      </c>
      <c r="C28" s="117">
        <v>351.0</v>
      </c>
      <c r="D28" s="117">
        <v>13.0</v>
      </c>
      <c r="E28" s="117">
        <v>3.7037037037037033</v>
      </c>
    </row>
    <row r="29">
      <c r="A29" s="114">
        <v>45999.0</v>
      </c>
      <c r="B29" s="115">
        <v>4.0</v>
      </c>
      <c r="C29" s="115">
        <v>351.0</v>
      </c>
      <c r="D29" s="115">
        <v>19.0</v>
      </c>
      <c r="E29" s="115">
        <v>5.413105413105413</v>
      </c>
    </row>
    <row r="30">
      <c r="A30" s="116">
        <v>45999.0</v>
      </c>
      <c r="B30" s="117">
        <v>5.0</v>
      </c>
      <c r="C30" s="117">
        <v>351.0</v>
      </c>
      <c r="D30" s="117">
        <v>10.0</v>
      </c>
      <c r="E30" s="117">
        <v>2.849002849002849</v>
      </c>
    </row>
    <row r="31">
      <c r="A31" s="114">
        <v>45999.0</v>
      </c>
      <c r="B31" s="115">
        <v>6.0</v>
      </c>
      <c r="C31" s="115">
        <v>351.0</v>
      </c>
      <c r="D31" s="115">
        <v>12.0</v>
      </c>
      <c r="E31" s="115">
        <v>3.418803418803419</v>
      </c>
    </row>
    <row r="32">
      <c r="A32" s="116">
        <v>45999.0</v>
      </c>
      <c r="B32" s="117">
        <v>7.0</v>
      </c>
      <c r="C32" s="117">
        <v>351.0</v>
      </c>
      <c r="D32" s="117">
        <v>12.0</v>
      </c>
      <c r="E32" s="117">
        <v>3.418803418803419</v>
      </c>
    </row>
    <row r="33">
      <c r="A33" s="114">
        <v>45999.0</v>
      </c>
      <c r="B33" s="115">
        <v>8.0</v>
      </c>
      <c r="C33" s="115">
        <v>351.0</v>
      </c>
      <c r="D33" s="115">
        <v>5.0</v>
      </c>
      <c r="E33" s="115">
        <v>1.4245014245014245</v>
      </c>
    </row>
    <row r="34">
      <c r="A34" s="116">
        <v>45999.0</v>
      </c>
      <c r="B34" s="117">
        <v>9.0</v>
      </c>
      <c r="C34" s="117">
        <v>351.0</v>
      </c>
      <c r="D34" s="117">
        <v>4.0</v>
      </c>
      <c r="E34" s="117">
        <v>1.1396011396011396</v>
      </c>
    </row>
    <row r="35">
      <c r="A35" s="114">
        <v>45999.0</v>
      </c>
      <c r="B35" s="115">
        <v>10.0</v>
      </c>
      <c r="C35" s="115">
        <v>351.0</v>
      </c>
      <c r="D35" s="115">
        <v>4.0</v>
      </c>
      <c r="E35" s="115">
        <v>1.1396011396011396</v>
      </c>
    </row>
    <row r="36">
      <c r="A36" s="116">
        <v>46006.0</v>
      </c>
      <c r="B36" s="117">
        <v>0.0</v>
      </c>
      <c r="C36" s="117">
        <v>257.0</v>
      </c>
      <c r="D36" s="117">
        <v>257.0</v>
      </c>
      <c r="E36" s="117">
        <v>100.0</v>
      </c>
    </row>
    <row r="37">
      <c r="A37" s="114">
        <v>46006.0</v>
      </c>
      <c r="B37" s="115">
        <v>1.0</v>
      </c>
      <c r="C37" s="115">
        <v>257.0</v>
      </c>
      <c r="D37" s="115">
        <v>17.0</v>
      </c>
      <c r="E37" s="115">
        <v>6.614785992217899</v>
      </c>
    </row>
    <row r="38">
      <c r="A38" s="116">
        <v>46006.0</v>
      </c>
      <c r="B38" s="117">
        <v>2.0</v>
      </c>
      <c r="C38" s="117">
        <v>257.0</v>
      </c>
      <c r="D38" s="117">
        <v>14.0</v>
      </c>
      <c r="E38" s="117">
        <v>5.447470817120623</v>
      </c>
    </row>
    <row r="39">
      <c r="A39" s="114">
        <v>46006.0</v>
      </c>
      <c r="B39" s="115">
        <v>3.0</v>
      </c>
      <c r="C39" s="115">
        <v>257.0</v>
      </c>
      <c r="D39" s="115">
        <v>7.0</v>
      </c>
      <c r="E39" s="115">
        <v>2.7237354085603114</v>
      </c>
    </row>
    <row r="40">
      <c r="A40" s="116">
        <v>46006.0</v>
      </c>
      <c r="B40" s="117">
        <v>4.0</v>
      </c>
      <c r="C40" s="117">
        <v>257.0</v>
      </c>
      <c r="D40" s="117">
        <v>11.0</v>
      </c>
      <c r="E40" s="117">
        <v>4.280155642023346</v>
      </c>
    </row>
    <row r="41">
      <c r="A41" s="114">
        <v>46006.0</v>
      </c>
      <c r="B41" s="115">
        <v>5.0</v>
      </c>
      <c r="C41" s="115">
        <v>257.0</v>
      </c>
      <c r="D41" s="115">
        <v>7.0</v>
      </c>
      <c r="E41" s="115">
        <v>2.7237354085603114</v>
      </c>
    </row>
    <row r="42">
      <c r="A42" s="116">
        <v>46006.0</v>
      </c>
      <c r="B42" s="117">
        <v>6.0</v>
      </c>
      <c r="C42" s="117">
        <v>257.0</v>
      </c>
      <c r="D42" s="117">
        <v>5.0</v>
      </c>
      <c r="E42" s="117">
        <v>1.9455252918287937</v>
      </c>
    </row>
    <row r="43">
      <c r="A43" s="114">
        <v>46006.0</v>
      </c>
      <c r="B43" s="115">
        <v>7.0</v>
      </c>
      <c r="C43" s="115">
        <v>257.0</v>
      </c>
      <c r="D43" s="115">
        <v>8.0</v>
      </c>
      <c r="E43" s="115">
        <v>3.11284046692607</v>
      </c>
    </row>
    <row r="44">
      <c r="A44" s="116">
        <v>46006.0</v>
      </c>
      <c r="B44" s="117">
        <v>8.0</v>
      </c>
      <c r="C44" s="117">
        <v>257.0</v>
      </c>
      <c r="D44" s="117">
        <v>7.0</v>
      </c>
      <c r="E44" s="117">
        <v>2.7237354085603114</v>
      </c>
    </row>
    <row r="45">
      <c r="A45" s="114">
        <v>46006.0</v>
      </c>
      <c r="B45" s="115">
        <v>9.0</v>
      </c>
      <c r="C45" s="115">
        <v>257.0</v>
      </c>
      <c r="D45" s="115">
        <v>3.0</v>
      </c>
      <c r="E45" s="115">
        <v>1.1673151750972763</v>
      </c>
    </row>
    <row r="46">
      <c r="A46" s="116">
        <v>46013.0</v>
      </c>
      <c r="B46" s="117">
        <v>0.0</v>
      </c>
      <c r="C46" s="117">
        <v>811.0</v>
      </c>
      <c r="D46" s="117">
        <v>811.0</v>
      </c>
      <c r="E46" s="117">
        <v>100.0</v>
      </c>
    </row>
    <row r="47">
      <c r="A47" s="114">
        <v>46013.0</v>
      </c>
      <c r="B47" s="115">
        <v>1.0</v>
      </c>
      <c r="C47" s="115">
        <v>811.0</v>
      </c>
      <c r="D47" s="115">
        <v>81.0</v>
      </c>
      <c r="E47" s="115">
        <v>9.98766954377312</v>
      </c>
    </row>
    <row r="48">
      <c r="A48" s="116">
        <v>46013.0</v>
      </c>
      <c r="B48" s="117">
        <v>2.0</v>
      </c>
      <c r="C48" s="117">
        <v>811.0</v>
      </c>
      <c r="D48" s="117">
        <v>29.0</v>
      </c>
      <c r="E48" s="117">
        <v>3.5758323057953145</v>
      </c>
    </row>
    <row r="49">
      <c r="A49" s="114">
        <v>46013.0</v>
      </c>
      <c r="B49" s="115">
        <v>3.0</v>
      </c>
      <c r="C49" s="115">
        <v>811.0</v>
      </c>
      <c r="D49" s="115">
        <v>24.0</v>
      </c>
      <c r="E49" s="115">
        <v>2.9593094944512948</v>
      </c>
    </row>
    <row r="50">
      <c r="A50" s="116">
        <v>46013.0</v>
      </c>
      <c r="B50" s="117">
        <v>4.0</v>
      </c>
      <c r="C50" s="117">
        <v>811.0</v>
      </c>
      <c r="D50" s="117">
        <v>21.0</v>
      </c>
      <c r="E50" s="117">
        <v>2.5893958076448826</v>
      </c>
    </row>
    <row r="51">
      <c r="A51" s="114">
        <v>46013.0</v>
      </c>
      <c r="B51" s="115">
        <v>5.0</v>
      </c>
      <c r="C51" s="115">
        <v>811.0</v>
      </c>
      <c r="D51" s="115">
        <v>26.0</v>
      </c>
      <c r="E51" s="115">
        <v>3.2059186189889024</v>
      </c>
    </row>
    <row r="52">
      <c r="A52" s="116">
        <v>46013.0</v>
      </c>
      <c r="B52" s="117">
        <v>6.0</v>
      </c>
      <c r="C52" s="117">
        <v>811.0</v>
      </c>
      <c r="D52" s="117">
        <v>21.0</v>
      </c>
      <c r="E52" s="117">
        <v>2.5893958076448826</v>
      </c>
    </row>
    <row r="53">
      <c r="A53" s="114">
        <v>46013.0</v>
      </c>
      <c r="B53" s="115">
        <v>7.0</v>
      </c>
      <c r="C53" s="115">
        <v>811.0</v>
      </c>
      <c r="D53" s="115">
        <v>10.0</v>
      </c>
      <c r="E53" s="115">
        <v>1.2330456226880395</v>
      </c>
    </row>
    <row r="54">
      <c r="A54" s="116">
        <v>46013.0</v>
      </c>
      <c r="B54" s="117">
        <v>8.0</v>
      </c>
      <c r="C54" s="117">
        <v>811.0</v>
      </c>
      <c r="D54" s="117">
        <v>17.0</v>
      </c>
      <c r="E54" s="117">
        <v>2.096177558569667</v>
      </c>
    </row>
    <row r="55">
      <c r="A55" s="114">
        <v>46020.0</v>
      </c>
      <c r="B55" s="115">
        <v>0.0</v>
      </c>
      <c r="C55" s="115">
        <v>423.0</v>
      </c>
      <c r="D55" s="115">
        <v>423.0</v>
      </c>
      <c r="E55" s="115">
        <v>100.0</v>
      </c>
    </row>
    <row r="56">
      <c r="A56" s="116">
        <v>46020.0</v>
      </c>
      <c r="B56" s="117">
        <v>1.0</v>
      </c>
      <c r="C56" s="117">
        <v>423.0</v>
      </c>
      <c r="D56" s="117">
        <v>17.0</v>
      </c>
      <c r="E56" s="117">
        <v>4.0189125295508275</v>
      </c>
    </row>
    <row r="57">
      <c r="A57" s="114">
        <v>46020.0</v>
      </c>
      <c r="B57" s="115">
        <v>2.0</v>
      </c>
      <c r="C57" s="115">
        <v>423.0</v>
      </c>
      <c r="D57" s="115">
        <v>15.0</v>
      </c>
      <c r="E57" s="115">
        <v>3.546099290780142</v>
      </c>
    </row>
    <row r="58">
      <c r="A58" s="116">
        <v>46020.0</v>
      </c>
      <c r="B58" s="117">
        <v>3.0</v>
      </c>
      <c r="C58" s="117">
        <v>423.0</v>
      </c>
      <c r="D58" s="117">
        <v>18.0</v>
      </c>
      <c r="E58" s="117">
        <v>4.25531914893617</v>
      </c>
    </row>
    <row r="59">
      <c r="A59" s="114">
        <v>46020.0</v>
      </c>
      <c r="B59" s="115">
        <v>4.0</v>
      </c>
      <c r="C59" s="115">
        <v>423.0</v>
      </c>
      <c r="D59" s="115">
        <v>5.0</v>
      </c>
      <c r="E59" s="115">
        <v>1.1820330969267139</v>
      </c>
    </row>
    <row r="60">
      <c r="A60" s="116">
        <v>46020.0</v>
      </c>
      <c r="B60" s="117">
        <v>5.0</v>
      </c>
      <c r="C60" s="117">
        <v>423.0</v>
      </c>
      <c r="D60" s="117">
        <v>5.0</v>
      </c>
      <c r="E60" s="117">
        <v>1.1820330969267139</v>
      </c>
    </row>
    <row r="61">
      <c r="A61" s="114">
        <v>46020.0</v>
      </c>
      <c r="B61" s="115">
        <v>6.0</v>
      </c>
      <c r="C61" s="115">
        <v>423.0</v>
      </c>
      <c r="D61" s="115">
        <v>1.0</v>
      </c>
      <c r="E61" s="115">
        <v>0.2364066193853428</v>
      </c>
    </row>
    <row r="62">
      <c r="A62" s="116">
        <v>46020.0</v>
      </c>
      <c r="B62" s="117">
        <v>7.0</v>
      </c>
      <c r="C62" s="117">
        <v>423.0</v>
      </c>
      <c r="D62" s="117">
        <v>4.0</v>
      </c>
      <c r="E62" s="117">
        <v>0.9456264775413712</v>
      </c>
    </row>
    <row r="63">
      <c r="A63" s="114">
        <v>46027.0</v>
      </c>
      <c r="B63" s="115">
        <v>0.0</v>
      </c>
      <c r="C63" s="115">
        <v>232.0</v>
      </c>
      <c r="D63" s="115">
        <v>232.0</v>
      </c>
      <c r="E63" s="115">
        <v>100.0</v>
      </c>
    </row>
    <row r="64">
      <c r="A64" s="116">
        <v>46027.0</v>
      </c>
      <c r="B64" s="117">
        <v>1.0</v>
      </c>
      <c r="C64" s="117">
        <v>232.0</v>
      </c>
      <c r="D64" s="117">
        <v>16.0</v>
      </c>
      <c r="E64" s="117">
        <v>6.896551724137931</v>
      </c>
    </row>
    <row r="65">
      <c r="A65" s="114">
        <v>46027.0</v>
      </c>
      <c r="B65" s="115">
        <v>2.0</v>
      </c>
      <c r="C65" s="115">
        <v>232.0</v>
      </c>
      <c r="D65" s="115">
        <v>14.0</v>
      </c>
      <c r="E65" s="115">
        <v>6.0344827586206895</v>
      </c>
    </row>
    <row r="66">
      <c r="A66" s="116">
        <v>46027.0</v>
      </c>
      <c r="B66" s="117">
        <v>3.0</v>
      </c>
      <c r="C66" s="117">
        <v>232.0</v>
      </c>
      <c r="D66" s="117">
        <v>11.0</v>
      </c>
      <c r="E66" s="117">
        <v>4.741379310344827</v>
      </c>
    </row>
    <row r="67">
      <c r="A67" s="114">
        <v>46027.0</v>
      </c>
      <c r="B67" s="115">
        <v>4.0</v>
      </c>
      <c r="C67" s="115">
        <v>232.0</v>
      </c>
      <c r="D67" s="115">
        <v>6.0</v>
      </c>
      <c r="E67" s="115">
        <v>2.586206896551724</v>
      </c>
    </row>
    <row r="68">
      <c r="A68" s="116">
        <v>46027.0</v>
      </c>
      <c r="B68" s="117">
        <v>5.0</v>
      </c>
      <c r="C68" s="117">
        <v>232.0</v>
      </c>
      <c r="D68" s="117">
        <v>3.0</v>
      </c>
      <c r="E68" s="117">
        <v>1.293103448275862</v>
      </c>
    </row>
    <row r="69">
      <c r="A69" s="114">
        <v>46027.0</v>
      </c>
      <c r="B69" s="115">
        <v>6.0</v>
      </c>
      <c r="C69" s="115">
        <v>232.0</v>
      </c>
      <c r="D69" s="115">
        <v>3.0</v>
      </c>
      <c r="E69" s="115">
        <v>1.293103448275862</v>
      </c>
    </row>
    <row r="70">
      <c r="A70" s="116">
        <v>46027.0</v>
      </c>
      <c r="B70" s="117">
        <v>7.0</v>
      </c>
      <c r="C70" s="117">
        <v>232.0</v>
      </c>
      <c r="D70" s="117">
        <v>2.0</v>
      </c>
      <c r="E70" s="117">
        <v>0.8620689655172413</v>
      </c>
    </row>
    <row r="71">
      <c r="A71" s="114">
        <v>46034.0</v>
      </c>
      <c r="B71" s="115">
        <v>0.0</v>
      </c>
      <c r="C71" s="115">
        <v>309.0</v>
      </c>
      <c r="D71" s="115">
        <v>309.0</v>
      </c>
      <c r="E71" s="115">
        <v>100.0</v>
      </c>
    </row>
    <row r="72">
      <c r="A72" s="116">
        <v>46034.0</v>
      </c>
      <c r="B72" s="117">
        <v>1.0</v>
      </c>
      <c r="C72" s="117">
        <v>309.0</v>
      </c>
      <c r="D72" s="117">
        <v>23.0</v>
      </c>
      <c r="E72" s="117">
        <v>7.443365695792881</v>
      </c>
    </row>
    <row r="73">
      <c r="A73" s="114">
        <v>46034.0</v>
      </c>
      <c r="B73" s="115">
        <v>2.0</v>
      </c>
      <c r="C73" s="115">
        <v>309.0</v>
      </c>
      <c r="D73" s="115">
        <v>18.0</v>
      </c>
      <c r="E73" s="115">
        <v>5.825242718446602</v>
      </c>
    </row>
    <row r="74">
      <c r="A74" s="116">
        <v>46034.0</v>
      </c>
      <c r="B74" s="117">
        <v>3.0</v>
      </c>
      <c r="C74" s="117">
        <v>309.0</v>
      </c>
      <c r="D74" s="117">
        <v>6.0</v>
      </c>
      <c r="E74" s="117">
        <v>1.9417475728155338</v>
      </c>
    </row>
    <row r="75">
      <c r="A75" s="114">
        <v>46034.0</v>
      </c>
      <c r="B75" s="115">
        <v>4.0</v>
      </c>
      <c r="C75" s="115">
        <v>309.0</v>
      </c>
      <c r="D75" s="115">
        <v>1.0</v>
      </c>
      <c r="E75" s="115">
        <v>0.3236245954692557</v>
      </c>
    </row>
    <row r="76">
      <c r="A76" s="116">
        <v>46034.0</v>
      </c>
      <c r="B76" s="117">
        <v>5.0</v>
      </c>
      <c r="C76" s="117">
        <v>309.0</v>
      </c>
      <c r="D76" s="117">
        <v>4.0</v>
      </c>
      <c r="E76" s="117">
        <v>1.2944983818770228</v>
      </c>
    </row>
    <row r="77">
      <c r="A77" s="114">
        <v>46041.0</v>
      </c>
      <c r="B77" s="115">
        <v>0.0</v>
      </c>
      <c r="C77" s="115">
        <v>342.0</v>
      </c>
      <c r="D77" s="115">
        <v>342.0</v>
      </c>
      <c r="E77" s="115">
        <v>100.0</v>
      </c>
    </row>
    <row r="78">
      <c r="A78" s="116">
        <v>46041.0</v>
      </c>
      <c r="B78" s="117">
        <v>1.0</v>
      </c>
      <c r="C78" s="117">
        <v>342.0</v>
      </c>
      <c r="D78" s="117">
        <v>16.0</v>
      </c>
      <c r="E78" s="117">
        <v>4.678362573099415</v>
      </c>
    </row>
    <row r="79">
      <c r="A79" s="114">
        <v>46041.0</v>
      </c>
      <c r="B79" s="115">
        <v>2.0</v>
      </c>
      <c r="C79" s="115">
        <v>342.0</v>
      </c>
      <c r="D79" s="115">
        <v>10.0</v>
      </c>
      <c r="E79" s="115">
        <v>2.923976608187134</v>
      </c>
    </row>
    <row r="80">
      <c r="A80" s="116">
        <v>46041.0</v>
      </c>
      <c r="B80" s="117">
        <v>3.0</v>
      </c>
      <c r="C80" s="117">
        <v>342.0</v>
      </c>
      <c r="D80" s="117">
        <v>8.0</v>
      </c>
      <c r="E80" s="117">
        <v>2.3391812865497075</v>
      </c>
    </row>
    <row r="81">
      <c r="A81" s="114">
        <v>46041.0</v>
      </c>
      <c r="B81" s="115">
        <v>4.0</v>
      </c>
      <c r="C81" s="115">
        <v>342.0</v>
      </c>
      <c r="D81" s="115">
        <v>5.0</v>
      </c>
      <c r="E81" s="115">
        <v>1.461988304093567</v>
      </c>
    </row>
    <row r="82">
      <c r="A82" s="116">
        <v>46048.0</v>
      </c>
      <c r="B82" s="117">
        <v>0.0</v>
      </c>
      <c r="C82" s="117">
        <v>189.0</v>
      </c>
      <c r="D82" s="117">
        <v>189.0</v>
      </c>
      <c r="E82" s="117">
        <v>100.0</v>
      </c>
    </row>
    <row r="83">
      <c r="A83" s="114">
        <v>46048.0</v>
      </c>
      <c r="B83" s="115">
        <v>1.0</v>
      </c>
      <c r="C83" s="115">
        <v>189.0</v>
      </c>
      <c r="D83" s="115">
        <v>12.0</v>
      </c>
      <c r="E83" s="115">
        <v>6.349206349206349</v>
      </c>
    </row>
    <row r="84">
      <c r="A84" s="116">
        <v>46048.0</v>
      </c>
      <c r="B84" s="117">
        <v>2.0</v>
      </c>
      <c r="C84" s="117">
        <v>189.0</v>
      </c>
      <c r="D84" s="117">
        <v>7.0</v>
      </c>
      <c r="E84" s="117">
        <v>3.7037037037037033</v>
      </c>
    </row>
    <row r="85">
      <c r="A85" s="114">
        <v>46048.0</v>
      </c>
      <c r="B85" s="115">
        <v>3.0</v>
      </c>
      <c r="C85" s="115">
        <v>189.0</v>
      </c>
      <c r="D85" s="115">
        <v>4.0</v>
      </c>
      <c r="E85" s="115">
        <v>2.1164021164021163</v>
      </c>
    </row>
    <row r="86">
      <c r="A86" s="116">
        <v>46055.0</v>
      </c>
      <c r="B86" s="117">
        <v>0.0</v>
      </c>
      <c r="C86" s="117">
        <v>188.0</v>
      </c>
      <c r="D86" s="117">
        <v>188.0</v>
      </c>
      <c r="E86" s="117">
        <v>100.0</v>
      </c>
    </row>
    <row r="87">
      <c r="A87" s="114">
        <v>46055.0</v>
      </c>
      <c r="B87" s="115">
        <v>1.0</v>
      </c>
      <c r="C87" s="115">
        <v>188.0</v>
      </c>
      <c r="D87" s="115">
        <v>16.0</v>
      </c>
      <c r="E87" s="115">
        <v>8.51063829787234</v>
      </c>
    </row>
    <row r="88">
      <c r="A88" s="116">
        <v>46055.0</v>
      </c>
      <c r="B88" s="117">
        <v>2.0</v>
      </c>
      <c r="C88" s="117">
        <v>188.0</v>
      </c>
      <c r="D88" s="117">
        <v>7.0</v>
      </c>
      <c r="E88" s="117">
        <v>3.723404255319149</v>
      </c>
    </row>
    <row r="89">
      <c r="A89" s="114">
        <v>46062.0</v>
      </c>
      <c r="B89" s="115">
        <v>0.0</v>
      </c>
      <c r="C89" s="115">
        <v>252.0</v>
      </c>
      <c r="D89" s="115">
        <v>252.0</v>
      </c>
      <c r="E89" s="115">
        <v>100.0</v>
      </c>
    </row>
    <row r="90">
      <c r="A90" s="116">
        <v>46062.0</v>
      </c>
      <c r="B90" s="117">
        <v>1.0</v>
      </c>
      <c r="C90" s="117">
        <v>252.0</v>
      </c>
      <c r="D90" s="117">
        <v>27.0</v>
      </c>
      <c r="E90" s="117">
        <v>10.714285714285714</v>
      </c>
    </row>
    <row r="91">
      <c r="A91" s="114">
        <v>46062.0</v>
      </c>
      <c r="B91" s="115">
        <v>2.0</v>
      </c>
      <c r="C91" s="115">
        <v>252.0</v>
      </c>
      <c r="D91" s="115">
        <v>1.0</v>
      </c>
      <c r="E91" s="115">
        <v>0.3968253968253968</v>
      </c>
    </row>
    <row r="92">
      <c r="A92" s="116">
        <v>46069.0</v>
      </c>
      <c r="B92" s="117">
        <v>0.0</v>
      </c>
      <c r="C92" s="117">
        <v>383.0</v>
      </c>
      <c r="D92" s="117">
        <v>383.0</v>
      </c>
      <c r="E92" s="117">
        <v>100.0</v>
      </c>
    </row>
    <row r="93">
      <c r="A93" s="114">
        <v>46069.0</v>
      </c>
      <c r="B93" s="115">
        <v>1.0</v>
      </c>
      <c r="C93" s="115">
        <v>383.0</v>
      </c>
      <c r="D93" s="115">
        <v>4.0</v>
      </c>
      <c r="E93" s="115">
        <v>1.0443864229765014</v>
      </c>
    </row>
    <row r="94">
      <c r="A94" s="116">
        <v>46076.0</v>
      </c>
      <c r="B94" s="117">
        <v>0.0</v>
      </c>
      <c r="C94" s="117">
        <v>14.0</v>
      </c>
      <c r="D94" s="117">
        <v>14.0</v>
      </c>
      <c r="E94" s="117">
        <v>100.0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5" width="15.13"/>
  </cols>
  <sheetData>
    <row r="1" ht="36.0">
      <c r="A1" s="112" t="s">
        <v>178</v>
      </c>
    </row>
    <row r="2">
      <c r="A2" s="113" t="s">
        <v>129</v>
      </c>
      <c r="B2" s="113" t="s">
        <v>169</v>
      </c>
      <c r="C2" s="113" t="s">
        <v>175</v>
      </c>
      <c r="D2" s="113" t="s">
        <v>176</v>
      </c>
      <c r="E2" s="113" t="s">
        <v>177</v>
      </c>
    </row>
    <row r="3">
      <c r="A3" s="114">
        <v>45962.0</v>
      </c>
      <c r="B3" s="115">
        <v>0.0</v>
      </c>
      <c r="C3" s="115">
        <v>415.0</v>
      </c>
      <c r="D3" s="115">
        <v>415.0</v>
      </c>
      <c r="E3" s="115">
        <v>100.0</v>
      </c>
    </row>
    <row r="4">
      <c r="A4" s="116">
        <v>45962.0</v>
      </c>
      <c r="B4" s="117">
        <v>1.0</v>
      </c>
      <c r="C4" s="117">
        <v>415.0</v>
      </c>
      <c r="D4" s="117">
        <v>119.0</v>
      </c>
      <c r="E4" s="117">
        <v>28.674698795180724</v>
      </c>
    </row>
    <row r="5">
      <c r="A5" s="114">
        <v>45962.0</v>
      </c>
      <c r="B5" s="115">
        <v>2.0</v>
      </c>
      <c r="C5" s="115">
        <v>415.0</v>
      </c>
      <c r="D5" s="115">
        <v>64.0</v>
      </c>
      <c r="E5" s="115">
        <v>15.421686746987953</v>
      </c>
    </row>
    <row r="6">
      <c r="A6" s="116">
        <v>45962.0</v>
      </c>
      <c r="B6" s="117">
        <v>3.0</v>
      </c>
      <c r="C6" s="117">
        <v>415.0</v>
      </c>
      <c r="D6" s="117">
        <v>31.0</v>
      </c>
      <c r="E6" s="117">
        <v>7.46987951807229</v>
      </c>
    </row>
    <row r="7">
      <c r="A7" s="114">
        <v>45992.0</v>
      </c>
      <c r="B7" s="115">
        <v>0.0</v>
      </c>
      <c r="C7" s="115">
        <v>2084.0</v>
      </c>
      <c r="D7" s="115">
        <v>2084.0</v>
      </c>
      <c r="E7" s="115">
        <v>100.0</v>
      </c>
    </row>
    <row r="8">
      <c r="A8" s="116">
        <v>45992.0</v>
      </c>
      <c r="B8" s="117">
        <v>1.0</v>
      </c>
      <c r="C8" s="117">
        <v>2084.0</v>
      </c>
      <c r="D8" s="117">
        <v>260.0</v>
      </c>
      <c r="E8" s="117">
        <v>12.476007677543185</v>
      </c>
    </row>
    <row r="9">
      <c r="A9" s="114">
        <v>45992.0</v>
      </c>
      <c r="B9" s="115">
        <v>2.0</v>
      </c>
      <c r="C9" s="115">
        <v>2084.0</v>
      </c>
      <c r="D9" s="115">
        <v>101.0</v>
      </c>
      <c r="E9" s="115">
        <v>4.846449136276392</v>
      </c>
    </row>
    <row r="10">
      <c r="A10" s="116">
        <v>46023.0</v>
      </c>
      <c r="B10" s="117">
        <v>0.0</v>
      </c>
      <c r="C10" s="117">
        <v>1309.0</v>
      </c>
      <c r="D10" s="117">
        <v>1309.0</v>
      </c>
      <c r="E10" s="117">
        <v>100.0</v>
      </c>
    </row>
    <row r="11">
      <c r="A11" s="114">
        <v>46023.0</v>
      </c>
      <c r="B11" s="115">
        <v>1.0</v>
      </c>
      <c r="C11" s="115">
        <v>1309.0</v>
      </c>
      <c r="D11" s="115">
        <v>69.0</v>
      </c>
      <c r="E11" s="115">
        <v>5.271199388846448</v>
      </c>
    </row>
    <row r="12">
      <c r="A12" s="116">
        <v>46054.0</v>
      </c>
      <c r="B12" s="117">
        <v>0.0</v>
      </c>
      <c r="C12" s="117">
        <v>859.0</v>
      </c>
      <c r="D12" s="117">
        <v>859.0</v>
      </c>
      <c r="E12" s="117">
        <v>100.0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" t="s">
        <v>179</v>
      </c>
      <c r="B1" s="21" t="s">
        <v>169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2">
      <c r="A2" s="21" t="s">
        <v>129</v>
      </c>
      <c r="B2" s="127">
        <v>0.0</v>
      </c>
      <c r="C2" s="127">
        <v>1.0</v>
      </c>
      <c r="D2" s="127">
        <v>2.0</v>
      </c>
      <c r="E2" s="127">
        <v>3.0</v>
      </c>
      <c r="F2" s="127">
        <v>4.0</v>
      </c>
      <c r="G2" s="127">
        <v>5.0</v>
      </c>
      <c r="H2" s="127">
        <v>6.0</v>
      </c>
      <c r="I2" s="127">
        <v>7.0</v>
      </c>
      <c r="J2" s="127">
        <v>8.0</v>
      </c>
      <c r="K2" s="127">
        <v>9.0</v>
      </c>
      <c r="L2" s="127">
        <v>10.0</v>
      </c>
    </row>
    <row r="3">
      <c r="A3" s="126">
        <v>45985.0</v>
      </c>
      <c r="B3" s="127">
        <v>100.0</v>
      </c>
      <c r="C3" s="161">
        <v>11.566265060240964</v>
      </c>
      <c r="D3" s="161">
        <v>9.63855421686747</v>
      </c>
      <c r="E3" s="161">
        <v>10.361445783132531</v>
      </c>
      <c r="F3" s="161">
        <v>9.879518072289157</v>
      </c>
      <c r="G3" s="161">
        <v>7.710843373493977</v>
      </c>
      <c r="H3" s="161">
        <v>5.783132530120482</v>
      </c>
      <c r="I3" s="161">
        <v>4.578313253012048</v>
      </c>
      <c r="J3" s="161">
        <v>5.0602409638554215</v>
      </c>
      <c r="K3" s="161">
        <v>4.096385542168675</v>
      </c>
      <c r="L3" s="161">
        <v>4.096385542168675</v>
      </c>
    </row>
    <row r="4">
      <c r="A4" s="126">
        <v>45992.0</v>
      </c>
      <c r="B4" s="127">
        <v>100.0</v>
      </c>
      <c r="C4" s="161">
        <v>5.788423153692615</v>
      </c>
      <c r="D4" s="161">
        <v>5.588822355289421</v>
      </c>
      <c r="E4" s="161">
        <v>5.788423153692615</v>
      </c>
      <c r="F4" s="161">
        <v>5.9880239520958085</v>
      </c>
      <c r="G4" s="161">
        <v>5.389221556886228</v>
      </c>
      <c r="H4" s="161">
        <v>3.992015968063872</v>
      </c>
      <c r="I4" s="161">
        <v>3.3932135728542914</v>
      </c>
      <c r="J4" s="161">
        <v>3.3932135728542914</v>
      </c>
      <c r="K4" s="161">
        <v>2.5948103792415167</v>
      </c>
      <c r="L4" s="161">
        <v>1.5968063872255487</v>
      </c>
    </row>
    <row r="5">
      <c r="A5" s="126">
        <v>45999.0</v>
      </c>
      <c r="B5" s="127">
        <v>100.0</v>
      </c>
      <c r="C5" s="161">
        <v>7.122507122507122</v>
      </c>
      <c r="D5" s="161">
        <v>5.698005698005698</v>
      </c>
      <c r="E5" s="161">
        <v>3.7037037037037033</v>
      </c>
      <c r="F5" s="161">
        <v>5.413105413105413</v>
      </c>
      <c r="G5" s="161">
        <v>2.849002849002849</v>
      </c>
      <c r="H5" s="161">
        <v>3.418803418803419</v>
      </c>
      <c r="I5" s="161">
        <v>3.418803418803419</v>
      </c>
      <c r="J5" s="161">
        <v>1.4245014245014245</v>
      </c>
      <c r="K5" s="161">
        <v>1.1396011396011396</v>
      </c>
      <c r="L5" s="161">
        <v>1.1396011396011396</v>
      </c>
    </row>
    <row r="6">
      <c r="A6" s="126">
        <v>46006.0</v>
      </c>
      <c r="B6" s="127">
        <v>100.0</v>
      </c>
      <c r="C6" s="161">
        <v>6.614785992217899</v>
      </c>
      <c r="D6" s="161">
        <v>5.447470817120623</v>
      </c>
      <c r="E6" s="161">
        <v>2.7237354085603114</v>
      </c>
      <c r="F6" s="161">
        <v>4.280155642023346</v>
      </c>
      <c r="G6" s="161">
        <v>2.7237354085603114</v>
      </c>
      <c r="H6" s="161">
        <v>1.9455252918287937</v>
      </c>
      <c r="I6" s="161">
        <v>3.11284046692607</v>
      </c>
      <c r="J6" s="161">
        <v>2.7237354085603114</v>
      </c>
      <c r="K6" s="161">
        <v>1.1673151750972763</v>
      </c>
      <c r="L6" s="161"/>
    </row>
    <row r="7">
      <c r="A7" s="126">
        <v>46013.0</v>
      </c>
      <c r="B7" s="127">
        <v>100.0</v>
      </c>
      <c r="C7" s="161">
        <v>9.98766954377312</v>
      </c>
      <c r="D7" s="161">
        <v>3.5758323057953145</v>
      </c>
      <c r="E7" s="161">
        <v>2.9593094944512948</v>
      </c>
      <c r="F7" s="161">
        <v>2.5893958076448826</v>
      </c>
      <c r="G7" s="161">
        <v>3.2059186189889024</v>
      </c>
      <c r="H7" s="161">
        <v>2.5893958076448826</v>
      </c>
      <c r="I7" s="161">
        <v>1.2330456226880395</v>
      </c>
      <c r="J7" s="161">
        <v>2.096177558569667</v>
      </c>
      <c r="K7" s="161"/>
      <c r="L7" s="161"/>
    </row>
    <row r="8">
      <c r="A8" s="126">
        <v>46020.0</v>
      </c>
      <c r="B8" s="127">
        <v>100.0</v>
      </c>
      <c r="C8" s="161">
        <v>4.0189125295508275</v>
      </c>
      <c r="D8" s="161">
        <v>3.546099290780142</v>
      </c>
      <c r="E8" s="161">
        <v>4.25531914893617</v>
      </c>
      <c r="F8" s="161">
        <v>1.1820330969267139</v>
      </c>
      <c r="G8" s="161">
        <v>1.1820330969267139</v>
      </c>
      <c r="H8" s="161">
        <v>0.2364066193853428</v>
      </c>
      <c r="I8" s="161">
        <v>0.9456264775413712</v>
      </c>
      <c r="J8" s="161"/>
      <c r="K8" s="161"/>
      <c r="L8" s="161"/>
    </row>
    <row r="9">
      <c r="A9" s="126">
        <v>46027.0</v>
      </c>
      <c r="B9" s="127">
        <v>100.0</v>
      </c>
      <c r="C9" s="161">
        <v>6.896551724137931</v>
      </c>
      <c r="D9" s="161">
        <v>6.0344827586206895</v>
      </c>
      <c r="E9" s="161">
        <v>4.741379310344827</v>
      </c>
      <c r="F9" s="161">
        <v>2.586206896551724</v>
      </c>
      <c r="G9" s="161">
        <v>1.293103448275862</v>
      </c>
      <c r="H9" s="161">
        <v>1.293103448275862</v>
      </c>
      <c r="I9" s="161">
        <v>0.8620689655172413</v>
      </c>
      <c r="J9" s="161"/>
      <c r="K9" s="161"/>
      <c r="L9" s="161"/>
    </row>
    <row r="10">
      <c r="A10" s="126">
        <v>46034.0</v>
      </c>
      <c r="B10" s="127">
        <v>100.0</v>
      </c>
      <c r="C10" s="161">
        <v>7.443365695792881</v>
      </c>
      <c r="D10" s="161">
        <v>5.825242718446602</v>
      </c>
      <c r="E10" s="161">
        <v>1.9417475728155338</v>
      </c>
      <c r="F10" s="161">
        <v>0.3236245954692557</v>
      </c>
      <c r="G10" s="161">
        <v>1.2944983818770228</v>
      </c>
      <c r="H10" s="161"/>
      <c r="I10" s="161"/>
      <c r="J10" s="161"/>
      <c r="K10" s="161"/>
      <c r="L10" s="161"/>
    </row>
    <row r="11">
      <c r="A11" s="126">
        <v>46041.0</v>
      </c>
      <c r="B11" s="127">
        <v>100.0</v>
      </c>
      <c r="C11" s="161">
        <v>4.678362573099415</v>
      </c>
      <c r="D11" s="161">
        <v>2.923976608187134</v>
      </c>
      <c r="E11" s="161">
        <v>2.3391812865497075</v>
      </c>
      <c r="F11" s="161">
        <v>1.461988304093567</v>
      </c>
      <c r="G11" s="161"/>
      <c r="H11" s="161"/>
      <c r="I11" s="161"/>
      <c r="J11" s="161"/>
      <c r="K11" s="161"/>
      <c r="L11" s="161"/>
    </row>
    <row r="12">
      <c r="A12" s="126">
        <v>46048.0</v>
      </c>
      <c r="B12" s="127">
        <v>100.0</v>
      </c>
      <c r="C12" s="161">
        <v>6.349206349206349</v>
      </c>
      <c r="D12" s="161">
        <v>3.7037037037037033</v>
      </c>
      <c r="E12" s="161">
        <v>2.1164021164021163</v>
      </c>
      <c r="F12" s="161"/>
      <c r="G12" s="161"/>
      <c r="H12" s="161"/>
      <c r="I12" s="161"/>
      <c r="J12" s="161"/>
      <c r="K12" s="161"/>
      <c r="L12" s="161"/>
    </row>
    <row r="13">
      <c r="A13" s="126">
        <v>46055.0</v>
      </c>
      <c r="B13" s="127">
        <v>100.0</v>
      </c>
      <c r="C13" s="161">
        <v>8.51063829787234</v>
      </c>
      <c r="D13" s="161">
        <v>3.723404255319149</v>
      </c>
      <c r="E13" s="161"/>
      <c r="F13" s="161"/>
      <c r="G13" s="161"/>
      <c r="H13" s="161"/>
      <c r="I13" s="161"/>
      <c r="J13" s="161"/>
      <c r="K13" s="161"/>
      <c r="L13" s="161"/>
    </row>
    <row r="14">
      <c r="A14" s="126">
        <v>46062.0</v>
      </c>
      <c r="B14" s="127">
        <v>100.0</v>
      </c>
      <c r="C14" s="161">
        <v>10.714285714285714</v>
      </c>
      <c r="D14" s="161">
        <v>0.3968253968253968</v>
      </c>
      <c r="E14" s="161"/>
      <c r="F14" s="161"/>
      <c r="G14" s="161"/>
      <c r="H14" s="161"/>
      <c r="I14" s="161"/>
      <c r="J14" s="161"/>
      <c r="K14" s="161"/>
      <c r="L14" s="161"/>
    </row>
    <row r="15">
      <c r="A15" s="126">
        <v>46069.0</v>
      </c>
      <c r="B15" s="127">
        <v>100.0</v>
      </c>
      <c r="C15" s="161">
        <v>1.0443864229765014</v>
      </c>
      <c r="D15" s="161"/>
      <c r="E15" s="161"/>
      <c r="F15" s="161"/>
      <c r="G15" s="161"/>
      <c r="H15" s="161"/>
      <c r="I15" s="161"/>
      <c r="J15" s="161"/>
      <c r="K15" s="161"/>
      <c r="L15" s="161"/>
    </row>
    <row r="16">
      <c r="A16" s="126">
        <v>46076.0</v>
      </c>
      <c r="B16" s="127">
        <v>100.0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23">
      <c r="C23" s="161">
        <f t="shared" ref="C23:L23" si="1">average(C3:C14)</f>
        <v>7.474247813</v>
      </c>
      <c r="D23" s="161">
        <f t="shared" si="1"/>
        <v>4.675201677</v>
      </c>
      <c r="E23" s="161">
        <f t="shared" si="1"/>
        <v>4.093064698</v>
      </c>
      <c r="F23" s="161">
        <f t="shared" si="1"/>
        <v>3.744894642</v>
      </c>
      <c r="G23" s="161">
        <f t="shared" si="1"/>
        <v>3.206044592</v>
      </c>
      <c r="H23" s="161">
        <f t="shared" si="1"/>
        <v>2.751197583</v>
      </c>
      <c r="I23" s="161">
        <f t="shared" si="1"/>
        <v>2.506273111</v>
      </c>
      <c r="J23" s="161">
        <f t="shared" si="1"/>
        <v>2.939573786</v>
      </c>
      <c r="K23" s="161">
        <f t="shared" si="1"/>
        <v>2.249528059</v>
      </c>
      <c r="L23" s="161">
        <f t="shared" si="1"/>
        <v>2.27759769</v>
      </c>
    </row>
  </sheetData>
  <conditionalFormatting sqref="B3:L15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" t="s">
        <v>179</v>
      </c>
      <c r="B1" s="21" t="s">
        <v>169</v>
      </c>
      <c r="C1" s="21"/>
      <c r="D1" s="21"/>
      <c r="E1" s="21"/>
    </row>
    <row r="2">
      <c r="A2" s="21" t="s">
        <v>129</v>
      </c>
      <c r="B2" s="127">
        <v>0.0</v>
      </c>
      <c r="C2" s="127">
        <v>1.0</v>
      </c>
      <c r="D2" s="127">
        <v>2.0</v>
      </c>
      <c r="E2" s="127">
        <v>3.0</v>
      </c>
    </row>
    <row r="3">
      <c r="A3" s="126">
        <v>45962.0</v>
      </c>
      <c r="B3" s="127">
        <v>100.0</v>
      </c>
      <c r="C3" s="127">
        <v>28.674698795180724</v>
      </c>
      <c r="D3" s="127">
        <v>15.421686746987953</v>
      </c>
      <c r="E3" s="127">
        <v>7.46987951807229</v>
      </c>
    </row>
    <row r="4">
      <c r="A4" s="126">
        <v>45992.0</v>
      </c>
      <c r="B4" s="127">
        <v>100.0</v>
      </c>
      <c r="C4" s="127">
        <v>12.476007677543185</v>
      </c>
      <c r="D4" s="127">
        <v>4.846449136276392</v>
      </c>
      <c r="E4" s="21"/>
    </row>
    <row r="5">
      <c r="A5" s="126">
        <v>46023.0</v>
      </c>
      <c r="B5" s="127">
        <v>100.0</v>
      </c>
      <c r="C5" s="127">
        <v>5.271199388846448</v>
      </c>
      <c r="D5" s="21"/>
      <c r="E5" s="21"/>
    </row>
    <row r="6">
      <c r="A6" s="126">
        <v>46054.0</v>
      </c>
      <c r="B6" s="127">
        <v>100.0</v>
      </c>
      <c r="C6" s="21"/>
      <c r="D6" s="21"/>
      <c r="E6" s="21"/>
    </row>
  </sheetData>
  <conditionalFormatting sqref="B3:E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" t="s">
        <v>180</v>
      </c>
      <c r="B1" s="21" t="s">
        <v>169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2">
      <c r="A2" s="21" t="s">
        <v>129</v>
      </c>
      <c r="B2" s="127">
        <v>0.0</v>
      </c>
      <c r="C2" s="127">
        <v>1.0</v>
      </c>
      <c r="D2" s="127">
        <v>2.0</v>
      </c>
      <c r="E2" s="127">
        <v>3.0</v>
      </c>
      <c r="F2" s="127">
        <v>4.0</v>
      </c>
      <c r="G2" s="127">
        <v>5.0</v>
      </c>
      <c r="H2" s="127">
        <v>6.0</v>
      </c>
      <c r="I2" s="127">
        <v>7.0</v>
      </c>
      <c r="J2" s="127">
        <v>8.0</v>
      </c>
      <c r="K2" s="127">
        <v>9.0</v>
      </c>
      <c r="L2" s="127">
        <v>10.0</v>
      </c>
    </row>
    <row r="3">
      <c r="A3" s="126">
        <v>45985.0</v>
      </c>
      <c r="B3" s="27">
        <v>2769800.0</v>
      </c>
      <c r="C3" s="27">
        <v>397100.0</v>
      </c>
      <c r="D3" s="27">
        <v>295900.0</v>
      </c>
      <c r="E3" s="27">
        <v>374000.0</v>
      </c>
      <c r="F3" s="27">
        <v>392700.0</v>
      </c>
      <c r="G3" s="27">
        <v>317900.0</v>
      </c>
      <c r="H3" s="27">
        <v>229900.0</v>
      </c>
      <c r="I3" s="27">
        <v>174900.0</v>
      </c>
      <c r="J3" s="27">
        <v>199100.0</v>
      </c>
      <c r="K3" s="27">
        <v>202200.0</v>
      </c>
      <c r="L3" s="27">
        <v>299400.0</v>
      </c>
    </row>
    <row r="4">
      <c r="A4" s="126">
        <v>45992.0</v>
      </c>
      <c r="B4" s="27">
        <v>3345100.0</v>
      </c>
      <c r="C4" s="27">
        <v>201300.0</v>
      </c>
      <c r="D4" s="27">
        <v>220000.0</v>
      </c>
      <c r="E4" s="27">
        <v>233200.0</v>
      </c>
      <c r="F4" s="27">
        <v>232100.0</v>
      </c>
      <c r="G4" s="27">
        <v>201300.0</v>
      </c>
      <c r="H4" s="27">
        <v>151800.0</v>
      </c>
      <c r="I4" s="27">
        <v>132000.0</v>
      </c>
      <c r="J4" s="27">
        <v>140800.0</v>
      </c>
      <c r="K4" s="27">
        <v>122900.0</v>
      </c>
      <c r="L4" s="27">
        <v>119000.0</v>
      </c>
    </row>
    <row r="5">
      <c r="A5" s="126">
        <v>45999.0</v>
      </c>
      <c r="B5" s="27">
        <v>2097700.0</v>
      </c>
      <c r="C5" s="27">
        <v>181500.0</v>
      </c>
      <c r="D5" s="27">
        <v>129800.0</v>
      </c>
      <c r="E5" s="27">
        <v>103400.0</v>
      </c>
      <c r="F5" s="27">
        <v>132000.0</v>
      </c>
      <c r="G5" s="27">
        <v>69300.0</v>
      </c>
      <c r="H5" s="27">
        <v>79200.0</v>
      </c>
      <c r="I5" s="27">
        <v>151200.0</v>
      </c>
      <c r="J5" s="27">
        <v>54400.0</v>
      </c>
      <c r="K5" s="27">
        <v>47000.0</v>
      </c>
      <c r="L5" s="27">
        <v>39600.0</v>
      </c>
    </row>
    <row r="6">
      <c r="A6" s="126">
        <v>46006.0</v>
      </c>
      <c r="B6" s="27">
        <v>1579600.0</v>
      </c>
      <c r="C6" s="27">
        <v>156200.0</v>
      </c>
      <c r="D6" s="27">
        <v>102300.0</v>
      </c>
      <c r="E6" s="27">
        <v>77000.0</v>
      </c>
      <c r="F6" s="27">
        <v>118800.0</v>
      </c>
      <c r="G6" s="27">
        <v>71500.0</v>
      </c>
      <c r="H6" s="27">
        <v>60500.0</v>
      </c>
      <c r="I6" s="27">
        <v>84800.0</v>
      </c>
      <c r="J6" s="27">
        <v>97600.0</v>
      </c>
      <c r="K6" s="27">
        <v>27200.0</v>
      </c>
      <c r="L6" s="27"/>
    </row>
    <row r="7">
      <c r="A7" s="126">
        <v>46013.0</v>
      </c>
      <c r="B7" s="27">
        <v>6109400.0</v>
      </c>
      <c r="C7" s="27">
        <v>777700.0</v>
      </c>
      <c r="D7" s="27">
        <v>298100.0</v>
      </c>
      <c r="E7" s="27">
        <v>242000.0</v>
      </c>
      <c r="F7" s="27">
        <v>196900.0</v>
      </c>
      <c r="G7" s="27">
        <v>376400.0</v>
      </c>
      <c r="H7" s="27">
        <v>500200.0</v>
      </c>
      <c r="I7" s="27">
        <v>324800.0</v>
      </c>
      <c r="J7" s="27">
        <v>354800.0</v>
      </c>
      <c r="K7" s="27"/>
      <c r="L7" s="27"/>
    </row>
    <row r="8">
      <c r="A8" s="126">
        <v>46020.0</v>
      </c>
      <c r="B8" s="27">
        <v>3081100.0</v>
      </c>
      <c r="C8" s="27">
        <v>165000.0</v>
      </c>
      <c r="D8" s="27">
        <v>96800.0</v>
      </c>
      <c r="E8" s="27">
        <v>135300.0</v>
      </c>
      <c r="F8" s="27">
        <v>28600.0</v>
      </c>
      <c r="G8" s="27">
        <v>39600.0</v>
      </c>
      <c r="H8" s="27">
        <v>6600.0</v>
      </c>
      <c r="I8" s="27">
        <v>33000.0</v>
      </c>
      <c r="J8" s="27"/>
      <c r="K8" s="27"/>
      <c r="L8" s="27"/>
    </row>
    <row r="9">
      <c r="A9" s="126">
        <v>46027.0</v>
      </c>
      <c r="B9" s="27">
        <v>1720400.0</v>
      </c>
      <c r="C9" s="27">
        <v>116600.0</v>
      </c>
      <c r="D9" s="27">
        <v>160600.0</v>
      </c>
      <c r="E9" s="27">
        <v>149300.0</v>
      </c>
      <c r="F9" s="27">
        <v>180000.0</v>
      </c>
      <c r="G9" s="27">
        <v>75200.0</v>
      </c>
      <c r="H9" s="27">
        <v>46200.0</v>
      </c>
      <c r="I9" s="27">
        <v>35600.0</v>
      </c>
      <c r="J9" s="27"/>
      <c r="K9" s="27"/>
      <c r="L9" s="27"/>
    </row>
    <row r="10">
      <c r="A10" s="126">
        <v>46034.0</v>
      </c>
      <c r="B10" s="27">
        <v>2270400.0</v>
      </c>
      <c r="C10" s="27">
        <v>191400.0</v>
      </c>
      <c r="D10" s="27">
        <v>217500.0</v>
      </c>
      <c r="E10" s="27">
        <v>72300.0</v>
      </c>
      <c r="F10" s="27">
        <v>13200.0</v>
      </c>
      <c r="G10" s="27">
        <v>91800.0</v>
      </c>
      <c r="H10" s="27"/>
      <c r="I10" s="27"/>
      <c r="J10" s="27"/>
      <c r="K10" s="27"/>
      <c r="L10" s="27"/>
    </row>
    <row r="11">
      <c r="A11" s="126">
        <v>46041.0</v>
      </c>
      <c r="B11" s="27">
        <v>2389200.0</v>
      </c>
      <c r="C11" s="27">
        <v>128700.0</v>
      </c>
      <c r="D11" s="27">
        <v>220600.0</v>
      </c>
      <c r="E11" s="27">
        <v>146000.0</v>
      </c>
      <c r="F11" s="27">
        <v>164600.0</v>
      </c>
      <c r="G11" s="27"/>
      <c r="H11" s="27"/>
      <c r="I11" s="27"/>
      <c r="J11" s="27"/>
      <c r="K11" s="27"/>
      <c r="L11" s="27"/>
    </row>
    <row r="12">
      <c r="A12" s="126">
        <v>46048.0</v>
      </c>
      <c r="B12" s="27">
        <v>1547200.0</v>
      </c>
      <c r="C12" s="27">
        <v>103900.0</v>
      </c>
      <c r="D12" s="27">
        <v>89200.0</v>
      </c>
      <c r="E12" s="27">
        <v>26400.0</v>
      </c>
      <c r="F12" s="27"/>
      <c r="G12" s="27"/>
      <c r="H12" s="27"/>
      <c r="I12" s="27"/>
      <c r="J12" s="27"/>
      <c r="K12" s="27"/>
      <c r="L12" s="27"/>
    </row>
    <row r="13">
      <c r="A13" s="126">
        <v>46055.0</v>
      </c>
      <c r="B13" s="27">
        <v>2076400.0</v>
      </c>
      <c r="C13" s="27">
        <v>261200.0</v>
      </c>
      <c r="D13" s="27">
        <v>82600.0</v>
      </c>
      <c r="E13" s="27"/>
      <c r="F13" s="27"/>
      <c r="G13" s="27"/>
      <c r="H13" s="27"/>
      <c r="I13" s="27"/>
      <c r="J13" s="27"/>
      <c r="K13" s="27"/>
      <c r="L13" s="27"/>
    </row>
    <row r="14">
      <c r="A14" s="126">
        <v>46062.0</v>
      </c>
      <c r="B14" s="27">
        <v>4543800.0</v>
      </c>
      <c r="C14" s="27">
        <v>518200.0</v>
      </c>
      <c r="D14" s="27">
        <v>29000.0</v>
      </c>
      <c r="E14" s="27"/>
      <c r="F14" s="27"/>
      <c r="G14" s="27"/>
      <c r="H14" s="27"/>
      <c r="I14" s="27"/>
      <c r="J14" s="27"/>
      <c r="K14" s="27"/>
      <c r="L14" s="27"/>
    </row>
    <row r="15">
      <c r="A15" s="126">
        <v>46069.0</v>
      </c>
      <c r="B15" s="27">
        <v>6832000.0</v>
      </c>
      <c r="C15" s="27">
        <v>55200.0</v>
      </c>
      <c r="D15" s="27"/>
      <c r="E15" s="27"/>
      <c r="F15" s="27"/>
      <c r="G15" s="27"/>
      <c r="H15" s="27"/>
      <c r="I15" s="27"/>
      <c r="J15" s="27"/>
      <c r="K15" s="27"/>
      <c r="L15" s="27"/>
    </row>
    <row r="16">
      <c r="A16" s="126">
        <v>46076.0</v>
      </c>
      <c r="B16" s="127">
        <v>143600.0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</row>
  </sheetData>
  <conditionalFormatting sqref="B3:L15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" t="s">
        <v>180</v>
      </c>
      <c r="B1" s="21" t="s">
        <v>169</v>
      </c>
      <c r="C1" s="21"/>
      <c r="D1" s="21"/>
      <c r="E1" s="21"/>
    </row>
    <row r="2">
      <c r="A2" s="21" t="s">
        <v>129</v>
      </c>
      <c r="B2" s="127">
        <v>0.0</v>
      </c>
      <c r="C2" s="127">
        <v>1.0</v>
      </c>
      <c r="D2" s="127">
        <v>2.0</v>
      </c>
      <c r="E2" s="127">
        <v>3.0</v>
      </c>
    </row>
    <row r="3">
      <c r="A3" s="126">
        <v>45962.0</v>
      </c>
      <c r="B3" s="27">
        <v>2769800.0</v>
      </c>
      <c r="C3" s="27">
        <v>1593900.0</v>
      </c>
      <c r="D3" s="27">
        <v>933600.0</v>
      </c>
      <c r="E3" s="27">
        <v>825400.0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126">
        <v>45992.0</v>
      </c>
      <c r="B4" s="27">
        <v>1.60743E7</v>
      </c>
      <c r="C4" s="27">
        <v>3235900.0</v>
      </c>
      <c r="D4" s="27">
        <v>2127500.0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126">
        <v>46023.0</v>
      </c>
      <c r="B5" s="27">
        <v>1.06372E7</v>
      </c>
      <c r="C5" s="27">
        <v>1410700.0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126">
        <v>46054.0</v>
      </c>
      <c r="B6" s="27">
        <v>1.47547E7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B9" s="27"/>
      <c r="C9" s="14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conditionalFormatting sqref="B3:E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